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045" tabRatio="827" firstSheet="1" activeTab="3"/>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s>
  <externalReferences>
    <externalReference r:id="rId33"/>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'01工程产值对比表'!$A$4:$P$1062</definedName>
    <definedName name="_xlnm._FilterDatabase" localSheetId="24" hidden="1">'08期间费用对比表'!$A$4:$T$51</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19" hidden="1">'03人工费预算对比表'!$A$4:$V$19</definedName>
    <definedName name="_xlnm._FilterDatabase" localSheetId="23" hidden="1">'07其他直接费对比表'!$A$4:$T$62</definedName>
    <definedName name="编制日期">"2025-5-5"</definedName>
    <definedName name="材料2下拉">#REF!</definedName>
    <definedName name="材料下拉">材料[材料]</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下浮下拉">下浮[下浮]</definedName>
    <definedName name="项目经理">"lu"</definedName>
    <definedName name="月报日期">TEXT(VALUE(LEFT(MID(CELL("filename"),FIND("[",CELL("filename"))+1,100),7)&amp;"-25"),"yyyy年mm月dd日")</definedName>
    <definedName name="成本预算文件">[1]序列表!$A$3</definedName>
    <definedName name="细目编码">[1]序列表!$N$2:$N$169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<sst xmlns="http://schemas.openxmlformats.org/spreadsheetml/2006/main" count="8979" uniqueCount="4019">
  <si>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</si>
  <si>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</si>
  <si>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</si>
  <si>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</si>
  <si>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</si>
  <si>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</si>
  <si>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</si>
  <si>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</si>
  <si>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</si>
  <si>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</si>
  <si>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</si>
  <si>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</si>
  <si>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</si>
  <si>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</si>
  <si>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</si>
  <si>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</si>
  <si>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</si>
  <si>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</si>
  <si>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</si>
  <si>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</si>
  <si>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</si>
  <si>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</si>
  <si>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</si>
  <si>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</si>
  <si>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</si>
  <si>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</si>
  <si>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</si>
  <si>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</si>
  <si>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</si>
  <si>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</si>
  <si>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</si>
  <si>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</si>
  <si>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</si>
  <si>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</si>
  <si>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</si>
  <si>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</si>
  <si>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</si>
  <si>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</si>
  <si>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</si>
  <si>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</si>
  <si>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</si>
  <si>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</si>
  <si>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</si>
  <si>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</si>
  <si>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</si>
  <si>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</si>
  <si>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</si>
  <si>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</si>
  <si>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</si>
  <si>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</si>
  <si>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</si>
  <si>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</si>
  <si>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</si>
  <si>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</si>
  <si>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</si>
  <si>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</si>
  <si>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</si>
  <si>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</si>
  <si>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</si>
  <si>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</si>
  <si>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</si>
  <si>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</si>
  <si>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</si>
  <si>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</si>
  <si>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</si>
  <si>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</si>
  <si>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</si>
  <si>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</si>
  <si>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</si>
  <si>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</si>
  <si>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</si>
  <si>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</si>
  <si>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</si>
  <si>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</si>
  <si>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</si>
  <si>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</si>
  <si>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</si>
  <si>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</si>
  <si>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</si>
  <si>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</si>
  <si>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</si>
  <si>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</si>
  <si>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</si>
  <si>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</si>
  <si>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</si>
  <si>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</si>
  <si>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</si>
  <si>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</si>
  <si>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</si>
  <si>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</si>
  <si>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</si>
  <si>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</si>
  <si>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</si>
  <si>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</si>
  <si>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</si>
  <si>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</si>
  <si>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</si>
  <si>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</si>
  <si>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</si>
  <si>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</si>
  <si>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</si>
  <si>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</si>
  <si>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</si>
  <si>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</si>
  <si>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</si>
  <si>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</si>
  <si>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</si>
  <si>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</si>
  <si>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</si>
  <si>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</si>
  <si>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</si>
  <si>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</si>
  <si>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</si>
  <si>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</si>
  <si>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</si>
  <si>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</si>
  <si>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</si>
  <si>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</si>
  <si>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</si>
  <si>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</si>
  <si>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</si>
  <si>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</si>
  <si>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</si>
  <si>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</si>
  <si>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</si>
  <si>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</si>
  <si>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</si>
  <si>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</si>
  <si>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</si>
  <si>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</si>
  <si>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</si>
  <si>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</si>
  <si>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</si>
  <si>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</si>
  <si>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</si>
  <si>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</si>
  <si>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</si>
  <si>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</si>
  <si>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</si>
  <si>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</si>
  <si>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</si>
  <si>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</si>
  <si>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</si>
  <si>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</si>
  <si>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</si>
  <si>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</si>
  <si>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</si>
  <si>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</si>
  <si>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</si>
  <si>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</si>
  <si>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</si>
  <si>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</si>
  <si>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</si>
  <si>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</si>
  <si>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</si>
  <si>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</si>
  <si>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</si>
  <si>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</si>
  <si>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</si>
  <si>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</si>
  <si>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</si>
  <si>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</si>
  <si>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</si>
  <si>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</si>
  <si>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</si>
  <si>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</si>
  <si>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</si>
  <si>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</si>
  <si>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</si>
  <si>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</si>
  <si>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</si>
  <si>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</si>
  <si>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</si>
  <si>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</si>
  <si>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</si>
  <si>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</si>
  <si>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</si>
  <si>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</si>
  <si>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</si>
  <si>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</si>
  <si>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</si>
  <si>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</si>
  <si>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</si>
  <si>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</si>
  <si>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</si>
  <si>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</si>
  <si>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</si>
  <si>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</si>
  <si>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</si>
  <si>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</si>
  <si>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</si>
  <si>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</si>
  <si>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</si>
  <si>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</si>
  <si>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</si>
  <si>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</si>
  <si>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</si>
  <si>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</si>
  <si>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</si>
  <si>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</si>
  <si>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</si>
  <si>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</si>
  <si>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</si>
  <si>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</si>
  <si>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</si>
  <si>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</si>
  <si>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</si>
  <si>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</si>
  <si>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</si>
  <si>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</si>
  <si>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</si>
  <si>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</si>
  <si>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</si>
  <si>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</si>
  <si>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</si>
  <si>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</si>
  <si>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</si>
  <si>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</si>
  <si>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</si>
  <si>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</si>
  <si>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</si>
  <si>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</si>
  <si>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</si>
  <si>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</si>
  <si>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</si>
  <si>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</si>
  <si>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</si>
  <si>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</si>
  <si>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</si>
  <si>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</si>
  <si>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</si>
  <si>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</si>
  <si>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</si>
  <si>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</si>
  <si>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</si>
  <si>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</si>
  <si>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</si>
  <si>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</si>
  <si>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</si>
  <si>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</si>
  <si>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</si>
  <si>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</si>
  <si>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</si>
  <si>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</si>
  <si>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</si>
  <si>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</si>
  <si>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</si>
  <si>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</si>
  <si>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</si>
  <si>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</si>
  <si>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</si>
  <si>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</si>
  <si>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</si>
  <si>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</si>
  <si>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</si>
  <si>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</si>
  <si>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</si>
  <si>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</si>
  <si>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</si>
  <si>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</si>
  <si>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</si>
  <si>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</si>
  <si>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</si>
  <si>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</si>
  <si>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</si>
  <si>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</si>
  <si>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</si>
  <si>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</si>
  <si>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</si>
  <si>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</si>
  <si>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</si>
  <si>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</si>
  <si>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</si>
  <si>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</si>
  <si>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</si>
  <si>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</si>
  <si>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</si>
  <si>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</si>
  <si>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</si>
  <si>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</si>
  <si>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</si>
  <si>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</si>
  <si>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</si>
  <si>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</si>
  <si>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</si>
  <si>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</si>
  <si>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</si>
  <si>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</si>
  <si>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</si>
  <si>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</si>
  <si>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</si>
  <si>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</si>
  <si>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</si>
  <si>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</si>
  <si>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</si>
  <si>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</si>
  <si>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</si>
  <si>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</si>
  <si>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</si>
  <si>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</si>
  <si>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</si>
  <si>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</si>
  <si>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</si>
  <si>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</si>
  <si>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</si>
  <si>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</si>
  <si>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</si>
  <si>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</si>
  <si>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</si>
  <si>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</si>
  <si>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</si>
  <si>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</si>
  <si>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</si>
  <si>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</si>
  <si>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</si>
  <si>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</si>
  <si>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</si>
  <si>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</si>
  <si>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</si>
  <si>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</si>
  <si>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</si>
  <si>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</si>
  <si>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</si>
  <si>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</si>
  <si>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</si>
  <si>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</si>
  <si>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</si>
  <si>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</si>
  <si>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</si>
  <si>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</si>
  <si>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</si>
  <si>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</si>
  <si>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</si>
  <si>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</si>
  <si>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</si>
  <si>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</si>
  <si>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</si>
  <si>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</si>
  <si>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</si>
  <si>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</si>
  <si>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</si>
  <si>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</si>
  <si>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</si>
  <si>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</si>
  <si>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</si>
  <si>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</si>
  <si>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</si>
  <si>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</si>
  <si>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</si>
  <si>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</si>
  <si>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</si>
  <si>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</si>
  <si>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</si>
  <si>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</si>
  <si>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</si>
  <si>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</si>
  <si>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</si>
  <si>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</si>
  <si>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</si>
  <si>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</si>
  <si>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</si>
  <si>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</si>
  <si>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</si>
  <si>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</si>
  <si>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</si>
  <si>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</si>
  <si>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</si>
  <si>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</si>
  <si>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</si>
  <si>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</si>
  <si>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</si>
  <si>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</si>
  <si>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</si>
  <si>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</si>
  <si>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</si>
  <si>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</si>
  <si>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</si>
  <si>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</si>
  <si>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</si>
  <si>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</si>
  <si>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</si>
  <si>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</si>
  <si>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</si>
  <si>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</si>
  <si>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</si>
  <si>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</si>
  <si>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</si>
  <si>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</si>
  <si>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</si>
  <si>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</si>
  <si>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</si>
  <si>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</si>
  <si>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</si>
  <si>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</si>
  <si>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</si>
  <si>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</si>
  <si>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</si>
  <si>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</si>
  <si>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</si>
  <si>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</si>
  <si>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</si>
  <si>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</si>
  <si>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</si>
  <si>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</si>
  <si>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</si>
  <si>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</si>
  <si>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</si>
  <si>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</si>
  <si>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</si>
  <si>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</si>
  <si>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</si>
  <si>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</si>
  <si>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</si>
  <si>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</si>
  <si>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</si>
  <si>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</si>
  <si>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</si>
  <si>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</si>
  <si>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</si>
  <si>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</si>
  <si>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</si>
  <si>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</si>
  <si>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</si>
  <si>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</si>
  <si>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</si>
  <si>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</si>
  <si>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</si>
  <si>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</si>
  <si>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</si>
  <si>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</si>
  <si>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</si>
  <si>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</si>
  <si>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</si>
  <si>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</si>
  <si>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</si>
  <si>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</si>
  <si>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</si>
  <si>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</si>
  <si>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</si>
  <si>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</si>
  <si>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</si>
  <si>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</si>
  <si>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</si>
  <si>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</si>
  <si>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</si>
  <si>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</si>
  <si>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</si>
  <si>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</si>
  <si>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</si>
  <si>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</si>
  <si>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</si>
  <si>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</si>
  <si>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</si>
  <si>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</si>
  <si>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</si>
  <si>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</si>
  <si>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</si>
  <si>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</si>
  <si>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</si>
  <si>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</si>
  <si>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</si>
  <si>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</si>
  <si>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</si>
  <si>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</si>
  <si>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</si>
  <si>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</si>
  <si>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</si>
  <si>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</si>
  <si>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</si>
  <si>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</si>
  <si>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</si>
  <si>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</si>
  <si>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</si>
  <si>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</si>
  <si>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</si>
  <si>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</si>
  <si>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</si>
  <si>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</si>
  <si>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</si>
  <si>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</si>
  <si>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</si>
  <si>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</si>
  <si>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</si>
  <si>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</si>
  <si>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</si>
  <si>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</si>
  <si>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</si>
  <si>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</si>
  <si>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</si>
  <si>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</si>
  <si>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</si>
  <si>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</si>
  <si>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</si>
  <si>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</si>
  <si>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</si>
  <si>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</si>
  <si>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</si>
  <si>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</si>
  <si>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</si>
  <si>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</si>
  <si>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</si>
  <si>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</si>
  <si>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</si>
  <si>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</si>
  <si>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</si>
  <si>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</si>
  <si>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</si>
  <si>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</si>
  <si>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</si>
  <si>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</si>
  <si>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</si>
  <si>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</si>
  <si>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</si>
  <si>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</si>
  <si>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</si>
  <si>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</si>
  <si>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</si>
  <si>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</si>
  <si>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</si>
  <si>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</si>
  <si>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</si>
  <si>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</si>
  <si>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</si>
  <si>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</si>
  <si>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</si>
  <si>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</si>
  <si>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</si>
  <si>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</si>
  <si>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</si>
  <si>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</si>
  <si>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</si>
  <si>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</si>
  <si>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</si>
  <si>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</si>
  <si>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</si>
  <si>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</si>
  <si>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</si>
  <si>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</si>
  <si>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</si>
  <si>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</si>
  <si>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</si>
  <si>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</si>
  <si>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</si>
  <si>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</si>
  <si>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</si>
  <si>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</si>
  <si>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</si>
  <si>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</si>
  <si>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</si>
  <si>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</si>
  <si>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</si>
  <si>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</si>
  <si>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</si>
  <si>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</si>
  <si>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</si>
  <si>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</si>
  <si>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</si>
  <si>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</si>
  <si>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</si>
  <si>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</si>
  <si>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</si>
  <si>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</si>
  <si>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</si>
  <si>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</si>
  <si>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</si>
  <si>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</si>
  <si>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</si>
  <si>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</si>
  <si>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</si>
  <si>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</si>
  <si>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</si>
  <si>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</si>
  <si>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</si>
  <si>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</si>
  <si>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</si>
  <si>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</si>
  <si>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</si>
  <si>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</si>
  <si>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</si>
  <si>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</si>
  <si>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</si>
  <si>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</si>
  <si>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</si>
  <si>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</si>
  <si>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</si>
  <si>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</si>
  <si>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</si>
  <si>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</si>
  <si>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</si>
  <si>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</si>
  <si>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</si>
  <si>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</si>
  <si>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</si>
  <si>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</si>
  <si>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</si>
  <si>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</si>
  <si>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</si>
  <si>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</si>
  <si>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</si>
  <si>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</si>
  <si>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</si>
  <si>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</si>
  <si>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</si>
  <si>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</si>
  <si>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</si>
  <si>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</si>
  <si>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</si>
  <si>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</si>
  <si>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</si>
  <si>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</si>
  <si>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</si>
  <si>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</si>
  <si>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</si>
  <si>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</si>
  <si>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</si>
  <si>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</si>
  <si>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</si>
  <si>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</si>
  <si>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</si>
  <si>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</si>
  <si>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</si>
  <si>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</si>
  <si>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</si>
  <si>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</si>
  <si>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</si>
  <si>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</si>
  <si>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</si>
  <si>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</si>
  <si>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</si>
  <si>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</si>
  <si>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</si>
  <si>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</si>
  <si>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</si>
  <si>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</si>
  <si>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</si>
  <si>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</si>
  <si>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</si>
  <si>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</si>
  <si>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</si>
  <si>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</si>
  <si>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</si>
  <si>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</si>
  <si>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</si>
  <si>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</si>
  <si>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</si>
  <si>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</si>
  <si>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</si>
  <si>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</si>
  <si>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</si>
  <si>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</si>
  <si>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</si>
  <si>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</si>
  <si>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</si>
  <si>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</si>
  <si>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</si>
  <si>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</si>
  <si>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</si>
  <si>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</si>
  <si>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</si>
  <si>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</si>
  <si>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</si>
  <si>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</si>
  <si>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</si>
  <si>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</si>
  <si>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</si>
  <si>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</si>
  <si>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</si>
  <si>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</si>
  <si>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</si>
  <si>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</si>
  <si>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</si>
  <si>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</si>
  <si>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</si>
  <si>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</si>
  <si>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</si>
  <si>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</si>
  <si>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</si>
  <si>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</si>
  <si>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</si>
  <si>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</si>
  <si>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</si>
  <si>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</si>
  <si>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</si>
  <si>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</si>
  <si>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</si>
  <si>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</si>
  <si>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</si>
  <si>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</si>
  <si>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</si>
  <si>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</si>
  <si>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</si>
  <si>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</si>
  <si>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</si>
  <si>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</si>
  <si>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</si>
  <si>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</si>
  <si>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</si>
  <si>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</si>
  <si>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</si>
  <si>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</si>
  <si>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</si>
  <si>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</si>
  <si>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</si>
  <si>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</si>
  <si>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</si>
  <si>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</si>
  <si>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</si>
  <si>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</si>
  <si>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</si>
  <si>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</si>
  <si>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</si>
  <si>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</si>
  <si>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</si>
  <si>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</si>
  <si>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</si>
  <si>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</si>
  <si>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</si>
  <si>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</si>
  <si>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</si>
  <si>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</si>
  <si>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</si>
  <si>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</si>
  <si>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</si>
  <si>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</si>
  <si>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</si>
  <si>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</si>
  <si>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</si>
  <si>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</si>
  <si>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</si>
  <si>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</si>
  <si>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</si>
  <si>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</si>
  <si>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</si>
  <si>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</si>
  <si>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</si>
  <si>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</si>
  <si>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</si>
  <si>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</si>
  <si>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</si>
  <si>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</si>
  <si>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</si>
  <si>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</si>
  <si>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</si>
  <si>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</si>
  <si>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</si>
  <si>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</si>
  <si>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</si>
  <si>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</si>
  <si>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</si>
  <si>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</si>
  <si>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</si>
  <si>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</si>
  <si>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</si>
  <si>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</si>
  <si>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</si>
  <si>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</si>
  <si>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</si>
  <si>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</si>
  <si>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</si>
  <si>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</si>
  <si>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</si>
  <si>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</si>
  <si>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</si>
  <si>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</si>
  <si>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</si>
  <si>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</si>
  <si>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</si>
  <si>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</si>
  <si>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</si>
  <si>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</si>
  <si>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</si>
  <si>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</si>
  <si>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</si>
  <si>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</si>
  <si>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</si>
  <si>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</si>
  <si>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</si>
  <si>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</si>
  <si>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</si>
  <si>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</si>
  <si>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</si>
  <si>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</si>
  <si>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</si>
  <si>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</si>
  <si>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</si>
  <si>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</si>
  <si>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</si>
  <si>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</si>
  <si>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</si>
  <si>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</si>
  <si>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</si>
  <si>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</si>
  <si>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</si>
  <si>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</si>
  <si>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</si>
  <si>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</si>
  <si>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</si>
  <si>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</si>
  <si>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</si>
  <si>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</si>
  <si>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</si>
  <si>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</si>
  <si>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</si>
  <si>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</si>
  <si>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</si>
  <si>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</si>
  <si>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</si>
  <si>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</si>
  <si>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</si>
  <si>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</si>
  <si>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</si>
  <si>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</si>
  <si>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</si>
  <si>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</si>
  <si>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</si>
  <si>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</si>
  <si>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</si>
  <si>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</si>
  <si>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</si>
  <si>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</si>
  <si>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</si>
  <si>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</si>
  <si>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</si>
  <si>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</si>
  <si>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</si>
  <si>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</si>
  <si>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</si>
  <si>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</si>
  <si>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</si>
  <si>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</si>
  <si>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</si>
  <si>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</si>
  <si>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</si>
  <si>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</si>
  <si>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</si>
  <si>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</si>
  <si>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</si>
  <si>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</si>
  <si>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</si>
  <si>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</si>
  <si>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</si>
  <si>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</si>
  <si>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</si>
  <si>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</si>
  <si>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</si>
  <si>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</si>
  <si>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</si>
  <si>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</si>
  <si>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</si>
  <si>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</si>
  <si>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</si>
  <si>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</si>
  <si>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</si>
  <si>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</si>
  <si>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</si>
  <si>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</si>
  <si>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</si>
  <si>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</si>
  <si>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</si>
  <si>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</si>
  <si>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</si>
  <si>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</si>
  <si>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</si>
  <si>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</si>
  <si>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</si>
  <si>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</si>
  <si>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</si>
  <si>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</si>
  <si>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</si>
  <si>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</si>
  <si>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</si>
  <si>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</si>
  <si>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</si>
  <si>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</si>
  <si>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</si>
  <si>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</si>
  <si>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</si>
  <si>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</si>
  <si>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</si>
  <si>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</si>
  <si>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</si>
  <si>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</si>
  <si>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</si>
  <si>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</si>
  <si>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</si>
  <si>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</si>
  <si>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</si>
  <si>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</si>
  <si>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</si>
  <si>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</si>
  <si>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</si>
  <si>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</si>
  <si>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</si>
  <si>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</si>
  <si>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</si>
  <si>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</si>
  <si>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</si>
  <si>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</si>
  <si>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</si>
  <si>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</si>
  <si>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</si>
  <si>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</si>
  <si>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</si>
  <si>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</si>
  <si>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</si>
  <si>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</si>
  <si>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</si>
  <si>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</si>
  <si>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</si>
  <si>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</si>
  <si>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</si>
  <si>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</si>
  <si>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</si>
  <si>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</si>
  <si>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</si>
  <si>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</si>
  <si>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</si>
  <si>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</si>
  <si>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</si>
  <si>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</si>
  <si>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</si>
  <si>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</si>
  <si>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</si>
  <si>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</si>
  <si>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</si>
  <si>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</si>
  <si>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</si>
  <si>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</si>
  <si>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</si>
  <si>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</si>
  <si>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</si>
  <si>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</si>
  <si>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</si>
  <si>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</si>
  <si>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</si>
  <si>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</si>
  <si>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</si>
  <si>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</si>
  <si>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</si>
  <si>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</si>
  <si>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</si>
  <si>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</si>
  <si>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</si>
  <si>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</si>
  <si>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</si>
  <si>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</si>
  <si>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</si>
  <si>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</si>
  <si>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</si>
  <si>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</si>
  <si>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</si>
  <si>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</si>
  <si>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</si>
  <si>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</si>
  <si>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</si>
  <si>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</si>
  <si>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</si>
  <si>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</si>
  <si>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</si>
  <si>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</si>
  <si>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</si>
  <si>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</si>
  <si>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</si>
  <si>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</si>
  <si>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</si>
  <si>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</si>
  <si>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</si>
  <si>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</si>
  <si>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</si>
  <si>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</si>
  <si>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</si>
  <si>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</si>
  <si>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</si>
  <si>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</si>
  <si>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</si>
  <si>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</si>
  <si>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</si>
  <si>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</si>
  <si>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</si>
  <si>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</si>
  <si>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</si>
  <si>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</si>
  <si>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</si>
  <si>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</si>
  <si>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</si>
  <si>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</si>
  <si>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</si>
  <si>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</si>
  <si>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</si>
  <si>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</si>
  <si>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</si>
  <si>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</si>
  <si>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</si>
  <si>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</si>
  <si>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</si>
  <si>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</si>
  <si>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</si>
  <si>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</si>
  <si>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</si>
  <si>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</si>
  <si>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</si>
  <si>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</si>
  <si>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</si>
  <si>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</si>
  <si>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</si>
  <si>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</si>
  <si>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</si>
  <si>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</si>
  <si>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</si>
  <si>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</si>
  <si>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</si>
  <si>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</si>
  <si>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</si>
  <si>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</si>
  <si>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</si>
  <si>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</si>
  <si>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</si>
  <si>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</si>
  <si>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</si>
  <si>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</si>
  <si>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</si>
  <si>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</si>
  <si>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</si>
  <si>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</si>
  <si>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</si>
  <si>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</si>
  <si>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</si>
  <si>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</si>
  <si>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</si>
  <si>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</si>
  <si>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</si>
  <si>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</si>
  <si>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</si>
  <si>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</si>
  <si>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</si>
  <si>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</si>
  <si>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</si>
  <si>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</si>
  <si>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</si>
  <si>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</si>
  <si>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</si>
  <si>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</si>
  <si>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</si>
  <si>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</si>
  <si>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</si>
  <si>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</si>
  <si>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</si>
  <si>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</si>
  <si>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</si>
  <si>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</si>
  <si>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</si>
  <si>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</si>
  <si>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</si>
  <si>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</si>
  <si>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</si>
  <si>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</si>
  <si>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</si>
  <si>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</si>
  <si>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</si>
  <si>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</si>
  <si>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</si>
  <si>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</si>
  <si>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</si>
  <si>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</si>
  <si>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</si>
  <si>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</si>
  <si>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</si>
  <si>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</si>
  <si>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</si>
  <si>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</si>
  <si>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</si>
  <si>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</si>
  <si>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</si>
  <si>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</si>
  <si>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</si>
  <si>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</si>
  <si>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</si>
  <si>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</si>
  <si>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</si>
  <si>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</si>
  <si>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</si>
  <si>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</si>
  <si>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</si>
  <si>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</si>
  <si>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</si>
  <si>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</si>
  <si>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</si>
  <si>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</si>
  <si>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</si>
  <si>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</si>
  <si>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</si>
  <si>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</si>
  <si>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</si>
  <si>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</si>
  <si>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</si>
  <si>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</si>
  <si>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</si>
  <si>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</si>
  <si>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</si>
  <si>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</si>
  <si>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</si>
  <si>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</si>
  <si>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</si>
  <si>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</si>
  <si>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</si>
  <si>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</si>
  <si>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</si>
  <si>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</si>
  <si>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</si>
  <si>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</si>
  <si>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</si>
  <si>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</si>
  <si>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</si>
  <si>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</si>
  <si>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</si>
  <si>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</si>
  <si>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</si>
  <si>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</si>
  <si>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</si>
  <si>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</si>
  <si>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</si>
  <si>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</si>
  <si>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</si>
  <si>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</si>
  <si>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</si>
  <si>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</si>
  <si>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</si>
  <si>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</si>
  <si>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</si>
  <si>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</si>
  <si>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</si>
  <si>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</si>
  <si>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</si>
  <si>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</si>
  <si>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</si>
  <si>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</si>
  <si>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</si>
  <si>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</si>
  <si>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</si>
  <si>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</si>
  <si>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</si>
  <si>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</si>
  <si>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</si>
  <si>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</si>
  <si>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</si>
  <si>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</si>
  <si>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</si>
  <si>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</si>
  <si>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</si>
  <si>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</si>
  <si>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</si>
  <si>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</si>
  <si>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</si>
  <si>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</si>
  <si>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</si>
  <si>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</si>
  <si>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</si>
  <si>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</si>
  <si>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</si>
  <si>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</si>
  <si>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</si>
  <si>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</si>
  <si>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</si>
  <si>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</si>
  <si>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</si>
  <si>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</si>
  <si>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</si>
  <si>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</si>
  <si>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</si>
  <si>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</si>
  <si>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</si>
  <si>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</si>
  <si>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</si>
  <si>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</si>
  <si>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</si>
  <si>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</si>
  <si>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</si>
  <si>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</si>
  <si>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</si>
  <si>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</si>
  <si>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</si>
  <si>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</si>
  <si>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</si>
  <si>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</si>
  <si>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</si>
  <si>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</si>
  <si>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</si>
  <si>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</si>
  <si>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</si>
  <si>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</si>
  <si>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</si>
  <si>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</si>
  <si>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</si>
  <si>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</si>
  <si>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</si>
  <si>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</si>
  <si>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</si>
  <si>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</si>
  <si>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</si>
  <si>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</si>
  <si>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</si>
  <si>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</si>
  <si>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</si>
  <si>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</si>
  <si>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</si>
  <si>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</si>
  <si>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</si>
  <si>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</si>
  <si>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</si>
  <si>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</si>
  <si>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</si>
  <si>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</si>
  <si>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</si>
  <si>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</si>
  <si>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</si>
  <si>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</si>
  <si>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</si>
  <si>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</si>
  <si>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</si>
  <si>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</si>
  <si>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</si>
  <si>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</si>
  <si>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</si>
  <si>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</si>
  <si>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</si>
  <si>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</si>
  <si>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</si>
  <si>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</si>
  <si>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</si>
  <si>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</si>
  <si>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</si>
  <si>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</si>
  <si>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</si>
  <si>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</si>
  <si>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</si>
  <si>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</si>
  <si>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</si>
  <si>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</si>
  <si>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</si>
  <si>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</si>
  <si>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</si>
  <si>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</si>
  <si>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</si>
  <si>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</si>
  <si>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</si>
  <si>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</si>
  <si>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</si>
  <si>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</si>
  <si>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</si>
  <si>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</si>
  <si>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</si>
  <si>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</si>
  <si>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</si>
  <si>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</si>
  <si>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</si>
  <si>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</si>
  <si>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</si>
  <si>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</si>
  <si>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</si>
  <si>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</si>
  <si>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</si>
  <si>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</si>
  <si>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</si>
  <si>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</si>
  <si>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</si>
  <si>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</si>
  <si>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</si>
  <si>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</si>
  <si>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</si>
  <si>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</si>
  <si>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</si>
  <si>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</si>
  <si>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</si>
  <si>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</si>
  <si>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</si>
  <si>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</si>
  <si>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</si>
  <si>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</si>
  <si>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</si>
  <si>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</si>
  <si>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</si>
  <si>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</si>
  <si>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</si>
  <si>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</si>
  <si>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</si>
  <si>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</si>
  <si>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</si>
  <si>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</si>
  <si>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</si>
  <si>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</si>
  <si>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</si>
  <si>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</si>
  <si>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</si>
  <si>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</si>
  <si>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</si>
  <si>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</si>
  <si>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</si>
  <si>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</si>
  <si>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</si>
  <si>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</si>
  <si>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</si>
  <si>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</si>
  <si>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</si>
  <si>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</si>
  <si>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</si>
  <si>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</si>
  <si>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</si>
  <si>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</si>
  <si>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</si>
  <si>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</si>
  <si>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</si>
  <si>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</si>
  <si>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</si>
  <si>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</si>
  <si>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</si>
  <si>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</si>
  <si>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</si>
  <si>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</si>
  <si>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</si>
  <si>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</si>
  <si>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</si>
  <si>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</si>
  <si>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</si>
  <si>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</si>
  <si>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</si>
  <si>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</si>
  <si>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</si>
  <si>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</si>
  <si>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</si>
  <si>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</si>
  <si>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</si>
  <si>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</si>
  <si>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</si>
  <si>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</si>
  <si>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</si>
  <si>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</si>
  <si>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</si>
  <si>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</si>
  <si>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</si>
  <si>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</si>
  <si>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</si>
  <si>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</si>
  <si>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</si>
  <si>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</si>
  <si>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</si>
  <si>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</si>
  <si>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</si>
  <si>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</si>
  <si>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</si>
  <si>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</si>
  <si>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</si>
  <si>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</si>
  <si>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</si>
  <si>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</si>
  <si>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</si>
  <si>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</si>
  <si>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</si>
  <si>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</si>
  <si>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</si>
  <si>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</si>
  <si>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</si>
  <si>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</si>
  <si>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</si>
  <si>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</si>
  <si>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</si>
  <si>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</si>
  <si>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</si>
  <si>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</si>
  <si>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</si>
  <si>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</si>
  <si>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</si>
  <si>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</si>
  <si>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</si>
  <si>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</si>
  <si>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</si>
  <si>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</si>
  <si>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</si>
  <si>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</si>
  <si>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</si>
  <si>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</si>
  <si>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</si>
  <si>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</si>
  <si>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</si>
  <si>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</si>
  <si>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</si>
  <si>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</si>
  <si>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</si>
  <si>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</si>
  <si>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</si>
  <si>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</si>
  <si>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</si>
  <si>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</si>
  <si>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</si>
  <si>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</si>
  <si>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</si>
  <si>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</si>
  <si>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</si>
  <si>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</si>
  <si>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</si>
  <si>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</si>
  <si>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</si>
  <si>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</si>
  <si>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</si>
  <si>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</si>
  <si>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</si>
  <si>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</si>
  <si>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</si>
  <si>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</si>
  <si>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</si>
  <si>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</si>
  <si>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</si>
  <si>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</si>
  <si>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</si>
  <si>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</si>
  <si>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</si>
  <si>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</si>
  <si>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</si>
  <si>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</si>
  <si>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</si>
  <si>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</si>
  <si>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</si>
  <si>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</si>
  <si>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</si>
  <si>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</si>
  <si>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</si>
  <si>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</si>
  <si>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</si>
  <si>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</si>
  <si>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</si>
  <si>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</si>
  <si>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</si>
  <si>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</si>
  <si>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</si>
  <si>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</si>
  <si>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</si>
  <si>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</si>
  <si>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</si>
  <si>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</si>
  <si>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</si>
  <si>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</si>
  <si>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</si>
  <si>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</si>
  <si>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</si>
  <si>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</si>
  <si>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</si>
  <si>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</si>
  <si>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</si>
  <si>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</si>
  <si>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</si>
  <si>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</si>
  <si>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</si>
  <si>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</si>
  <si>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</si>
  <si>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</si>
  <si>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</si>
  <si>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</si>
  <si>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</si>
  <si>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</si>
  <si>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</si>
  <si>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</si>
  <si>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</si>
  <si>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</si>
  <si>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</si>
  <si>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</si>
  <si>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</si>
  <si>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</si>
  <si>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</si>
  <si>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</si>
  <si>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</si>
  <si>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</si>
  <si>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</si>
  <si>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</si>
  <si>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</si>
  <si>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</si>
  <si>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</si>
  <si>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</si>
  <si>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</si>
  <si>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</si>
  <si>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</si>
  <si>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</si>
  <si>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</si>
  <si>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</si>
  <si>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</si>
  <si>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</si>
  <si>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</si>
  <si>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</si>
  <si>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</si>
  <si>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</si>
  <si>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</si>
  <si>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</si>
  <si>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</si>
  <si>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</si>
  <si>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</si>
  <si>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</si>
  <si>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</si>
  <si>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</si>
  <si>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</si>
  <si>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</si>
  <si>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</si>
  <si>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</si>
  <si>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</si>
  <si>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</si>
  <si>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</si>
  <si>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</si>
  <si>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</si>
  <si>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</si>
  <si>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</si>
  <si>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</si>
  <si>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</si>
  <si>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</si>
  <si>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</si>
  <si>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</si>
  <si>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</si>
  <si>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</si>
  <si>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</si>
  <si>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</si>
  <si>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</si>
  <si>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</si>
  <si>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</si>
  <si>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</si>
  <si>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</si>
  <si>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</si>
  <si>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</si>
  <si>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</si>
  <si>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</si>
  <si>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</si>
  <si>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</si>
  <si>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</si>
  <si>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</si>
  <si>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</si>
  <si>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</si>
  <si>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</si>
  <si>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</si>
  <si>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</si>
  <si>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</si>
  <si>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</si>
  <si>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</si>
  <si>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</si>
  <si>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</si>
  <si>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</si>
  <si>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</si>
  <si>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</si>
  <si>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</si>
  <si>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</si>
  <si>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</si>
  <si>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</si>
  <si>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</si>
  <si>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</si>
  <si>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</si>
  <si>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</si>
  <si>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</si>
  <si>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</si>
  <si>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</si>
  <si>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</si>
  <si>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</si>
  <si>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</si>
  <si>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</si>
  <si>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</si>
  <si>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</si>
  <si>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</si>
  <si>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</si>
  <si>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</si>
  <si>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</si>
  <si>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</si>
  <si>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</si>
  <si>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</si>
  <si>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</si>
  <si>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</si>
  <si>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</si>
  <si>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</si>
  <si>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</si>
  <si>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</si>
  <si>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</si>
  <si>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</si>
  <si>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</si>
  <si>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</si>
  <si>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</si>
  <si>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</si>
  <si>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</si>
  <si>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</si>
  <si>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</si>
  <si>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</si>
  <si>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</si>
  <si>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</si>
  <si>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</si>
  <si>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</si>
  <si>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</si>
  <si>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</si>
  <si>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</si>
  <si>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</si>
  <si>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</si>
  <si>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</si>
  <si>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</si>
  <si>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</si>
  <si>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</si>
  <si>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</si>
  <si>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</si>
  <si>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</si>
  <si>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</si>
  <si>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</si>
  <si>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</si>
  <si>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</si>
  <si>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</si>
  <si>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</si>
  <si>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</si>
  <si>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</si>
  <si>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</si>
  <si>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</si>
  <si>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</si>
  <si>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</si>
  <si>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</si>
  <si>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</si>
  <si>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</si>
  <si>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</si>
  <si>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</si>
  <si>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</si>
  <si>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</si>
  <si>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</si>
  <si>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</si>
  <si>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</si>
  <si>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</si>
  <si>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</si>
  <si>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</si>
  <si>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</si>
  <si>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</si>
  <si>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</si>
  <si>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</si>
  <si>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</si>
  <si>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</si>
  <si>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</si>
  <si>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</si>
  <si>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</si>
  <si>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</si>
  <si>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</si>
  <si>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</si>
  <si>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</si>
  <si>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</si>
  <si>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</si>
  <si>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</si>
  <si>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</si>
  <si>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</si>
  <si>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</si>
  <si>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</si>
  <si>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</si>
  <si>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</si>
  <si>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</si>
  <si>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</si>
  <si>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</si>
  <si>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</si>
  <si>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</si>
  <si>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</si>
  <si>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</si>
  <si>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</si>
  <si>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</si>
  <si>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</si>
  <si>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</si>
  <si>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</si>
  <si>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</si>
  <si>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</si>
  <si>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</si>
  <si>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</si>
  <si>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</si>
  <si>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</si>
  <si>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</si>
  <si>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</si>
  <si>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</si>
  <si>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</si>
  <si>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</si>
  <si>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</si>
  <si>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</si>
  <si>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</si>
  <si>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</si>
  <si>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</si>
  <si>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</si>
  <si>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</si>
  <si>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</si>
  <si>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</si>
  <si>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</si>
  <si>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</si>
  <si>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</si>
  <si>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</si>
  <si>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</si>
  <si>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</si>
  <si>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</si>
  <si>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</si>
  <si>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</si>
  <si>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</si>
  <si>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</si>
  <si>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</si>
  <si>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</si>
  <si>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</si>
  <si>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</si>
  <si>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</si>
  <si>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</si>
  <si>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</si>
  <si>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</si>
  <si>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</si>
  <si>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</si>
  <si>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</si>
  <si>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</si>
  <si>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</si>
  <si>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</si>
  <si>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</si>
  <si>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</si>
  <si>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</si>
  <si>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</si>
  <si>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</si>
  <si>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</si>
  <si>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</si>
  <si>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</si>
  <si>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</si>
  <si>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</si>
  <si>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</si>
  <si>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</si>
  <si>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</si>
  <si>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</si>
  <si>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</si>
  <si>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</si>
  <si>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</si>
  <si>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</si>
  <si>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</si>
  <si>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</si>
  <si>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</si>
  <si>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</si>
  <si>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</si>
  <si>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</si>
  <si>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</si>
  <si>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</si>
  <si>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</si>
  <si>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</si>
  <si>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</si>
  <si>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</si>
  <si>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</si>
  <si>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</si>
  <si>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</si>
  <si>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</si>
  <si>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</si>
  <si>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</si>
  <si>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</si>
  <si>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</si>
  <si>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</si>
  <si>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</si>
  <si>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</si>
  <si>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</si>
  <si>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</si>
  <si>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</si>
  <si>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</si>
  <si>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</si>
  <si>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</si>
  <si>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</si>
  <si>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</si>
  <si>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</si>
  <si>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</si>
  <si>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</si>
  <si>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</si>
  <si>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</si>
  <si>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</si>
  <si>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</si>
  <si>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</si>
  <si>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</si>
  <si>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</si>
  <si>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</si>
  <si>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</si>
  <si>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</si>
  <si>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</si>
  <si>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</si>
  <si>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</si>
  <si>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</si>
  <si>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</si>
  <si>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</si>
  <si>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</si>
  <si>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</si>
  <si>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</si>
  <si>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</si>
  <si>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</si>
  <si>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</si>
  <si>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</si>
  <si>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</si>
  <si>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</si>
  <si>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</si>
  <si>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</si>
  <si>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</si>
  <si>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</si>
  <si>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</si>
  <si>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</si>
  <si>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</si>
  <si>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</si>
  <si>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</si>
  <si>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</si>
  <si>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</si>
  <si>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</si>
  <si>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</si>
  <si>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</si>
  <si>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</si>
  <si>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</si>
  <si>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</si>
  <si>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</si>
  <si>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</si>
  <si>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</si>
  <si>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</si>
  <si>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</si>
  <si>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</si>
  <si>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</si>
  <si>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</si>
  <si>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</si>
  <si>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</si>
  <si>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</si>
  <si>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</si>
  <si>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</si>
  <si>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</si>
  <si>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</si>
  <si>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</si>
  <si>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</si>
  <si>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</si>
  <si>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</si>
  <si>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</si>
  <si>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</si>
  <si>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</si>
  <si>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</si>
  <si>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</si>
  <si>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</si>
  <si>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</si>
  <si>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</si>
  <si>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</si>
  <si>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</si>
  <si>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</si>
  <si>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</si>
  <si>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</si>
  <si>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</si>
  <si>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</si>
  <si>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</si>
  <si>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</si>
  <si>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</si>
  <si>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</si>
  <si>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</si>
  <si>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</si>
  <si>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</si>
  <si>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</si>
  <si>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</si>
  <si>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</si>
  <si>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</si>
  <si>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</si>
  <si>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</si>
  <si>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</si>
  <si>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</si>
  <si>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</si>
  <si>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</si>
  <si>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</si>
  <si>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</si>
  <si>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</si>
  <si>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</si>
  <si>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</si>
  <si>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</si>
  <si>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</si>
  <si>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</si>
  <si>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</si>
  <si>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</si>
  <si>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</si>
  <si>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</si>
  <si>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</si>
  <si>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</si>
  <si>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</si>
  <si>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</si>
  <si>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</si>
  <si>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</si>
  <si>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</si>
  <si>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</si>
  <si>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</si>
  <si>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</si>
  <si>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</si>
  <si>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</si>
  <si>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</si>
  <si>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</si>
  <si>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</si>
  <si>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</si>
  <si>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</si>
  <si>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</si>
  <si>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</si>
  <si>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</si>
  <si>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</si>
  <si>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</si>
  <si>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</si>
  <si>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</si>
  <si>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</si>
  <si>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</si>
  <si>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</si>
  <si>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</si>
  <si>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</si>
  <si>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</si>
  <si>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</si>
  <si>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</si>
  <si>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</si>
  <si>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</si>
  <si>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</si>
  <si>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</si>
  <si>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</si>
  <si>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</si>
  <si>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</si>
  <si>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</si>
  <si>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</si>
  <si>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</si>
  <si>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</si>
  <si>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</si>
  <si>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</si>
  <si>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</si>
  <si>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</si>
  <si>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</si>
  <si>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</si>
  <si>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</si>
  <si>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</si>
  <si>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</si>
  <si>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</si>
  <si>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</si>
  <si>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</si>
  <si>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</si>
  <si>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</si>
  <si>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</si>
  <si>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</si>
  <si>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</si>
  <si>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</si>
  <si>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</si>
  <si>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</si>
  <si>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</si>
  <si>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</si>
  <si>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</si>
  <si>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</si>
  <si>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</si>
  <si>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</si>
  <si>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</si>
  <si>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</si>
  <si>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</si>
  <si>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</si>
  <si>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</si>
  <si>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</si>
  <si>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</si>
  <si>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</si>
  <si>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</si>
  <si>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</si>
  <si>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</si>
  <si>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</si>
  <si>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</si>
  <si>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</si>
  <si>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</si>
  <si>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</si>
  <si>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</si>
  <si>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</si>
  <si>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</si>
  <si>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</si>
  <si>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</si>
  <si>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</si>
  <si>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</si>
  <si>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</si>
  <si>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</si>
  <si>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</si>
  <si>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</si>
  <si>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</si>
  <si>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</si>
  <si>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</si>
  <si>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</si>
  <si>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</si>
  <si>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</si>
  <si>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</si>
  <si>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</si>
  <si>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</si>
  <si>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</si>
  <si>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</si>
  <si>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</si>
  <si>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</si>
  <si>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</si>
  <si>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</si>
  <si>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</si>
  <si>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</si>
  <si>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</si>
  <si>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</si>
  <si>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</si>
  <si>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</si>
  <si>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</si>
  <si>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</si>
  <si>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</si>
  <si>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</si>
  <si>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</si>
  <si>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</si>
  <si>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</si>
  <si>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</si>
  <si>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</si>
  <si>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</si>
  <si>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</si>
  <si>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</si>
  <si>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</si>
  <si>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</si>
  <si>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</si>
  <si>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</si>
  <si>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</si>
  <si>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</si>
  <si>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</si>
  <si>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</si>
  <si>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</si>
  <si>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</si>
  <si>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</si>
  <si>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</si>
  <si>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</si>
  <si>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</si>
  <si>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</si>
  <si>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</si>
  <si>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</si>
  <si>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</si>
  <si>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</si>
  <si>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</si>
  <si>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</si>
  <si>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</si>
  <si>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</si>
  <si>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</si>
  <si>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</si>
  <si>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</si>
  <si>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</si>
  <si>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</si>
  <si>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</si>
  <si>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</si>
  <si>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</si>
  <si>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</si>
  <si>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</si>
  <si>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</si>
  <si>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</si>
  <si>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</si>
  <si>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</si>
  <si>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</si>
  <si>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</si>
  <si>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</si>
  <si>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</si>
  <si>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</si>
  <si>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</si>
  <si>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</si>
  <si>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</si>
  <si>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</si>
  <si>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</si>
  <si>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</si>
  <si>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</si>
  <si>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</si>
  <si>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</si>
  <si>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</si>
  <si>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</si>
  <si>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</si>
  <si>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</si>
  <si>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</si>
  <si>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</si>
  <si>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</si>
  <si>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</si>
  <si>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</si>
  <si>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</si>
  <si>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</si>
  <si>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</si>
  <si>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</si>
  <si>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</si>
  <si>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</si>
  <si>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</si>
  <si>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</si>
  <si>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</si>
  <si>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</si>
  <si>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</si>
  <si>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</si>
  <si>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</si>
  <si>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</si>
  <si>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</si>
  <si>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</si>
  <si>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</si>
  <si>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</si>
  <si>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</si>
  <si>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</si>
  <si>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</si>
  <si>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</si>
  <si>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</si>
  <si>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</si>
  <si>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</si>
  <si>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</si>
  <si>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</si>
  <si>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</si>
  <si>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</si>
  <si>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</si>
  <si>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</si>
  <si>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</si>
  <si>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</si>
  <si>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</si>
  <si>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</si>
  <si>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</si>
  <si>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</si>
  <si>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</si>
  <si>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</si>
  <si>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</si>
  <si>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</si>
  <si>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</si>
  <si>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</si>
  <si>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</si>
  <si>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</si>
  <si>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</si>
  <si>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</si>
  <si>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</si>
  <si>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</si>
  <si>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</si>
  <si>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</si>
  <si>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</si>
  <si>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</si>
  <si>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</si>
  <si>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</si>
  <si>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</si>
  <si>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</si>
  <si>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</si>
  <si>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</si>
  <si>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</si>
  <si>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</si>
  <si>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</si>
  <si>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</si>
  <si>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</si>
  <si>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</si>
  <si>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</si>
  <si>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</si>
  <si>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</si>
  <si>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</si>
  <si>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</si>
  <si>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</si>
  <si>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</si>
  <si>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</si>
  <si>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</si>
  <si>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</si>
  <si>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</si>
  <si>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</si>
  <si>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</si>
  <si>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</si>
  <si>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</si>
  <si>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</si>
  <si>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</si>
  <si>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</si>
  <si>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</si>
  <si>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</si>
  <si>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</si>
  <si>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</si>
  <si>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</si>
  <si>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</si>
  <si>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</si>
  <si>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</si>
  <si>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</si>
  <si>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</si>
  <si>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</si>
  <si>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</si>
  <si>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</si>
  <si>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</si>
  <si>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</si>
  <si>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</si>
  <si>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</si>
  <si>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</si>
  <si>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</si>
  <si>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</si>
  <si>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</si>
  <si>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</si>
  <si>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</si>
  <si>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</si>
  <si>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</si>
  <si>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</si>
  <si>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</si>
  <si>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</si>
  <si>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</si>
  <si>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</si>
  <si>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</si>
  <si>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</si>
  <si>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</si>
  <si>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</si>
  <si>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</si>
  <si>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</si>
  <si>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</si>
  <si>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</si>
  <si>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</si>
  <si>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</si>
  <si>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</si>
  <si>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</si>
  <si>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</si>
  <si>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</si>
  <si>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</si>
  <si>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</si>
  <si>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</si>
  <si>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</si>
  <si>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</si>
  <si>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</si>
  <si>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</si>
  <si>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</si>
  <si>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</si>
  <si>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</si>
  <si>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</si>
  <si>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</si>
  <si>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</si>
  <si>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</si>
  <si>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</si>
  <si>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</si>
  <si>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</si>
  <si>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</si>
  <si>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</si>
  <si>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</si>
  <si>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</si>
  <si>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</si>
  <si>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</si>
  <si>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</si>
  <si>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</si>
  <si>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</si>
  <si>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</si>
  <si>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</si>
  <si>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</si>
  <si>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</si>
  <si>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</si>
  <si>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</si>
  <si>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</si>
  <si>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</si>
  <si>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</si>
  <si>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</si>
  <si>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</si>
  <si>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</si>
  <si>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</si>
  <si>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</si>
  <si>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</si>
  <si>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</si>
  <si>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</si>
  <si>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</si>
  <si>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</si>
  <si>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</si>
  <si>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</si>
  <si>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</si>
  <si>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</si>
  <si>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</si>
  <si>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</si>
  <si>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</si>
  <si>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</si>
  <si>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</si>
  <si>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</si>
  <si>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</si>
  <si>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</si>
  <si>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</si>
  <si>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</si>
  <si>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</si>
  <si>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</si>
  <si>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</si>
  <si>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</si>
  <si>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</si>
  <si>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</si>
  <si>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</si>
  <si>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</si>
  <si>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</si>
  <si>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</si>
  <si>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</si>
  <si>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</si>
  <si>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</si>
  <si>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</si>
  <si>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</si>
  <si>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</si>
  <si>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</si>
  <si>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</si>
  <si>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</si>
  <si>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</si>
  <si>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</si>
  <si>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</si>
  <si>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</si>
  <si>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</si>
  <si>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</si>
  <si>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</si>
  <si>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</si>
  <si>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</si>
  <si>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</si>
  <si>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</si>
  <si>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</si>
  <si>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</si>
  <si>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</si>
  <si>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</si>
  <si>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</si>
  <si>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</si>
  <si>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</si>
  <si>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</si>
  <si>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</si>
  <si>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</si>
  <si>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</si>
  <si>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</si>
  <si>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</si>
  <si>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</si>
  <si>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</si>
  <si>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</si>
  <si>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</si>
  <si>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</si>
  <si>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</si>
  <si>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</si>
  <si>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</si>
  <si>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</si>
  <si>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</si>
  <si>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</si>
  <si>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</si>
  <si>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</si>
  <si>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</si>
  <si>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</si>
  <si>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</si>
  <si>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</si>
  <si>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</si>
  <si>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</si>
  <si>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</si>
  <si>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</si>
  <si>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</si>
  <si>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</si>
  <si>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</si>
  <si>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</si>
  <si>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</si>
  <si>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</si>
  <si>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</si>
  <si>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</si>
  <si>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</si>
  <si>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</si>
  <si>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</si>
  <si>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</si>
  <si>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</si>
  <si>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</si>
  <si>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</si>
  <si>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</si>
  <si>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</si>
  <si>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</si>
  <si>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</si>
  <si>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</si>
  <si>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</si>
  <si>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</si>
  <si>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</si>
  <si>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</si>
  <si>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</si>
  <si>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</si>
  <si>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</si>
  <si>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</si>
  <si>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</si>
  <si>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</si>
  <si>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</si>
  <si>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</si>
  <si>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</si>
  <si>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</si>
  <si>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</si>
  <si>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</si>
  <si>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</si>
  <si>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</si>
  <si>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</si>
  <si>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</si>
  <si>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</si>
  <si>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</si>
  <si>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</si>
  <si>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</si>
  <si>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</si>
  <si>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</si>
  <si>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</si>
  <si>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</si>
  <si>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</si>
  <si>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</si>
  <si>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</si>
  <si>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</si>
  <si>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</si>
  <si>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</si>
  <si>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</si>
  <si>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</si>
  <si>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</si>
  <si>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</si>
  <si>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</si>
  <si>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</si>
  <si>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</si>
  <si>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</si>
  <si>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</si>
  <si>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</si>
  <si>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</si>
  <si>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</si>
  <si>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</si>
  <si>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</si>
  <si>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</si>
  <si>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</si>
  <si>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</si>
  <si>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</si>
  <si>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</si>
  <si>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</si>
  <si>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</si>
  <si>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</si>
  <si>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</si>
  <si>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</si>
  <si>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</si>
  <si>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</si>
  <si>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</si>
  <si>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</si>
  <si>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</si>
  <si>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</si>
  <si>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</si>
  <si>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</si>
  <si>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</si>
  <si>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</si>
  <si>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</si>
  <si>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</si>
  <si>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</si>
  <si>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</si>
  <si>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</si>
  <si>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</si>
  <si>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</si>
  <si>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</si>
  <si>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</si>
  <si>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</si>
  <si>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</si>
  <si>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</si>
  <si>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</si>
  <si>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</si>
  <si>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</si>
  <si>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</si>
  <si>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</si>
  <si>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</si>
  <si>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</si>
  <si>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</si>
  <si>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</si>
  <si>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</si>
  <si>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</si>
  <si>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</si>
  <si>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</si>
  <si>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</si>
  <si>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</si>
  <si>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</si>
  <si>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</si>
  <si>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</si>
  <si>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</si>
  <si>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</si>
  <si>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</si>
  <si>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</si>
  <si>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</si>
  <si>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</si>
  <si>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</si>
  <si>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</si>
  <si>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</si>
  <si>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</si>
  <si>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</si>
  <si>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</si>
  <si>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</si>
  <si>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</si>
  <si>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</si>
  <si>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</si>
  <si>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</si>
  <si>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</si>
  <si>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</si>
  <si>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</si>
  <si>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</si>
  <si>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</si>
  <si>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</si>
  <si>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</si>
  <si>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</si>
  <si>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</si>
  <si>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</si>
  <si>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</si>
  <si>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</si>
  <si>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</si>
  <si>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</si>
  <si>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</si>
  <si>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</si>
  <si>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</si>
  <si>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</si>
  <si>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</si>
  <si>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</si>
  <si>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</si>
  <si>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</si>
  <si>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</si>
  <si>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</si>
  <si>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</si>
  <si>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</si>
  <si>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</si>
  <si>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</si>
  <si>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</si>
  <si>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</si>
  <si>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</si>
  <si>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</si>
  <si>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</si>
  <si>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</si>
  <si>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</si>
  <si>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</si>
  <si>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</si>
  <si>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</si>
  <si>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</si>
  <si>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</si>
  <si>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</si>
  <si>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</si>
  <si>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A01001004</t>
  </si>
  <si>
    <t>A01001004001</t>
  </si>
  <si>
    <t>A01001004002</t>
  </si>
  <si>
    <t>A01001004003</t>
  </si>
  <si>
    <t>A01001004004</t>
  </si>
  <si>
    <t>A01001004005</t>
  </si>
  <si>
    <t>A01001005</t>
  </si>
  <si>
    <t>A01001005001</t>
  </si>
  <si>
    <t>A01001005002</t>
  </si>
  <si>
    <t>A01001005003</t>
  </si>
  <si>
    <t>A01001005004</t>
  </si>
  <si>
    <t>A01001005005</t>
  </si>
  <si>
    <t>A01001006</t>
  </si>
  <si>
    <t>C35现浇商品砼盖梁</t>
  </si>
  <si>
    <t>A01001006001</t>
  </si>
  <si>
    <t>A01001006002</t>
  </si>
  <si>
    <t>A01001006003</t>
  </si>
  <si>
    <t>A01001006004</t>
  </si>
  <si>
    <t>A01001006005</t>
  </si>
  <si>
    <t>A01001006006</t>
  </si>
  <si>
    <t>A01001006007</t>
  </si>
  <si>
    <t>A01001006008</t>
  </si>
  <si>
    <t>A01001007</t>
  </si>
  <si>
    <t>C50现浇商品砼盖梁</t>
  </si>
  <si>
    <t>A01001007001</t>
  </si>
  <si>
    <t>A01001007002</t>
  </si>
  <si>
    <t>A01001007003</t>
  </si>
  <si>
    <t>A01001007004</t>
  </si>
  <si>
    <t>A01001007005</t>
  </si>
  <si>
    <t>A01001008</t>
  </si>
  <si>
    <t>A01001008001</t>
  </si>
  <si>
    <t>A01001008002</t>
  </si>
  <si>
    <t>A01001008003</t>
  </si>
  <si>
    <t>A01001008004</t>
  </si>
  <si>
    <t>A01001008005</t>
  </si>
  <si>
    <t>A01001009</t>
  </si>
  <si>
    <t>A01001009001</t>
  </si>
  <si>
    <t>A01001009002</t>
  </si>
  <si>
    <t>A01001009003</t>
  </si>
  <si>
    <t>A01001009004</t>
  </si>
  <si>
    <t>A01001009005</t>
  </si>
  <si>
    <t>A01001010</t>
  </si>
  <si>
    <t>C40现浇商品砼挡块</t>
  </si>
  <si>
    <t>A01001010001</t>
  </si>
  <si>
    <t>A01001010002</t>
  </si>
  <si>
    <t>A01001010003</t>
  </si>
  <si>
    <t>A01001010004</t>
  </si>
  <si>
    <t>A01001010005</t>
  </si>
  <si>
    <t>A01001011</t>
  </si>
  <si>
    <t>C50现浇商品砼垫石</t>
  </si>
  <si>
    <t>A01001011001</t>
  </si>
  <si>
    <t>A01001011002</t>
  </si>
  <si>
    <t>A01001011003</t>
  </si>
  <si>
    <t>A01001011004</t>
  </si>
  <si>
    <t>A01001011005</t>
  </si>
  <si>
    <t>A01001012</t>
  </si>
  <si>
    <t>C40现浇商品砼垫石</t>
  </si>
  <si>
    <t>A01001012001</t>
  </si>
  <si>
    <t>A01001012002</t>
  </si>
  <si>
    <t>A01001012003</t>
  </si>
  <si>
    <t>A01001012004</t>
  </si>
  <si>
    <t>A01001012005</t>
  </si>
  <si>
    <t>A01001013</t>
  </si>
  <si>
    <t>C50预制混凝土箱梁</t>
  </si>
  <si>
    <t>A01001013001</t>
  </si>
  <si>
    <t>A01001013002</t>
  </si>
  <si>
    <t>A01001013003</t>
  </si>
  <si>
    <t>A01001013004</t>
  </si>
  <si>
    <t>A01001014</t>
  </si>
  <si>
    <t>C50现浇商品砼湿接缝及横隔板</t>
  </si>
  <si>
    <t>A01001014001</t>
  </si>
  <si>
    <t>A01001014002</t>
  </si>
  <si>
    <t>A01001014003</t>
  </si>
  <si>
    <t>A01001014004</t>
  </si>
  <si>
    <t>A01001014005</t>
  </si>
  <si>
    <t>A01001015</t>
  </si>
  <si>
    <t>C30现浇商品砼土桥头搭板</t>
  </si>
  <si>
    <t>A01001015001</t>
  </si>
  <si>
    <t>A01001015002</t>
  </si>
  <si>
    <t>A01001015003</t>
  </si>
  <si>
    <t>A01001015004</t>
  </si>
  <si>
    <t>A01001015005</t>
  </si>
  <si>
    <t>A01001016</t>
  </si>
  <si>
    <t>桥梁车行道现浇层</t>
  </si>
  <si>
    <t>包括面层、表面处理、侧（平、缘）石及嵌边石、树池围牙及盖板、模板、钢筋、混凝土路面凿毛、防水涂料等全部工程内容</t>
  </si>
  <si>
    <t>A01001016001</t>
  </si>
  <si>
    <t>A01001016002</t>
  </si>
  <si>
    <t>A01001016003</t>
  </si>
  <si>
    <t>A01001016004</t>
  </si>
  <si>
    <t>A01001016005</t>
  </si>
  <si>
    <t>混凝土表面凿毛，聚合物改性沥青PB(II)防水涂料</t>
  </si>
  <si>
    <t>A01001017</t>
  </si>
  <si>
    <t>桥梁车行道面层</t>
  </si>
  <si>
    <t>包括面层、表面处理、侧（平、缘）石及嵌边石、树池围牙及盖板、模板、钢筋、粘层、抗车辙剂、沥青添加剂等全部工程内容</t>
  </si>
  <si>
    <t>A01001017001</t>
  </si>
  <si>
    <t>A01001017002</t>
  </si>
  <si>
    <t>A01001017003</t>
  </si>
  <si>
    <t>A01001017004</t>
  </si>
  <si>
    <t>A01001017005</t>
  </si>
  <si>
    <t>A01001018</t>
  </si>
  <si>
    <t>桥梁人行道</t>
  </si>
  <si>
    <t>包括面层、表面处理、侧（平、缘）石及嵌边石、树池围牙及盖板、模板、钢筋等全部工程内容</t>
  </si>
  <si>
    <t>A01001018001</t>
  </si>
  <si>
    <t>A01001018002</t>
  </si>
  <si>
    <t>A01001018003</t>
  </si>
  <si>
    <t>A01001018004</t>
  </si>
  <si>
    <t>A01001019</t>
  </si>
  <si>
    <t>C30现浇商品砼地梁</t>
  </si>
  <si>
    <t>A01001019001</t>
  </si>
  <si>
    <t>A01001019002</t>
  </si>
  <si>
    <t>A01001019003</t>
  </si>
  <si>
    <t>A01001019004</t>
  </si>
  <si>
    <t>A01001019005</t>
  </si>
  <si>
    <t>A01001020</t>
  </si>
  <si>
    <t>包括装配式钢筋混凝土构件、支架（撑）及支架（撑）基础、注浆、接缝等全部工程内容</t>
  </si>
  <si>
    <t>A01001020001</t>
  </si>
  <si>
    <t>A01001020002</t>
  </si>
  <si>
    <t>A01001020003</t>
  </si>
  <si>
    <t>A01001020004</t>
  </si>
  <si>
    <t>A01001020005</t>
  </si>
  <si>
    <t>A01001020006</t>
  </si>
  <si>
    <t>A01001021</t>
  </si>
  <si>
    <t>C30预制人行道地伏</t>
  </si>
  <si>
    <t>A01001021001</t>
  </si>
  <si>
    <t>A01001021002</t>
  </si>
  <si>
    <t>A01001021003</t>
  </si>
  <si>
    <t>A01001021004</t>
  </si>
  <si>
    <t>A01001021005</t>
  </si>
  <si>
    <t>A01001022</t>
  </si>
  <si>
    <t>包括栏杆安装等全部工程内容</t>
  </si>
  <si>
    <t>A01001022001</t>
  </si>
  <si>
    <t>A01001023</t>
  </si>
  <si>
    <t>人行道栏杆</t>
  </si>
  <si>
    <t>A01001023001</t>
  </si>
  <si>
    <t>A01001024</t>
  </si>
  <si>
    <t>包括支座安装、预埋件等全部工程内容</t>
  </si>
  <si>
    <t>A01001024001</t>
  </si>
  <si>
    <t>A01001024002</t>
  </si>
  <si>
    <t>A01001025</t>
  </si>
  <si>
    <t>A01001025001</t>
  </si>
  <si>
    <t>A01001025002</t>
  </si>
  <si>
    <t>A01001026</t>
  </si>
  <si>
    <t>A01001026001</t>
  </si>
  <si>
    <t>A01001026002</t>
  </si>
  <si>
    <t>A01001027</t>
  </si>
  <si>
    <t>A01001027001</t>
  </si>
  <si>
    <t>A01001027002</t>
  </si>
  <si>
    <t>A01001028</t>
  </si>
  <si>
    <t>A01001028001</t>
  </si>
  <si>
    <t>A01001028002</t>
  </si>
  <si>
    <t>A01001029</t>
  </si>
  <si>
    <t>包括预埋件、钢筋、伸缩缝、混凝土、缝隙填料等全部工程内容</t>
  </si>
  <si>
    <t>A01001029001</t>
  </si>
  <si>
    <t>A01001029002</t>
  </si>
  <si>
    <t>A01001029003</t>
  </si>
  <si>
    <t>A01001029004</t>
  </si>
  <si>
    <t>A01001029005</t>
  </si>
  <si>
    <t>A01001030</t>
  </si>
  <si>
    <t>A01001030001</t>
  </si>
  <si>
    <t>含钢筋制安、伸缩缩安装、砼浇筑等所有人工工作内容</t>
  </si>
  <si>
    <t>A01001030002</t>
  </si>
  <si>
    <t>A01001030003</t>
  </si>
  <si>
    <t>A01001030004</t>
  </si>
  <si>
    <t>A01001030005</t>
  </si>
  <si>
    <t>A01001031</t>
  </si>
  <si>
    <t>A01001031001</t>
  </si>
  <si>
    <t>A01001031002</t>
  </si>
  <si>
    <t>A01001032</t>
  </si>
  <si>
    <t>桥面排（泄）水</t>
  </si>
  <si>
    <t>包括雨水口、管道、落水槽等全部工程内容保护</t>
  </si>
  <si>
    <t>A01001032001</t>
  </si>
  <si>
    <t>A01001032002</t>
  </si>
  <si>
    <t>A01001032003</t>
  </si>
  <si>
    <t>A01001032004</t>
  </si>
  <si>
    <t>A01001033</t>
  </si>
  <si>
    <t>桥头地基处理</t>
  </si>
  <si>
    <t>包括地基强夯、预压、振冲挤密、换填、抛石挤淤、注浆等处理方式以及余方弃置等全部工程内容</t>
  </si>
  <si>
    <t>A01001033001</t>
  </si>
  <si>
    <t>A01001033002</t>
  </si>
  <si>
    <t>A01001033003</t>
  </si>
  <si>
    <t>A01001033004</t>
  </si>
  <si>
    <t>A01001034</t>
  </si>
  <si>
    <t>锥体护坡</t>
  </si>
  <si>
    <t>包括修整边坡、混凝土、钢筋、砌体、模板、脚手架、锚杆（索）、种植土、植草、养护等全部工程内容</t>
  </si>
  <si>
    <t>A01001034001</t>
  </si>
  <si>
    <t>A01001034002</t>
  </si>
  <si>
    <t>A01001034003</t>
  </si>
  <si>
    <t>A01001034004</t>
  </si>
  <si>
    <t>A01001034005</t>
  </si>
  <si>
    <t>A01001034006</t>
  </si>
  <si>
    <t>A01001034007</t>
  </si>
  <si>
    <t>A01001034008</t>
  </si>
  <si>
    <t>防水粘土层</t>
  </si>
  <si>
    <t>A01001035</t>
  </si>
  <si>
    <t>立面装饰 真石漆</t>
  </si>
  <si>
    <t>包括面层处理、面层、结合层、基层、保温隔热层、脚手架等全部工程内容</t>
  </si>
  <si>
    <t>A01001035001</t>
  </si>
  <si>
    <t>A01001036</t>
  </si>
  <si>
    <t>防雷接地系统</t>
  </si>
  <si>
    <t>包括防雷接地材料、金属构件及辅助项目等全部工程内容</t>
  </si>
  <si>
    <t>A01001036001</t>
  </si>
  <si>
    <t>A01001037</t>
  </si>
  <si>
    <t>景观控制系统</t>
  </si>
  <si>
    <t>包括设备、线缆、金属构件、防雷接地及辅助项目等全部工程内容</t>
  </si>
  <si>
    <t>A01001037001</t>
  </si>
  <si>
    <t>A01001038</t>
  </si>
  <si>
    <t>照明灯具</t>
  </si>
  <si>
    <t>A01001038001</t>
  </si>
  <si>
    <t>A01001039</t>
  </si>
  <si>
    <t>竖向土石方开挖</t>
  </si>
  <si>
    <t>包括竖向土石方（含障碍物）开挖、运输、余方处置等全部工程内容</t>
  </si>
  <si>
    <t>A01001039001</t>
  </si>
  <si>
    <t>A01001039002</t>
  </si>
  <si>
    <t>A01001039003</t>
  </si>
  <si>
    <t>A01001039004</t>
  </si>
  <si>
    <t>A01001040</t>
  </si>
  <si>
    <t>竖向土石方回填</t>
  </si>
  <si>
    <t>包括取土、运输、回填、压实、土工合成材料等全部工程内容</t>
  </si>
  <si>
    <t>A01001040001</t>
  </si>
  <si>
    <t>A01001040002</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</si>
  <si>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</si>
  <si>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</si>
  <si>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</si>
  <si>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</si>
  <si>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</si>
  <si>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</si>
  <si>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</si>
  <si>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</si>
  <si>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</si>
  <si>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</si>
  <si>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</si>
  <si>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</si>
  <si>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</si>
  <si>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</si>
  <si>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</si>
  <si>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</si>
  <si>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</si>
  <si>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</si>
  <si>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</si>
  <si>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</si>
  <si>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</si>
  <si>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</si>
  <si>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</si>
  <si>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</si>
  <si>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</si>
  <si>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</si>
  <si>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</si>
  <si>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</si>
  <si>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</si>
  <si>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</si>
  <si>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</si>
  <si>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A01002002006</t>
  </si>
  <si>
    <t>C40现浇商品砼墩身</t>
  </si>
  <si>
    <t>C35现浇商品砼耳背墙</t>
  </si>
  <si>
    <t>A01002006</t>
  </si>
  <si>
    <t>C50现浇混凝土箱梁</t>
  </si>
  <si>
    <t>A01002006001</t>
  </si>
  <si>
    <t>A01002006002</t>
  </si>
  <si>
    <t>A01002006003</t>
  </si>
  <si>
    <t>A01002006004</t>
  </si>
  <si>
    <t>A01002006005</t>
  </si>
  <si>
    <t>A01002006006</t>
  </si>
  <si>
    <t>A01002006007</t>
  </si>
  <si>
    <t>A01002006008</t>
  </si>
  <si>
    <t>A01002006009</t>
  </si>
  <si>
    <t>A01002006010</t>
  </si>
  <si>
    <t>A01002006011</t>
  </si>
  <si>
    <t>A01002006012</t>
  </si>
  <si>
    <t>A01002006013</t>
  </si>
  <si>
    <t>A01002006014</t>
  </si>
  <si>
    <t>含波纹管、钢筋、钢绞线</t>
  </si>
  <si>
    <t>A01002007</t>
  </si>
  <si>
    <t>C50现浇商品砼横隔板</t>
  </si>
  <si>
    <t>A01002007001</t>
  </si>
  <si>
    <t>A01002007002</t>
  </si>
  <si>
    <t>A01002007003</t>
  </si>
  <si>
    <t>A01002008</t>
  </si>
  <si>
    <t>A01002008001</t>
  </si>
  <si>
    <t>A01002008002</t>
  </si>
  <si>
    <t>A01002008003</t>
  </si>
  <si>
    <t>A01002008004</t>
  </si>
  <si>
    <t>A01002008005</t>
  </si>
  <si>
    <t>A01002009</t>
  </si>
  <si>
    <t>A01002009001</t>
  </si>
  <si>
    <t>A01002009002</t>
  </si>
  <si>
    <t>A01002009003</t>
  </si>
  <si>
    <t>A01002009004</t>
  </si>
  <si>
    <t>A01002009005</t>
  </si>
  <si>
    <t>A01002010</t>
  </si>
  <si>
    <t>A01002010001</t>
  </si>
  <si>
    <t>A01002010002</t>
  </si>
  <si>
    <t>A01002010003</t>
  </si>
  <si>
    <t>A01002010004</t>
  </si>
  <si>
    <t>A01002010005</t>
  </si>
  <si>
    <t>A01002011</t>
  </si>
  <si>
    <t>A01002011001</t>
  </si>
  <si>
    <t>A01002011002</t>
  </si>
  <si>
    <t>A01002011003</t>
  </si>
  <si>
    <t>A01002011004</t>
  </si>
  <si>
    <t>A01002012</t>
  </si>
  <si>
    <t>A01002012001</t>
  </si>
  <si>
    <t>A01002012002</t>
  </si>
  <si>
    <t>A01002012003</t>
  </si>
  <si>
    <t>A01002012004</t>
  </si>
  <si>
    <t>A01002012005</t>
  </si>
  <si>
    <t>A01002013</t>
  </si>
  <si>
    <t>C30预制人行道板</t>
  </si>
  <si>
    <t>A01002013001</t>
  </si>
  <si>
    <t>A01002013002</t>
  </si>
  <si>
    <t>A01002013003</t>
  </si>
  <si>
    <t>A01002013004</t>
  </si>
  <si>
    <t>A01002014</t>
  </si>
  <si>
    <t>A01002014001</t>
  </si>
  <si>
    <t>A01002014002</t>
  </si>
  <si>
    <t>A01002014003</t>
  </si>
  <si>
    <t>A01002014004</t>
  </si>
  <si>
    <t>A01002014005</t>
  </si>
  <si>
    <t>A01002015</t>
  </si>
  <si>
    <t>A01002015001</t>
  </si>
  <si>
    <t>A01002016</t>
  </si>
  <si>
    <t>A01002016001</t>
  </si>
  <si>
    <t>A01002017</t>
  </si>
  <si>
    <t>A01002017001</t>
  </si>
  <si>
    <t>A01002017002</t>
  </si>
  <si>
    <t>A01002018</t>
  </si>
  <si>
    <t>A01002018001</t>
  </si>
  <si>
    <t>A01002018002</t>
  </si>
  <si>
    <t>A01002019</t>
  </si>
  <si>
    <t>A01002019001</t>
  </si>
  <si>
    <t>A01002019002</t>
  </si>
  <si>
    <t>A01002020</t>
  </si>
  <si>
    <t>A01002020001</t>
  </si>
  <si>
    <t>A01002020002</t>
  </si>
  <si>
    <t>A01002021</t>
  </si>
  <si>
    <t>A01002021001</t>
  </si>
  <si>
    <t>A01002021002</t>
  </si>
  <si>
    <t>A01002022</t>
  </si>
  <si>
    <t>A01002022001</t>
  </si>
  <si>
    <t>A01002022002</t>
  </si>
  <si>
    <t>A01002023</t>
  </si>
  <si>
    <t>A01002023001</t>
  </si>
  <si>
    <t>A01002023002</t>
  </si>
  <si>
    <t>A01002024</t>
  </si>
  <si>
    <t>A01002024001</t>
  </si>
  <si>
    <t>A01002024002</t>
  </si>
  <si>
    <t>A01002024003</t>
  </si>
  <si>
    <t>A01002024004</t>
  </si>
  <si>
    <t>A01002024005</t>
  </si>
  <si>
    <t>A01002025</t>
  </si>
  <si>
    <t>横向限位挡块</t>
  </si>
  <si>
    <t>A01002025001</t>
  </si>
  <si>
    <t>A01002025002</t>
  </si>
  <si>
    <t>A01002026</t>
  </si>
  <si>
    <t>A01002026001</t>
  </si>
  <si>
    <t>A01002026002</t>
  </si>
  <si>
    <t>A01002026003</t>
  </si>
  <si>
    <t>A01002027</t>
  </si>
  <si>
    <t>A01002027001</t>
  </si>
  <si>
    <t>A01002027002</t>
  </si>
  <si>
    <t>A01002028</t>
  </si>
  <si>
    <t>A01002028001</t>
  </si>
  <si>
    <t>A01002028002</t>
  </si>
  <si>
    <t>A01002029</t>
  </si>
  <si>
    <t>A01002029001</t>
  </si>
  <si>
    <t>A01002029002</t>
  </si>
  <si>
    <t>A01002030</t>
  </si>
  <si>
    <t>A01002030001</t>
  </si>
  <si>
    <t>A01002030002</t>
  </si>
  <si>
    <t>A01002030003</t>
  </si>
  <si>
    <t>A01002030004</t>
  </si>
  <si>
    <t>A01002031</t>
  </si>
  <si>
    <t>A01002031001</t>
  </si>
  <si>
    <t>A01002031002</t>
  </si>
  <si>
    <t>A01002031003</t>
  </si>
  <si>
    <t>A01002031004</t>
  </si>
  <si>
    <t>A01002032</t>
  </si>
  <si>
    <t>A01002032001</t>
  </si>
  <si>
    <t>A01002032002</t>
  </si>
  <si>
    <t>A01002032003</t>
  </si>
  <si>
    <t>A01002032004</t>
  </si>
  <si>
    <t>A01002032005</t>
  </si>
  <si>
    <t>A01002032006</t>
  </si>
  <si>
    <t>A01002032007</t>
  </si>
  <si>
    <t>A01002032008</t>
  </si>
  <si>
    <t>A01002033</t>
  </si>
  <si>
    <t>A01002033001</t>
  </si>
  <si>
    <t>A01002034</t>
  </si>
  <si>
    <t>A01002034001</t>
  </si>
  <si>
    <t>A01002035</t>
  </si>
  <si>
    <t>A01002035001</t>
  </si>
  <si>
    <t>A01002036</t>
  </si>
  <si>
    <t>A01002036001</t>
  </si>
  <si>
    <t>A01002037</t>
  </si>
  <si>
    <t>A01002037001</t>
  </si>
  <si>
    <t>A01002037002</t>
  </si>
  <si>
    <t>A01002037003</t>
  </si>
  <si>
    <t>A01002037004</t>
  </si>
  <si>
    <t>A01002038</t>
  </si>
  <si>
    <t>A01002038001</t>
  </si>
  <si>
    <t>A01002038002</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</si>
  <si>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</si>
  <si>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</si>
  <si>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</si>
  <si>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</si>
  <si>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</si>
  <si>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</si>
  <si>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</si>
  <si>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</si>
  <si>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</si>
  <si>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</si>
  <si>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</si>
  <si>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</si>
  <si>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</si>
  <si>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A01003001001</t>
  </si>
  <si>
    <t>A01003002</t>
  </si>
  <si>
    <t>A01003002001</t>
  </si>
  <si>
    <t>A01004</t>
  </si>
  <si>
    <t>3#道路工程</t>
  </si>
  <si>
    <t>A01004001</t>
  </si>
  <si>
    <t xml:space="preserve">特殊地基处理 </t>
  </si>
  <si>
    <t>A01004001001</t>
  </si>
  <si>
    <t>A01004001002</t>
  </si>
  <si>
    <t>A01004002</t>
  </si>
  <si>
    <t>路堤边沟</t>
  </si>
  <si>
    <t>A01004002001</t>
  </si>
  <si>
    <t>A01004002002</t>
  </si>
  <si>
    <t>A01004002003</t>
  </si>
  <si>
    <t>A01004002004</t>
  </si>
  <si>
    <t>A01004003</t>
  </si>
  <si>
    <t>路堑边沟</t>
  </si>
  <si>
    <t>A01004003001</t>
  </si>
  <si>
    <t>A01004003002</t>
  </si>
  <si>
    <t>A01004003003</t>
  </si>
  <si>
    <t>A01004003004</t>
  </si>
  <si>
    <t>A01004004</t>
  </si>
  <si>
    <t>护坡（喷播植草）</t>
  </si>
  <si>
    <t>包括种植穴开挖、种植土回（换）填、起挖、栽植、支撑、成活及养护、栽植容器安装等全部工程内容</t>
  </si>
  <si>
    <t>A01004004001</t>
  </si>
  <si>
    <t>A01004005</t>
  </si>
  <si>
    <t>拆除工程</t>
  </si>
  <si>
    <t>包括拆除、清理、建筑渣土处置等全部工程内容</t>
  </si>
  <si>
    <t>A01004005001</t>
  </si>
  <si>
    <t>A01004005002</t>
  </si>
  <si>
    <t>A01004005003</t>
  </si>
  <si>
    <t>A01004006</t>
  </si>
  <si>
    <t>包括路床整形、基层等全部工程内容</t>
  </si>
  <si>
    <t>A01004006001</t>
  </si>
  <si>
    <t>A01004006002</t>
  </si>
  <si>
    <t>A01004006003</t>
  </si>
  <si>
    <t>A01004006004</t>
  </si>
  <si>
    <t>A01004006005</t>
  </si>
  <si>
    <t>A01004006006</t>
  </si>
  <si>
    <t>A01004006007</t>
  </si>
  <si>
    <t>A01004006008</t>
  </si>
  <si>
    <t>A01004006009</t>
  </si>
  <si>
    <t>A01004007</t>
  </si>
  <si>
    <t>沥青路面</t>
  </si>
  <si>
    <t>A01004007001</t>
  </si>
  <si>
    <t>A01004007002</t>
  </si>
  <si>
    <t>A01004007003</t>
  </si>
  <si>
    <t>A01004007004</t>
  </si>
  <si>
    <t>A01004007005</t>
  </si>
  <si>
    <t>A01004007006</t>
  </si>
  <si>
    <t>A01004007007</t>
  </si>
  <si>
    <t>A01004007008</t>
  </si>
  <si>
    <t>A01004007009</t>
  </si>
  <si>
    <t>A01004007010</t>
  </si>
  <si>
    <t>A01004007011</t>
  </si>
  <si>
    <t>A01004007012</t>
  </si>
  <si>
    <t>A01004007013</t>
  </si>
  <si>
    <t>A01004007014</t>
  </si>
  <si>
    <t>A01004007015</t>
  </si>
  <si>
    <t>A01004007016</t>
  </si>
  <si>
    <t>A01004007017</t>
  </si>
  <si>
    <t>A01004007018</t>
  </si>
  <si>
    <t>A01004008</t>
  </si>
  <si>
    <t>基层（人行道）</t>
  </si>
  <si>
    <t>A01004008001</t>
  </si>
  <si>
    <t>A01004008002</t>
  </si>
  <si>
    <t>A01004008003</t>
  </si>
  <si>
    <t>A01004008004</t>
  </si>
  <si>
    <t>A01004008005</t>
  </si>
  <si>
    <t>A01004008006</t>
  </si>
  <si>
    <t>A01004008007</t>
  </si>
  <si>
    <t>A01004008008</t>
  </si>
  <si>
    <t>A01004009</t>
  </si>
  <si>
    <t>露骨料透水混凝土面层</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</si>
  <si>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</si>
  <si>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</si>
  <si>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</si>
  <si>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</si>
  <si>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</si>
  <si>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</si>
  <si>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</si>
  <si>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</si>
  <si>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</si>
  <si>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</si>
  <si>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</si>
  <si>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</si>
  <si>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</si>
  <si>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</si>
  <si>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</si>
  <si>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</si>
  <si>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</si>
  <si>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</si>
  <si>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</si>
  <si>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</si>
  <si>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</si>
  <si>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</si>
  <si>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</si>
  <si>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</si>
  <si>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</si>
  <si>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</si>
  <si>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</si>
  <si>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</si>
  <si>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</si>
  <si>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</si>
  <si>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</si>
  <si>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</si>
  <si>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</si>
  <si>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</si>
  <si>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A01006002001</t>
  </si>
  <si>
    <t>A01006003</t>
  </si>
  <si>
    <t>B1型综合杆</t>
  </si>
  <si>
    <t>A01006003001</t>
  </si>
  <si>
    <t>A01006004</t>
  </si>
  <si>
    <t>B2型综合杆</t>
  </si>
  <si>
    <t>A01006004001</t>
  </si>
  <si>
    <t>A01006005</t>
  </si>
  <si>
    <t>A1型综合杆路灯+红绿灯</t>
  </si>
  <si>
    <t>A01006005001</t>
  </si>
  <si>
    <t>A01006006</t>
  </si>
  <si>
    <t>A4型综合杆路灯+16米横臂</t>
  </si>
  <si>
    <t>A01006006001</t>
  </si>
  <si>
    <t>A01006007</t>
  </si>
  <si>
    <t>手孔井</t>
  </si>
  <si>
    <t>A01006007001</t>
  </si>
  <si>
    <t>A01006008</t>
  </si>
  <si>
    <t>A01006008001</t>
  </si>
  <si>
    <t>A01007</t>
  </si>
  <si>
    <t>3#智能交通</t>
  </si>
  <si>
    <t>A01007001</t>
  </si>
  <si>
    <t>智能交通信号控制系统</t>
  </si>
  <si>
    <t>包括监控、通信、信号灯、智能交通、管线、调试、基础及模板等全部工程内容</t>
  </si>
  <si>
    <t>A01007001001</t>
  </si>
  <si>
    <t>A01007002</t>
  </si>
  <si>
    <t>智能交通电子警察及卡口系统</t>
  </si>
  <si>
    <t>A01007002001</t>
  </si>
  <si>
    <t>A01007003</t>
  </si>
  <si>
    <t>智能低空监控系统</t>
  </si>
  <si>
    <t>A01007003001</t>
  </si>
  <si>
    <t>A01007004</t>
  </si>
  <si>
    <t>智能视频流量检测系统</t>
  </si>
  <si>
    <t>A01007004001</t>
  </si>
  <si>
    <t>A01007005</t>
  </si>
  <si>
    <t>窨井</t>
  </si>
  <si>
    <t>A01007005001</t>
  </si>
  <si>
    <t>A01007006</t>
  </si>
  <si>
    <t>A01007006001</t>
  </si>
  <si>
    <t>A01007007</t>
  </si>
  <si>
    <t>土石方开挖（明挖）</t>
  </si>
  <si>
    <t>包括土石方（含障碍物）开挖、基底钎探、运输、余方处置等全部工程内容</t>
  </si>
  <si>
    <t>A01007007001</t>
  </si>
  <si>
    <t>A01007008</t>
  </si>
  <si>
    <t>管沟回填、砂包封</t>
  </si>
  <si>
    <t>A01007008001</t>
  </si>
  <si>
    <t>A01008</t>
  </si>
  <si>
    <t>3#排水工程</t>
  </si>
  <si>
    <t>A01008001</t>
  </si>
  <si>
    <t>沟槽土石方开挖</t>
  </si>
  <si>
    <t>A01008001001</t>
  </si>
  <si>
    <t>A01008001002</t>
  </si>
  <si>
    <t>A01008001003</t>
  </si>
  <si>
    <t>A01008001004</t>
  </si>
  <si>
    <t>A01008002</t>
  </si>
  <si>
    <t>沟槽回填方</t>
  </si>
  <si>
    <t>A01008002001</t>
  </si>
  <si>
    <t>A01008003</t>
  </si>
  <si>
    <t>Ⅱ级钢筋混凝土管 DN600</t>
  </si>
  <si>
    <t>包括垫层、支架（墩）、基础、管道、模板、新旧管连接、警示带、绝热等全部工程内容</t>
  </si>
  <si>
    <t>A01008003001</t>
  </si>
  <si>
    <t>A01008003002</t>
  </si>
  <si>
    <t>A01008003003</t>
  </si>
  <si>
    <t>A01008004</t>
  </si>
  <si>
    <t>A01008004001</t>
  </si>
  <si>
    <t>A01008004002</t>
  </si>
  <si>
    <t>A01008004003</t>
  </si>
  <si>
    <t>A01008005</t>
  </si>
  <si>
    <t>包括砌体、混凝土、钢筋、盖板、模板、脚手架等全部工程内容</t>
  </si>
  <si>
    <t>A01008005001</t>
  </si>
  <si>
    <t>A01008005002</t>
  </si>
  <si>
    <t>A01008005003</t>
  </si>
  <si>
    <t>A01008005004</t>
  </si>
  <si>
    <t>A01008005005</t>
  </si>
  <si>
    <t>A01008005006</t>
  </si>
  <si>
    <t>A01008005007</t>
  </si>
  <si>
    <t>A01008006</t>
  </si>
  <si>
    <t>A01008006001</t>
  </si>
  <si>
    <t>A01008006002</t>
  </si>
  <si>
    <t>A01008006003</t>
  </si>
  <si>
    <t>A01008006004</t>
  </si>
  <si>
    <t>A01008006005</t>
  </si>
  <si>
    <t>A01008006006</t>
  </si>
  <si>
    <t>A01008006007</t>
  </si>
  <si>
    <t>A01008007</t>
  </si>
  <si>
    <t>A01008007001</t>
  </si>
  <si>
    <t>A01008007002</t>
  </si>
  <si>
    <t>A01008007003</t>
  </si>
  <si>
    <t>A01008007004</t>
  </si>
  <si>
    <t>A01008007005</t>
  </si>
  <si>
    <t>A01008007006</t>
  </si>
  <si>
    <t>A01008007007</t>
  </si>
  <si>
    <t>A01008008</t>
  </si>
  <si>
    <t>双篦偏沟式雨水口（16S518,页43）</t>
  </si>
  <si>
    <t>A01008008001</t>
  </si>
  <si>
    <t>A01008008002</t>
  </si>
  <si>
    <t>A01008008003</t>
  </si>
  <si>
    <t>A01008008004</t>
  </si>
  <si>
    <t>A01008008005</t>
  </si>
  <si>
    <t>A01008009</t>
  </si>
  <si>
    <t>八字排水口D=600 （20S517,页7）</t>
  </si>
  <si>
    <t>A01008009001</t>
  </si>
  <si>
    <t>A01008009002</t>
  </si>
  <si>
    <t>A01008009003</t>
  </si>
  <si>
    <t>A01008009004</t>
  </si>
  <si>
    <t>A01008009005</t>
  </si>
  <si>
    <t>A01008009006</t>
  </si>
  <si>
    <t>A01008010</t>
  </si>
  <si>
    <t>Ⅱ级钢筋混凝土管 DN400（过街）</t>
  </si>
  <si>
    <t>A01008010001</t>
  </si>
  <si>
    <t>A01008010002</t>
  </si>
  <si>
    <t>A01008010003</t>
  </si>
  <si>
    <t>A01008011</t>
  </si>
  <si>
    <t>A01008011001</t>
  </si>
  <si>
    <t>A01008011002</t>
  </si>
  <si>
    <t>A01008011003</t>
  </si>
  <si>
    <t>A01008011004</t>
  </si>
  <si>
    <t>A01008011005</t>
  </si>
  <si>
    <t>A01008011006</t>
  </si>
  <si>
    <t>A01009</t>
  </si>
  <si>
    <t>3#景观绿化</t>
  </si>
  <si>
    <t>A01009001</t>
  </si>
  <si>
    <t>A01009001001</t>
  </si>
  <si>
    <t>A01009002</t>
  </si>
  <si>
    <t>50厚AC-13彩色沥青</t>
  </si>
  <si>
    <t>A01009002001</t>
  </si>
  <si>
    <t>A01009003</t>
  </si>
  <si>
    <t>A01009003001</t>
  </si>
  <si>
    <t>A01009004</t>
  </si>
  <si>
    <t>回用乔灌木</t>
  </si>
  <si>
    <t>A01009004001</t>
  </si>
  <si>
    <t>A01009005</t>
  </si>
  <si>
    <t>栽植灌木</t>
  </si>
  <si>
    <t>A01009005001</t>
  </si>
  <si>
    <t>A01009006</t>
  </si>
  <si>
    <t>杂草清理</t>
  </si>
  <si>
    <t>包括场地清理、种植土回填、绿化用地整理、顶板基底处理等全部工程内容</t>
  </si>
  <si>
    <t>A01009006001</t>
  </si>
  <si>
    <t>A01009007</t>
  </si>
  <si>
    <t>种植土回填</t>
  </si>
  <si>
    <t>A01009007001</t>
  </si>
  <si>
    <t>A01009008</t>
  </si>
  <si>
    <t>绿地喷灌</t>
  </si>
  <si>
    <t>包括电气、设备、管道、阀门、喷头、井及附件、系统调试及试验等全部工程内容</t>
  </si>
  <si>
    <t>A01009008001</t>
  </si>
  <si>
    <t>A01010</t>
  </si>
  <si>
    <t>3#主桥电气照明工程</t>
  </si>
  <si>
    <t>A01010001</t>
  </si>
  <si>
    <t>激光大灯</t>
  </si>
  <si>
    <t>A01010001001</t>
  </si>
  <si>
    <t>A01010002</t>
  </si>
  <si>
    <t>点光源</t>
  </si>
  <si>
    <t>A01010002001</t>
  </si>
  <si>
    <t>A01010003</t>
  </si>
  <si>
    <t>投光灯</t>
  </si>
  <si>
    <t>A01010003001</t>
  </si>
  <si>
    <t>A01010004</t>
  </si>
  <si>
    <t>线条灯</t>
  </si>
  <si>
    <t>A01010004001</t>
  </si>
  <si>
    <t>A01010005</t>
  </si>
  <si>
    <t>LED投光灯</t>
  </si>
  <si>
    <t>A01010005001</t>
  </si>
  <si>
    <t>A01010006</t>
  </si>
  <si>
    <t>LED像素灯</t>
  </si>
  <si>
    <t>A01010006001</t>
  </si>
  <si>
    <t>A01010007</t>
  </si>
  <si>
    <t>照明配电系统</t>
  </si>
  <si>
    <t>A01010007001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</si>
  <si>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</si>
  <si>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</si>
  <si>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</si>
  <si>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</si>
  <si>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</si>
  <si>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</si>
  <si>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</si>
  <si>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</si>
  <si>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</si>
  <si>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</si>
  <si>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</si>
  <si>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</si>
  <si>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</si>
  <si>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</si>
  <si>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A01011002</t>
  </si>
  <si>
    <t>C35现浇钢筋混凝土承台</t>
  </si>
  <si>
    <t>A01011002001</t>
  </si>
  <si>
    <t>A01011002002</t>
  </si>
  <si>
    <t>含周材</t>
  </si>
  <si>
    <t>A01011002003</t>
  </si>
  <si>
    <t>A01011002004</t>
  </si>
  <si>
    <t>A01011002005</t>
  </si>
  <si>
    <t>A01011002006</t>
  </si>
  <si>
    <t>A01011003</t>
  </si>
  <si>
    <t>C40现浇钢筋混凝土墩身</t>
  </si>
  <si>
    <t>A01011003001</t>
  </si>
  <si>
    <t>A01011003002</t>
  </si>
  <si>
    <t>A01011003003</t>
  </si>
  <si>
    <t>A01011003004</t>
  </si>
  <si>
    <t>A01011003005</t>
  </si>
  <si>
    <t>A01011004</t>
  </si>
  <si>
    <t>C35现浇钢筋混凝土台盖梁</t>
  </si>
  <si>
    <t>A01011004001</t>
  </si>
  <si>
    <t>A01011004002</t>
  </si>
  <si>
    <t>A01011004003</t>
  </si>
  <si>
    <t>A01011004004</t>
  </si>
  <si>
    <t>A01011004005</t>
  </si>
  <si>
    <t>A01011005</t>
  </si>
  <si>
    <t>C50现浇钢筋混凝土箱梁</t>
  </si>
  <si>
    <t>A01011005001</t>
  </si>
  <si>
    <t>A01011005002</t>
  </si>
  <si>
    <t>A01011005003</t>
  </si>
  <si>
    <t>A01011005004</t>
  </si>
  <si>
    <t>A01011005005</t>
  </si>
  <si>
    <t>A01011005006</t>
  </si>
  <si>
    <t>A01011005007</t>
  </si>
  <si>
    <t>含钢绞线、波纹管</t>
  </si>
  <si>
    <t>A01011005008</t>
  </si>
  <si>
    <t>A01011005009</t>
  </si>
  <si>
    <t>含模板、砼浇筑</t>
  </si>
  <si>
    <t>A01011005010</t>
  </si>
  <si>
    <t>A01011006</t>
  </si>
  <si>
    <t>C50现浇钢筋混凝土横隔板</t>
  </si>
  <si>
    <t>A01011006001</t>
  </si>
  <si>
    <t>A01011006002</t>
  </si>
  <si>
    <t>A01011006003</t>
  </si>
  <si>
    <t>A01011006004</t>
  </si>
  <si>
    <t>A01011006005</t>
  </si>
  <si>
    <t>A01011007</t>
  </si>
  <si>
    <t>C30现浇筋混凝土桥头搭板</t>
  </si>
  <si>
    <t>A01011007001</t>
  </si>
  <si>
    <t>A01011007002</t>
  </si>
  <si>
    <t>A01011007003</t>
  </si>
  <si>
    <t>A01011007004</t>
  </si>
  <si>
    <t>A01011007005</t>
  </si>
  <si>
    <t>A01011008</t>
  </si>
  <si>
    <t>支座 HDR(I)-d1220x423-G1.0</t>
  </si>
  <si>
    <t>A01011008001</t>
  </si>
  <si>
    <t>A01011008002</t>
  </si>
  <si>
    <t>A01011009</t>
  </si>
  <si>
    <t>A01011009001</t>
  </si>
  <si>
    <t>A01011009002</t>
  </si>
  <si>
    <t>A01011010</t>
  </si>
  <si>
    <t>A01011010001</t>
  </si>
  <si>
    <t>A01011010002</t>
  </si>
  <si>
    <t>A01011011</t>
  </si>
  <si>
    <t>A01011011001</t>
  </si>
  <si>
    <t>A01011011002</t>
  </si>
  <si>
    <t>A01011012</t>
  </si>
  <si>
    <t>A01011012001</t>
  </si>
  <si>
    <t>A01011012002</t>
  </si>
  <si>
    <t>A01011013</t>
  </si>
  <si>
    <t>A01011013001</t>
  </si>
  <si>
    <t>A01011013002</t>
  </si>
  <si>
    <t>A01011014</t>
  </si>
  <si>
    <t>C40现浇钢筋混凝土垫石</t>
  </si>
  <si>
    <t>A01011014001</t>
  </si>
  <si>
    <t>A01011014002</t>
  </si>
  <si>
    <t>A01011014003</t>
  </si>
  <si>
    <t>A01011015</t>
  </si>
  <si>
    <t>C40现浇钢筋混凝土挡块</t>
  </si>
  <si>
    <t>A01011015001</t>
  </si>
  <si>
    <t>A01011015002</t>
  </si>
  <si>
    <t>A01011015003</t>
  </si>
  <si>
    <t>A01011015004</t>
  </si>
  <si>
    <t>A01011015005</t>
  </si>
  <si>
    <t>A01011016</t>
  </si>
  <si>
    <t>A01011016001</t>
  </si>
  <si>
    <t>A01011017</t>
  </si>
  <si>
    <t>A01011017001</t>
  </si>
  <si>
    <t>A01011017002</t>
  </si>
  <si>
    <t>A01011017003</t>
  </si>
  <si>
    <t>A01011017004</t>
  </si>
  <si>
    <t>A01011018</t>
  </si>
  <si>
    <t>A01011018001</t>
  </si>
  <si>
    <t>A01011018002</t>
  </si>
  <si>
    <t>A01011018003</t>
  </si>
  <si>
    <t>A01011018004</t>
  </si>
  <si>
    <t>A01011019</t>
  </si>
  <si>
    <t>A01011019001</t>
  </si>
  <si>
    <t>A01011019002</t>
  </si>
  <si>
    <t>A01011019003</t>
  </si>
  <si>
    <t>A01011019004</t>
  </si>
  <si>
    <t>A01011019005</t>
  </si>
  <si>
    <t>A01011020</t>
  </si>
  <si>
    <t>A01011020001</t>
  </si>
  <si>
    <t>A01011020002</t>
  </si>
  <si>
    <t>A01011020003</t>
  </si>
  <si>
    <t>A01011020004</t>
  </si>
  <si>
    <t>A01011020005</t>
  </si>
  <si>
    <t>A01011021</t>
  </si>
  <si>
    <t>A01011021001</t>
  </si>
  <si>
    <t>A01011021002</t>
  </si>
  <si>
    <t>A01011021003</t>
  </si>
  <si>
    <t>A01011021004</t>
  </si>
  <si>
    <t>A01011022</t>
  </si>
  <si>
    <t>A01011022001</t>
  </si>
  <si>
    <t>A01011022002</t>
  </si>
  <si>
    <t>A01011023</t>
  </si>
  <si>
    <t>A01011023001</t>
  </si>
  <si>
    <t>A01011023002</t>
  </si>
  <si>
    <t>A01011023003</t>
  </si>
  <si>
    <t>A01011023004</t>
  </si>
  <si>
    <t>A01011023005</t>
  </si>
  <si>
    <t>A01011024</t>
  </si>
  <si>
    <t>A01011024001</t>
  </si>
  <si>
    <t>A01011024002</t>
  </si>
  <si>
    <t>A01011024003</t>
  </si>
  <si>
    <t>A01011024004</t>
  </si>
  <si>
    <t>A01011024005</t>
  </si>
  <si>
    <t>A01011025</t>
  </si>
  <si>
    <t>A01011025001</t>
  </si>
  <si>
    <t>A01011025002</t>
  </si>
  <si>
    <t>A01011025003</t>
  </si>
  <si>
    <t>A01011025004</t>
  </si>
  <si>
    <t>A01011025005</t>
  </si>
  <si>
    <t>A01011026</t>
  </si>
  <si>
    <t>A01011026001</t>
  </si>
  <si>
    <t>A01011027</t>
  </si>
  <si>
    <t>A01011027001</t>
  </si>
  <si>
    <t>A01011028</t>
  </si>
  <si>
    <t>包括基础、模板、预埋件、隔声屏障及附件安装等全部工程内容保护</t>
  </si>
  <si>
    <t>A01011028001</t>
  </si>
  <si>
    <t>A01011029</t>
  </si>
  <si>
    <t>A01011029001</t>
  </si>
  <si>
    <t>A01011029002</t>
  </si>
  <si>
    <t>A01011029003</t>
  </si>
  <si>
    <t>A01011029004</t>
  </si>
  <si>
    <t>A01011029005</t>
  </si>
  <si>
    <t>A01011030</t>
  </si>
  <si>
    <t>A01011030001</t>
  </si>
  <si>
    <t>A01011030002</t>
  </si>
  <si>
    <t>A01011030003</t>
  </si>
  <si>
    <t>A01011030004</t>
  </si>
  <si>
    <t>A01011031</t>
  </si>
  <si>
    <t>A01011031001</t>
  </si>
  <si>
    <t>A01011031002</t>
  </si>
  <si>
    <t>A01011031003</t>
  </si>
  <si>
    <t>A01011031004</t>
  </si>
  <si>
    <t>A01011031005</t>
  </si>
  <si>
    <t>A01011031006</t>
  </si>
  <si>
    <t>A01011032</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</si>
  <si>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</si>
  <si>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</si>
  <si>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</si>
  <si>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</si>
  <si>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</si>
  <si>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</si>
  <si>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</si>
  <si>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</si>
  <si>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</si>
  <si>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</si>
  <si>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</si>
  <si>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</si>
  <si>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</si>
  <si>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A01012002</t>
  </si>
  <si>
    <t>C40现浇钢筋混凝土承台</t>
  </si>
  <si>
    <t>A01012002001</t>
  </si>
  <si>
    <t>含模板摊销</t>
  </si>
  <si>
    <t>A01012002002</t>
  </si>
  <si>
    <t>A01012002003</t>
  </si>
  <si>
    <t>A01012002004</t>
  </si>
  <si>
    <t>A01012002005</t>
  </si>
  <si>
    <t>A01012003</t>
  </si>
  <si>
    <t>主桥主梁</t>
  </si>
  <si>
    <t>包括成品钢构件、支架（撑）及基础、探伤、防腐、油漆等全部工程内容</t>
  </si>
  <si>
    <t>A01012003001</t>
  </si>
  <si>
    <t>包括原材料采购、损耗、加工制作、运输、钢结构现场拼装、安装、油漆涂装、导梁安装及拆除、落梁措施费、拼装平台支架费、吊装机械使用费、支撑架基础、拼装场地地面硬化、龙门吊轨道基础等费用.</t>
  </si>
  <si>
    <t>A01012004</t>
  </si>
  <si>
    <t>吊杆</t>
  </si>
  <si>
    <t>A01012004001</t>
  </si>
  <si>
    <t>包括原材料采购、损耗、加工制作、运输、钢结构现场拼装、安装、油漆涂装、拼装支架费、吊装机械使用费、支撑架基础、拼装场地地面硬化、吊车等费用.</t>
  </si>
  <si>
    <t>A01012005</t>
  </si>
  <si>
    <t>A01012005001</t>
  </si>
  <si>
    <t>A01012006</t>
  </si>
  <si>
    <t>A01012006001</t>
  </si>
  <si>
    <t>A01012007</t>
  </si>
  <si>
    <t>拱脚预应力钢束</t>
  </si>
  <si>
    <t>A01012007001</t>
  </si>
  <si>
    <t>A01012007002</t>
  </si>
  <si>
    <t>A01012007003</t>
  </si>
  <si>
    <t>含钢绞线、波纹管安装</t>
  </si>
  <si>
    <t>A01012007004</t>
  </si>
  <si>
    <t>A01012007005</t>
  </si>
  <si>
    <t>A01012008</t>
  </si>
  <si>
    <t>现浇钢筋混凝土拱座</t>
  </si>
  <si>
    <t>A01012008001</t>
  </si>
  <si>
    <t>A01012008002</t>
  </si>
  <si>
    <t>A01012009</t>
  </si>
  <si>
    <t>包括成品钢构件、支架（撑）及基础、探伤、防火、防腐、油漆等全部工程内容</t>
  </si>
  <si>
    <t>A01012009001</t>
  </si>
  <si>
    <t>A01012010</t>
  </si>
  <si>
    <t>A01012010001</t>
  </si>
  <si>
    <t>A01012010002</t>
  </si>
  <si>
    <t>A01012011</t>
  </si>
  <si>
    <t>A01012011001</t>
  </si>
  <si>
    <t>A01012011002</t>
  </si>
  <si>
    <t>A01012012</t>
  </si>
  <si>
    <t>A01012012001</t>
  </si>
  <si>
    <t>A01012013</t>
  </si>
  <si>
    <t>A01012013001</t>
  </si>
  <si>
    <t>A01012014</t>
  </si>
  <si>
    <t>A01012014001</t>
  </si>
  <si>
    <t>A01012015</t>
  </si>
  <si>
    <t>A01012015001</t>
  </si>
  <si>
    <t>A01012016</t>
  </si>
  <si>
    <t>包括成品钢构件、支架（撑）及基础、探伤、、防腐、油漆等全部工程内容</t>
  </si>
  <si>
    <t>A01012016001</t>
  </si>
  <si>
    <t>A01012017</t>
  </si>
  <si>
    <t>A01012017001</t>
  </si>
  <si>
    <t>A01012018</t>
  </si>
  <si>
    <t>A01012018001</t>
  </si>
  <si>
    <t>A01012019</t>
  </si>
  <si>
    <t>主桥路灯基础（8个）</t>
  </si>
  <si>
    <t>A01012019001</t>
  </si>
  <si>
    <t>A01012020</t>
  </si>
  <si>
    <t>A01012020001</t>
  </si>
  <si>
    <t>与钢结构一起分包</t>
  </si>
  <si>
    <t>A01012021</t>
  </si>
  <si>
    <t>A01012021001</t>
  </si>
  <si>
    <t>A01012022</t>
  </si>
  <si>
    <t>A01012022001</t>
  </si>
  <si>
    <t>A01012022002</t>
  </si>
  <si>
    <t>A01012023</t>
  </si>
  <si>
    <t>行车道沥青路面</t>
  </si>
  <si>
    <t>A01012023001</t>
  </si>
  <si>
    <t>A01012023002</t>
  </si>
  <si>
    <t>A01012023003</t>
  </si>
  <si>
    <t>A01012023004</t>
  </si>
  <si>
    <t>A01012023005</t>
  </si>
  <si>
    <t>A01012023006</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</si>
  <si>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</si>
  <si>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</si>
  <si>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</si>
  <si>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</si>
  <si>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</si>
  <si>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</si>
  <si>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</si>
  <si>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</si>
  <si>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</si>
  <si>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</si>
  <si>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</si>
  <si>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</si>
  <si>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</si>
  <si>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</si>
  <si>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</si>
  <si>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A01013002</t>
  </si>
  <si>
    <t>A01013002001</t>
  </si>
  <si>
    <t>A01013002002</t>
  </si>
  <si>
    <t>A01013002003</t>
  </si>
  <si>
    <t>A01013002004</t>
  </si>
  <si>
    <t>A01013002005</t>
  </si>
  <si>
    <t>A01013002006</t>
  </si>
  <si>
    <t>A01013003</t>
  </si>
  <si>
    <t>现浇钢筋混凝土柱靴</t>
  </si>
  <si>
    <t>A01013003001</t>
  </si>
  <si>
    <t>A01013003002</t>
  </si>
  <si>
    <t>A01013003003</t>
  </si>
  <si>
    <t>A01013003004</t>
  </si>
  <si>
    <t>A01013003005</t>
  </si>
  <si>
    <t>A01013004</t>
  </si>
  <si>
    <t>梯道基座</t>
  </si>
  <si>
    <t>A01013004001</t>
  </si>
  <si>
    <t>A01013004002</t>
  </si>
  <si>
    <t>A01013004003</t>
  </si>
  <si>
    <t>A01013004004</t>
  </si>
  <si>
    <t>A01013004005</t>
  </si>
  <si>
    <t>A01013005</t>
  </si>
  <si>
    <t>A01013005001</t>
  </si>
  <si>
    <t>A01013006</t>
  </si>
  <si>
    <t>A01013006001</t>
  </si>
  <si>
    <t>A01013007</t>
  </si>
  <si>
    <t>A01013007001</t>
  </si>
  <si>
    <t>A01013008</t>
  </si>
  <si>
    <t>A01013008001</t>
  </si>
  <si>
    <t>A01014</t>
  </si>
  <si>
    <t>3#东南角人行梯道</t>
  </si>
  <si>
    <t>A01014001</t>
  </si>
  <si>
    <t>A01014001001</t>
  </si>
  <si>
    <t>A01014001002</t>
  </si>
  <si>
    <t>A01014001003</t>
  </si>
  <si>
    <t>A01014001004</t>
  </si>
  <si>
    <t>A01014001005</t>
  </si>
  <si>
    <t>A01014002</t>
  </si>
  <si>
    <t>A01014002001</t>
  </si>
  <si>
    <t>A01014003</t>
  </si>
  <si>
    <t>A01014003001</t>
  </si>
  <si>
    <t>A01014004</t>
  </si>
  <si>
    <t>A01014004001</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</si>
  <si>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</si>
  <si>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</si>
  <si>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</si>
  <si>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</si>
  <si>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</si>
  <si>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</si>
  <si>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</si>
  <si>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</si>
  <si>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</si>
  <si>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</si>
  <si>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</si>
  <si>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A01015002</t>
  </si>
  <si>
    <t>基坑（网喷8cm厚）支护</t>
  </si>
  <si>
    <t>1.部位：边坡 
2.厚度 ：8cm
3.材料种类 ：水泥混凝土
4.混凝土(砂浆)类别、强度等级：C25</t>
  </si>
  <si>
    <t>A01015002001</t>
  </si>
  <si>
    <t>钢筋制安、喷设、排水孔</t>
  </si>
  <si>
    <t>A01015002002</t>
  </si>
  <si>
    <t>A01015003</t>
  </si>
  <si>
    <t>基坑（网喷10cm厚）支护</t>
  </si>
  <si>
    <t>1.部位：边坡 
2.厚度 ：10cm
3.材料种类 ：水泥混凝土
4.混凝土(砂浆)类别、强度等级：C25</t>
  </si>
  <si>
    <t>A01015003001</t>
  </si>
  <si>
    <t>A01015003002</t>
  </si>
  <si>
    <t>A01015004</t>
  </si>
  <si>
    <t>钢筋网片 HPB300 φ6-10</t>
  </si>
  <si>
    <t>1.钢筋种类 ：HPB300
2.钢筋规格： 直径φ6-10</t>
  </si>
  <si>
    <t>A01015004001</t>
  </si>
  <si>
    <t>A01015005</t>
  </si>
  <si>
    <t>钢筋网片 HRB400E 直径φ12-14</t>
  </si>
  <si>
    <t>1.钢筋种类 ： HRB400E 
2.钢筋规格： 直径φ12-14</t>
  </si>
  <si>
    <t>A01015005001</t>
  </si>
  <si>
    <t>A01015006</t>
  </si>
  <si>
    <t>支护泄水管</t>
  </si>
  <si>
    <t>1.材料品种 ：PVC
2.管径：φ100</t>
  </si>
  <si>
    <t>A01015006001</t>
  </si>
  <si>
    <t>A01015007</t>
  </si>
  <si>
    <t xml:space="preserve">1.断面规格 ：满足设计及规范要求
2.垫层、基础材质及厚度 ：混凝土垫层
3.砌筑材料品种、规格、强度等级 ：标砖
4.混凝土强度等级 ：C15
5.砂浆强度等级、配合比 ：M5干混砂浆
6.勾缝、抹面要求 ：防水砂浆抹灰
</t>
  </si>
  <si>
    <t>A01015007001</t>
  </si>
  <si>
    <t>A01015007002</t>
  </si>
  <si>
    <t>A01015007003</t>
  </si>
  <si>
    <t>A01015007004</t>
  </si>
  <si>
    <t>A01015007005</t>
  </si>
  <si>
    <t>A01015007006</t>
  </si>
  <si>
    <t>A01015007007</t>
  </si>
  <si>
    <t>A01015008</t>
  </si>
  <si>
    <t>1.断面规格 ：满足设计及规范要求
2.垫层、基础材质及厚度 ：混凝土垫层
3.砌筑材料品种、规格、强度等级 ：标砖
4.混凝土强度等级 ：C15
5.砂浆强度等级、配合比 ：M5干混砂浆
6.勾缝、抹面要求 ：防水砂浆抹灰</t>
  </si>
  <si>
    <t>A01015008001</t>
  </si>
  <si>
    <t>A01015008002</t>
  </si>
  <si>
    <t>A01015008003</t>
  </si>
  <si>
    <t>A01015008004</t>
  </si>
  <si>
    <t>A01015008005</t>
  </si>
  <si>
    <t>A01015008006</t>
  </si>
  <si>
    <t>A01015008007</t>
  </si>
  <si>
    <t>A01015009</t>
  </si>
  <si>
    <t xml:space="preserve">1.垫层、基础材质及厚度：混凝土垫层 
2.砌筑材料品种、规格、强度等级 ：标准砖
3.勾缝、抹面要求：防水砂浆 
4.砂浆强度等级、配合比 ：M15防水砂浆
5.混凝土强度等级 ：C15
</t>
  </si>
  <si>
    <t>A01015009001</t>
  </si>
  <si>
    <t>A01015009002</t>
  </si>
  <si>
    <t>A01015009003</t>
  </si>
  <si>
    <t>A01015009004</t>
  </si>
  <si>
    <t>A01015009005</t>
  </si>
  <si>
    <t>A01015009006</t>
  </si>
  <si>
    <t>A01015009007</t>
  </si>
  <si>
    <t>A01015010</t>
  </si>
  <si>
    <t>支护桩</t>
  </si>
  <si>
    <t>1.地层情况：详地勘 
2.空桩长度、桩长：满足设计及规范要求
3.桩径：0.8m
4.扩孔直径、高度：满足设计及规范要求 
5.成孔方法：干作业成孔 
6.混凝土种类、强度等级：C30商品混凝土（含泵送费）</t>
  </si>
  <si>
    <t>A01015010001</t>
  </si>
  <si>
    <t>A01015010002</t>
  </si>
  <si>
    <t>A01015011</t>
  </si>
  <si>
    <t>0.8m桩钢护筒</t>
  </si>
  <si>
    <t>A01015011001</t>
  </si>
  <si>
    <t>A01015012</t>
  </si>
  <si>
    <t>1.钢筋种类：HRB400E 
2.钢筋规格：φ12-14
3.含吊装钢筋笼费用</t>
  </si>
  <si>
    <t>A01015012001</t>
  </si>
  <si>
    <t>A01015012002</t>
  </si>
  <si>
    <t>A01015013</t>
  </si>
  <si>
    <t>1.桩类型 ：灌注桩</t>
  </si>
  <si>
    <t>A01015013001</t>
  </si>
  <si>
    <t>含整理</t>
  </si>
  <si>
    <t>A01015014</t>
  </si>
  <si>
    <t>余方弃置</t>
  </si>
  <si>
    <t>2.桩头截面、高度 ：满足设计及规范要求</t>
  </si>
  <si>
    <t>A01015014001</t>
  </si>
  <si>
    <t>A01015015</t>
  </si>
  <si>
    <t>3.混凝土强度等级 ：C30</t>
  </si>
  <si>
    <t>A01015015001</t>
  </si>
  <si>
    <t>A01015015002</t>
  </si>
  <si>
    <t>A01015015003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</si>
  <si>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</si>
  <si>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</si>
  <si>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</si>
  <si>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</si>
  <si>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</si>
  <si>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</si>
  <si>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</si>
  <si>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</si>
  <si>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</si>
  <si>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A01016002</t>
  </si>
  <si>
    <t>干作业成孔灌注桩</t>
  </si>
  <si>
    <t>1.地层情况：详地勘 
2.空桩长度、桩长：满足设计及规范要求
3.桩径：0.8m
4.扩孔直径、高度：满足设计及规范要求 
5.成孔方法：干作业成孔 
6.混凝土种类、强度等级：C35商品混凝土（含泵送费）</t>
  </si>
  <si>
    <t>A01016002001</t>
  </si>
  <si>
    <t>包括成孔、混凝土浇筑</t>
  </si>
  <si>
    <t>A01016002002</t>
  </si>
  <si>
    <t>A01016003</t>
  </si>
  <si>
    <t>1.地层情况：详地勘 
2.空桩长度、桩长：满足设计及规范要求
3.桩径：1m
4.扩孔直径、高度：满足设计及规范要求 
5.成孔方法：干作业成孔 
6.混凝土种类、强度等级：C35商品混凝土（含泵送费）</t>
  </si>
  <si>
    <t>A01016003001</t>
  </si>
  <si>
    <t>A01016003002</t>
  </si>
  <si>
    <t>A01016004</t>
  </si>
  <si>
    <t>1.地层情况：详地勘 
2.空桩长度、桩长：满足设计及规范要求
3.桩径：1.2m
4.扩孔直径、高度：满足设计及规范要求 
5.成孔方法：干作业成孔 
6.混凝土种类、强度等级：C35商品混凝土（含泵送费）</t>
  </si>
  <si>
    <t>A01016004001</t>
  </si>
  <si>
    <t>A01016004002</t>
  </si>
  <si>
    <t>A01016005</t>
  </si>
  <si>
    <t>1.地层情况：详地勘 
2.空桩长度、桩长：满足设计及规范要求
3.桩径：1.5m
4.扩孔直径、高度：满足设计及规范要求 
5.成孔方法：干作业成孔 
6.混凝土种类、强度等级：C35商品混凝土（含泵送费）</t>
  </si>
  <si>
    <t>A01016005001</t>
  </si>
  <si>
    <t>A01016005002</t>
  </si>
  <si>
    <t>A01016006</t>
  </si>
  <si>
    <t>1.桩类型 ：灌注桩
2.桩头截面、高度 ：满足设计及规范要求
3.混凝土强度等级 ：C30
4.有无钢筋：有，含钢筋整理</t>
  </si>
  <si>
    <t>A01016006001</t>
  </si>
  <si>
    <t>A01016006002</t>
  </si>
  <si>
    <t>A01016007</t>
  </si>
  <si>
    <t>1.钢筋种类：HRB400E 
2.钢筋规格：φ10
3.含吊装钢筋笼费用</t>
  </si>
  <si>
    <t>A01016007001</t>
  </si>
  <si>
    <t>A01016007002</t>
  </si>
  <si>
    <t>A01016008</t>
  </si>
  <si>
    <t>1.钢筋种类：HRB400E 
2.钢筋规格：φ16-φ25
3.含吊装钢筋笼费用</t>
  </si>
  <si>
    <t>A01016008001</t>
  </si>
  <si>
    <t>A01016008002</t>
  </si>
  <si>
    <t>A01016009</t>
  </si>
  <si>
    <t xml:space="preserve">1.材质：无缝钢管
2.规格型号：D53*1.5 </t>
  </si>
  <si>
    <t>A01016009001</t>
  </si>
  <si>
    <t>A01016009002</t>
  </si>
  <si>
    <t>A01016010</t>
  </si>
  <si>
    <t>龙门吊基础</t>
  </si>
  <si>
    <t xml:space="preserve">1.混凝土强度等级：C30商品混凝土 </t>
  </si>
  <si>
    <t>A01016010001</t>
  </si>
  <si>
    <t>A01016010002</t>
  </si>
  <si>
    <t>A01016011</t>
  </si>
  <si>
    <t>1.钢筋种类：HRB400E 
2.钢筋规格：φ12-φ16</t>
  </si>
  <si>
    <t>A01016011001</t>
  </si>
  <si>
    <t>A01016011002</t>
  </si>
  <si>
    <t>A01016012</t>
  </si>
  <si>
    <t>拼装支撑架底部垫层</t>
  </si>
  <si>
    <t>混凝土强度等级：C15</t>
  </si>
  <si>
    <t>A01016012001</t>
  </si>
  <si>
    <t>A01016012002</t>
  </si>
  <si>
    <t>A01016013</t>
  </si>
  <si>
    <t>主梁存梁场地</t>
  </si>
  <si>
    <t>混凝土强度等级：C20</t>
  </si>
  <si>
    <t>A01016013001</t>
  </si>
  <si>
    <t>A01016013002</t>
  </si>
  <si>
    <t>A01016014</t>
  </si>
  <si>
    <t>场外取土</t>
  </si>
  <si>
    <t>1.取土品种：合格围堰填料
2.运距：5km</t>
  </si>
  <si>
    <t>A01016014001</t>
  </si>
  <si>
    <t>A01016014002</t>
  </si>
  <si>
    <t>A01016015</t>
  </si>
  <si>
    <t>围堰回填土</t>
  </si>
  <si>
    <t>1.密实度要求：满足设计及规范要求 
2.填方材料品种 ：土质满足设计及规范要求 
3.填方粒径要求 ：满足设计及规范要求 
4.填方来源、运距：另计
5.回填方式：人工、机械综合考虑
6.其它:满足设计、招标技术标准、施工及验收规范要求</t>
  </si>
  <si>
    <t>A01016015001</t>
  </si>
  <si>
    <t>A01016016</t>
  </si>
  <si>
    <t>围堰土方开挖</t>
  </si>
  <si>
    <t>1.土壤类别：各类土(含淤泥)
2.挖土(石)方深度及部位：满足设计要求
3.开挖方式：机械、人工综合考虑
4.场内外运距、弃土费：投标人自行考虑，费用计入综合单价</t>
  </si>
  <si>
    <t>A01016016001</t>
  </si>
  <si>
    <t>A01016017</t>
  </si>
  <si>
    <t>1.废弃料品种：围堰土方 
2.运距：5km
3.弃土费综合考虑计入综合单价</t>
  </si>
  <si>
    <t>A01016017001</t>
  </si>
  <si>
    <t>A01016018</t>
  </si>
  <si>
    <t>防洪沙袋</t>
  </si>
  <si>
    <t>1.防洪沙袋 30*80cm，采用交叉迭砌的方式</t>
  </si>
  <si>
    <t>A01016018001</t>
  </si>
  <si>
    <t>装砂带，小型车辆运输，码围堰</t>
  </si>
  <si>
    <t>A01016018002</t>
  </si>
  <si>
    <t>A01016019</t>
  </si>
  <si>
    <t>拉森钢板桩围堰</t>
  </si>
  <si>
    <t xml:space="preserve">1.围堰类型：拉森式钢板桩 </t>
  </si>
  <si>
    <t>t·d</t>
  </si>
  <si>
    <t>A01016019001</t>
  </si>
  <si>
    <t>打拔</t>
  </si>
  <si>
    <t>A01016019002</t>
  </si>
  <si>
    <t>A01016020</t>
  </si>
  <si>
    <t>1.部位：措施支架安装与拆除 
2.材质、规格、型号：符合设计要求</t>
  </si>
  <si>
    <t>A01016020001</t>
  </si>
  <si>
    <t>放钢结构分包</t>
  </si>
  <si>
    <t>A01016021</t>
  </si>
  <si>
    <t>浮箱</t>
  </si>
  <si>
    <t>1.构件名称 ：浮箱
2.钢材品种、规格：满足设计及施工要求</t>
  </si>
  <si>
    <t>A01016021001</t>
  </si>
  <si>
    <t>A01016022</t>
  </si>
  <si>
    <t>桥梁支撑架使用费</t>
  </si>
  <si>
    <t>A01016022001</t>
  </si>
  <si>
    <t>A01016023</t>
  </si>
  <si>
    <t>顶推措施费</t>
  </si>
  <si>
    <t>A01016023001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</si>
  <si>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</si>
  <si>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</si>
  <si>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</si>
  <si>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</si>
  <si>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</si>
  <si>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</si>
  <si>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</si>
  <si>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</si>
  <si>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</si>
  <si>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</si>
  <si>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</si>
  <si>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</si>
  <si>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</si>
  <si>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</si>
  <si>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</si>
  <si>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</si>
  <si>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</si>
  <si>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</si>
  <si>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</si>
  <si>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</si>
  <si>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</si>
  <si>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</si>
  <si>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</si>
  <si>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</si>
  <si>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</si>
  <si>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</si>
  <si>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</si>
  <si>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</si>
  <si>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</si>
  <si>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</si>
  <si>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</si>
  <si>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</si>
  <si>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</si>
  <si>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</si>
  <si>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</si>
  <si>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</si>
  <si>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</si>
  <si>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</si>
  <si>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</si>
  <si>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</si>
  <si>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</si>
  <si>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</si>
  <si>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</si>
  <si>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</si>
  <si>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</si>
  <si>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</si>
  <si>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</si>
  <si>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</si>
  <si>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</si>
  <si>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</si>
  <si>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</si>
  <si>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</si>
  <si>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</si>
  <si>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</si>
  <si>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</si>
  <si>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</si>
  <si>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</si>
  <si>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</si>
  <si>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</si>
  <si>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</si>
  <si>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</si>
  <si>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</si>
  <si>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</si>
  <si>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</si>
  <si>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</si>
  <si>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</si>
  <si>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</si>
  <si>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</si>
  <si>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</si>
  <si>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</si>
  <si>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</si>
  <si>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</si>
  <si>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</si>
  <si>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</si>
  <si>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</si>
  <si>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</si>
  <si>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</si>
  <si>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</si>
  <si>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</si>
  <si>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</si>
  <si>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</si>
  <si>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</si>
  <si>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</si>
  <si>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</si>
  <si>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</si>
  <si>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</si>
  <si>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</si>
  <si>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</si>
  <si>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</si>
  <si>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</si>
  <si>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</si>
  <si>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</si>
  <si>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</si>
  <si>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</si>
  <si>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</si>
  <si>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</si>
  <si>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</si>
  <si>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</si>
  <si>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</si>
  <si>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</si>
  <si>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</si>
  <si>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</si>
  <si>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</si>
  <si>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</si>
  <si>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</si>
  <si>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</si>
  <si>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</si>
  <si>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</si>
  <si>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</si>
  <si>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</si>
  <si>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</si>
  <si>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</si>
  <si>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</si>
  <si>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</si>
  <si>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</si>
  <si>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</si>
  <si>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</si>
  <si>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</si>
  <si>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</si>
  <si>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</si>
  <si>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</si>
  <si>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</si>
  <si>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</si>
  <si>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</si>
  <si>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</si>
  <si>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</si>
  <si>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</si>
  <si>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</si>
  <si>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</si>
  <si>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</si>
  <si>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</si>
  <si>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</si>
  <si>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</si>
  <si>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</si>
  <si>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</si>
  <si>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</si>
  <si>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</si>
  <si>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</si>
  <si>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</si>
  <si>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</si>
  <si>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</si>
  <si>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</si>
  <si>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</si>
  <si>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</si>
  <si>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</si>
  <si>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</si>
  <si>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</si>
  <si>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</si>
  <si>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</si>
  <si>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</si>
  <si>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</si>
  <si>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</si>
  <si>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</si>
  <si>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</si>
  <si>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</si>
  <si>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</si>
  <si>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</si>
  <si>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</si>
  <si>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</si>
  <si>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</si>
  <si>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</si>
  <si>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</si>
  <si>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</si>
  <si>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</si>
  <si>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</si>
  <si>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</si>
  <si>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</si>
  <si>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</si>
  <si>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</si>
  <si>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</si>
  <si>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</si>
  <si>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</si>
  <si>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</si>
  <si>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</si>
  <si>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</si>
  <si>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</si>
  <si>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</si>
  <si>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</si>
  <si>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</si>
  <si>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</si>
  <si>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</si>
  <si>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</si>
  <si>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</si>
  <si>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</si>
  <si>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</si>
  <si>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</si>
  <si>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</si>
  <si>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</si>
  <si>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</si>
  <si>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</si>
  <si>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</si>
  <si>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</si>
  <si>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</si>
  <si>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</si>
  <si>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</si>
  <si>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</si>
  <si>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</si>
  <si>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</si>
  <si>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</si>
  <si>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</si>
  <si>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</si>
  <si>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</si>
  <si>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</si>
  <si>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</si>
  <si>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</si>
  <si>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</si>
  <si>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</si>
  <si>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</si>
  <si>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</si>
  <si>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</si>
  <si>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</si>
  <si>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</si>
  <si>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</si>
  <si>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</si>
  <si>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</si>
  <si>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</si>
  <si>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</si>
  <si>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</si>
  <si>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</si>
  <si>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</si>
  <si>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</si>
  <si>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</si>
  <si>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</si>
  <si>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</si>
  <si>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</si>
  <si>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</si>
  <si>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</si>
  <si>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</si>
  <si>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</si>
  <si>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</si>
  <si>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</si>
  <si>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</si>
  <si>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</si>
  <si>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</si>
  <si>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</si>
  <si>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</si>
  <si>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</si>
  <si>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</si>
  <si>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</si>
  <si>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</si>
  <si>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</si>
  <si>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</si>
  <si>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</si>
  <si>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</si>
  <si>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</si>
  <si>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</si>
  <si>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</si>
  <si>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</si>
  <si>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</si>
  <si>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</si>
  <si>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</si>
  <si>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</si>
  <si>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</si>
  <si>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</si>
  <si>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</si>
  <si>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</si>
  <si>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</si>
  <si>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</si>
  <si>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</si>
  <si>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</si>
  <si>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</si>
  <si>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</si>
  <si>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</si>
  <si>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</si>
  <si>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</si>
  <si>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</si>
  <si>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</si>
  <si>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</si>
  <si>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</si>
  <si>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</si>
  <si>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</si>
  <si>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</si>
  <si>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</si>
  <si>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</si>
  <si>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</si>
  <si>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</si>
  <si>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</si>
  <si>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</si>
  <si>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</si>
  <si>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</si>
  <si>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</si>
  <si>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</si>
  <si>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</si>
  <si>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</si>
  <si>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</si>
  <si>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</si>
  <si>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</si>
  <si>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</si>
  <si>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</si>
  <si>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</si>
  <si>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</si>
  <si>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</si>
  <si>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</si>
  <si>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</si>
  <si>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</si>
  <si>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</si>
  <si>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</si>
  <si>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</si>
  <si>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</si>
  <si>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</si>
  <si>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</si>
  <si>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</si>
  <si>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</si>
  <si>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</si>
  <si>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</si>
  <si>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</si>
  <si>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</si>
  <si>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</si>
  <si>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</si>
  <si>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</si>
  <si>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土工布隔离层</t>
  </si>
  <si>
    <t>220mm厚水泥混凝土面层</t>
  </si>
  <si>
    <t>180mm厚水泥混凝土面层</t>
  </si>
  <si>
    <t>道面拉槽毛</t>
  </si>
  <si>
    <t>道面拉毛</t>
  </si>
  <si>
    <t>道面切缝1</t>
  </si>
  <si>
    <t>道面切缝2</t>
  </si>
  <si>
    <t>道面切缝4</t>
  </si>
  <si>
    <t>道面填缝1</t>
  </si>
  <si>
    <t>道面填缝2</t>
  </si>
  <si>
    <t>道面填缝4</t>
  </si>
  <si>
    <t>抗风系留形式地锚</t>
  </si>
  <si>
    <t>标志标线</t>
  </si>
  <si>
    <t>消除直立面</t>
  </si>
  <si>
    <t>道面传力杆</t>
  </si>
  <si>
    <t>道面拉杆</t>
  </si>
  <si>
    <t>挖沟槽土石方，甩边</t>
  </si>
  <si>
    <t>挖沟槽土石方，场内运输</t>
  </si>
  <si>
    <t>回填土石方，沟槽</t>
  </si>
  <si>
    <t>碎石基础</t>
  </si>
  <si>
    <t>C15垫层</t>
  </si>
  <si>
    <t>C30P6钢筋混凝土排水沟</t>
  </si>
  <si>
    <t>排水沟钢筋</t>
  </si>
  <si>
    <t>钢筋网刺铁丝围界</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</si>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</sst>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yyyy&quot;年&quot;mm&quot;月&quot;;@"/>
    <numFmt numFmtId="184" formatCode="0.00_ "/>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1">
    <font>
      <sz val="12"/>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0"/>
    </font>
    <font>
      <sz val="10"/>
      <color rgb="FFFF0000"/>
      <name val="宋体"/>
      <charset val="134"/>
    </font>
    <font>
      <sz val="10"/>
      <color indexed="8"/>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10"/>
      <color theme="1"/>
      <name val="宋体"/>
      <charset val="134"/>
    </font>
    <font>
      <b/>
      <sz val="10"/>
      <color theme="1"/>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9"/>
      <color theme="1"/>
      <name val="宋体"/>
      <charset val="134"/>
      <scheme val="minor"/>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1"/>
      <color rgb="FFFF0000"/>
      <name val="宋体"/>
      <charset val="134"/>
    </font>
    <font>
      <b/>
      <sz val="12"/>
      <color rgb="FFC00000"/>
      <name val="宋体"/>
      <charset val="134"/>
    </font>
    <font>
      <b/>
      <sz val="6"/>
      <name val="宋体"/>
      <charset val="134"/>
    </font>
    <font>
      <b/>
      <sz val="18"/>
      <color rgb="FFFF0000"/>
      <name val="宋体"/>
      <charset val="134"/>
    </font>
    <font>
      <b/>
      <sz val="11"/>
      <color rgb="FFC00000"/>
      <name val="宋体"/>
      <charset val="134"/>
    </font>
    <font>
      <sz val="8"/>
      <name val="宋体"/>
      <charset val="134"/>
    </font>
    <font>
      <b/>
      <sz val="8"/>
      <name val="宋体"/>
      <charset val="134"/>
    </font>
    <font>
      <b/>
      <sz val="14"/>
      <color rgb="FFFF0000"/>
      <name val="微软雅黑"/>
      <charset val="134"/>
    </font>
    <font>
      <b/>
      <sz val="9"/>
      <name val="宋体"/>
      <charset val="134"/>
    </font>
    <font>
      <sz val="9"/>
      <name val="宋体"/>
      <charset val="134"/>
    </font>
  </fonts>
  <fills count="90">
    <fill>
      <patternFill patternType="none"/>
    </fill>
    <fill>
      <patternFill patternType="gray125"/>
    </fill>
    <fill>
      <patternFill patternType="solid">
        <fgColor theme="3" tint="0.799432355723746"/>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93392742698"/>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theme="0" tint="-0.0499893185216834"/>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71214941862"/>
      </patternFill>
    </fill>
    <fill>
      <patternFill patternType="solid">
        <fgColor theme="0" tint="-0.14981536301767"/>
        <bgColor theme="0" tint="-0.14981536301767"/>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64104129154"/>
        <bgColor indexed="64"/>
      </patternFill>
    </fill>
    <fill>
      <patternFill patternType="solid">
        <fgColor rgb="FFCAE7CD"/>
        <bgColor indexed="64"/>
      </patternFill>
    </fill>
    <fill>
      <patternFill patternType="solid">
        <fgColor rgb="FFFFFFFF"/>
        <bgColor indexed="64"/>
      </patternFill>
    </fill>
    <fill>
      <patternFill patternType="solid">
        <fgColor theme="0" tint="-0.148960844752342"/>
        <bgColor indexed="64"/>
      </patternFill>
    </fill>
    <fill>
      <patternFill patternType="solid">
        <fgColor theme="4"/>
        <bgColor indexed="64"/>
      </patternFill>
    </fill>
    <fill>
      <patternFill patternType="solid">
        <fgColor theme="0" tint="-0.149021881771294"/>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98577837458"/>
        <bgColor theme="4" tint="0.799798577837458"/>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46400341807"/>
        <bgColor indexed="64"/>
      </patternFill>
    </fill>
    <fill>
      <patternFill patternType="solid">
        <fgColor indexed="49"/>
        <bgColor indexed="64"/>
      </patternFill>
    </fill>
    <fill>
      <patternFill patternType="solid">
        <fgColor theme="5" tint="0.398846400341807"/>
        <bgColor indexed="64"/>
      </patternFill>
    </fill>
    <fill>
      <patternFill patternType="solid">
        <fgColor theme="6" tint="0.398846400341807"/>
        <bgColor indexed="64"/>
      </patternFill>
    </fill>
    <fill>
      <patternFill patternType="solid">
        <fgColor theme="7" tint="0.398846400341807"/>
        <bgColor indexed="64"/>
      </patternFill>
    </fill>
    <fill>
      <patternFill patternType="solid">
        <fgColor theme="8" tint="0.398846400341807"/>
        <bgColor indexed="64"/>
      </patternFill>
    </fill>
    <fill>
      <patternFill patternType="solid">
        <fgColor theme="9" tint="0.398846400341807"/>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46400341807"/>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1" fillId="0" borderId="0" applyFont="0" applyFill="0" applyBorder="0" applyAlignment="0" applyProtection="0">
      <alignment vertical="center"/>
    </xf>
    <xf numFmtId="9" fontId="82" fillId="0" borderId="0" applyFont="0" applyFill="0" applyBorder="0" applyAlignment="0" applyProtection="0">
      <alignment vertical="center"/>
    </xf>
    <xf numFmtId="41" fontId="81" fillId="0" borderId="0" applyFont="0" applyFill="0" applyBorder="0" applyAlignment="0" applyProtection="0">
      <alignment vertical="center"/>
    </xf>
    <xf numFmtId="42" fontId="81" fillId="0" borderId="0" applyFont="0" applyFill="0" applyBorder="0" applyAlignment="0" applyProtection="0">
      <alignment vertical="center"/>
    </xf>
    <xf numFmtId="0" fontId="2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1" fillId="37" borderId="76" applyNumberFormat="0" applyFont="0" applyAlignment="0" applyProtection="0">
      <alignment vertical="center"/>
    </xf>
    <xf numFmtId="0" fontId="84"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7" fillId="0" borderId="77" applyNumberFormat="0" applyFill="0" applyAlignment="0" applyProtection="0">
      <alignment vertical="center"/>
    </xf>
    <xf numFmtId="0" fontId="88" fillId="0" borderId="77" applyNumberFormat="0" applyFill="0" applyAlignment="0" applyProtection="0">
      <alignment vertical="center"/>
    </xf>
    <xf numFmtId="0" fontId="89" fillId="0" borderId="78" applyNumberFormat="0" applyFill="0" applyAlignment="0" applyProtection="0">
      <alignment vertical="center"/>
    </xf>
    <xf numFmtId="0" fontId="89" fillId="0" borderId="0" applyNumberFormat="0" applyFill="0" applyBorder="0" applyAlignment="0" applyProtection="0">
      <alignment vertical="center"/>
    </xf>
    <xf numFmtId="0" fontId="90" fillId="38" borderId="79" applyNumberFormat="0" applyAlignment="0" applyProtection="0">
      <alignment vertical="center"/>
    </xf>
    <xf numFmtId="0" fontId="91" fillId="39" borderId="80" applyNumberFormat="0" applyAlignment="0" applyProtection="0">
      <alignment vertical="center"/>
    </xf>
    <xf numFmtId="0" fontId="92" fillId="39" borderId="79" applyNumberFormat="0" applyAlignment="0" applyProtection="0">
      <alignment vertical="center"/>
    </xf>
    <xf numFmtId="0" fontId="93" fillId="40" borderId="81" applyNumberFormat="0" applyAlignment="0" applyProtection="0">
      <alignment vertical="center"/>
    </xf>
    <xf numFmtId="0" fontId="94" fillId="0" borderId="82" applyNumberFormat="0" applyFill="0" applyAlignment="0" applyProtection="0">
      <alignment vertical="center"/>
    </xf>
    <xf numFmtId="0" fontId="95" fillId="0" borderId="83" applyNumberFormat="0" applyFill="0" applyAlignment="0" applyProtection="0">
      <alignment vertical="center"/>
    </xf>
    <xf numFmtId="0" fontId="96" fillId="41" borderId="0" applyNumberFormat="0" applyBorder="0" applyAlignment="0" applyProtection="0">
      <alignment vertical="center"/>
    </xf>
    <xf numFmtId="0" fontId="97" fillId="42" borderId="0" applyNumberFormat="0" applyBorder="0" applyAlignment="0" applyProtection="0">
      <alignment vertical="center"/>
    </xf>
    <xf numFmtId="0" fontId="98" fillId="43" borderId="0" applyNumberFormat="0" applyBorder="0" applyAlignment="0" applyProtection="0">
      <alignment vertical="center"/>
    </xf>
    <xf numFmtId="0" fontId="99" fillId="31" borderId="0" applyNumberFormat="0" applyBorder="0" applyAlignment="0" applyProtection="0">
      <alignment vertical="center"/>
    </xf>
    <xf numFmtId="0" fontId="100" fillId="44" borderId="0" applyNumberFormat="0" applyBorder="0" applyAlignment="0" applyProtection="0">
      <alignment vertical="center"/>
    </xf>
    <xf numFmtId="0" fontId="100" fillId="9" borderId="0" applyNumberFormat="0" applyBorder="0" applyAlignment="0" applyProtection="0">
      <alignment vertical="center"/>
    </xf>
    <xf numFmtId="0" fontId="99" fillId="45" borderId="0" applyNumberFormat="0" applyBorder="0" applyAlignment="0" applyProtection="0">
      <alignment vertical="center"/>
    </xf>
    <xf numFmtId="0" fontId="99" fillId="20" borderId="0" applyNumberFormat="0" applyBorder="0" applyAlignment="0" applyProtection="0">
      <alignment vertical="center"/>
    </xf>
    <xf numFmtId="0" fontId="100" fillId="46" borderId="0" applyNumberFormat="0" applyBorder="0" applyAlignment="0" applyProtection="0">
      <alignment vertical="center"/>
    </xf>
    <xf numFmtId="0" fontId="100" fillId="47" borderId="0" applyNumberFormat="0" applyBorder="0" applyAlignment="0" applyProtection="0">
      <alignment vertical="center"/>
    </xf>
    <xf numFmtId="0" fontId="99" fillId="48" borderId="0" applyNumberFormat="0" applyBorder="0" applyAlignment="0" applyProtection="0">
      <alignment vertical="center"/>
    </xf>
    <xf numFmtId="0" fontId="99" fillId="19" borderId="0" applyNumberFormat="0" applyBorder="0" applyAlignment="0" applyProtection="0">
      <alignment vertical="center"/>
    </xf>
    <xf numFmtId="0" fontId="100" fillId="49" borderId="0" applyNumberFormat="0" applyBorder="0" applyAlignment="0" applyProtection="0">
      <alignment vertical="center"/>
    </xf>
    <xf numFmtId="0" fontId="100" fillId="50" borderId="0" applyNumberFormat="0" applyBorder="0" applyAlignment="0" applyProtection="0">
      <alignment vertical="center"/>
    </xf>
    <xf numFmtId="0" fontId="99" fillId="51" borderId="0" applyNumberFormat="0" applyBorder="0" applyAlignment="0" applyProtection="0">
      <alignment vertical="center"/>
    </xf>
    <xf numFmtId="0" fontId="99" fillId="52" borderId="0" applyNumberFormat="0" applyBorder="0" applyAlignment="0" applyProtection="0">
      <alignment vertical="center"/>
    </xf>
    <xf numFmtId="0" fontId="100" fillId="53" borderId="0" applyNumberFormat="0" applyBorder="0" applyAlignment="0" applyProtection="0">
      <alignment vertical="center"/>
    </xf>
    <xf numFmtId="0" fontId="100" fillId="54" borderId="0" applyNumberFormat="0" applyBorder="0" applyAlignment="0" applyProtection="0">
      <alignment vertical="center"/>
    </xf>
    <xf numFmtId="0" fontId="99" fillId="55" borderId="0" applyNumberFormat="0" applyBorder="0" applyAlignment="0" applyProtection="0">
      <alignment vertical="center"/>
    </xf>
    <xf numFmtId="0" fontId="99" fillId="56" borderId="0" applyNumberFormat="0" applyBorder="0" applyAlignment="0" applyProtection="0">
      <alignment vertical="center"/>
    </xf>
    <xf numFmtId="0" fontId="100" fillId="57" borderId="0" applyNumberFormat="0" applyBorder="0" applyAlignment="0" applyProtection="0">
      <alignment vertical="center"/>
    </xf>
    <xf numFmtId="0" fontId="100" fillId="58" borderId="0" applyNumberFormat="0" applyBorder="0" applyAlignment="0" applyProtection="0">
      <alignment vertical="center"/>
    </xf>
    <xf numFmtId="0" fontId="99" fillId="59" borderId="0" applyNumberFormat="0" applyBorder="0" applyAlignment="0" applyProtection="0">
      <alignment vertical="center"/>
    </xf>
    <xf numFmtId="0" fontId="99" fillId="10" borderId="0" applyNumberFormat="0" applyBorder="0" applyAlignment="0" applyProtection="0">
      <alignment vertical="center"/>
    </xf>
    <xf numFmtId="0" fontId="100" fillId="60" borderId="0" applyNumberFormat="0" applyBorder="0" applyAlignment="0" applyProtection="0">
      <alignment vertical="center"/>
    </xf>
    <xf numFmtId="0" fontId="100" fillId="61" borderId="0" applyNumberFormat="0" applyBorder="0" applyAlignment="0" applyProtection="0">
      <alignment vertical="center"/>
    </xf>
    <xf numFmtId="0" fontId="99" fillId="62"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1" fillId="63" borderId="0" applyNumberFormat="0" applyBorder="0" applyAlignment="0" applyProtection="0">
      <alignment vertical="center"/>
    </xf>
    <xf numFmtId="0" fontId="101" fillId="63"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1" fillId="63" borderId="0" applyNumberFormat="0" applyBorder="0" applyAlignment="0" applyProtection="0">
      <alignment vertical="center"/>
    </xf>
    <xf numFmtId="0" fontId="101" fillId="63"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2" fillId="63"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2" fillId="63"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102" fillId="65"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102" fillId="65"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4"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101" fillId="67" borderId="0" applyNumberFormat="0" applyBorder="0" applyAlignment="0" applyProtection="0">
      <alignment vertical="center"/>
    </xf>
    <xf numFmtId="0" fontId="101" fillId="67"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101" fillId="67" borderId="0" applyNumberFormat="0" applyBorder="0" applyAlignment="0" applyProtection="0">
      <alignment vertical="center"/>
    </xf>
    <xf numFmtId="0" fontId="101" fillId="67"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102" fillId="67"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102" fillId="67"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6"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101" fillId="63" borderId="0" applyNumberFormat="0" applyBorder="0" applyAlignment="0" applyProtection="0">
      <alignment vertical="center"/>
    </xf>
    <xf numFmtId="0" fontId="101" fillId="63"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101" fillId="63" borderId="0" applyNumberFormat="0" applyBorder="0" applyAlignment="0" applyProtection="0">
      <alignment vertical="center"/>
    </xf>
    <xf numFmtId="0" fontId="101" fillId="63"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102" fillId="63"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102" fillId="63"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8"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2"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2"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2" fillId="65"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2" fillId="65"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2" fillId="72"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2" fillId="72"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101" fillId="73" borderId="0" applyNumberFormat="0" applyBorder="0" applyAlignment="0" applyProtection="0">
      <alignment vertical="center"/>
    </xf>
    <xf numFmtId="0" fontId="101" fillId="73"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101" fillId="73" borderId="0" applyNumberFormat="0" applyBorder="0" applyAlignment="0" applyProtection="0">
      <alignment vertical="center"/>
    </xf>
    <xf numFmtId="0" fontId="101" fillId="73"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102" fillId="73"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102" fillId="73"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101" fillId="74" borderId="0" applyNumberFormat="0" applyBorder="0" applyAlignment="0" applyProtection="0">
      <alignment vertical="center"/>
    </xf>
    <xf numFmtId="0" fontId="101" fillId="74"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101" fillId="74" borderId="0" applyNumberFormat="0" applyBorder="0" applyAlignment="0" applyProtection="0">
      <alignment vertical="center"/>
    </xf>
    <xf numFmtId="0" fontId="101" fillId="74"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102" fillId="74"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102" fillId="74"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102" fillId="72"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102" fillId="72"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101" fillId="75" borderId="0" applyNumberFormat="0" applyBorder="0" applyAlignment="0" applyProtection="0">
      <alignment vertical="center"/>
    </xf>
    <xf numFmtId="0" fontId="101" fillId="75"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101" fillId="75" borderId="0" applyNumberFormat="0" applyBorder="0" applyAlignment="0" applyProtection="0">
      <alignment vertical="center"/>
    </xf>
    <xf numFmtId="0" fontId="101" fillId="75"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102" fillId="75"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102" fillId="75"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58"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101" fillId="65" borderId="0" applyNumberFormat="0" applyBorder="0" applyAlignment="0" applyProtection="0">
      <alignment vertical="center"/>
    </xf>
    <xf numFmtId="0" fontId="101" fillId="65"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102" fillId="65"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102" fillId="65"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82" fillId="61"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5" fillId="77"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5" fillId="77"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6"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5" fillId="73"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5" fillId="73"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8"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5" fillId="74"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5" fillId="74"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79"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4" fillId="72" borderId="0" applyNumberFormat="0" applyBorder="0" applyAlignment="0" applyProtection="0">
      <alignment vertical="center"/>
    </xf>
    <xf numFmtId="0" fontId="104" fillId="72"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4" fillId="72" borderId="0" applyNumberFormat="0" applyBorder="0" applyAlignment="0" applyProtection="0">
      <alignment vertical="center"/>
    </xf>
    <xf numFmtId="0" fontId="104" fillId="72"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5" fillId="72"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5" fillId="72"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0"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5" fillId="77"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5" fillId="77"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1"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4" fillId="65" borderId="0" applyNumberFormat="0" applyBorder="0" applyAlignment="0" applyProtection="0">
      <alignment vertical="center"/>
    </xf>
    <xf numFmtId="0" fontId="104" fillId="65"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4" fillId="65" borderId="0" applyNumberFormat="0" applyBorder="0" applyAlignment="0" applyProtection="0">
      <alignment vertical="center"/>
    </xf>
    <xf numFmtId="0" fontId="104" fillId="65"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5" fillId="65"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5" fillId="65"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0" fontId="103" fillId="82" borderId="0" applyNumberFormat="0" applyBorder="0" applyAlignment="0" applyProtection="0">
      <alignment vertical="center"/>
    </xf>
    <xf numFmtId="176" fontId="106" fillId="0" borderId="0" applyFill="0" applyBorder="0" applyAlignment="0"/>
    <xf numFmtId="0" fontId="107" fillId="0" borderId="0" applyNumberFormat="0" applyFill="0" applyBorder="0" applyAlignment="0" applyProtection="0"/>
    <xf numFmtId="41" fontId="108" fillId="0" borderId="0" applyFont="0" applyFill="0" applyBorder="0" applyAlignment="0" applyProtection="0"/>
    <xf numFmtId="43" fontId="108" fillId="0" borderId="0" applyFont="0" applyFill="0" applyBorder="0" applyAlignment="0" applyProtection="0"/>
    <xf numFmtId="177" fontId="109" fillId="0" borderId="0" applyFont="0" applyFill="0" applyBorder="0" applyAlignment="0" applyProtection="0"/>
    <xf numFmtId="178" fontId="109" fillId="0" borderId="0" applyFont="0" applyFill="0" applyBorder="0" applyAlignment="0" applyProtection="0"/>
    <xf numFmtId="0" fontId="110" fillId="0" borderId="84" applyNumberFormat="0" applyAlignment="0" applyProtection="0">
      <alignment horizontal="left" vertical="center"/>
    </xf>
    <xf numFmtId="0" fontId="110" fillId="0" borderId="85">
      <alignment horizontal="left" vertical="center"/>
    </xf>
    <xf numFmtId="0" fontId="111" fillId="0" borderId="0"/>
    <xf numFmtId="0" fontId="107"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2" fillId="0" borderId="0" applyFont="0" applyFill="0" applyBorder="0" applyAlignment="0" applyProtection="0"/>
    <xf numFmtId="0" fontId="112" fillId="0" borderId="0" applyFont="0" applyFill="0" applyBorder="0" applyAlignment="0" applyProtection="0"/>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3"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3"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4"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6"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6"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7"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8"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8"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9"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2" fillId="83"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2" fillId="83"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3" fillId="83"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1" fillId="42"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2"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3" fillId="83" borderId="0" applyNumberFormat="0" applyBorder="0" applyAlignment="0" applyProtection="0">
      <alignment vertical="center"/>
    </xf>
    <xf numFmtId="0" fontId="124" fillId="0" borderId="0"/>
    <xf numFmtId="0" fontId="124" fillId="0" borderId="0"/>
    <xf numFmtId="0" fontId="0" fillId="0" borderId="0">
      <alignment vertical="center"/>
    </xf>
    <xf numFmtId="0" fontId="124" fillId="0" borderId="0"/>
    <xf numFmtId="0" fontId="0" fillId="0" borderId="0">
      <alignment vertical="center"/>
    </xf>
    <xf numFmtId="0" fontId="124" fillId="0" borderId="0"/>
    <xf numFmtId="0" fontId="124" fillId="0" borderId="0"/>
    <xf numFmtId="0" fontId="0" fillId="0" borderId="0">
      <alignment vertical="center"/>
    </xf>
    <xf numFmtId="0" fontId="124" fillId="0" borderId="0"/>
    <xf numFmtId="0" fontId="0" fillId="0" borderId="0">
      <alignment vertical="center"/>
    </xf>
    <xf numFmtId="0" fontId="124" fillId="0" borderId="0"/>
    <xf numFmtId="0" fontId="124" fillId="0" borderId="0"/>
    <xf numFmtId="0" fontId="0" fillId="0" borderId="0">
      <alignment vertical="center"/>
    </xf>
    <xf numFmtId="0" fontId="124" fillId="0" borderId="0"/>
    <xf numFmtId="0" fontId="124" fillId="0" borderId="0"/>
    <xf numFmtId="0" fontId="124" fillId="0" borderId="0"/>
    <xf numFmtId="0" fontId="124" fillId="0" borderId="0"/>
    <xf numFmtId="0" fontId="0" fillId="0" borderId="0"/>
    <xf numFmtId="0" fontId="124" fillId="0" borderId="0"/>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0" fillId="0" borderId="0">
      <alignment vertical="center"/>
    </xf>
    <xf numFmtId="0" fontId="60" fillId="0" borderId="0"/>
    <xf numFmtId="0" fontId="0" fillId="0" borderId="0">
      <alignment vertical="center"/>
    </xf>
    <xf numFmtId="0" fontId="124" fillId="0" borderId="0"/>
    <xf numFmtId="0" fontId="124" fillId="0" borderId="0"/>
    <xf numFmtId="0" fontId="124" fillId="0" borderId="0"/>
    <xf numFmtId="0" fontId="0" fillId="0" borderId="0">
      <alignment vertical="center"/>
    </xf>
    <xf numFmtId="0" fontId="0"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0" fillId="0" borderId="0">
      <alignment vertical="center"/>
    </xf>
    <xf numFmtId="0" fontId="0" fillId="0" borderId="0">
      <alignment vertical="center"/>
    </xf>
    <xf numFmtId="0" fontId="0" fillId="0" borderId="0">
      <alignment vertical="center"/>
    </xf>
    <xf numFmtId="0" fontId="60" fillId="0" borderId="0"/>
    <xf numFmtId="0" fontId="0" fillId="0" borderId="0">
      <alignment vertical="center"/>
    </xf>
    <xf numFmtId="0" fontId="0"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0" fillId="0" borderId="0">
      <alignment vertical="center"/>
    </xf>
    <xf numFmtId="0" fontId="0" fillId="0" borderId="0">
      <alignment vertical="center"/>
    </xf>
    <xf numFmtId="0" fontId="0" fillId="0" borderId="0">
      <alignment vertical="center"/>
    </xf>
    <xf numFmtId="0" fontId="60" fillId="0" borderId="0"/>
    <xf numFmtId="0" fontId="0" fillId="0" borderId="0">
      <alignment vertical="center"/>
    </xf>
    <xf numFmtId="0" fontId="0"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60" fillId="0" borderId="0"/>
    <xf numFmtId="0" fontId="60" fillId="0" borderId="0"/>
    <xf numFmtId="0" fontId="60" fillId="0" borderId="0"/>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0" fillId="0" borderId="0"/>
    <xf numFmtId="0" fontId="0" fillId="0" borderId="0">
      <alignment vertical="center"/>
    </xf>
    <xf numFmtId="0" fontId="0" fillId="0" borderId="0">
      <alignment vertical="center"/>
    </xf>
    <xf numFmtId="0" fontId="124"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4" fillId="0" borderId="0"/>
    <xf numFmtId="0" fontId="0" fillId="0" borderId="0">
      <alignment vertical="center"/>
    </xf>
    <xf numFmtId="0" fontId="124" fillId="0" borderId="0"/>
    <xf numFmtId="0" fontId="102" fillId="0" borderId="0">
      <alignment vertical="center"/>
    </xf>
    <xf numFmtId="0" fontId="124" fillId="0" borderId="0"/>
    <xf numFmtId="0" fontId="0" fillId="0" borderId="0">
      <alignment vertical="center"/>
    </xf>
    <xf numFmtId="0" fontId="0" fillId="0" borderId="0"/>
    <xf numFmtId="0" fontId="0" fillId="0" borderId="0" applyBorder="0">
      <alignment vertical="center"/>
    </xf>
    <xf numFmtId="0" fontId="124" fillId="0" borderId="0"/>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6" fillId="84"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6" fillId="84"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7" fillId="84"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5" fillId="41"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6"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7" fillId="84" borderId="0" applyNumberFormat="0" applyBorder="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9"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9"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30"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2" fillId="63" borderId="93"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2" fillId="63" borderId="93"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3" fillId="63" borderId="93"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1" fillId="39" borderId="79"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5" fillId="85" borderId="94"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5" fillId="85" borderId="94"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6" fillId="85" borderId="94"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4" fillId="40" borderId="81" applyNumberFormat="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4"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4"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5"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179" fontId="108" fillId="0" borderId="0" applyFont="0" applyFill="0" applyBorder="0" applyAlignment="0" applyProtection="0"/>
    <xf numFmtId="180" fontId="108" fillId="0" borderId="0" applyFont="0" applyFill="0" applyBorder="0" applyAlignment="0" applyProtection="0"/>
    <xf numFmtId="181" fontId="146" fillId="0" borderId="0" applyFont="0" applyFill="0" applyBorder="0" applyAlignment="0" applyProtection="0"/>
    <xf numFmtId="182" fontId="146" fillId="0" borderId="0" applyFont="0" applyFill="0" applyBorder="0" applyAlignment="0" applyProtection="0"/>
    <xf numFmtId="0" fontId="147" fillId="0" borderId="0"/>
    <xf numFmtId="41" fontId="147" fillId="0" borderId="0" applyFont="0" applyFill="0" applyBorder="0" applyAlignment="0" applyProtection="0"/>
    <xf numFmtId="43" fontId="147" fillId="0" borderId="0" applyFont="0" applyFill="0" applyBorder="0" applyAlignment="0" applyProtection="0"/>
    <xf numFmtId="41" fontId="148" fillId="0" borderId="0" applyFont="0" applyFill="0" applyBorder="0" applyAlignment="0" applyProtection="0"/>
    <xf numFmtId="43" fontId="148"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49" fillId="0" borderId="0"/>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5" fillId="7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5" fillId="7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4" fillId="86" borderId="0" applyNumberFormat="0" applyBorder="0" applyAlignment="0" applyProtection="0">
      <alignment vertical="center"/>
    </xf>
    <xf numFmtId="0" fontId="104" fillId="86"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4" fillId="86" borderId="0" applyNumberFormat="0" applyBorder="0" applyAlignment="0" applyProtection="0">
      <alignment vertical="center"/>
    </xf>
    <xf numFmtId="0" fontId="104" fillId="86"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5" fillId="86"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5" fillId="86"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5" fillId="87"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5" fillId="87"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4" fillId="88" borderId="0" applyNumberFormat="0" applyBorder="0" applyAlignment="0" applyProtection="0">
      <alignment vertical="center"/>
    </xf>
    <xf numFmtId="0" fontId="104" fillId="88"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4" fillId="88" borderId="0" applyNumberFormat="0" applyBorder="0" applyAlignment="0" applyProtection="0">
      <alignment vertical="center"/>
    </xf>
    <xf numFmtId="0" fontId="104" fillId="88"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5" fillId="88"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5" fillId="88"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2"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5" fillId="77"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5" fillId="77"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56"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4" fillId="89" borderId="0" applyNumberFormat="0" applyBorder="0" applyAlignment="0" applyProtection="0">
      <alignment vertical="center"/>
    </xf>
    <xf numFmtId="0" fontId="104" fillId="89"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4" fillId="89" borderId="0" applyNumberFormat="0" applyBorder="0" applyAlignment="0" applyProtection="0">
      <alignment vertical="center"/>
    </xf>
    <xf numFmtId="0" fontId="104" fillId="89"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5" fillId="89"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5" fillId="89"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1" fillId="74"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1" fillId="74"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2" fillId="74"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0" fillId="43" borderId="0" applyNumberFormat="0" applyBorder="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4" fillId="63" borderId="96"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4" fillId="63" borderId="96"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5" fillId="63" borderId="96"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3" fillId="39" borderId="80"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7" fillId="65" borderId="93"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7" fillId="65" borderId="93"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8" fillId="65" borderId="93"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56" fillId="38" borderId="79" applyNumberFormat="0" applyAlignment="0" applyProtection="0">
      <alignment vertical="center"/>
    </xf>
    <xf numFmtId="0" fontId="148" fillId="0" borderId="0"/>
    <xf numFmtId="0" fontId="159" fillId="0" borderId="0" applyNumberFormat="0" applyFill="0" applyBorder="0" applyAlignment="0" applyProtection="0">
      <alignment vertical="center"/>
    </xf>
    <xf numFmtId="0" fontId="160" fillId="0" borderId="0"/>
    <xf numFmtId="40" fontId="112" fillId="0" borderId="0" applyFont="0" applyFill="0" applyBorder="0" applyAlignment="0" applyProtection="0"/>
    <xf numFmtId="38" fontId="112" fillId="0" borderId="0" applyFont="0" applyFill="0" applyBorder="0" applyAlignment="0" applyProtection="0"/>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0" fillId="67" borderId="97"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0" fillId="67" borderId="97"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xf numFmtId="0" fontId="102" fillId="37" borderId="76" applyNumberFormat="0" applyFont="0" applyAlignment="0" applyProtection="0">
      <alignment vertical="center"/>
    </xf>
  </cellStyleXfs>
  <cellXfs count="1095">
    <xf numFmtId="0" fontId="0" fillId="0" borderId="0" xfId="0">
      <alignment vertical="center"/>
    </xf>
    <xf numFmtId="0" fontId="0" fillId="0" borderId="0" xfId="1185" applyAlignment="1"/>
    <xf numFmtId="0" fontId="1" fillId="2" borderId="1" xfId="1185" applyFont="1" applyFill="1" applyBorder="1" applyAlignment="1">
      <alignment horizontal="centerContinuous" vertical="center"/>
    </xf>
    <xf numFmtId="183" fontId="2" fillId="3" borderId="2" xfId="1285" applyNumberFormat="1" applyFont="1" applyFill="1" applyBorder="1" applyAlignment="1" applyProtection="1">
      <alignment horizontal="center" vertical="center" wrapText="1"/>
      <protection locked="0"/>
    </xf>
    <xf numFmtId="0" fontId="0" fillId="0" borderId="1" xfId="1185" applyBorder="1" applyAlignment="1"/>
    <xf numFmtId="0" fontId="0" fillId="0" borderId="1" xfId="1185" applyBorder="1" applyAlignment="1">
      <alignment horizontal="center" vertical="center"/>
    </xf>
    <xf numFmtId="184" fontId="0" fillId="0" borderId="1" xfId="1185" applyNumberFormat="1" applyBorder="1" applyAlignment="1"/>
    <xf numFmtId="0" fontId="0" fillId="4" borderId="1" xfId="1185" applyFill="1" applyBorder="1" applyAlignment="1"/>
    <xf numFmtId="184" fontId="3" fillId="0" borderId="3" xfId="1185" applyNumberFormat="1" applyFont="1" applyBorder="1" applyAlignment="1" applyProtection="1">
      <alignment horizontal="left" vertical="center" wrapText="1" indent="2"/>
      <protection locked="0"/>
    </xf>
    <xf numFmtId="184" fontId="3" fillId="0" borderId="4" xfId="1185" applyNumberFormat="1" applyFont="1" applyBorder="1" applyAlignment="1" applyProtection="1">
      <alignment vertical="center" wrapText="1"/>
      <protection locked="0"/>
    </xf>
    <xf numFmtId="184" fontId="3" fillId="0" borderId="4" xfId="1185" applyNumberFormat="1" applyFont="1" applyBorder="1" applyAlignment="1" applyProtection="1">
      <alignment horizontal="center" vertical="center" wrapText="1"/>
      <protection locked="0"/>
    </xf>
    <xf numFmtId="184" fontId="0" fillId="0" borderId="0" xfId="1185" applyNumberFormat="1" applyAlignment="1"/>
    <xf numFmtId="0" fontId="2" fillId="0" borderId="1" xfId="1185" applyFont="1" applyBorder="1" applyAlignment="1">
      <alignment horizontal="center"/>
    </xf>
    <xf numFmtId="184" fontId="2" fillId="0" borderId="1" xfId="1185" applyNumberFormat="1" applyFont="1" applyBorder="1" applyAlignment="1">
      <alignment horizontal="center"/>
    </xf>
    <xf numFmtId="0" fontId="2" fillId="0" borderId="1" xfId="1185" applyFont="1" applyBorder="1" applyAlignment="1">
      <alignment horizontal="center" vertical="center"/>
    </xf>
    <xf numFmtId="0" fontId="2" fillId="0" borderId="0" xfId="1185" applyFont="1" applyAlignment="1">
      <alignment horizontal="center" vertical="center" wrapText="1"/>
    </xf>
    <xf numFmtId="0" fontId="2" fillId="0" borderId="0" xfId="1185" applyFont="1" applyAlignment="1"/>
    <xf numFmtId="0" fontId="4" fillId="0" borderId="5" xfId="1269" applyFont="1" applyBorder="1" applyAlignment="1">
      <alignment horizontal="left" vertical="center"/>
    </xf>
    <xf numFmtId="0" fontId="4" fillId="0" borderId="6" xfId="1269" applyFont="1" applyBorder="1" applyAlignment="1">
      <alignment horizontal="left" vertical="center"/>
    </xf>
    <xf numFmtId="0" fontId="5" fillId="0" borderId="7" xfId="1185" applyFont="1" applyBorder="1" applyAlignment="1">
      <alignment horizontal="center" vertical="center" wrapText="1"/>
    </xf>
    <xf numFmtId="0" fontId="5" fillId="0" borderId="8" xfId="1185" applyFont="1" applyBorder="1" applyAlignment="1">
      <alignment horizontal="center" vertical="center" wrapText="1"/>
    </xf>
    <xf numFmtId="0" fontId="5" fillId="0" borderId="9" xfId="1185" applyFont="1" applyBorder="1" applyAlignment="1">
      <alignment horizontal="center" vertical="center" wrapText="1"/>
    </xf>
    <xf numFmtId="0" fontId="5" fillId="0" borderId="10" xfId="1185" applyFont="1" applyBorder="1" applyAlignment="1">
      <alignment horizontal="center" vertical="center" wrapText="1"/>
    </xf>
    <xf numFmtId="0" fontId="0" fillId="0" borderId="11" xfId="1185" applyBorder="1" applyAlignment="1">
      <alignment horizontal="center" vertical="center" wrapText="1"/>
    </xf>
    <xf numFmtId="0" fontId="1" fillId="5" borderId="11" xfId="1185" applyFont="1" applyFill="1" applyBorder="1" applyAlignment="1">
      <alignment horizontal="center" vertical="center" wrapText="1"/>
    </xf>
    <xf numFmtId="0" fontId="0" fillId="0" borderId="1" xfId="1185" applyBorder="1" applyAlignment="1">
      <alignment horizontal="center" vertical="center" wrapText="1"/>
    </xf>
    <xf numFmtId="0" fontId="1" fillId="5" borderId="1" xfId="1185" applyFont="1" applyFill="1" applyBorder="1" applyAlignment="1">
      <alignment horizontal="center" vertical="center" wrapText="1"/>
    </xf>
    <xf numFmtId="0" fontId="0" fillId="0" borderId="0" xfId="1185" applyAlignment="1">
      <alignment horizontal="left" vertical="center" wrapText="1"/>
    </xf>
    <xf numFmtId="0" fontId="1" fillId="0" borderId="0" xfId="1185" applyFont="1" applyAlignment="1">
      <alignment horizontal="left" vertical="center" wrapText="1"/>
    </xf>
    <xf numFmtId="0" fontId="1" fillId="0" borderId="0" xfId="1185" applyFont="1" applyAlignment="1">
      <alignment vertical="center" wrapText="1"/>
    </xf>
    <xf numFmtId="0" fontId="4" fillId="0" borderId="12" xfId="1269" applyFont="1" applyBorder="1" applyAlignment="1">
      <alignment horizontal="left" vertical="center"/>
    </xf>
    <xf numFmtId="0" fontId="5" fillId="0" borderId="8" xfId="1185" applyFont="1" applyBorder="1" applyAlignment="1">
      <alignment vertical="center" wrapText="1"/>
    </xf>
    <xf numFmtId="0" fontId="5" fillId="0" borderId="13" xfId="1185" applyFont="1" applyBorder="1" applyAlignment="1">
      <alignment horizontal="center" vertical="center" wrapText="1"/>
    </xf>
    <xf numFmtId="0" fontId="5" fillId="0" borderId="14" xfId="1185" applyFont="1" applyBorder="1" applyAlignment="1">
      <alignment horizontal="center" vertical="center" wrapText="1"/>
    </xf>
    <xf numFmtId="0" fontId="0" fillId="5" borderId="1"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6" fillId="0" borderId="0" xfId="0" applyFont="1" applyAlignment="1">
      <alignment horizontal="centerContinuous" vertical="center"/>
    </xf>
    <xf numFmtId="0" fontId="6" fillId="0" borderId="0" xfId="0" applyFont="1" applyAlignment="1">
      <alignment horizontal="centerContinuous" vertical="center" wrapText="1"/>
    </xf>
    <xf numFmtId="49" fontId="7" fillId="0" borderId="0" xfId="0" applyNumberFormat="1" applyFont="1" applyAlignment="1">
      <alignment horizontal="left" vertical="center"/>
    </xf>
    <xf numFmtId="49" fontId="7" fillId="0" borderId="0" xfId="0" applyNumberFormat="1" applyFont="1" applyAlignment="1">
      <alignment horizontal="center" vertical="center"/>
    </xf>
    <xf numFmtId="0" fontId="8" fillId="0" borderId="0" xfId="6" applyFont="1" applyAlignment="1" applyProtection="1">
      <alignment vertical="center"/>
    </xf>
    <xf numFmtId="0" fontId="9" fillId="0" borderId="0" xfId="0" applyFont="1" applyAlignment="1">
      <alignment horizontal="center" vertical="center"/>
    </xf>
    <xf numFmtId="0" fontId="9" fillId="0" borderId="0" xfId="0" applyFont="1" applyAlignment="1">
      <alignment horizontal="center" vertical="center" wrapText="1"/>
    </xf>
    <xf numFmtId="49" fontId="7" fillId="6" borderId="15" xfId="0" applyNumberFormat="1" applyFont="1" applyFill="1" applyBorder="1" applyAlignment="1">
      <alignment horizontal="left" vertical="center"/>
    </xf>
    <xf numFmtId="49" fontId="7" fillId="6" borderId="16" xfId="0" applyNumberFormat="1" applyFont="1" applyFill="1" applyBorder="1" applyAlignment="1">
      <alignment horizontal="center" vertical="center"/>
    </xf>
    <xf numFmtId="0" fontId="8" fillId="6" borderId="16" xfId="6" applyFont="1" applyFill="1" applyBorder="1" applyAlignment="1" applyProtection="1">
      <alignment vertical="center"/>
    </xf>
    <xf numFmtId="0" fontId="9" fillId="6" borderId="16" xfId="0" applyFont="1" applyFill="1" applyBorder="1" applyAlignment="1">
      <alignment horizontal="center" vertical="center"/>
    </xf>
    <xf numFmtId="0" fontId="9" fillId="6" borderId="16" xfId="0" applyFont="1" applyFill="1" applyBorder="1" applyAlignment="1">
      <alignment horizontal="center" vertical="center" wrapText="1"/>
    </xf>
    <xf numFmtId="49" fontId="4" fillId="6" borderId="7" xfId="0" applyNumberFormat="1" applyFont="1" applyFill="1" applyBorder="1" applyAlignment="1">
      <alignment horizontal="left" vertical="center"/>
    </xf>
    <xf numFmtId="49" fontId="4" fillId="6" borderId="8" xfId="0" applyNumberFormat="1" applyFont="1" applyFill="1" applyBorder="1" applyAlignment="1">
      <alignment horizontal="center" vertical="center"/>
    </xf>
    <xf numFmtId="0" fontId="4" fillId="6" borderId="8" xfId="0" applyFont="1" applyFill="1" applyBorder="1" applyAlignment="1">
      <alignment horizontal="center" vertical="center"/>
    </xf>
    <xf numFmtId="0" fontId="4" fillId="6" borderId="8" xfId="0" applyFont="1" applyFill="1" applyBorder="1" applyAlignment="1">
      <alignment horizontal="center" vertical="center" wrapText="1"/>
    </xf>
    <xf numFmtId="49" fontId="1" fillId="0" borderId="1" xfId="0" applyNumberFormat="1" applyFont="1" applyBorder="1" applyAlignment="1" applyProtection="1">
      <alignment horizontal="left" vertical="center"/>
      <protection locked="0"/>
    </xf>
    <xf numFmtId="49" fontId="1" fillId="0" borderId="1" xfId="0" applyNumberFormat="1"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protection locked="0"/>
    </xf>
    <xf numFmtId="0" fontId="1" fillId="0" borderId="1" xfId="0" applyFont="1" applyBorder="1" applyAlignment="1" applyProtection="1">
      <alignment horizontal="left" vertical="center"/>
      <protection locked="0"/>
    </xf>
    <xf numFmtId="0" fontId="10" fillId="0" borderId="1" xfId="0" applyFont="1" applyBorder="1" applyProtection="1">
      <alignment vertical="center"/>
      <protection locked="0"/>
    </xf>
    <xf numFmtId="0" fontId="1" fillId="0" borderId="17" xfId="0" applyFont="1" applyBorder="1" applyAlignment="1" applyProtection="1">
      <alignment horizontal="center" vertical="center" wrapText="1"/>
      <protection locked="0"/>
    </xf>
    <xf numFmtId="49" fontId="1" fillId="4" borderId="1" xfId="0" applyNumberFormat="1"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wrapText="1"/>
      <protection locked="0"/>
    </xf>
    <xf numFmtId="0" fontId="1" fillId="4" borderId="17" xfId="0" applyFont="1" applyFill="1" applyBorder="1" applyAlignment="1" applyProtection="1">
      <alignment horizontal="center" vertical="center"/>
      <protection locked="0"/>
    </xf>
    <xf numFmtId="184" fontId="1" fillId="0" borderId="0" xfId="0" applyNumberFormat="1" applyFont="1" applyAlignment="1" applyProtection="1">
      <alignment horizontal="left" vertical="center"/>
      <protection locked="0"/>
    </xf>
    <xf numFmtId="184" fontId="1" fillId="0" borderId="0" xfId="0" applyNumberFormat="1" applyFont="1" applyAlignment="1" applyProtection="1">
      <alignment horizontal="left" vertical="center" wrapText="1"/>
      <protection locked="0"/>
    </xf>
    <xf numFmtId="49" fontId="1" fillId="0" borderId="0" xfId="0" applyNumberFormat="1" applyFont="1" applyAlignment="1" applyProtection="1">
      <alignment horizontal="left" vertical="center"/>
      <protection locked="0"/>
    </xf>
    <xf numFmtId="49" fontId="1" fillId="0" borderId="0" xfId="0" applyNumberFormat="1" applyFont="1" applyAlignment="1" applyProtection="1">
      <alignment horizontal="left" vertical="center" wrapText="1"/>
      <protection locked="0"/>
    </xf>
    <xf numFmtId="185" fontId="6" fillId="0" borderId="0" xfId="0" applyNumberFormat="1" applyFont="1" applyAlignment="1">
      <alignment horizontal="centerContinuous" vertical="center" wrapText="1"/>
    </xf>
    <xf numFmtId="185" fontId="6" fillId="0" borderId="0" xfId="0" applyNumberFormat="1" applyFont="1" applyAlignment="1">
      <alignment horizontal="centerContinuous" vertical="center"/>
    </xf>
    <xf numFmtId="0" fontId="6" fillId="0" borderId="0" xfId="0" applyFont="1" applyAlignment="1">
      <alignment horizontal="center" vertical="center"/>
    </xf>
    <xf numFmtId="185" fontId="7" fillId="0" borderId="0" xfId="0" applyNumberFormat="1" applyFont="1" applyAlignment="1">
      <alignment vertical="center" wrapText="1"/>
    </xf>
    <xf numFmtId="0" fontId="7" fillId="0" borderId="0" xfId="0" applyFont="1" applyAlignment="1">
      <alignment horizontal="center" vertical="center"/>
    </xf>
    <xf numFmtId="185" fontId="7" fillId="0" borderId="0" xfId="0" applyNumberFormat="1" applyFont="1" applyAlignment="1">
      <alignment horizontal="right" vertical="center"/>
    </xf>
    <xf numFmtId="185" fontId="7" fillId="6" borderId="16" xfId="0" applyNumberFormat="1" applyFont="1" applyFill="1" applyBorder="1" applyAlignment="1">
      <alignment vertical="center" wrapText="1"/>
    </xf>
    <xf numFmtId="0" fontId="7" fillId="6" borderId="16" xfId="0" applyFont="1" applyFill="1" applyBorder="1" applyAlignment="1">
      <alignment horizontal="center" vertical="center"/>
    </xf>
    <xf numFmtId="185" fontId="7" fillId="6" borderId="16" xfId="0" applyNumberFormat="1" applyFont="1" applyFill="1" applyBorder="1" applyAlignment="1">
      <alignment horizontal="right" vertical="center"/>
    </xf>
    <xf numFmtId="185" fontId="4" fillId="6" borderId="8" xfId="0" applyNumberFormat="1" applyFont="1" applyFill="1" applyBorder="1" applyAlignment="1">
      <alignment vertical="center" wrapText="1"/>
    </xf>
    <xf numFmtId="185" fontId="4" fillId="6" borderId="8" xfId="0" applyNumberFormat="1" applyFont="1" applyFill="1" applyBorder="1" applyAlignment="1">
      <alignment horizontal="right" vertical="center" wrapText="1"/>
    </xf>
    <xf numFmtId="0" fontId="0" fillId="6" borderId="8" xfId="0" applyFill="1" applyBorder="1" applyAlignment="1"/>
    <xf numFmtId="185" fontId="1" fillId="0" borderId="1" xfId="0" applyNumberFormat="1" applyFont="1" applyBorder="1" applyAlignment="1" applyProtection="1">
      <alignment vertical="center" wrapText="1"/>
      <protection locked="0"/>
    </xf>
    <xf numFmtId="10" fontId="1" fillId="0" borderId="1" xfId="3" applyNumberFormat="1" applyFont="1" applyFill="1" applyBorder="1" applyAlignment="1" applyProtection="1">
      <alignment horizontal="center" vertical="center" wrapText="1"/>
      <protection locked="0"/>
    </xf>
    <xf numFmtId="185" fontId="1" fillId="0" borderId="1" xfId="0" applyNumberFormat="1" applyFont="1" applyBorder="1" applyAlignment="1" applyProtection="1">
      <alignment horizontal="right" vertical="center" wrapText="1"/>
      <protection locked="0"/>
    </xf>
    <xf numFmtId="0" fontId="0" fillId="0" borderId="1" xfId="0" applyBorder="1" applyAlignment="1" applyProtection="1">
      <protection locked="0"/>
    </xf>
    <xf numFmtId="185" fontId="1" fillId="0" borderId="1" xfId="0" applyNumberFormat="1" applyFont="1" applyBorder="1" applyAlignment="1" applyProtection="1">
      <alignment horizontal="center" vertical="center" wrapText="1"/>
      <protection locked="0"/>
    </xf>
    <xf numFmtId="4" fontId="11" fillId="7" borderId="18" xfId="0" applyNumberFormat="1" applyFont="1" applyFill="1" applyBorder="1" applyAlignment="1" applyProtection="1">
      <alignment horizontal="center" vertical="center" wrapText="1"/>
      <protection locked="0"/>
    </xf>
    <xf numFmtId="185" fontId="12" fillId="0" borderId="1" xfId="0" applyNumberFormat="1" applyFont="1" applyBorder="1" applyAlignment="1" applyProtection="1">
      <alignment horizontal="right" vertical="center" wrapText="1"/>
      <protection locked="0"/>
    </xf>
    <xf numFmtId="4" fontId="11" fillId="0" borderId="18" xfId="0" applyNumberFormat="1" applyFont="1" applyFill="1" applyBorder="1" applyAlignment="1" applyProtection="1">
      <alignment horizontal="center" vertical="center" wrapText="1"/>
      <protection locked="0"/>
    </xf>
    <xf numFmtId="184" fontId="1" fillId="0" borderId="1" xfId="0" applyNumberFormat="1" applyFont="1" applyBorder="1" applyAlignment="1" applyProtection="1">
      <alignment vertical="center" wrapText="1"/>
      <protection locked="0"/>
    </xf>
    <xf numFmtId="186" fontId="1" fillId="0" borderId="1" xfId="0" applyNumberFormat="1" applyFont="1" applyBorder="1" applyProtection="1">
      <alignment vertical="center"/>
      <protection locked="0"/>
    </xf>
    <xf numFmtId="185" fontId="1" fillId="0" borderId="1" xfId="0" applyNumberFormat="1" applyFont="1" applyBorder="1" applyAlignment="1" applyProtection="1">
      <alignment horizontal="right" vertical="center"/>
      <protection locked="0"/>
    </xf>
    <xf numFmtId="186" fontId="1" fillId="0" borderId="1" xfId="0" applyNumberFormat="1" applyFont="1" applyBorder="1" applyAlignment="1" applyProtection="1">
      <alignment horizontal="center" vertical="center"/>
      <protection locked="0"/>
    </xf>
    <xf numFmtId="0" fontId="1" fillId="7" borderId="1" xfId="0"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vertical="center" wrapText="1"/>
      <protection locked="0"/>
    </xf>
    <xf numFmtId="10" fontId="1" fillId="4" borderId="1" xfId="3" applyNumberFormat="1"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horizontal="right" vertical="center" wrapText="1"/>
      <protection locked="0"/>
    </xf>
    <xf numFmtId="0" fontId="0" fillId="4" borderId="1" xfId="0" applyFill="1" applyBorder="1" applyAlignment="1" applyProtection="1">
      <protection locked="0"/>
    </xf>
    <xf numFmtId="185" fontId="1" fillId="0" borderId="0" xfId="0" applyNumberFormat="1" applyFont="1" applyAlignment="1" applyProtection="1">
      <alignment vertical="center" wrapText="1"/>
      <protection locked="0"/>
    </xf>
    <xf numFmtId="185" fontId="1" fillId="0" borderId="0" xfId="0" applyNumberFormat="1" applyFont="1" applyAlignment="1" applyProtection="1">
      <alignment horizontal="right" vertical="center"/>
      <protection locked="0"/>
    </xf>
    <xf numFmtId="184"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6" borderId="16" xfId="0" applyNumberFormat="1" applyFill="1" applyBorder="1" applyAlignment="1">
      <alignment horizontal="right"/>
    </xf>
    <xf numFmtId="0" fontId="7" fillId="6" borderId="19" xfId="0" applyFont="1" applyFill="1" applyBorder="1" applyAlignment="1">
      <alignment horizontal="left" vertical="center"/>
    </xf>
    <xf numFmtId="0" fontId="4" fillId="6" borderId="13" xfId="0" applyFont="1" applyFill="1" applyBorder="1" applyAlignment="1">
      <alignment horizontal="center" vertical="center"/>
    </xf>
    <xf numFmtId="0" fontId="0" fillId="0" borderId="0" xfId="0" applyAlignment="1" applyProtection="1">
      <protection locked="0"/>
    </xf>
    <xf numFmtId="0" fontId="1" fillId="0" borderId="2"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187" fontId="13" fillId="0" borderId="1" xfId="0" applyNumberFormat="1" applyFont="1" applyBorder="1" applyAlignment="1" applyProtection="1">
      <alignment horizontal="right" vertical="center" wrapText="1"/>
      <protection locked="0"/>
    </xf>
    <xf numFmtId="0" fontId="0" fillId="0" borderId="0" xfId="1185" applyAlignment="1">
      <alignment horizontal="left"/>
    </xf>
    <xf numFmtId="0" fontId="6" fillId="0" borderId="0" xfId="1185" applyFont="1" applyAlignment="1">
      <alignment horizontal="left" vertical="center"/>
    </xf>
    <xf numFmtId="0" fontId="6" fillId="0" borderId="0" xfId="1185" applyFont="1" applyAlignment="1">
      <alignment horizontal="centerContinuous" vertical="center"/>
    </xf>
    <xf numFmtId="185" fontId="6" fillId="0" borderId="0" xfId="1185" applyNumberFormat="1" applyFont="1" applyAlignment="1">
      <alignment horizontal="centerContinuous" vertical="center"/>
    </xf>
    <xf numFmtId="0" fontId="7" fillId="0" borderId="0" xfId="1185" applyFont="1" applyAlignment="1">
      <alignment horizontal="left" vertical="center"/>
    </xf>
    <xf numFmtId="0" fontId="7" fillId="0" borderId="0" xfId="1185" applyFont="1">
      <alignment vertical="center"/>
    </xf>
    <xf numFmtId="185" fontId="7" fillId="0" borderId="0" xfId="1185" applyNumberFormat="1" applyFont="1" applyAlignment="1">
      <alignment horizontal="right" vertical="center"/>
    </xf>
    <xf numFmtId="0" fontId="7" fillId="8" borderId="15" xfId="1185" applyFont="1" applyFill="1" applyBorder="1" applyAlignment="1">
      <alignment horizontal="left" vertical="center"/>
    </xf>
    <xf numFmtId="0" fontId="7" fillId="8" borderId="16" xfId="1185" applyFont="1" applyFill="1" applyBorder="1">
      <alignment vertical="center"/>
    </xf>
    <xf numFmtId="0" fontId="8" fillId="8" borderId="16" xfId="6" applyFont="1" applyFill="1" applyBorder="1" applyAlignment="1" applyProtection="1">
      <alignment vertical="center"/>
    </xf>
    <xf numFmtId="185" fontId="7" fillId="8" borderId="16" xfId="1185" applyNumberFormat="1" applyFont="1" applyFill="1" applyBorder="1" applyAlignment="1">
      <alignment horizontal="right" vertical="center"/>
    </xf>
    <xf numFmtId="0" fontId="5" fillId="8" borderId="7" xfId="1185" applyFont="1" applyFill="1" applyBorder="1" applyAlignment="1">
      <alignment horizontal="left" vertical="center" wrapText="1"/>
    </xf>
    <xf numFmtId="0" fontId="5" fillId="8" borderId="8" xfId="1185" applyFont="1" applyFill="1" applyBorder="1" applyAlignment="1">
      <alignment horizontal="center" vertical="center" wrapText="1"/>
    </xf>
    <xf numFmtId="0" fontId="5" fillId="8" borderId="8" xfId="1185" applyFont="1" applyFill="1" applyBorder="1" applyAlignment="1">
      <alignment horizontal="center" vertical="center"/>
    </xf>
    <xf numFmtId="0" fontId="14" fillId="8" borderId="21" xfId="1185" applyFont="1" applyFill="1" applyBorder="1" applyAlignment="1">
      <alignment horizontal="center" vertical="center" wrapText="1"/>
    </xf>
    <xf numFmtId="0" fontId="14" fillId="8" borderId="22" xfId="1185" applyFont="1" applyFill="1" applyBorder="1" applyAlignment="1">
      <alignment horizontal="center" vertical="center" wrapText="1"/>
    </xf>
    <xf numFmtId="0" fontId="1" fillId="7" borderId="1" xfId="1185" applyFont="1" applyFill="1" applyBorder="1" applyAlignment="1" applyProtection="1">
      <alignment horizontal="left" vertical="center" wrapText="1"/>
      <protection locked="0"/>
    </xf>
    <xf numFmtId="0" fontId="1" fillId="7" borderId="1" xfId="1185" applyFont="1" applyFill="1" applyBorder="1" applyAlignment="1" applyProtection="1">
      <alignment horizontal="center" vertical="center" wrapText="1"/>
      <protection locked="0"/>
    </xf>
    <xf numFmtId="0" fontId="1" fillId="7" borderId="1" xfId="1185" applyFont="1" applyFill="1" applyBorder="1" applyProtection="1">
      <alignment vertical="center"/>
      <protection locked="0"/>
    </xf>
    <xf numFmtId="0" fontId="1" fillId="7" borderId="1" xfId="1185" applyFont="1" applyFill="1" applyBorder="1" applyAlignment="1" applyProtection="1">
      <alignment horizontal="center" vertical="center"/>
      <protection locked="0"/>
    </xf>
    <xf numFmtId="185" fontId="1" fillId="7" borderId="1" xfId="1185" applyNumberFormat="1" applyFont="1" applyFill="1" applyBorder="1" applyAlignment="1" applyProtection="1">
      <alignment horizontal="right" vertical="center"/>
      <protection locked="0"/>
    </xf>
    <xf numFmtId="0" fontId="1" fillId="7" borderId="17" xfId="1185" applyFont="1" applyFill="1" applyBorder="1" applyAlignment="1" applyProtection="1">
      <alignment horizontal="center" vertical="center"/>
      <protection locked="0"/>
    </xf>
    <xf numFmtId="185" fontId="1" fillId="7" borderId="17" xfId="1185" applyNumberFormat="1" applyFont="1" applyFill="1" applyBorder="1" applyAlignment="1" applyProtection="1">
      <alignment horizontal="right" vertical="center"/>
      <protection locked="0"/>
    </xf>
    <xf numFmtId="0" fontId="1" fillId="0" borderId="1" xfId="1185" applyFont="1" applyBorder="1" applyAlignment="1" applyProtection="1">
      <alignment horizontal="left" vertical="center" wrapText="1"/>
      <protection locked="0"/>
    </xf>
    <xf numFmtId="0" fontId="1" fillId="0" borderId="1" xfId="1185" applyFont="1" applyBorder="1" applyAlignment="1" applyProtection="1">
      <alignment horizontal="center" vertical="center" wrapText="1"/>
      <protection locked="0"/>
    </xf>
    <xf numFmtId="0" fontId="1" fillId="0" borderId="1" xfId="1185" applyFont="1" applyBorder="1" applyProtection="1">
      <alignment vertical="center"/>
      <protection locked="0"/>
    </xf>
    <xf numFmtId="0" fontId="1" fillId="0" borderId="1" xfId="1185" applyFont="1" applyBorder="1" applyAlignment="1" applyProtection="1">
      <alignment horizontal="center" vertical="center"/>
      <protection locked="0"/>
    </xf>
    <xf numFmtId="0" fontId="1" fillId="0" borderId="17" xfId="1185" applyFont="1" applyBorder="1" applyAlignment="1" applyProtection="1">
      <alignment horizontal="center" vertical="center"/>
      <protection locked="0"/>
    </xf>
    <xf numFmtId="185" fontId="1" fillId="0" borderId="17" xfId="1185" applyNumberFormat="1" applyFont="1" applyBorder="1" applyAlignment="1" applyProtection="1">
      <alignment horizontal="right" vertical="center"/>
      <protection locked="0"/>
    </xf>
    <xf numFmtId="0" fontId="15" fillId="0" borderId="1" xfId="1185" applyFont="1" applyBorder="1" applyAlignment="1" applyProtection="1">
      <alignment vertical="center" wrapText="1"/>
      <protection locked="0"/>
    </xf>
    <xf numFmtId="0" fontId="1" fillId="0" borderId="1" xfId="1185" applyFont="1" applyBorder="1" applyAlignment="1" applyProtection="1">
      <alignment vertical="center" wrapText="1"/>
      <protection locked="0"/>
    </xf>
    <xf numFmtId="0" fontId="15" fillId="0" borderId="1" xfId="1185" applyFont="1" applyBorder="1" applyProtection="1">
      <alignment vertical="center"/>
      <protection locked="0"/>
    </xf>
    <xf numFmtId="0" fontId="15" fillId="0" borderId="1" xfId="1185" applyFont="1" applyBorder="1" applyAlignment="1" applyProtection="1">
      <alignment horizontal="left" vertical="center"/>
      <protection locked="0"/>
    </xf>
    <xf numFmtId="0" fontId="1" fillId="7" borderId="1" xfId="1185" applyFont="1" applyFill="1" applyBorder="1" applyAlignment="1">
      <alignment horizontal="left" vertical="center"/>
    </xf>
    <xf numFmtId="0" fontId="1" fillId="7" borderId="1" xfId="1185" applyFont="1" applyFill="1" applyBorder="1" applyAlignment="1">
      <alignment horizontal="center" vertical="center" wrapText="1"/>
    </xf>
    <xf numFmtId="0" fontId="10" fillId="7" borderId="1" xfId="1185" applyFont="1" applyFill="1" applyBorder="1">
      <alignment vertical="center"/>
    </xf>
    <xf numFmtId="0" fontId="1" fillId="7" borderId="1" xfId="1185" applyFont="1" applyFill="1" applyBorder="1" applyAlignment="1">
      <alignment horizontal="center" vertical="center"/>
    </xf>
    <xf numFmtId="0" fontId="1" fillId="7" borderId="17" xfId="1185" applyFont="1" applyFill="1" applyBorder="1" applyAlignment="1">
      <alignment horizontal="center" vertical="center" wrapText="1"/>
    </xf>
    <xf numFmtId="185" fontId="1" fillId="7" borderId="17"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6" fillId="0" borderId="0" xfId="1185" applyNumberFormat="1" applyFont="1" applyAlignment="1">
      <alignment horizontal="centerContinuous" vertical="center" wrapText="1"/>
    </xf>
    <xf numFmtId="185" fontId="7" fillId="0" borderId="0" xfId="1185" applyNumberFormat="1" applyFont="1" applyAlignment="1">
      <alignment vertical="center" wrapText="1"/>
    </xf>
    <xf numFmtId="0" fontId="7" fillId="0" borderId="0" xfId="1185" applyFont="1" applyAlignment="1">
      <alignment horizontal="right" vertical="center"/>
    </xf>
    <xf numFmtId="0" fontId="16" fillId="0" borderId="0" xfId="1185" applyFont="1" applyAlignment="1">
      <alignment horizontal="right" vertical="center"/>
    </xf>
    <xf numFmtId="185" fontId="7" fillId="8" borderId="16" xfId="1185" applyNumberFormat="1" applyFont="1" applyFill="1" applyBorder="1" applyAlignment="1">
      <alignment vertical="center" wrapText="1"/>
    </xf>
    <xf numFmtId="0" fontId="7" fillId="8" borderId="16" xfId="1185" applyFont="1" applyFill="1" applyBorder="1" applyAlignment="1">
      <alignment horizontal="right" vertical="center"/>
    </xf>
    <xf numFmtId="185" fontId="5" fillId="8" borderId="8" xfId="1185" applyNumberFormat="1" applyFont="1" applyFill="1" applyBorder="1" applyAlignment="1">
      <alignment vertical="center" wrapText="1"/>
    </xf>
    <xf numFmtId="0" fontId="4" fillId="8" borderId="8" xfId="1185" applyFont="1" applyFill="1" applyBorder="1" applyAlignment="1">
      <alignment horizontal="center" vertical="center" wrapText="1"/>
    </xf>
    <xf numFmtId="0" fontId="17" fillId="8" borderId="21" xfId="1185" applyFont="1" applyFill="1" applyBorder="1" applyAlignment="1">
      <alignment horizontal="center" wrapText="1"/>
    </xf>
    <xf numFmtId="0" fontId="17" fillId="8" borderId="23" xfId="1185" applyFont="1" applyFill="1" applyBorder="1" applyAlignment="1">
      <alignment horizontal="center" wrapText="1"/>
    </xf>
    <xf numFmtId="0" fontId="17" fillId="8" borderId="21" xfId="1185" applyFont="1" applyFill="1" applyBorder="1" applyAlignment="1">
      <alignment horizontal="center"/>
    </xf>
    <xf numFmtId="185" fontId="1" fillId="7" borderId="1" xfId="1185" applyNumberFormat="1" applyFont="1" applyFill="1" applyBorder="1" applyAlignment="1" applyProtection="1">
      <alignment vertical="center" wrapText="1"/>
      <protection locked="0"/>
    </xf>
    <xf numFmtId="10" fontId="1" fillId="7" borderId="1" xfId="870" applyNumberFormat="1" applyFont="1" applyFill="1" applyBorder="1" applyAlignment="1" applyProtection="1">
      <alignment horizontal="center" vertical="center" wrapText="1"/>
      <protection locked="0"/>
    </xf>
    <xf numFmtId="185" fontId="13" fillId="7" borderId="1" xfId="1286"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vertical="center" wrapText="1"/>
      <protection locked="0"/>
    </xf>
    <xf numFmtId="10" fontId="1" fillId="0" borderId="1" xfId="870"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horizontal="center" vertical="center" wrapText="1"/>
      <protection locked="0"/>
    </xf>
    <xf numFmtId="185" fontId="13" fillId="0" borderId="1" xfId="1286" applyNumberFormat="1" applyFont="1" applyBorder="1" applyAlignment="1" applyProtection="1">
      <alignment horizontal="center" vertical="center" wrapText="1"/>
      <protection locked="0"/>
    </xf>
    <xf numFmtId="184" fontId="1" fillId="0" borderId="1" xfId="1185" applyNumberFormat="1" applyFont="1" applyBorder="1" applyAlignment="1" applyProtection="1">
      <alignment horizontal="center" vertical="center" wrapText="1"/>
      <protection locked="0"/>
    </xf>
    <xf numFmtId="10" fontId="1" fillId="0" borderId="1" xfId="870" applyNumberFormat="1" applyFont="1" applyBorder="1" applyAlignment="1" applyProtection="1">
      <alignment horizontal="center" vertical="center" wrapText="1"/>
      <protection locked="0"/>
    </xf>
    <xf numFmtId="185" fontId="1" fillId="7" borderId="1" xfId="1185" applyNumberFormat="1" applyFont="1" applyFill="1" applyBorder="1" applyAlignment="1">
      <alignment vertical="center" wrapText="1"/>
    </xf>
    <xf numFmtId="186" fontId="1" fillId="7" borderId="1"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7" fillId="8" borderId="19" xfId="1185" applyFont="1" applyFill="1" applyBorder="1" applyAlignment="1">
      <alignment horizontal="right" vertical="center"/>
    </xf>
    <xf numFmtId="185" fontId="5" fillId="8" borderId="8" xfId="1185" applyNumberFormat="1" applyFont="1" applyFill="1" applyBorder="1" applyAlignment="1">
      <alignment horizontal="right" vertical="center" wrapText="1"/>
    </xf>
    <xf numFmtId="0" fontId="5" fillId="8" borderId="13" xfId="1185" applyFont="1" applyFill="1" applyBorder="1" applyAlignment="1">
      <alignment horizontal="center" vertical="center"/>
    </xf>
    <xf numFmtId="185" fontId="1" fillId="7" borderId="1"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1" fillId="0" borderId="1" xfId="1185" applyNumberFormat="1" applyFont="1" applyBorder="1" applyAlignment="1" applyProtection="1">
      <alignment horizontal="right" vertical="center" wrapText="1"/>
      <protection locked="0"/>
    </xf>
    <xf numFmtId="185" fontId="1" fillId="7" borderId="1" xfId="1185" applyNumberFormat="1" applyFont="1" applyFill="1" applyBorder="1" applyAlignment="1">
      <alignment horizontal="right" vertical="center"/>
    </xf>
    <xf numFmtId="187" fontId="13" fillId="7" borderId="1" xfId="1185" applyNumberFormat="1" applyFont="1" applyFill="1" applyBorder="1" applyAlignment="1">
      <alignment horizontal="right" vertical="center" wrapText="1"/>
    </xf>
    <xf numFmtId="0" fontId="18" fillId="0" borderId="0" xfId="1185" applyFont="1" applyAlignment="1" applyProtection="1">
      <alignment horizontal="left"/>
      <protection locked="0"/>
    </xf>
    <xf numFmtId="0" fontId="18" fillId="0" borderId="0" xfId="1185" applyFont="1" applyAlignment="1" applyProtection="1">
      <protection locked="0"/>
    </xf>
    <xf numFmtId="0" fontId="19" fillId="0" borderId="0" xfId="1185" applyFont="1" applyAlignment="1"/>
    <xf numFmtId="0" fontId="20" fillId="0" borderId="0" xfId="1185" applyFont="1" applyAlignment="1" applyProtection="1">
      <alignment horizontal="center" vertical="center"/>
      <protection locked="0"/>
    </xf>
    <xf numFmtId="0" fontId="16" fillId="0" borderId="0" xfId="1185" applyFont="1" applyAlignment="1">
      <alignment horizontal="left" vertical="center"/>
    </xf>
    <xf numFmtId="0" fontId="16" fillId="0" borderId="0" xfId="1185" applyFont="1">
      <alignment vertical="center"/>
    </xf>
    <xf numFmtId="0" fontId="5" fillId="9" borderId="15" xfId="1185" applyFont="1" applyFill="1" applyBorder="1" applyAlignment="1">
      <alignment horizontal="center" vertical="center" wrapText="1"/>
    </xf>
    <xf numFmtId="0" fontId="5" fillId="9" borderId="24" xfId="1185" applyFont="1" applyFill="1" applyBorder="1" applyAlignment="1">
      <alignment horizontal="center" vertical="center" wrapText="1"/>
    </xf>
    <xf numFmtId="0" fontId="5" fillId="9" borderId="16" xfId="1185" applyFont="1" applyFill="1" applyBorder="1" applyAlignment="1">
      <alignment horizontal="center" vertical="center" wrapText="1"/>
    </xf>
    <xf numFmtId="0" fontId="5" fillId="9" borderId="16" xfId="1185" applyFont="1" applyFill="1" applyBorder="1" applyAlignment="1">
      <alignment vertical="center" wrapText="1"/>
    </xf>
    <xf numFmtId="0" fontId="5" fillId="9" borderId="8" xfId="1185" applyFont="1" applyFill="1" applyBorder="1" applyAlignment="1">
      <alignment horizontal="centerContinuous" vertical="center" wrapText="1"/>
    </xf>
    <xf numFmtId="0" fontId="0" fillId="9" borderId="25" xfId="1185" applyFill="1" applyBorder="1" applyAlignment="1">
      <alignment horizontal="centerContinuous" wrapText="1"/>
    </xf>
    <xf numFmtId="0" fontId="5" fillId="0" borderId="26" xfId="1185" applyFont="1" applyFill="1" applyBorder="1" applyAlignment="1">
      <alignment horizontal="center" vertical="center" wrapText="1"/>
    </xf>
    <xf numFmtId="0" fontId="5" fillId="0" borderId="27" xfId="1185" applyFont="1" applyFill="1" applyBorder="1" applyAlignment="1">
      <alignment horizontal="center" vertical="center" wrapText="1"/>
    </xf>
    <xf numFmtId="0" fontId="5" fillId="0" borderId="11" xfId="1185" applyFont="1" applyFill="1" applyBorder="1" applyAlignment="1">
      <alignment horizontal="center" vertical="center" wrapText="1"/>
    </xf>
    <xf numFmtId="185" fontId="21" fillId="0" borderId="1" xfId="1286" applyNumberFormat="1" applyFont="1" applyFill="1" applyBorder="1" applyAlignment="1">
      <alignment horizontal="center" vertical="center" wrapText="1"/>
    </xf>
    <xf numFmtId="0" fontId="1" fillId="10" borderId="1" xfId="1185" applyFont="1" applyFill="1" applyBorder="1" applyAlignment="1" applyProtection="1">
      <alignment horizontal="center" vertical="center" wrapText="1"/>
      <protection locked="0"/>
    </xf>
    <xf numFmtId="0" fontId="22" fillId="10" borderId="1" xfId="1185" applyFont="1" applyFill="1" applyBorder="1" applyAlignment="1" applyProtection="1">
      <alignment horizontal="center" vertical="center" wrapText="1"/>
      <protection locked="0"/>
    </xf>
    <xf numFmtId="184" fontId="1" fillId="10" borderId="1" xfId="1185" applyNumberFormat="1" applyFont="1" applyFill="1" applyBorder="1" applyAlignment="1" applyProtection="1">
      <alignment horizontal="right" vertical="center" wrapText="1"/>
      <protection locked="0"/>
    </xf>
    <xf numFmtId="0" fontId="1" fillId="0" borderId="1" xfId="1185" applyFont="1" applyBorder="1" applyAlignment="1"/>
    <xf numFmtId="0" fontId="23" fillId="0" borderId="0" xfId="6" applyFill="1" applyAlignment="1" applyProtection="1">
      <alignment horizontal="center" vertical="center"/>
    </xf>
    <xf numFmtId="0" fontId="8" fillId="0" borderId="0" xfId="6" applyFont="1" applyFill="1" applyAlignment="1" applyProtection="1">
      <alignment horizontal="center" vertical="center"/>
    </xf>
    <xf numFmtId="0" fontId="8" fillId="0" borderId="0" xfId="6" applyFont="1" applyFill="1" applyAlignment="1" applyProtection="1">
      <alignment vertical="center"/>
    </xf>
    <xf numFmtId="184" fontId="19" fillId="0" borderId="0" xfId="1185" applyNumberFormat="1" applyFont="1" applyAlignment="1">
      <alignment horizontal="right" vertical="center"/>
    </xf>
    <xf numFmtId="185" fontId="19" fillId="0" borderId="0" xfId="1185" applyNumberFormat="1" applyFont="1" applyAlignment="1">
      <alignment horizontal="right" vertical="center"/>
    </xf>
    <xf numFmtId="185" fontId="5" fillId="9" borderId="8" xfId="1185" applyNumberFormat="1" applyFont="1" applyFill="1" applyBorder="1" applyAlignment="1">
      <alignment vertical="center" wrapText="1"/>
    </xf>
    <xf numFmtId="0" fontId="5" fillId="9" borderId="21" xfId="1185" applyFont="1" applyFill="1" applyBorder="1" applyAlignment="1">
      <alignment horizontal="centerContinuous" vertical="center" wrapText="1"/>
    </xf>
    <xf numFmtId="0" fontId="5" fillId="9" borderId="23" xfId="1185" applyFont="1" applyFill="1" applyBorder="1" applyAlignment="1">
      <alignment horizontal="centerContinuous" vertical="center" wrapText="1"/>
    </xf>
    <xf numFmtId="0" fontId="5" fillId="9" borderId="28" xfId="1185" applyFont="1" applyFill="1" applyBorder="1" applyAlignment="1">
      <alignment horizontal="centerContinuous" vertical="center" wrapText="1"/>
    </xf>
    <xf numFmtId="0" fontId="0" fillId="9" borderId="25" xfId="1185" applyFill="1" applyBorder="1" applyAlignment="1">
      <alignment horizontal="centerContinuous"/>
    </xf>
    <xf numFmtId="0" fontId="5" fillId="9" borderId="25" xfId="1185" applyFont="1" applyFill="1" applyBorder="1" applyAlignment="1">
      <alignment horizontal="centerContinuous" vertical="center" wrapText="1"/>
    </xf>
    <xf numFmtId="185" fontId="21" fillId="0" borderId="1" xfId="1286" applyNumberFormat="1" applyFont="1" applyFill="1" applyBorder="1" applyAlignment="1">
      <alignment vertical="center" wrapText="1"/>
    </xf>
    <xf numFmtId="185" fontId="24" fillId="0" borderId="11" xfId="1286" applyNumberFormat="1" applyFont="1" applyFill="1" applyBorder="1" applyAlignment="1">
      <alignment horizontal="center" vertical="center" wrapText="1"/>
    </xf>
    <xf numFmtId="185" fontId="21" fillId="0" borderId="11" xfId="1286" applyNumberFormat="1" applyFont="1" applyFill="1" applyBorder="1" applyAlignment="1">
      <alignment horizontal="center" vertical="center" wrapText="1"/>
    </xf>
    <xf numFmtId="185" fontId="25" fillId="0" borderId="1" xfId="1286" applyNumberFormat="1" applyFont="1" applyFill="1" applyBorder="1" applyAlignment="1">
      <alignment horizontal="center" vertical="center" wrapText="1"/>
    </xf>
    <xf numFmtId="185" fontId="22" fillId="10" borderId="1" xfId="1185" applyNumberFormat="1" applyFont="1" applyFill="1" applyBorder="1" applyAlignment="1" applyProtection="1">
      <alignment vertical="center" wrapText="1"/>
      <protection locked="0"/>
    </xf>
    <xf numFmtId="2" fontId="22" fillId="10" borderId="1" xfId="1286" applyNumberFormat="1" applyFont="1" applyFill="1" applyBorder="1" applyAlignment="1" applyProtection="1">
      <alignment horizontal="center" vertical="center" wrapText="1"/>
      <protection locked="0"/>
    </xf>
    <xf numFmtId="0" fontId="22" fillId="10" borderId="1" xfId="1286" applyFont="1" applyFill="1" applyBorder="1" applyAlignment="1" applyProtection="1">
      <alignment horizontal="center" vertical="center" wrapText="1"/>
      <protection locked="0"/>
    </xf>
    <xf numFmtId="185" fontId="22" fillId="10" borderId="1" xfId="1286" applyNumberFormat="1" applyFont="1" applyFill="1" applyBorder="1" applyAlignment="1" applyProtection="1">
      <alignment horizontal="right" vertical="center" wrapText="1"/>
      <protection locked="0"/>
    </xf>
    <xf numFmtId="2" fontId="13" fillId="10" borderId="1" xfId="1286" applyNumberFormat="1" applyFont="1" applyFill="1" applyBorder="1" applyAlignment="1" applyProtection="1">
      <alignment horizontal="right" vertical="center" wrapText="1"/>
      <protection locked="0"/>
    </xf>
    <xf numFmtId="0" fontId="26" fillId="10" borderId="1" xfId="1286" applyFont="1" applyFill="1" applyBorder="1" applyAlignment="1" applyProtection="1">
      <alignment horizontal="center" vertical="center" wrapText="1"/>
      <protection locked="0"/>
    </xf>
    <xf numFmtId="185" fontId="26" fillId="10" borderId="1" xfId="1286" applyNumberFormat="1" applyFont="1" applyFill="1" applyBorder="1" applyAlignment="1" applyProtection="1">
      <alignment horizontal="right" vertical="center" wrapText="1"/>
      <protection locked="0"/>
    </xf>
    <xf numFmtId="2" fontId="26" fillId="10" borderId="1" xfId="1286" applyNumberFormat="1" applyFont="1" applyFill="1" applyBorder="1" applyAlignment="1" applyProtection="1">
      <alignment horizontal="right" vertical="center" wrapText="1"/>
      <protection locked="0"/>
    </xf>
    <xf numFmtId="188" fontId="1" fillId="0" borderId="1" xfId="1185" applyNumberFormat="1" applyFont="1" applyBorder="1" applyAlignment="1"/>
    <xf numFmtId="184" fontId="1" fillId="0" borderId="1" xfId="1185" applyNumberFormat="1" applyFont="1" applyBorder="1" applyAlignment="1"/>
    <xf numFmtId="185" fontId="1" fillId="0" borderId="1" xfId="1185" applyNumberFormat="1" applyFont="1" applyBorder="1" applyAlignment="1"/>
    <xf numFmtId="0" fontId="2" fillId="9" borderId="19" xfId="1185" applyFont="1" applyFill="1" applyBorder="1" applyAlignment="1">
      <alignment vertical="center" wrapText="1"/>
    </xf>
    <xf numFmtId="0" fontId="2" fillId="0" borderId="29" xfId="1185" applyFont="1" applyFill="1" applyBorder="1" applyAlignment="1">
      <alignment horizontal="center" vertical="center" wrapText="1"/>
    </xf>
    <xf numFmtId="184" fontId="22" fillId="10" borderId="1" xfId="1286" applyNumberFormat="1" applyFont="1" applyFill="1" applyBorder="1" applyAlignment="1" applyProtection="1">
      <alignment horizontal="right" vertical="center" wrapText="1"/>
      <protection locked="0"/>
    </xf>
    <xf numFmtId="0" fontId="1" fillId="10" borderId="1" xfId="1185" applyFont="1" applyFill="1" applyBorder="1" applyAlignment="1" applyProtection="1">
      <alignment horizontal="center" vertical="center"/>
      <protection locked="0"/>
    </xf>
    <xf numFmtId="0" fontId="1" fillId="10" borderId="29" xfId="1185" applyFont="1" applyFill="1" applyBorder="1" applyAlignment="1" applyProtection="1">
      <alignment horizontal="center" vertical="center"/>
      <protection locked="0"/>
    </xf>
    <xf numFmtId="0" fontId="13" fillId="10" borderId="1" xfId="1286" applyFont="1" applyFill="1" applyBorder="1" applyAlignment="1" applyProtection="1">
      <alignment horizontal="right" vertical="center" wrapText="1"/>
      <protection locked="0"/>
    </xf>
    <xf numFmtId="184" fontId="13" fillId="10" borderId="1"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6" fillId="0" borderId="0" xfId="1185" applyFont="1" applyAlignment="1">
      <alignment horizontal="left" vertical="center" indent="13"/>
    </xf>
    <xf numFmtId="0" fontId="6" fillId="0" borderId="0" xfId="1185" applyFont="1" applyAlignment="1">
      <alignment horizontal="centerContinuous" vertical="center" wrapText="1"/>
    </xf>
    <xf numFmtId="0" fontId="6" fillId="0" borderId="0" xfId="1185" applyFont="1" applyAlignment="1">
      <alignment horizontal="center" vertical="center"/>
    </xf>
    <xf numFmtId="0" fontId="16" fillId="0" borderId="0" xfId="1185" applyFont="1" applyAlignment="1">
      <alignment horizontal="center" vertical="center"/>
    </xf>
    <xf numFmtId="0" fontId="19" fillId="0" borderId="0" xfId="1185" applyFont="1" applyAlignment="1">
      <alignment wrapText="1"/>
    </xf>
    <xf numFmtId="0" fontId="5" fillId="0" borderId="15" xfId="1185" applyFont="1" applyBorder="1" applyAlignment="1">
      <alignment horizontal="center" vertical="center" wrapText="1"/>
    </xf>
    <xf numFmtId="0" fontId="5" fillId="0" borderId="24" xfId="1185" applyFont="1" applyBorder="1" applyAlignment="1">
      <alignment horizontal="center" vertical="center" wrapText="1"/>
    </xf>
    <xf numFmtId="0" fontId="5" fillId="0" borderId="16" xfId="1185" applyFont="1" applyBorder="1" applyAlignment="1">
      <alignment horizontal="center" vertical="center" wrapText="1"/>
    </xf>
    <xf numFmtId="0" fontId="5" fillId="0" borderId="16" xfId="1185" applyFont="1" applyBorder="1" applyAlignment="1">
      <alignment horizontal="centerContinuous" vertical="center" wrapText="1"/>
    </xf>
    <xf numFmtId="0" fontId="0" fillId="0" borderId="25" xfId="1185" applyBorder="1" applyAlignment="1">
      <alignment horizontal="centerContinuous" wrapText="1"/>
    </xf>
    <xf numFmtId="0" fontId="5" fillId="0" borderId="30" xfId="1185" applyFont="1" applyBorder="1" applyAlignment="1">
      <alignment horizontal="center" vertical="center" wrapText="1"/>
    </xf>
    <xf numFmtId="0" fontId="5" fillId="0" borderId="31" xfId="1185" applyFont="1" applyBorder="1" applyAlignment="1">
      <alignment horizontal="center" vertical="center" wrapText="1"/>
    </xf>
    <xf numFmtId="185" fontId="21" fillId="0" borderId="31" xfId="1286" applyNumberFormat="1" applyFont="1" applyBorder="1" applyAlignment="1">
      <alignment horizontal="center" vertical="center" wrapText="1"/>
    </xf>
    <xf numFmtId="0" fontId="22" fillId="10" borderId="11" xfId="1185" applyFont="1" applyFill="1" applyBorder="1" applyAlignment="1" applyProtection="1">
      <alignment horizontal="center" vertical="center" wrapText="1"/>
      <protection locked="0"/>
    </xf>
    <xf numFmtId="0" fontId="1" fillId="0" borderId="1" xfId="1185" applyFont="1" applyBorder="1" applyAlignment="1">
      <alignment horizontal="center"/>
    </xf>
    <xf numFmtId="0" fontId="1" fillId="0" borderId="1" xfId="1185" applyFont="1" applyBorder="1" applyAlignment="1">
      <alignment wrapText="1"/>
    </xf>
    <xf numFmtId="185" fontId="6" fillId="0" borderId="0" xfId="1185" applyNumberFormat="1" applyFont="1" applyAlignment="1">
      <alignment horizontal="right" vertical="center"/>
    </xf>
    <xf numFmtId="185" fontId="5" fillId="0" borderId="16" xfId="1185" applyNumberFormat="1" applyFont="1" applyBorder="1" applyAlignment="1">
      <alignment vertical="center" wrapText="1"/>
    </xf>
    <xf numFmtId="0" fontId="5" fillId="0" borderId="28" xfId="1185" applyFont="1" applyBorder="1" applyAlignment="1">
      <alignment horizontal="left" vertical="center"/>
    </xf>
    <xf numFmtId="185" fontId="0" fillId="0" borderId="25" xfId="1185" applyNumberFormat="1" applyBorder="1" applyAlignment="1">
      <alignment horizontal="left"/>
    </xf>
    <xf numFmtId="0" fontId="5" fillId="0" borderId="25" xfId="1185" applyFont="1" applyBorder="1" applyAlignment="1">
      <alignment horizontal="left" vertical="center"/>
    </xf>
    <xf numFmtId="0" fontId="5" fillId="0" borderId="28" xfId="1185" applyFont="1" applyBorder="1" applyAlignment="1">
      <alignment horizontal="centerContinuous" vertical="center" wrapText="1"/>
    </xf>
    <xf numFmtId="185" fontId="21" fillId="0" borderId="31" xfId="1286" applyNumberFormat="1" applyFont="1" applyBorder="1" applyAlignment="1">
      <alignment vertical="center" wrapText="1"/>
    </xf>
    <xf numFmtId="185" fontId="24" fillId="0" borderId="31" xfId="1286" applyNumberFormat="1" applyFont="1" applyBorder="1" applyAlignment="1">
      <alignment horizontal="center" vertical="center" wrapText="1"/>
    </xf>
    <xf numFmtId="185" fontId="25" fillId="0" borderId="31" xfId="1286" applyNumberFormat="1" applyFont="1" applyBorder="1" applyAlignment="1">
      <alignment horizontal="center" vertical="center" wrapText="1"/>
    </xf>
    <xf numFmtId="185" fontId="22" fillId="10" borderId="11" xfId="1185" applyNumberFormat="1" applyFont="1" applyFill="1" applyBorder="1" applyAlignment="1" applyProtection="1">
      <alignment vertical="center" wrapText="1"/>
      <protection locked="0"/>
    </xf>
    <xf numFmtId="2" fontId="22" fillId="10" borderId="11" xfId="1286" applyNumberFormat="1" applyFont="1" applyFill="1" applyBorder="1" applyAlignment="1" applyProtection="1">
      <alignment horizontal="center" vertical="center" wrapText="1"/>
      <protection locked="0"/>
    </xf>
    <xf numFmtId="0" fontId="22" fillId="10" borderId="11" xfId="1286" applyFont="1" applyFill="1" applyBorder="1" applyAlignment="1" applyProtection="1">
      <alignment horizontal="center" vertical="center" wrapText="1"/>
      <protection locked="0"/>
    </xf>
    <xf numFmtId="185" fontId="22" fillId="10" borderId="11" xfId="1286" applyNumberFormat="1" applyFont="1" applyFill="1" applyBorder="1" applyAlignment="1" applyProtection="1">
      <alignment horizontal="right" vertical="center" wrapText="1"/>
      <protection locked="0"/>
    </xf>
    <xf numFmtId="0" fontId="27" fillId="0" borderId="0" xfId="1185" applyFont="1" applyAlignment="1">
      <alignment horizontal="centerContinuous" vertical="center"/>
    </xf>
    <xf numFmtId="184" fontId="0" fillId="0" borderId="0" xfId="1185" applyNumberFormat="1" applyAlignment="1">
      <alignment horizontal="right" vertical="center"/>
    </xf>
    <xf numFmtId="0" fontId="5" fillId="0" borderId="16" xfId="1185" applyFont="1" applyBorder="1" applyAlignment="1">
      <alignment vertical="center" wrapText="1"/>
    </xf>
    <xf numFmtId="0" fontId="2" fillId="0" borderId="19" xfId="1185" applyFont="1" applyBorder="1" applyAlignment="1">
      <alignment vertical="center" wrapText="1"/>
    </xf>
    <xf numFmtId="0" fontId="2" fillId="0" borderId="32" xfId="1185" applyFont="1" applyBorder="1" applyAlignment="1">
      <alignment horizontal="center" vertical="center" wrapText="1"/>
    </xf>
    <xf numFmtId="184" fontId="22" fillId="10" borderId="11" xfId="1286" applyNumberFormat="1" applyFont="1" applyFill="1" applyBorder="1" applyAlignment="1" applyProtection="1">
      <alignment horizontal="right" vertical="center" wrapText="1"/>
      <protection locked="0"/>
    </xf>
    <xf numFmtId="0" fontId="22" fillId="10" borderId="11" xfId="1185" applyFont="1" applyFill="1" applyBorder="1" applyAlignment="1" applyProtection="1">
      <alignment horizontal="center" vertical="center"/>
      <protection locked="0"/>
    </xf>
    <xf numFmtId="0" fontId="0" fillId="0" borderId="0" xfId="1185" applyAlignment="1">
      <alignment horizontal="centerContinuous"/>
    </xf>
    <xf numFmtId="0" fontId="6" fillId="0" borderId="0" xfId="1185" applyFont="1" applyAlignment="1">
      <alignment horizontal="right" vertical="center"/>
    </xf>
    <xf numFmtId="0" fontId="5" fillId="0" borderId="15" xfId="1185" applyFont="1" applyBorder="1" applyAlignment="1">
      <alignment horizontal="center" vertical="center"/>
    </xf>
    <xf numFmtId="0" fontId="5" fillId="0" borderId="16" xfId="1185" applyFont="1" applyBorder="1">
      <alignment vertical="center"/>
    </xf>
    <xf numFmtId="0" fontId="5" fillId="0" borderId="28" xfId="1185" applyFont="1" applyBorder="1" applyAlignment="1">
      <alignment horizontal="center" vertical="center"/>
    </xf>
    <xf numFmtId="0" fontId="5" fillId="0" borderId="30" xfId="1185" applyFont="1" applyBorder="1" applyAlignment="1">
      <alignment horizontal="center" vertical="center"/>
    </xf>
    <xf numFmtId="0" fontId="5" fillId="0" borderId="31" xfId="1185" applyFont="1" applyBorder="1" applyAlignment="1">
      <alignment horizontal="center" vertical="center"/>
    </xf>
    <xf numFmtId="0" fontId="5" fillId="0" borderId="32" xfId="1185" applyFont="1" applyBorder="1" applyAlignment="1">
      <alignment horizontal="center" vertical="center"/>
    </xf>
    <xf numFmtId="0" fontId="5" fillId="0" borderId="1" xfId="1185" applyFont="1" applyFill="1" applyBorder="1" applyAlignment="1">
      <alignment horizontal="center" vertical="center" wrapText="1"/>
    </xf>
    <xf numFmtId="185" fontId="1" fillId="0" borderId="1" xfId="1185" applyNumberFormat="1" applyFont="1" applyBorder="1" applyAlignment="1">
      <alignment horizontal="right"/>
    </xf>
    <xf numFmtId="0" fontId="5" fillId="0" borderId="23" xfId="1185" applyFont="1" applyBorder="1" applyAlignment="1">
      <alignment horizontal="center" vertical="center"/>
    </xf>
    <xf numFmtId="0" fontId="5" fillId="0" borderId="25" xfId="1185" applyFont="1" applyBorder="1" applyAlignment="1">
      <alignment horizontal="center" vertical="center"/>
    </xf>
    <xf numFmtId="185" fontId="5" fillId="0" borderId="28" xfId="1185" applyNumberFormat="1" applyFont="1" applyBorder="1" applyAlignment="1">
      <alignment horizontal="center" vertical="center"/>
    </xf>
    <xf numFmtId="185" fontId="5" fillId="0" borderId="25" xfId="1185" applyNumberFormat="1" applyFont="1" applyBorder="1" applyAlignment="1">
      <alignment horizontal="center" vertical="center"/>
    </xf>
    <xf numFmtId="185" fontId="21" fillId="0" borderId="11" xfId="1286" applyNumberFormat="1" applyFont="1" applyFill="1" applyBorder="1" applyAlignment="1">
      <alignment vertical="center" wrapText="1"/>
    </xf>
    <xf numFmtId="185" fontId="24" fillId="0" borderId="1" xfId="1286" applyNumberFormat="1" applyFont="1" applyFill="1" applyBorder="1" applyAlignment="1">
      <alignment horizontal="center" vertical="center" wrapText="1"/>
    </xf>
    <xf numFmtId="185" fontId="21" fillId="0" borderId="1" xfId="1286" applyNumberFormat="1" applyFont="1" applyBorder="1" applyAlignment="1">
      <alignment horizontal="right" vertical="center" wrapText="1"/>
    </xf>
    <xf numFmtId="185" fontId="21" fillId="0" borderId="1" xfId="1286" applyNumberFormat="1" applyFont="1" applyBorder="1" applyAlignment="1">
      <alignment horizontal="center" vertical="center" wrapText="1"/>
    </xf>
    <xf numFmtId="0" fontId="5" fillId="0" borderId="8" xfId="1185" applyFont="1" applyBorder="1" applyAlignment="1">
      <alignment horizontal="centerContinuous" vertical="center"/>
    </xf>
    <xf numFmtId="0" fontId="2" fillId="0" borderId="19" xfId="1185" applyFont="1" applyBorder="1">
      <alignment vertical="center"/>
    </xf>
    <xf numFmtId="0" fontId="5" fillId="0" borderId="1" xfId="1185" applyFont="1" applyBorder="1" applyAlignment="1">
      <alignment horizontal="center" vertical="center" wrapText="1"/>
    </xf>
    <xf numFmtId="0" fontId="2" fillId="0" borderId="1" xfId="1185" applyFont="1" applyBorder="1" applyAlignment="1">
      <alignment horizontal="center" vertical="center" wrapText="1"/>
    </xf>
    <xf numFmtId="0" fontId="28" fillId="0" borderId="15" xfId="1185" applyFont="1" applyBorder="1" applyAlignment="1">
      <alignment horizontal="center" vertical="center"/>
    </xf>
    <xf numFmtId="0" fontId="28" fillId="0" borderId="16" xfId="1185" applyFont="1" applyBorder="1">
      <alignment vertical="center"/>
    </xf>
    <xf numFmtId="0" fontId="28" fillId="0" borderId="16" xfId="1185" applyFont="1" applyBorder="1" applyAlignment="1">
      <alignment horizontal="center" vertical="center"/>
    </xf>
    <xf numFmtId="0" fontId="28" fillId="0" borderId="8" xfId="1185" applyFont="1" applyBorder="1" applyAlignment="1">
      <alignment horizontal="centerContinuous" vertical="center"/>
    </xf>
    <xf numFmtId="0" fontId="29" fillId="0" borderId="25" xfId="1185" applyFont="1" applyBorder="1" applyAlignment="1">
      <alignment horizontal="centerContinuous"/>
    </xf>
    <xf numFmtId="0" fontId="28" fillId="0" borderId="26" xfId="1185" applyFont="1" applyBorder="1" applyAlignment="1">
      <alignment horizontal="center" vertical="center" wrapText="1"/>
    </xf>
    <xf numFmtId="0" fontId="28" fillId="0" borderId="11" xfId="1185" applyFont="1" applyBorder="1" applyAlignment="1">
      <alignment horizontal="center" vertical="center" wrapText="1"/>
    </xf>
    <xf numFmtId="185" fontId="30" fillId="0" borderId="1" xfId="1286" applyNumberFormat="1" applyFont="1" applyBorder="1" applyAlignment="1">
      <alignment horizontal="center" vertical="center" wrapText="1"/>
    </xf>
    <xf numFmtId="185" fontId="28" fillId="0" borderId="8" xfId="1185" applyNumberFormat="1" applyFont="1" applyBorder="1">
      <alignment vertical="center"/>
    </xf>
    <xf numFmtId="0" fontId="29" fillId="0" borderId="23" xfId="1185" applyFont="1" applyBorder="1" applyAlignment="1">
      <alignment horizontal="centerContinuous"/>
    </xf>
    <xf numFmtId="0" fontId="28" fillId="0" borderId="28" xfId="1185" applyFont="1" applyBorder="1" applyAlignment="1">
      <alignment horizontal="centerContinuous" vertical="center"/>
    </xf>
    <xf numFmtId="185" fontId="28" fillId="0" borderId="25" xfId="1185" applyNumberFormat="1" applyFont="1" applyBorder="1" applyAlignment="1">
      <alignment horizontal="right" vertical="center"/>
    </xf>
    <xf numFmtId="185" fontId="28" fillId="0" borderId="28" xfId="1185" applyNumberFormat="1" applyFont="1" applyBorder="1" applyAlignment="1">
      <alignment horizontal="left" vertical="center"/>
    </xf>
    <xf numFmtId="185" fontId="30" fillId="0" borderId="1" xfId="1286" applyNumberFormat="1" applyFont="1" applyBorder="1" applyAlignment="1">
      <alignment vertical="center" wrapText="1"/>
    </xf>
    <xf numFmtId="185" fontId="30" fillId="0" borderId="1" xfId="1286" applyNumberFormat="1" applyFont="1" applyBorder="1" applyAlignment="1">
      <alignment horizontal="right" vertical="center" wrapText="1"/>
    </xf>
    <xf numFmtId="185" fontId="22" fillId="10" borderId="1" xfId="1286" applyNumberFormat="1" applyFont="1" applyFill="1" applyBorder="1" applyAlignment="1" applyProtection="1">
      <alignment horizontal="center" vertical="center" wrapText="1"/>
      <protection locked="0"/>
    </xf>
    <xf numFmtId="185" fontId="1" fillId="10" borderId="1" xfId="1185" applyNumberFormat="1" applyFont="1" applyFill="1" applyBorder="1" applyAlignment="1" applyProtection="1">
      <alignment vertical="center" wrapText="1"/>
      <protection locked="0"/>
    </xf>
    <xf numFmtId="185" fontId="1" fillId="0" borderId="1" xfId="1185" applyNumberFormat="1" applyFont="1" applyBorder="1" applyAlignment="1">
      <alignment vertical="center" wrapText="1"/>
    </xf>
    <xf numFmtId="185" fontId="1" fillId="0" borderId="1" xfId="1185" applyNumberFormat="1" applyFont="1" applyBorder="1" applyAlignment="1">
      <alignment horizontal="right" vertical="center"/>
    </xf>
    <xf numFmtId="0" fontId="5" fillId="0" borderId="11" xfId="1185" applyFont="1" applyBorder="1" applyAlignment="1">
      <alignment horizontal="center" vertical="center" wrapText="1"/>
    </xf>
    <xf numFmtId="0" fontId="2" fillId="0" borderId="29" xfId="1185" applyFont="1" applyBorder="1" applyAlignment="1">
      <alignment horizontal="center" vertical="center" wrapText="1"/>
    </xf>
    <xf numFmtId="0" fontId="2" fillId="11" borderId="0" xfId="1185" applyFont="1" applyFill="1" applyAlignment="1"/>
    <xf numFmtId="0" fontId="0" fillId="12" borderId="0" xfId="1185" applyFill="1" applyAlignment="1"/>
    <xf numFmtId="0" fontId="31" fillId="0" borderId="0" xfId="1277" applyFont="1" applyAlignment="1" applyProtection="1">
      <alignment horizontal="centerContinuous" vertical="center" wrapText="1"/>
      <protection locked="0"/>
    </xf>
    <xf numFmtId="0" fontId="31" fillId="0" borderId="0" xfId="1277" applyFont="1" applyAlignment="1" applyProtection="1">
      <alignment horizontal="center" vertical="center" wrapText="1"/>
      <protection locked="0"/>
    </xf>
    <xf numFmtId="0" fontId="27" fillId="0" borderId="0" xfId="1277" applyFont="1" applyAlignment="1" applyProtection="1">
      <alignment horizontal="center" vertical="center"/>
      <protection locked="0"/>
    </xf>
    <xf numFmtId="0" fontId="32" fillId="0" borderId="0" xfId="1277" applyFont="1" applyProtection="1">
      <alignment vertical="center"/>
      <protection locked="0"/>
    </xf>
    <xf numFmtId="0" fontId="32" fillId="0" borderId="0" xfId="1277" applyFont="1" applyAlignment="1" applyProtection="1">
      <alignment horizontal="center" vertical="center"/>
      <protection locked="0"/>
    </xf>
    <xf numFmtId="184" fontId="0" fillId="0" borderId="0" xfId="1277" applyNumberFormat="1" applyProtection="1">
      <alignment vertical="center"/>
      <protection locked="0"/>
    </xf>
    <xf numFmtId="0" fontId="2" fillId="3" borderId="33"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 vertical="center"/>
      <protection locked="0"/>
    </xf>
    <xf numFmtId="0" fontId="2" fillId="3" borderId="34" xfId="1285" applyFont="1" applyFill="1" applyBorder="1" applyAlignment="1" applyProtection="1">
      <alignment horizontal="centerContinuous" vertical="center" wrapText="1"/>
      <protection locked="0"/>
    </xf>
    <xf numFmtId="0" fontId="2" fillId="3" borderId="35" xfId="1285" applyFont="1" applyFill="1" applyBorder="1" applyAlignment="1" applyProtection="1">
      <alignment horizontal="centerContinuous" vertical="center"/>
      <protection locked="0"/>
    </xf>
    <xf numFmtId="0" fontId="2" fillId="3" borderId="35" xfId="1285" applyFont="1" applyFill="1" applyBorder="1" applyAlignment="1" applyProtection="1">
      <alignment horizontal="center" vertical="center"/>
      <protection locked="0"/>
    </xf>
    <xf numFmtId="0" fontId="2" fillId="3" borderId="36" xfId="1285" applyFont="1" applyFill="1" applyBorder="1" applyAlignment="1" applyProtection="1">
      <alignment vertical="center" wrapText="1"/>
      <protection locked="0"/>
    </xf>
    <xf numFmtId="0" fontId="2" fillId="3" borderId="37" xfId="1285" applyFont="1" applyFill="1" applyBorder="1" applyAlignment="1" applyProtection="1">
      <alignment horizontal="center" vertical="center" wrapText="1"/>
      <protection locked="0"/>
    </xf>
    <xf numFmtId="0" fontId="0" fillId="10" borderId="20" xfId="1277" applyFill="1" applyBorder="1" applyAlignment="1" applyProtection="1">
      <alignment horizontal="center" vertical="center"/>
      <protection locked="0"/>
    </xf>
    <xf numFmtId="0" fontId="7" fillId="10" borderId="20" xfId="1285" applyFont="1" applyFill="1" applyBorder="1" applyAlignment="1" applyProtection="1">
      <alignment horizontal="center" vertical="center" wrapText="1"/>
      <protection locked="0"/>
    </xf>
    <xf numFmtId="0" fontId="2" fillId="11" borderId="1" xfId="1277" applyFont="1" applyFill="1" applyBorder="1" applyAlignment="1" applyProtection="1">
      <alignment horizontal="center" vertical="center"/>
      <protection locked="0"/>
    </xf>
    <xf numFmtId="0" fontId="33" fillId="11" borderId="1" xfId="1277" applyFont="1" applyFill="1" applyBorder="1" applyAlignment="1" applyProtection="1">
      <alignment horizontal="center" vertical="center" wrapText="1"/>
      <protection locked="0"/>
    </xf>
    <xf numFmtId="0" fontId="4" fillId="11" borderId="1" xfId="1285" applyFont="1" applyFill="1" applyBorder="1" applyAlignment="1" applyProtection="1">
      <alignment horizontal="center" vertical="center" wrapText="1"/>
      <protection locked="0"/>
    </xf>
    <xf numFmtId="0" fontId="0" fillId="12" borderId="1" xfId="1277" applyFill="1" applyBorder="1" applyAlignment="1" applyProtection="1">
      <alignment horizontal="center" vertical="center"/>
      <protection locked="0"/>
    </xf>
    <xf numFmtId="0" fontId="34" fillId="12" borderId="1" xfId="1277" applyFont="1" applyFill="1" applyBorder="1" applyAlignment="1" applyProtection="1">
      <alignment horizontal="center" vertical="center" wrapText="1"/>
      <protection locked="0"/>
    </xf>
    <xf numFmtId="0" fontId="1" fillId="12" borderId="1" xfId="1285" applyFont="1" applyFill="1" applyBorder="1" applyAlignment="1" applyProtection="1">
      <alignment horizontal="center" vertical="center" wrapText="1"/>
      <protection locked="0"/>
    </xf>
    <xf numFmtId="0" fontId="34" fillId="0" borderId="1" xfId="1277" applyFont="1" applyBorder="1" applyAlignment="1" applyProtection="1">
      <alignment vertical="center" wrapText="1"/>
      <protection locked="0"/>
    </xf>
    <xf numFmtId="0" fontId="34" fillId="0" borderId="1" xfId="1277" applyFont="1" applyBorder="1" applyAlignment="1" applyProtection="1">
      <alignment horizontal="center" vertical="center" wrapText="1"/>
      <protection locked="0"/>
    </xf>
    <xf numFmtId="0" fontId="1" fillId="0" borderId="1" xfId="1285" applyFont="1" applyBorder="1" applyAlignment="1" applyProtection="1">
      <alignment horizontal="center" vertical="center" wrapText="1"/>
      <protection locked="0"/>
    </xf>
    <xf numFmtId="0" fontId="7" fillId="0" borderId="1" xfId="1285" applyFont="1" applyBorder="1" applyAlignment="1" applyProtection="1">
      <alignment horizontal="center" vertical="center" wrapText="1"/>
      <protection locked="0"/>
    </xf>
    <xf numFmtId="0" fontId="0" fillId="13" borderId="1" xfId="1277" applyFill="1" applyBorder="1" applyAlignment="1" applyProtection="1">
      <alignment horizontal="center" vertical="center"/>
      <protection locked="0"/>
    </xf>
    <xf numFmtId="0" fontId="34" fillId="0" borderId="1" xfId="1277" applyFont="1" applyBorder="1" applyAlignment="1" applyProtection="1">
      <alignment horizontal="center" vertical="center"/>
      <protection locked="0"/>
    </xf>
    <xf numFmtId="0" fontId="7" fillId="0" borderId="1" xfId="1285" applyFont="1" applyBorder="1" applyAlignment="1" applyProtection="1">
      <alignment vertical="center" wrapText="1"/>
      <protection locked="0"/>
    </xf>
    <xf numFmtId="0" fontId="34" fillId="0" borderId="1" xfId="1277" applyFont="1" applyBorder="1" applyProtection="1">
      <alignment vertical="center"/>
      <protection locked="0"/>
    </xf>
    <xf numFmtId="0" fontId="33" fillId="11" borderId="1" xfId="1277" applyFont="1" applyFill="1" applyBorder="1" applyAlignment="1" applyProtection="1">
      <alignment vertical="center" wrapText="1"/>
      <protection locked="0"/>
    </xf>
    <xf numFmtId="0" fontId="5" fillId="11" borderId="1" xfId="1285" applyFont="1" applyFill="1" applyBorder="1" applyAlignment="1" applyProtection="1">
      <alignment vertical="center" wrapText="1"/>
      <protection locked="0"/>
    </xf>
    <xf numFmtId="0" fontId="33" fillId="11" borderId="1" xfId="1277" applyFont="1" applyFill="1" applyBorder="1" applyAlignment="1" applyProtection="1">
      <alignment horizontal="center" vertical="center"/>
      <protection locked="0"/>
    </xf>
    <xf numFmtId="0" fontId="33" fillId="11" borderId="1" xfId="1277" applyFont="1" applyFill="1" applyBorder="1" applyProtection="1">
      <alignment vertical="center"/>
      <protection locked="0"/>
    </xf>
    <xf numFmtId="184" fontId="33" fillId="11" borderId="1" xfId="1277" applyNumberFormat="1" applyFont="1" applyFill="1" applyBorder="1" applyProtection="1">
      <alignment vertical="center"/>
      <protection locked="0"/>
    </xf>
    <xf numFmtId="184" fontId="34" fillId="0" borderId="1" xfId="1277" applyNumberFormat="1" applyFont="1" applyBorder="1" applyAlignment="1" applyProtection="1">
      <alignment horizontal="center" vertical="center"/>
      <protection locked="0"/>
    </xf>
    <xf numFmtId="0" fontId="5" fillId="11" borderId="1" xfId="1285" applyFont="1" applyFill="1" applyBorder="1" applyAlignment="1" applyProtection="1">
      <alignment horizontal="center" vertical="center" wrapText="1"/>
      <protection locked="0"/>
    </xf>
    <xf numFmtId="184" fontId="5" fillId="11" borderId="1" xfId="1285" applyNumberFormat="1" applyFont="1" applyFill="1" applyBorder="1" applyAlignment="1" applyProtection="1">
      <alignment horizontal="center" vertical="center" wrapText="1"/>
      <protection locked="0"/>
    </xf>
    <xf numFmtId="0" fontId="0" fillId="12" borderId="1" xfId="1277" applyFill="1" applyBorder="1" applyAlignment="1" applyProtection="1">
      <alignment vertical="top"/>
      <protection locked="0"/>
    </xf>
    <xf numFmtId="0" fontId="7" fillId="12" borderId="1" xfId="1285" applyFont="1" applyFill="1" applyBorder="1" applyAlignment="1" applyProtection="1">
      <alignment horizontal="center" vertical="center" wrapText="1"/>
      <protection locked="0"/>
    </xf>
    <xf numFmtId="0" fontId="34" fillId="0" borderId="1" xfId="1277" applyFont="1" applyBorder="1" applyAlignment="1" applyProtection="1">
      <alignment vertical="top" wrapText="1"/>
      <protection locked="0"/>
    </xf>
    <xf numFmtId="0" fontId="7" fillId="0" borderId="1" xfId="1285" applyFont="1" applyBorder="1" applyAlignment="1" applyProtection="1">
      <alignment vertical="top" wrapText="1"/>
      <protection locked="0"/>
    </xf>
    <xf numFmtId="0" fontId="0" fillId="13" borderId="11" xfId="1277" applyFill="1" applyBorder="1" applyAlignment="1" applyProtection="1">
      <alignment horizontal="center" vertical="center"/>
      <protection locked="0"/>
    </xf>
    <xf numFmtId="0" fontId="34" fillId="0" borderId="11" xfId="1277" applyFont="1" applyBorder="1" applyAlignment="1" applyProtection="1">
      <alignment horizontal="center" vertical="center" wrapText="1"/>
      <protection locked="0"/>
    </xf>
    <xf numFmtId="0" fontId="7" fillId="0" borderId="11" xfId="1285" applyFont="1" applyBorder="1" applyAlignment="1" applyProtection="1">
      <alignment horizontal="center" vertical="center" wrapText="1"/>
      <protection locked="0"/>
    </xf>
    <xf numFmtId="0" fontId="31" fillId="0" borderId="0" xfId="1277" applyFont="1" applyAlignment="1" applyProtection="1">
      <alignment horizontal="centerContinuous" vertical="center"/>
      <protection locked="0"/>
    </xf>
    <xf numFmtId="0" fontId="32" fillId="0" borderId="0" xfId="1277" applyFont="1" applyAlignment="1" applyProtection="1">
      <alignment horizontal="left" vertical="center" wrapText="1"/>
      <protection locked="0"/>
    </xf>
    <xf numFmtId="184" fontId="0" fillId="0" borderId="0" xfId="1277" applyNumberFormat="1" applyAlignment="1" applyProtection="1">
      <alignment horizontal="right" vertical="center"/>
      <protection locked="0"/>
    </xf>
    <xf numFmtId="0" fontId="2" fillId="3" borderId="24" xfId="1285" applyFont="1" applyFill="1" applyBorder="1" applyAlignment="1" applyProtection="1">
      <alignment horizontal="centerContinuous" vertical="center"/>
      <protection locked="0"/>
    </xf>
    <xf numFmtId="0" fontId="2" fillId="3" borderId="8"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centerContinuous" vertical="center"/>
      <protection locked="0"/>
    </xf>
    <xf numFmtId="0" fontId="2" fillId="3" borderId="1"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left" vertical="center" wrapText="1"/>
      <protection locked="0"/>
    </xf>
    <xf numFmtId="185" fontId="2" fillId="3" borderId="37" xfId="1285" applyNumberFormat="1" applyFont="1" applyFill="1" applyBorder="1" applyAlignment="1" applyProtection="1">
      <alignment horizontal="center" vertical="center" wrapText="1"/>
      <protection locked="0"/>
    </xf>
    <xf numFmtId="0" fontId="7" fillId="10" borderId="20" xfId="1285" applyFont="1" applyFill="1" applyBorder="1" applyAlignment="1" applyProtection="1">
      <alignment horizontal="left" vertical="center" wrapText="1"/>
      <protection locked="0"/>
    </xf>
    <xf numFmtId="185" fontId="7" fillId="10" borderId="20" xfId="1285" applyNumberFormat="1" applyFont="1" applyFill="1" applyBorder="1" applyAlignment="1" applyProtection="1">
      <alignment horizontal="right" vertical="center" wrapText="1"/>
      <protection locked="0"/>
    </xf>
    <xf numFmtId="0" fontId="7" fillId="10" borderId="20" xfId="1285" applyFont="1" applyFill="1" applyBorder="1" applyAlignment="1" applyProtection="1">
      <alignment horizontal="right" vertical="center" wrapText="1"/>
      <protection locked="0"/>
    </xf>
    <xf numFmtId="0" fontId="33" fillId="11" borderId="1" xfId="1277" applyFont="1" applyFill="1" applyBorder="1" applyAlignment="1" applyProtection="1">
      <alignment horizontal="left" vertical="center" wrapText="1"/>
      <protection locked="0"/>
    </xf>
    <xf numFmtId="185" fontId="33" fillId="11" borderId="1" xfId="1277" applyNumberFormat="1" applyFont="1" applyFill="1" applyBorder="1" applyAlignment="1" applyProtection="1">
      <alignment horizontal="right" vertical="center" wrapText="1"/>
      <protection locked="0"/>
    </xf>
    <xf numFmtId="0" fontId="33" fillId="11" borderId="1" xfId="1277" applyFont="1" applyFill="1" applyBorder="1" applyAlignment="1" applyProtection="1">
      <alignment horizontal="right" vertical="center" wrapText="1"/>
      <protection locked="0"/>
    </xf>
    <xf numFmtId="184" fontId="4" fillId="11" borderId="1" xfId="1285" applyNumberFormat="1" applyFont="1" applyFill="1" applyBorder="1" applyAlignment="1" applyProtection="1">
      <alignment horizontal="right" vertical="center" wrapText="1"/>
      <protection locked="0"/>
    </xf>
    <xf numFmtId="0" fontId="34" fillId="12" borderId="1" xfId="1277" applyFont="1" applyFill="1" applyBorder="1" applyAlignment="1" applyProtection="1">
      <alignment horizontal="left" vertical="center" wrapText="1"/>
      <protection locked="0"/>
    </xf>
    <xf numFmtId="185" fontId="34" fillId="12" borderId="1" xfId="1277" applyNumberFormat="1" applyFont="1" applyFill="1" applyBorder="1" applyAlignment="1" applyProtection="1">
      <alignment horizontal="right" vertical="center" wrapText="1"/>
      <protection locked="0"/>
    </xf>
    <xf numFmtId="0" fontId="34" fillId="12" borderId="1" xfId="1277" applyFont="1" applyFill="1" applyBorder="1" applyAlignment="1" applyProtection="1">
      <alignment horizontal="right" vertical="center" wrapText="1"/>
      <protection locked="0"/>
    </xf>
    <xf numFmtId="184" fontId="1" fillId="12" borderId="1" xfId="1285" applyNumberFormat="1" applyFont="1" applyFill="1" applyBorder="1" applyAlignment="1" applyProtection="1">
      <alignment horizontal="right" vertical="center" wrapText="1"/>
      <protection locked="0"/>
    </xf>
    <xf numFmtId="0" fontId="34" fillId="0" borderId="1" xfId="1277" applyFont="1" applyBorder="1" applyAlignment="1" applyProtection="1">
      <alignment horizontal="right" vertical="center" wrapText="1"/>
      <protection locked="0"/>
    </xf>
    <xf numFmtId="0" fontId="34" fillId="0" borderId="1" xfId="1277" applyFont="1" applyBorder="1" applyAlignment="1" applyProtection="1">
      <alignment horizontal="left" vertical="center" wrapText="1"/>
      <protection locked="0"/>
    </xf>
    <xf numFmtId="0" fontId="26" fillId="0" borderId="1" xfId="1185" applyFont="1" applyBorder="1" applyAlignment="1">
      <alignment horizontal="center" vertical="center" wrapText="1"/>
    </xf>
    <xf numFmtId="0" fontId="35" fillId="0" borderId="1" xfId="1185" applyFont="1" applyBorder="1" applyAlignment="1">
      <alignment horizontal="center" vertical="center" wrapText="1"/>
    </xf>
    <xf numFmtId="184" fontId="1" fillId="0" borderId="1" xfId="1285" applyNumberFormat="1" applyFont="1" applyBorder="1" applyAlignment="1" applyProtection="1">
      <alignment horizontal="right" vertical="center" wrapText="1"/>
      <protection locked="0"/>
    </xf>
    <xf numFmtId="0" fontId="0" fillId="0" borderId="1" xfId="1277" applyBorder="1" applyAlignment="1" applyProtection="1">
      <protection locked="0"/>
    </xf>
    <xf numFmtId="0" fontId="26" fillId="14" borderId="1" xfId="1185" applyFont="1" applyFill="1" applyBorder="1" applyAlignment="1">
      <alignment horizontal="center" vertical="center" wrapText="1"/>
    </xf>
    <xf numFmtId="0" fontId="26" fillId="0" borderId="11" xfId="1185" applyFont="1" applyBorder="1" applyAlignment="1">
      <alignment horizontal="center" vertical="center" wrapText="1"/>
    </xf>
    <xf numFmtId="185" fontId="34" fillId="0" borderId="1" xfId="1277" applyNumberFormat="1" applyFont="1" applyBorder="1" applyAlignment="1" applyProtection="1">
      <alignment horizontal="right" vertical="center" wrapText="1"/>
      <protection locked="0"/>
    </xf>
    <xf numFmtId="0" fontId="26" fillId="15" borderId="39" xfId="1185" applyFont="1" applyFill="1" applyBorder="1" applyAlignment="1">
      <alignment horizontal="center" vertical="center" wrapText="1"/>
    </xf>
    <xf numFmtId="184" fontId="36" fillId="15" borderId="39" xfId="1185" applyNumberFormat="1" applyFont="1" applyFill="1" applyBorder="1" applyAlignment="1">
      <alignment horizontal="center" vertical="center"/>
    </xf>
    <xf numFmtId="0" fontId="26" fillId="0" borderId="39" xfId="1185" applyFont="1" applyBorder="1" applyAlignment="1">
      <alignment horizontal="center" vertical="center" wrapText="1"/>
    </xf>
    <xf numFmtId="184" fontId="36" fillId="0" borderId="39" xfId="1185" applyNumberFormat="1" applyFont="1" applyBorder="1" applyAlignment="1">
      <alignment horizontal="center" vertical="center"/>
    </xf>
    <xf numFmtId="184" fontId="34" fillId="0" borderId="1" xfId="1277" applyNumberFormat="1" applyFont="1" applyBorder="1" applyProtection="1">
      <alignment vertical="center"/>
      <protection locked="0"/>
    </xf>
    <xf numFmtId="0" fontId="25" fillId="11" borderId="1" xfId="1185" applyFont="1" applyFill="1" applyBorder="1" applyAlignment="1" applyProtection="1">
      <alignment horizontal="left" vertical="center" wrapText="1"/>
      <protection locked="0"/>
    </xf>
    <xf numFmtId="0" fontId="5" fillId="11" borderId="1" xfId="1277" applyFont="1" applyFill="1" applyBorder="1" applyAlignment="1" applyProtection="1">
      <alignment horizontal="left" vertical="center" wrapText="1"/>
      <protection locked="0"/>
    </xf>
    <xf numFmtId="0" fontId="25" fillId="11" borderId="1" xfId="1185" applyFont="1" applyFill="1" applyBorder="1" applyAlignment="1" applyProtection="1">
      <alignment horizontal="center" vertical="center" wrapText="1"/>
      <protection locked="0"/>
    </xf>
    <xf numFmtId="185" fontId="5" fillId="11" borderId="1" xfId="1277" applyNumberFormat="1" applyFont="1" applyFill="1" applyBorder="1" applyAlignment="1" applyProtection="1">
      <alignment horizontal="right" vertical="center" wrapText="1"/>
      <protection locked="0"/>
    </xf>
    <xf numFmtId="0" fontId="5" fillId="11" borderId="1" xfId="1277" applyFont="1" applyFill="1" applyBorder="1" applyAlignment="1" applyProtection="1">
      <alignment horizontal="right" vertical="center" wrapText="1"/>
      <protection locked="0"/>
    </xf>
    <xf numFmtId="0" fontId="37" fillId="0" borderId="1" xfId="1185" applyFont="1" applyBorder="1" applyAlignment="1" applyProtection="1">
      <alignment horizontal="left" vertical="center" wrapText="1"/>
      <protection locked="0"/>
    </xf>
    <xf numFmtId="0" fontId="7" fillId="0" borderId="1" xfId="1277" applyFont="1" applyBorder="1" applyAlignment="1" applyProtection="1">
      <alignment horizontal="left" vertical="center" wrapText="1"/>
      <protection locked="0"/>
    </xf>
    <xf numFmtId="0" fontId="7" fillId="0" borderId="1" xfId="1277" applyFont="1" applyBorder="1" applyAlignment="1" applyProtection="1">
      <alignment horizontal="center" vertical="center" wrapText="1"/>
      <protection locked="0"/>
    </xf>
    <xf numFmtId="185" fontId="7" fillId="0" borderId="1" xfId="1277" applyNumberFormat="1" applyFont="1" applyBorder="1" applyAlignment="1" applyProtection="1">
      <alignment horizontal="right" vertical="center" wrapText="1"/>
      <protection locked="0"/>
    </xf>
    <xf numFmtId="0" fontId="7" fillId="0" borderId="1" xfId="1277" applyFont="1" applyBorder="1" applyAlignment="1" applyProtection="1">
      <alignment horizontal="right" vertical="center" wrapText="1"/>
      <protection locked="0"/>
    </xf>
    <xf numFmtId="0" fontId="7" fillId="12" borderId="1" xfId="1285" applyFont="1" applyFill="1" applyBorder="1" applyAlignment="1" applyProtection="1">
      <alignment vertical="top" wrapText="1"/>
      <protection locked="0"/>
    </xf>
    <xf numFmtId="0" fontId="37" fillId="12" borderId="1" xfId="1185" applyFont="1" applyFill="1" applyBorder="1" applyAlignment="1" applyProtection="1">
      <alignment horizontal="left" vertical="center" wrapText="1"/>
      <protection locked="0"/>
    </xf>
    <xf numFmtId="0" fontId="7" fillId="0" borderId="1" xfId="1285" applyFont="1" applyBorder="1" applyAlignment="1" applyProtection="1">
      <alignment horizontal="left" vertical="center" wrapText="1"/>
      <protection locked="0"/>
    </xf>
    <xf numFmtId="185" fontId="7" fillId="0" borderId="1" xfId="1285" applyNumberFormat="1" applyFont="1" applyBorder="1" applyAlignment="1" applyProtection="1">
      <alignment horizontal="right" vertical="center" wrapText="1"/>
      <protection locked="0"/>
    </xf>
    <xf numFmtId="0" fontId="7" fillId="0" borderId="1" xfId="1285" applyFont="1" applyBorder="1" applyAlignment="1" applyProtection="1">
      <alignment horizontal="right" vertical="center" wrapText="1"/>
      <protection locked="0"/>
    </xf>
    <xf numFmtId="0" fontId="31"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2" fillId="16" borderId="8" xfId="1285" applyFont="1" applyFill="1" applyBorder="1" applyAlignment="1" applyProtection="1">
      <alignment horizontal="center" vertical="center" wrapText="1"/>
      <protection locked="0"/>
    </xf>
    <xf numFmtId="0" fontId="2" fillId="16" borderId="1" xfId="1285" applyFont="1" applyFill="1" applyBorder="1" applyAlignment="1" applyProtection="1">
      <alignment horizontal="center" vertical="center" wrapText="1"/>
      <protection locked="0"/>
    </xf>
    <xf numFmtId="0" fontId="2" fillId="3" borderId="20" xfId="1285" applyFont="1" applyFill="1" applyBorder="1" applyAlignment="1" applyProtection="1">
      <alignment horizontal="center" vertical="center" wrapText="1"/>
      <protection locked="0"/>
    </xf>
    <xf numFmtId="0" fontId="2" fillId="3" borderId="37" xfId="1285" applyFont="1" applyFill="1" applyBorder="1" applyAlignment="1" applyProtection="1">
      <alignment vertical="center" wrapText="1"/>
      <protection locked="0"/>
    </xf>
    <xf numFmtId="0" fontId="2" fillId="3" borderId="37" xfId="1285" applyFont="1" applyFill="1" applyBorder="1" applyAlignment="1" applyProtection="1">
      <alignment horizontal="right" vertical="center" wrapText="1"/>
      <protection locked="0"/>
    </xf>
    <xf numFmtId="0" fontId="4" fillId="3" borderId="10" xfId="1285" applyFont="1" applyFill="1" applyBorder="1" applyAlignment="1" applyProtection="1">
      <alignment horizontal="center" vertical="center" wrapText="1"/>
      <protection locked="0"/>
    </xf>
    <xf numFmtId="0" fontId="0" fillId="10" borderId="2" xfId="1277" applyFill="1" applyBorder="1" applyAlignment="1" applyProtection="1">
      <alignment horizontal="center" vertical="center"/>
      <protection locked="0"/>
    </xf>
    <xf numFmtId="0" fontId="7" fillId="10" borderId="40" xfId="1285" applyFont="1" applyFill="1" applyBorder="1" applyAlignment="1" applyProtection="1">
      <alignment horizontal="center" vertical="center" wrapText="1"/>
      <protection locked="0"/>
    </xf>
    <xf numFmtId="0" fontId="7" fillId="10" borderId="40" xfId="1285" applyFont="1" applyFill="1" applyBorder="1" applyAlignment="1" applyProtection="1">
      <alignment horizontal="right" vertical="center" wrapText="1"/>
      <protection locked="0"/>
    </xf>
    <xf numFmtId="10" fontId="4" fillId="11" borderId="1" xfId="870" applyNumberFormat="1" applyFont="1" applyFill="1" applyBorder="1" applyAlignment="1" applyProtection="1">
      <alignment horizontal="right" vertical="center" wrapText="1"/>
      <protection locked="0"/>
    </xf>
    <xf numFmtId="0" fontId="4" fillId="11" borderId="1" xfId="870" applyNumberFormat="1" applyFont="1" applyFill="1" applyBorder="1" applyAlignment="1" applyProtection="1">
      <alignment horizontal="right" vertical="center" wrapText="1"/>
      <protection locked="0"/>
    </xf>
    <xf numFmtId="10" fontId="1" fillId="12" borderId="1" xfId="870" applyNumberFormat="1" applyFont="1" applyFill="1" applyBorder="1" applyAlignment="1" applyProtection="1">
      <alignment horizontal="right" vertical="center" wrapText="1"/>
      <protection locked="0"/>
    </xf>
    <xf numFmtId="0" fontId="1" fillId="12" borderId="1" xfId="870" applyNumberFormat="1" applyFont="1" applyFill="1" applyBorder="1" applyAlignment="1" applyProtection="1">
      <alignment horizontal="right" vertical="center" wrapText="1"/>
      <protection locked="0"/>
    </xf>
    <xf numFmtId="184" fontId="38" fillId="12" borderId="1" xfId="1285" applyNumberFormat="1" applyFont="1" applyFill="1" applyBorder="1" applyAlignment="1" applyProtection="1">
      <alignment horizontal="right" vertical="center" wrapText="1"/>
      <protection locked="0"/>
    </xf>
    <xf numFmtId="10" fontId="1" fillId="0" borderId="1" xfId="870" applyNumberFormat="1" applyFont="1" applyFill="1" applyBorder="1" applyAlignment="1" applyProtection="1">
      <alignment horizontal="right" vertical="center" wrapText="1"/>
      <protection locked="0"/>
    </xf>
    <xf numFmtId="0" fontId="1" fillId="0" borderId="1" xfId="870" applyNumberFormat="1" applyFont="1" applyFill="1" applyBorder="1" applyAlignment="1" applyProtection="1">
      <alignment horizontal="right" vertical="center" wrapText="1"/>
      <protection locked="0"/>
    </xf>
    <xf numFmtId="184" fontId="1" fillId="0" borderId="1" xfId="870" applyNumberFormat="1" applyFont="1" applyFill="1" applyBorder="1" applyAlignment="1" applyProtection="1">
      <alignment horizontal="right" vertical="center" wrapText="1"/>
      <protection locked="0"/>
    </xf>
    <xf numFmtId="184" fontId="39" fillId="17" borderId="1" xfId="1285" applyNumberFormat="1" applyFont="1" applyFill="1" applyBorder="1" applyAlignment="1" applyProtection="1">
      <alignment horizontal="right" vertical="center" wrapText="1"/>
      <protection locked="0"/>
    </xf>
    <xf numFmtId="0" fontId="39" fillId="11" borderId="1" xfId="870" applyNumberFormat="1" applyFont="1" applyFill="1" applyBorder="1" applyAlignment="1" applyProtection="1">
      <alignment horizontal="right" vertical="center" wrapText="1"/>
      <protection locked="0"/>
    </xf>
    <xf numFmtId="184" fontId="33" fillId="11" borderId="1" xfId="1277" applyNumberFormat="1" applyFont="1" applyFill="1" applyBorder="1" applyAlignment="1" applyProtection="1">
      <alignment horizontal="center" vertical="center"/>
      <protection locked="0"/>
    </xf>
    <xf numFmtId="184" fontId="1" fillId="0" borderId="1" xfId="1285" applyNumberFormat="1" applyFont="1" applyBorder="1" applyAlignment="1" applyProtection="1">
      <alignment horizontal="center" vertical="center" wrapText="1"/>
      <protection locked="0"/>
    </xf>
    <xf numFmtId="0" fontId="0" fillId="0" borderId="41" xfId="1277" applyBorder="1" applyAlignment="1" applyProtection="1">
      <protection locked="0"/>
    </xf>
    <xf numFmtId="0" fontId="0" fillId="0" borderId="0" xfId="1185" applyAlignment="1">
      <alignment horizontal="right"/>
    </xf>
    <xf numFmtId="0" fontId="2" fillId="3" borderId="21" xfId="1285" applyFont="1" applyFill="1" applyBorder="1" applyAlignment="1" applyProtection="1">
      <alignment horizontal="center" vertical="center" wrapText="1"/>
      <protection locked="0"/>
    </xf>
    <xf numFmtId="0" fontId="2" fillId="3" borderId="17" xfId="1285" applyFont="1" applyFill="1" applyBorder="1" applyAlignment="1" applyProtection="1">
      <alignment horizontal="center" vertical="center" wrapText="1"/>
      <protection locked="0"/>
    </xf>
    <xf numFmtId="57" fontId="2" fillId="3" borderId="1" xfId="1285" applyNumberFormat="1" applyFont="1" applyFill="1" applyBorder="1" applyAlignment="1" applyProtection="1">
      <alignment horizontal="center" vertical="center" wrapText="1"/>
      <protection locked="0"/>
    </xf>
    <xf numFmtId="0" fontId="2" fillId="3" borderId="42" xfId="1285" applyFont="1" applyFill="1" applyBorder="1" applyAlignment="1" applyProtection="1">
      <alignment horizontal="center" vertical="center" wrapText="1"/>
      <protection locked="0"/>
    </xf>
    <xf numFmtId="0" fontId="3" fillId="0" borderId="1" xfId="1285" applyFont="1" applyBorder="1" applyAlignment="1" applyProtection="1">
      <alignment horizontal="center" vertical="center" wrapText="1"/>
      <protection locked="0"/>
    </xf>
    <xf numFmtId="0" fontId="3" fillId="18" borderId="1" xfId="1285" applyFont="1" applyFill="1" applyBorder="1" applyAlignment="1" applyProtection="1">
      <alignment horizontal="center" vertical="center" wrapText="1"/>
      <protection locked="0"/>
    </xf>
    <xf numFmtId="184" fontId="28" fillId="11" borderId="1" xfId="1285" applyNumberFormat="1" applyFont="1" applyFill="1" applyBorder="1" applyAlignment="1" applyProtection="1">
      <alignment horizontal="center" vertical="center" wrapText="1"/>
      <protection locked="0"/>
    </xf>
    <xf numFmtId="0" fontId="3" fillId="12" borderId="1" xfId="1285" applyFont="1" applyFill="1" applyBorder="1" applyAlignment="1" applyProtection="1">
      <alignment horizontal="center" vertical="center" wrapText="1"/>
      <protection locked="0"/>
    </xf>
    <xf numFmtId="0" fontId="2" fillId="11" borderId="11" xfId="1277" applyFont="1" applyFill="1" applyBorder="1" applyAlignment="1" applyProtection="1">
      <alignment horizontal="center" vertical="center"/>
      <protection locked="0"/>
    </xf>
    <xf numFmtId="0" fontId="5" fillId="11" borderId="1" xfId="1285" applyFont="1" applyFill="1" applyBorder="1" applyAlignment="1" applyProtection="1">
      <alignment horizontal="right" vertical="center" wrapText="1"/>
      <protection locked="0"/>
    </xf>
    <xf numFmtId="0" fontId="0" fillId="12" borderId="1" xfId="1277" applyFill="1" applyBorder="1" applyAlignment="1" applyProtection="1">
      <protection locked="0"/>
    </xf>
    <xf numFmtId="0" fontId="2" fillId="12" borderId="1" xfId="1285" applyFont="1" applyFill="1" applyBorder="1" applyAlignment="1" applyProtection="1">
      <alignment horizontal="center" vertical="center" wrapText="1"/>
      <protection locked="0"/>
    </xf>
    <xf numFmtId="0" fontId="0" fillId="0" borderId="0" xfId="1277" applyAlignment="1" applyProtection="1">
      <protection locked="0"/>
    </xf>
    <xf numFmtId="0" fontId="5" fillId="11" borderId="1" xfId="1285" applyFont="1" applyFill="1" applyBorder="1" applyAlignment="1" applyProtection="1">
      <alignment horizontal="left" vertical="center" wrapText="1"/>
      <protection locked="0"/>
    </xf>
    <xf numFmtId="185" fontId="5" fillId="11" borderId="1" xfId="1285" applyNumberFormat="1" applyFont="1" applyFill="1" applyBorder="1" applyAlignment="1" applyProtection="1">
      <alignment horizontal="right" vertical="center" wrapText="1"/>
      <protection locked="0"/>
    </xf>
    <xf numFmtId="0" fontId="0" fillId="12" borderId="12" xfId="1185" applyFill="1" applyBorder="1" applyAlignment="1"/>
    <xf numFmtId="0" fontId="7" fillId="12" borderId="1" xfId="1285" applyFont="1" applyFill="1" applyBorder="1" applyAlignment="1" applyProtection="1">
      <alignment horizontal="left" vertical="center" wrapText="1"/>
      <protection locked="0"/>
    </xf>
    <xf numFmtId="185" fontId="7" fillId="12" borderId="1" xfId="1285" applyNumberFormat="1" applyFont="1" applyFill="1" applyBorder="1" applyAlignment="1" applyProtection="1">
      <alignment horizontal="right" vertical="center" wrapText="1"/>
      <protection locked="0"/>
    </xf>
    <xf numFmtId="0" fontId="7" fillId="12" borderId="1" xfId="1285" applyFont="1" applyFill="1" applyBorder="1" applyAlignment="1" applyProtection="1">
      <alignment horizontal="right" vertical="center" wrapText="1"/>
      <protection locked="0"/>
    </xf>
    <xf numFmtId="184" fontId="5" fillId="11" borderId="41" xfId="1285" applyNumberFormat="1" applyFont="1" applyFill="1" applyBorder="1" applyAlignment="1" applyProtection="1">
      <alignment horizontal="center" vertical="center" wrapText="1"/>
      <protection locked="0"/>
    </xf>
    <xf numFmtId="0" fontId="2" fillId="11" borderId="41" xfId="1277" applyFont="1" applyFill="1" applyBorder="1" applyAlignment="1" applyProtection="1">
      <protection locked="0"/>
    </xf>
    <xf numFmtId="0" fontId="2" fillId="11" borderId="1" xfId="1277" applyFont="1" applyFill="1" applyBorder="1" applyAlignment="1" applyProtection="1">
      <protection locked="0"/>
    </xf>
    <xf numFmtId="184" fontId="1" fillId="0" borderId="41" xfId="870" applyNumberFormat="1" applyFont="1" applyFill="1" applyBorder="1" applyAlignment="1" applyProtection="1">
      <alignment horizontal="right" vertical="center" wrapText="1"/>
      <protection locked="0"/>
    </xf>
    <xf numFmtId="184" fontId="1" fillId="12" borderId="41" xfId="870" applyNumberFormat="1" applyFont="1" applyFill="1" applyBorder="1" applyAlignment="1" applyProtection="1">
      <alignment horizontal="right" vertical="center" wrapText="1"/>
      <protection locked="0"/>
    </xf>
    <xf numFmtId="0" fontId="0" fillId="12" borderId="41" xfId="1277" applyFill="1" applyBorder="1" applyAlignment="1" applyProtection="1">
      <protection locked="0"/>
    </xf>
    <xf numFmtId="0" fontId="40" fillId="0" borderId="0" xfId="1185" applyFont="1" applyAlignment="1"/>
    <xf numFmtId="184" fontId="31" fillId="0" borderId="0" xfId="1185" applyNumberFormat="1" applyFont="1" applyProtection="1">
      <alignment vertical="center"/>
      <protection locked="0"/>
    </xf>
    <xf numFmtId="184" fontId="31" fillId="0" borderId="0" xfId="1185" applyNumberFormat="1" applyFont="1" applyAlignment="1" applyProtection="1">
      <alignment horizontal="center" vertical="center"/>
      <protection locked="0"/>
    </xf>
    <xf numFmtId="184" fontId="41" fillId="0" borderId="0" xfId="1185" applyNumberFormat="1" applyFont="1" applyProtection="1">
      <alignment vertical="center"/>
      <protection locked="0"/>
    </xf>
    <xf numFmtId="184" fontId="42" fillId="0" borderId="0" xfId="1185" applyNumberFormat="1" applyFont="1" applyAlignment="1" applyProtection="1">
      <alignment horizontal="center" vertical="center"/>
      <protection locked="0"/>
    </xf>
    <xf numFmtId="184" fontId="43" fillId="0" borderId="0" xfId="1185" applyNumberFormat="1" applyFont="1" applyProtection="1">
      <alignment vertical="center"/>
      <protection locked="0"/>
    </xf>
    <xf numFmtId="184" fontId="43" fillId="0" borderId="0" xfId="1185" applyNumberFormat="1" applyFont="1" applyAlignment="1" applyProtection="1">
      <alignment vertical="center" wrapText="1"/>
      <protection locked="0"/>
    </xf>
    <xf numFmtId="184" fontId="43" fillId="0" borderId="0" xfId="1185" applyNumberFormat="1" applyFont="1" applyAlignment="1" applyProtection="1">
      <alignment horizontal="center" vertical="center" wrapText="1"/>
      <protection locked="0"/>
    </xf>
    <xf numFmtId="184" fontId="43" fillId="0" borderId="0" xfId="1185" applyNumberFormat="1" applyFont="1" applyAlignment="1" applyProtection="1">
      <alignment horizontal="center" vertical="center"/>
      <protection locked="0"/>
    </xf>
    <xf numFmtId="0" fontId="29" fillId="0" borderId="7" xfId="1185" applyFont="1" applyBorder="1" applyAlignment="1" applyProtection="1">
      <alignment wrapText="1"/>
      <protection locked="0"/>
    </xf>
    <xf numFmtId="0" fontId="29" fillId="0" borderId="8" xfId="1185" applyFont="1" applyBorder="1" applyAlignment="1" applyProtection="1">
      <alignment wrapText="1"/>
      <protection locked="0"/>
    </xf>
    <xf numFmtId="0" fontId="29" fillId="0" borderId="8" xfId="1185" applyFont="1" applyBorder="1" applyAlignment="1" applyProtection="1">
      <alignment horizontal="center" wrapText="1"/>
      <protection locked="0"/>
    </xf>
    <xf numFmtId="184" fontId="28" fillId="0" borderId="8" xfId="1185" applyNumberFormat="1" applyFont="1" applyBorder="1" applyAlignment="1" applyProtection="1">
      <alignment horizontal="centerContinuous" vertical="center" wrapText="1"/>
      <protection locked="0"/>
    </xf>
    <xf numFmtId="184" fontId="28" fillId="0" borderId="43" xfId="1185" applyNumberFormat="1" applyFont="1" applyBorder="1" applyAlignment="1" applyProtection="1">
      <alignment horizontal="center" vertical="center" wrapText="1"/>
      <protection locked="0"/>
    </xf>
    <xf numFmtId="184" fontId="28" fillId="0" borderId="1" xfId="1185" applyNumberFormat="1" applyFont="1" applyBorder="1" applyAlignment="1" applyProtection="1">
      <alignment horizontal="center" vertical="center" wrapText="1"/>
      <protection locked="0"/>
    </xf>
    <xf numFmtId="184" fontId="3" fillId="10" borderId="4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horizontal="center" vertical="center" wrapText="1"/>
      <protection locked="0"/>
    </xf>
    <xf numFmtId="0" fontId="0" fillId="0" borderId="1" xfId="0" applyBorder="1" applyAlignment="1">
      <alignment vertical="center"/>
    </xf>
    <xf numFmtId="0" fontId="0" fillId="0" borderId="1" xfId="0" applyBorder="1">
      <alignment vertical="center"/>
    </xf>
    <xf numFmtId="0" fontId="0" fillId="0" borderId="1" xfId="0" applyBorder="1" applyAlignment="1">
      <alignment horizontal="left" vertical="center" indent="1"/>
    </xf>
    <xf numFmtId="0" fontId="0" fillId="0" borderId="1" xfId="0" applyBorder="1" applyAlignment="1">
      <alignment horizontal="left" vertical="center" indent="2"/>
    </xf>
    <xf numFmtId="0" fontId="0" fillId="0" borderId="1" xfId="0" applyBorder="1" applyAlignment="1">
      <alignment horizontal="left" vertical="center" indent="3"/>
    </xf>
    <xf numFmtId="185" fontId="43" fillId="0" borderId="0" xfId="1185" applyNumberFormat="1" applyFont="1" applyAlignment="1" applyProtection="1">
      <alignment horizontal="right" vertical="center"/>
      <protection locked="0"/>
    </xf>
    <xf numFmtId="185" fontId="43" fillId="0" borderId="0" xfId="1185" applyNumberFormat="1" applyFont="1" applyAlignment="1" applyProtection="1">
      <alignment horizontal="right" vertical="center" wrapText="1"/>
      <protection locked="0"/>
    </xf>
    <xf numFmtId="185" fontId="43" fillId="0" borderId="0" xfId="1185" applyNumberFormat="1" applyFont="1" applyAlignment="1" applyProtection="1">
      <alignment vertical="center" wrapText="1"/>
      <protection locked="0"/>
    </xf>
    <xf numFmtId="184" fontId="44" fillId="0" borderId="8" xfId="1185" applyNumberFormat="1" applyFont="1" applyBorder="1" applyAlignment="1" applyProtection="1">
      <alignment horizontal="centerContinuous" vertical="center" wrapText="1"/>
      <protection locked="0"/>
    </xf>
    <xf numFmtId="185" fontId="28" fillId="0" borderId="1" xfId="1185" applyNumberFormat="1" applyFont="1" applyBorder="1" applyAlignment="1" applyProtection="1">
      <alignment horizontal="right" vertical="center" wrapText="1"/>
      <protection locked="0"/>
    </xf>
    <xf numFmtId="185" fontId="28" fillId="19" borderId="1" xfId="1185" applyNumberFormat="1" applyFont="1" applyFill="1" applyBorder="1" applyAlignment="1" applyProtection="1">
      <alignment horizontal="center" vertical="center" wrapText="1"/>
      <protection locked="0"/>
    </xf>
    <xf numFmtId="189" fontId="3" fillId="10" borderId="4" xfId="1185" applyNumberFormat="1" applyFont="1" applyFill="1" applyBorder="1" applyAlignment="1" applyProtection="1">
      <alignment vertical="center" wrapText="1"/>
      <protection locked="0"/>
    </xf>
    <xf numFmtId="185" fontId="3" fillId="10" borderId="4" xfId="1185" applyNumberFormat="1" applyFont="1" applyFill="1" applyBorder="1" applyAlignment="1" applyProtection="1">
      <alignment horizontal="right" vertical="center" wrapText="1"/>
      <protection locked="0"/>
    </xf>
    <xf numFmtId="185" fontId="3" fillId="10" borderId="1" xfId="1185" applyNumberFormat="1" applyFont="1" applyFill="1" applyBorder="1" applyAlignment="1" applyProtection="1">
      <alignment vertical="center" wrapText="1"/>
      <protection locked="0"/>
    </xf>
    <xf numFmtId="184" fontId="3" fillId="10" borderId="1" xfId="1185" applyNumberFormat="1" applyFont="1" applyFill="1" applyBorder="1" applyAlignment="1" applyProtection="1">
      <alignment vertical="center" wrapText="1"/>
      <protection locked="0"/>
    </xf>
    <xf numFmtId="185" fontId="28" fillId="0" borderId="1" xfId="1185" applyNumberFormat="1" applyFont="1" applyBorder="1" applyAlignment="1" applyProtection="1">
      <alignment horizontal="center" vertical="center" wrapText="1"/>
      <protection locked="0"/>
    </xf>
    <xf numFmtId="184" fontId="28" fillId="20" borderId="1" xfId="1185" applyNumberFormat="1" applyFont="1" applyFill="1" applyBorder="1" applyAlignment="1" applyProtection="1">
      <alignment horizontal="center" vertical="center" wrapText="1"/>
      <protection locked="0"/>
    </xf>
    <xf numFmtId="184" fontId="42" fillId="0" borderId="0" xfId="1185" applyNumberFormat="1" applyFont="1" applyProtection="1">
      <alignment vertical="center"/>
      <protection locked="0"/>
    </xf>
    <xf numFmtId="184" fontId="24" fillId="0" borderId="0" xfId="1185" applyNumberFormat="1" applyFont="1" applyProtection="1">
      <alignment vertical="center"/>
      <protection locked="0"/>
    </xf>
    <xf numFmtId="184" fontId="40" fillId="0" borderId="0" xfId="1185" applyNumberFormat="1" applyFont="1" applyAlignment="1" applyProtection="1">
      <alignment vertical="center" wrapText="1"/>
      <protection locked="0"/>
    </xf>
    <xf numFmtId="184" fontId="3" fillId="0" borderId="8" xfId="1185" applyNumberFormat="1" applyFont="1" applyBorder="1" applyAlignment="1" applyProtection="1">
      <alignment horizontal="centerContinuous" vertical="center" wrapText="1"/>
      <protection locked="0"/>
    </xf>
    <xf numFmtId="0" fontId="45" fillId="0" borderId="0" xfId="1185" applyFont="1" applyAlignment="1">
      <alignment horizontal="center"/>
    </xf>
    <xf numFmtId="184" fontId="28" fillId="0" borderId="17" xfId="1185" applyNumberFormat="1" applyFont="1" applyBorder="1" applyAlignment="1" applyProtection="1">
      <alignment horizontal="center" vertical="center" wrapText="1"/>
      <protection locked="0"/>
    </xf>
    <xf numFmtId="0" fontId="0" fillId="0" borderId="1" xfId="1185" applyBorder="1" applyAlignment="1" applyProtection="1">
      <alignment indent="3"/>
      <protection locked="0"/>
    </xf>
    <xf numFmtId="0" fontId="0" fillId="0" borderId="1" xfId="1185" applyBorder="1" applyAlignment="1">
      <alignment horizontal="center"/>
    </xf>
    <xf numFmtId="0" fontId="0" fillId="0" borderId="1" xfId="1185" applyBorder="1" applyAlignment="1" applyProtection="1">
      <alignment wrapText="1"/>
      <protection locked="0"/>
    </xf>
    <xf numFmtId="0" fontId="0" fillId="0" borderId="1" xfId="1185" applyBorder="1" applyAlignment="1" applyProtection="1">
      <alignment horizontal="center" wrapText="1"/>
      <protection locked="0"/>
    </xf>
    <xf numFmtId="0" fontId="0" fillId="0" borderId="1" xfId="1185" applyBorder="1" applyAlignment="1" applyProtection="1">
      <alignment indent="2"/>
      <protection locked="0"/>
    </xf>
    <xf numFmtId="0" fontId="0" fillId="0" borderId="1" xfId="1185" applyBorder="1" applyAlignment="1">
      <alignment indent="3"/>
    </xf>
    <xf numFmtId="0" fontId="0" fillId="0" borderId="1" xfId="1185" applyBorder="1" applyAlignment="1">
      <alignment indent="2"/>
    </xf>
    <xf numFmtId="185" fontId="0" fillId="0" borderId="1" xfId="1185" applyNumberFormat="1" applyBorder="1" applyAlignment="1" applyProtection="1">
      <alignment horizontal="right" wrapText="1"/>
      <protection locked="0"/>
    </xf>
    <xf numFmtId="185" fontId="0" fillId="0" borderId="1" xfId="1185" applyNumberFormat="1" applyBorder="1" applyAlignment="1">
      <alignment horizontal="right"/>
    </xf>
    <xf numFmtId="0" fontId="0" fillId="0" borderId="1" xfId="1185" applyBorder="1" applyAlignment="1">
      <alignment indent="1"/>
    </xf>
    <xf numFmtId="0" fontId="6" fillId="0" borderId="0" xfId="1269" applyFont="1" applyAlignment="1">
      <alignment horizontal="center" vertical="center"/>
    </xf>
    <xf numFmtId="0" fontId="4" fillId="0" borderId="7" xfId="1269" applyFont="1" applyBorder="1" applyAlignment="1">
      <alignment horizontal="left" vertical="center"/>
    </xf>
    <xf numFmtId="0" fontId="4" fillId="0" borderId="8" xfId="1269" applyFont="1" applyBorder="1" applyAlignment="1">
      <alignment horizontal="left" vertical="center"/>
    </xf>
    <xf numFmtId="0" fontId="24" fillId="0" borderId="43" xfId="1269" applyFont="1" applyBorder="1" applyAlignment="1">
      <alignment horizontal="center" vertical="center" wrapText="1"/>
    </xf>
    <xf numFmtId="0" fontId="24" fillId="0" borderId="1" xfId="1269" applyFont="1" applyBorder="1" applyAlignment="1">
      <alignment horizontal="center" vertical="center" wrapText="1"/>
    </xf>
    <xf numFmtId="2" fontId="24" fillId="0" borderId="1" xfId="1269" applyNumberFormat="1" applyFont="1" applyBorder="1" applyAlignment="1">
      <alignment horizontal="center" vertical="center" wrapText="1"/>
    </xf>
    <xf numFmtId="0" fontId="4" fillId="0" borderId="1" xfId="1269" applyFont="1" applyBorder="1" applyAlignment="1">
      <alignment horizontal="center" vertical="center" wrapText="1"/>
    </xf>
    <xf numFmtId="0" fontId="4" fillId="0" borderId="1" xfId="1269" applyFont="1" applyBorder="1" applyAlignment="1">
      <alignment horizontal="center" vertical="center"/>
    </xf>
    <xf numFmtId="0" fontId="24" fillId="0" borderId="1" xfId="1269" applyFont="1" applyBorder="1" applyAlignment="1">
      <alignment vertical="center" wrapText="1"/>
    </xf>
    <xf numFmtId="190" fontId="24" fillId="0" borderId="1" xfId="1269" applyNumberFormat="1" applyFont="1" applyBorder="1" applyAlignment="1">
      <alignment horizontal="center" vertical="center" wrapText="1"/>
    </xf>
    <xf numFmtId="10" fontId="24" fillId="0" borderId="1" xfId="1269" applyNumberFormat="1" applyFont="1" applyBorder="1" applyAlignment="1">
      <alignment horizontal="center" vertical="center" wrapText="1"/>
    </xf>
    <xf numFmtId="10" fontId="24" fillId="0" borderId="1" xfId="870" applyNumberFormat="1" applyFont="1" applyBorder="1" applyAlignment="1">
      <alignment horizontal="center" vertical="center" wrapText="1"/>
    </xf>
    <xf numFmtId="0" fontId="4" fillId="0" borderId="43" xfId="1269" applyFont="1" applyBorder="1" applyAlignment="1">
      <alignment horizontal="center" vertical="center" wrapText="1"/>
    </xf>
    <xf numFmtId="0" fontId="4" fillId="21" borderId="1" xfId="1269" applyFont="1" applyFill="1" applyBorder="1" applyAlignment="1">
      <alignment horizontal="center" vertical="center" wrapText="1"/>
    </xf>
    <xf numFmtId="0" fontId="4" fillId="0" borderId="43" xfId="1269" applyFont="1" applyBorder="1" applyAlignment="1">
      <alignment horizontal="center" vertical="center"/>
    </xf>
    <xf numFmtId="0" fontId="4" fillId="0" borderId="1" xfId="1269" applyFont="1" applyBorder="1">
      <alignment vertical="center"/>
    </xf>
    <xf numFmtId="2" fontId="4" fillId="0" borderId="1" xfId="1269" applyNumberFormat="1" applyFont="1" applyBorder="1" applyAlignment="1">
      <alignment horizontal="right" vertical="center"/>
    </xf>
    <xf numFmtId="190" fontId="4" fillId="0" borderId="1" xfId="870" applyNumberFormat="1" applyFont="1" applyFill="1" applyBorder="1" applyAlignment="1">
      <alignment horizontal="center" vertical="center"/>
    </xf>
    <xf numFmtId="0" fontId="1" fillId="0" borderId="1" xfId="1269" applyFont="1" applyBorder="1">
      <alignment vertical="center"/>
    </xf>
    <xf numFmtId="2" fontId="4" fillId="0" borderId="1" xfId="1269" applyNumberFormat="1" applyFont="1" applyBorder="1" applyAlignment="1">
      <alignment horizontal="center" vertical="center"/>
    </xf>
    <xf numFmtId="2" fontId="1" fillId="0" borderId="1" xfId="1269" applyNumberFormat="1" applyFont="1" applyBorder="1" applyAlignment="1">
      <alignment horizontal="right" vertical="center"/>
    </xf>
    <xf numFmtId="10" fontId="1" fillId="0" borderId="1" xfId="870" applyNumberFormat="1" applyFont="1" applyFill="1" applyBorder="1" applyAlignment="1" applyProtection="1">
      <alignment horizontal="center" vertical="center"/>
    </xf>
    <xf numFmtId="0" fontId="1" fillId="0" borderId="43" xfId="1269" applyFont="1" applyBorder="1" applyAlignment="1">
      <alignment horizontal="center" vertical="center"/>
    </xf>
    <xf numFmtId="0" fontId="15" fillId="0" borderId="1" xfId="1269" applyFont="1" applyBorder="1" applyAlignment="1">
      <alignment horizontal="left" vertical="center" wrapText="1" indent="1"/>
    </xf>
    <xf numFmtId="2" fontId="1" fillId="0" borderId="1" xfId="1269" applyNumberFormat="1" applyFont="1" applyBorder="1" applyAlignment="1">
      <alignment horizontal="center" vertical="center"/>
    </xf>
    <xf numFmtId="10" fontId="1" fillId="0" borderId="1" xfId="870" applyNumberFormat="1" applyFont="1" applyFill="1" applyBorder="1" applyAlignment="1">
      <alignment horizontal="center" vertical="center"/>
    </xf>
    <xf numFmtId="0" fontId="1" fillId="0" borderId="1" xfId="1269" applyFont="1" applyBorder="1" applyAlignment="1">
      <alignment horizontal="left" vertical="center" indent="1"/>
    </xf>
    <xf numFmtId="190" fontId="1" fillId="0" borderId="1" xfId="870" applyNumberFormat="1" applyFont="1" applyFill="1" applyBorder="1" applyAlignment="1">
      <alignment horizontal="center" vertical="center"/>
    </xf>
    <xf numFmtId="191" fontId="1" fillId="0" borderId="1" xfId="1269" applyNumberFormat="1" applyFont="1" applyBorder="1" applyAlignment="1">
      <alignment horizontal="left" vertical="center" indent="1"/>
    </xf>
    <xf numFmtId="0" fontId="4" fillId="0" borderId="9" xfId="1269" applyFont="1" applyBorder="1" applyAlignment="1">
      <alignment horizontal="center" vertical="center"/>
    </xf>
    <xf numFmtId="0" fontId="4" fillId="0" borderId="10" xfId="1269" applyFont="1" applyBorder="1" applyAlignment="1">
      <alignment horizontal="center" vertical="center" wrapText="1"/>
    </xf>
    <xf numFmtId="2" fontId="4" fillId="0" borderId="10" xfId="1269" applyNumberFormat="1" applyFont="1" applyBorder="1" applyAlignment="1">
      <alignment horizontal="right" vertical="center"/>
    </xf>
    <xf numFmtId="190" fontId="4" fillId="0" borderId="10" xfId="870" applyNumberFormat="1" applyFont="1" applyFill="1" applyBorder="1" applyAlignment="1">
      <alignment horizontal="center" vertical="center"/>
    </xf>
    <xf numFmtId="0" fontId="4" fillId="0" borderId="0" xfId="1269" applyFont="1" applyAlignment="1">
      <alignment horizontal="center" vertical="center"/>
    </xf>
    <xf numFmtId="0" fontId="4" fillId="0" borderId="0" xfId="1185" applyFont="1" applyAlignment="1"/>
    <xf numFmtId="184" fontId="4" fillId="0" borderId="0" xfId="1269" applyNumberFormat="1" applyFont="1" applyAlignment="1">
      <alignment horizontal="center"/>
    </xf>
    <xf numFmtId="0" fontId="4" fillId="0" borderId="0" xfId="1185" applyFont="1" applyAlignment="1">
      <alignment horizontal="right"/>
    </xf>
    <xf numFmtId="0" fontId="4" fillId="0" borderId="0" xfId="1185" applyFont="1" applyAlignment="1">
      <alignment horizontal="left"/>
    </xf>
    <xf numFmtId="0" fontId="1" fillId="0" borderId="0" xfId="1185" applyFont="1" applyAlignment="1"/>
    <xf numFmtId="0" fontId="4" fillId="0" borderId="0" xfId="1185" applyFont="1" applyAlignment="1">
      <alignment horizontal="center"/>
    </xf>
    <xf numFmtId="0" fontId="46" fillId="0" borderId="0" xfId="1185" applyFont="1" applyAlignment="1"/>
    <xf numFmtId="0" fontId="4" fillId="0" borderId="13" xfId="1269" applyFont="1" applyBorder="1" applyAlignment="1">
      <alignment horizontal="left" vertical="center"/>
    </xf>
    <xf numFmtId="0" fontId="47" fillId="0" borderId="0" xfId="1185" applyFont="1">
      <alignment vertical="center"/>
    </xf>
    <xf numFmtId="190" fontId="24" fillId="0" borderId="45" xfId="1269" applyNumberFormat="1" applyFont="1" applyBorder="1" applyAlignment="1">
      <alignment horizontal="center" vertical="center" wrapText="1"/>
    </xf>
    <xf numFmtId="10" fontId="24" fillId="0" borderId="45" xfId="870" applyNumberFormat="1" applyFont="1" applyBorder="1" applyAlignment="1">
      <alignment horizontal="center" vertical="center" wrapText="1"/>
    </xf>
    <xf numFmtId="0" fontId="4" fillId="0" borderId="45" xfId="1269" applyFont="1" applyBorder="1" applyAlignment="1">
      <alignment horizontal="center" vertical="center" wrapText="1"/>
    </xf>
    <xf numFmtId="0" fontId="1" fillId="0" borderId="45" xfId="1269" applyFont="1" applyBorder="1" applyAlignment="1">
      <alignment vertical="center" wrapText="1"/>
    </xf>
    <xf numFmtId="185" fontId="0" fillId="0" borderId="0" xfId="870" applyNumberFormat="1" applyFont="1" applyAlignment="1"/>
    <xf numFmtId="184" fontId="48" fillId="0" borderId="0" xfId="1185" applyNumberFormat="1" applyFont="1" applyAlignment="1"/>
    <xf numFmtId="9" fontId="0" fillId="0" borderId="0" xfId="1185" applyNumberFormat="1" applyAlignment="1"/>
    <xf numFmtId="14" fontId="46" fillId="0" borderId="0" xfId="1185" applyNumberFormat="1" applyFont="1" applyAlignment="1"/>
    <xf numFmtId="0" fontId="1" fillId="0" borderId="46" xfId="1269" applyFont="1" applyBorder="1" applyAlignment="1">
      <alignment horizontal="center" vertical="center" wrapText="1"/>
    </xf>
    <xf numFmtId="192" fontId="48" fillId="0" borderId="0" xfId="1185" applyNumberFormat="1" applyFont="1" applyAlignment="1"/>
    <xf numFmtId="0" fontId="1" fillId="0" borderId="47" xfId="1269" applyFont="1" applyBorder="1" applyAlignment="1">
      <alignment horizontal="center" vertical="center" wrapText="1"/>
    </xf>
    <xf numFmtId="0" fontId="1" fillId="0" borderId="29" xfId="1269" applyFont="1" applyBorder="1" applyAlignment="1">
      <alignment horizontal="center" vertical="center" wrapText="1"/>
    </xf>
    <xf numFmtId="0" fontId="1" fillId="0" borderId="45" xfId="1269" applyFont="1" applyBorder="1">
      <alignment vertical="center"/>
    </xf>
    <xf numFmtId="0" fontId="1" fillId="0" borderId="46" xfId="1269" applyFont="1" applyBorder="1" applyAlignment="1">
      <alignment horizontal="center" vertical="center"/>
    </xf>
    <xf numFmtId="0" fontId="1" fillId="0" borderId="47" xfId="1269" applyFont="1" applyBorder="1" applyAlignment="1">
      <alignment horizontal="center" vertical="center"/>
    </xf>
    <xf numFmtId="0" fontId="1" fillId="0" borderId="29" xfId="1269" applyFont="1" applyBorder="1" applyAlignment="1">
      <alignment horizontal="center" vertical="center"/>
    </xf>
    <xf numFmtId="0" fontId="4" fillId="0" borderId="45" xfId="1269" applyFont="1" applyBorder="1" applyAlignment="1">
      <alignment vertical="center" wrapText="1"/>
    </xf>
    <xf numFmtId="0" fontId="4" fillId="0" borderId="14" xfId="1269" applyFont="1" applyBorder="1" applyAlignment="1">
      <alignment vertical="center" wrapText="1"/>
    </xf>
    <xf numFmtId="0" fontId="4" fillId="0" borderId="0" xfId="1269" applyFont="1" applyAlignment="1">
      <alignment vertical="center" wrapText="1"/>
    </xf>
    <xf numFmtId="0" fontId="7" fillId="22" borderId="1" xfId="1195" applyFont="1" applyFill="1" applyBorder="1" applyAlignment="1">
      <alignment horizontal="center" vertical="center"/>
    </xf>
    <xf numFmtId="0" fontId="1" fillId="16" borderId="1" xfId="1195" applyFont="1" applyFill="1" applyBorder="1" applyAlignment="1">
      <alignment horizontal="center" vertical="center"/>
    </xf>
    <xf numFmtId="0" fontId="1" fillId="16" borderId="1" xfId="1195" applyFont="1" applyFill="1" applyBorder="1" applyAlignment="1">
      <alignment horizontal="center" vertical="center" wrapText="1"/>
    </xf>
    <xf numFmtId="0" fontId="49" fillId="0" borderId="0" xfId="1185" applyFont="1" applyAlignment="1">
      <alignment horizontal="centerContinuous" vertical="center"/>
    </xf>
    <xf numFmtId="0" fontId="27" fillId="0" borderId="0" xfId="1185" applyFont="1" applyAlignment="1">
      <alignment horizontal="centerContinuous"/>
    </xf>
    <xf numFmtId="0" fontId="0" fillId="0" borderId="0" xfId="1185" applyAlignment="1">
      <alignment horizontal="center" vertical="center"/>
    </xf>
    <xf numFmtId="0" fontId="50" fillId="0" borderId="30" xfId="1185" applyFont="1" applyBorder="1" applyAlignment="1">
      <alignment horizontal="center" vertical="center"/>
    </xf>
    <xf numFmtId="0" fontId="50" fillId="0" borderId="31" xfId="1185" applyFont="1" applyBorder="1" applyAlignment="1">
      <alignment horizontal="center" vertical="center"/>
    </xf>
    <xf numFmtId="9" fontId="50" fillId="0" borderId="36" xfId="1185" applyNumberFormat="1" applyFont="1" applyBorder="1">
      <alignment vertical="center"/>
    </xf>
    <xf numFmtId="9" fontId="50" fillId="0" borderId="20" xfId="1185" applyNumberFormat="1" applyFont="1" applyBorder="1">
      <alignment vertical="center"/>
    </xf>
    <xf numFmtId="0" fontId="51" fillId="23" borderId="0" xfId="1185" applyFont="1" applyFill="1" applyAlignment="1">
      <alignment horizontal="center" vertical="center"/>
    </xf>
    <xf numFmtId="10" fontId="52" fillId="0" borderId="36" xfId="870" applyNumberFormat="1" applyFont="1" applyBorder="1" applyAlignment="1">
      <alignment horizontal="center" vertical="center"/>
    </xf>
    <xf numFmtId="10" fontId="52" fillId="0" borderId="20" xfId="870" applyNumberFormat="1" applyFont="1" applyBorder="1" applyAlignment="1">
      <alignment horizontal="center" vertical="center"/>
    </xf>
    <xf numFmtId="10" fontId="53" fillId="0" borderId="20" xfId="870" applyNumberFormat="1" applyFont="1" applyBorder="1" applyAlignment="1">
      <alignment horizontal="center" vertical="center"/>
    </xf>
    <xf numFmtId="0" fontId="51" fillId="24" borderId="0" xfId="1185" applyFont="1" applyFill="1" applyAlignment="1">
      <alignment horizontal="center" vertical="center"/>
    </xf>
    <xf numFmtId="0" fontId="54" fillId="7" borderId="0" xfId="1185" applyFont="1" applyFill="1" applyAlignment="1">
      <alignment horizontal="center" vertical="center"/>
    </xf>
    <xf numFmtId="10" fontId="53" fillId="0" borderId="36" xfId="870" applyNumberFormat="1" applyFont="1" applyBorder="1" applyAlignment="1">
      <alignment horizontal="center" vertical="center"/>
    </xf>
    <xf numFmtId="0" fontId="51" fillId="25" borderId="0" xfId="1185" applyFont="1" applyFill="1" applyAlignment="1">
      <alignment horizontal="center" vertical="center"/>
    </xf>
    <xf numFmtId="0" fontId="51" fillId="26" borderId="0" xfId="1185" applyFont="1" applyFill="1" applyAlignment="1">
      <alignment horizontal="center" vertical="center"/>
    </xf>
    <xf numFmtId="0" fontId="50" fillId="0" borderId="0" xfId="1185" applyFont="1" applyAlignment="1">
      <alignment horizontal="center" vertical="center"/>
    </xf>
    <xf numFmtId="10" fontId="52" fillId="0" borderId="48" xfId="870" applyNumberFormat="1" applyFont="1" applyBorder="1" applyAlignment="1">
      <alignment horizontal="center" vertical="center"/>
    </xf>
    <xf numFmtId="10" fontId="52" fillId="0" borderId="37" xfId="870" applyNumberFormat="1" applyFont="1" applyBorder="1" applyAlignment="1">
      <alignment horizontal="center" vertical="center"/>
    </xf>
    <xf numFmtId="10" fontId="53" fillId="0" borderId="37" xfId="870" applyNumberFormat="1" applyFont="1" applyBorder="1" applyAlignment="1">
      <alignment horizontal="center" vertical="center"/>
    </xf>
    <xf numFmtId="10" fontId="0" fillId="0" borderId="0" xfId="870" applyNumberFormat="1" applyFont="1" applyAlignment="1"/>
    <xf numFmtId="186" fontId="1" fillId="16" borderId="1" xfId="1195" applyNumberFormat="1" applyFont="1" applyFill="1" applyBorder="1" applyAlignment="1">
      <alignment horizontal="center" vertical="center"/>
    </xf>
    <xf numFmtId="184" fontId="1" fillId="16" borderId="1" xfId="1195" applyNumberFormat="1" applyFont="1" applyFill="1" applyBorder="1" applyAlignment="1">
      <alignment horizontal="center" vertical="center"/>
    </xf>
    <xf numFmtId="190" fontId="1" fillId="16" borderId="1" xfId="870" applyNumberFormat="1" applyFont="1" applyFill="1" applyBorder="1" applyAlignment="1">
      <alignment horizontal="center" vertical="center"/>
    </xf>
    <xf numFmtId="1" fontId="1" fillId="16" borderId="1" xfId="1195" applyNumberFormat="1" applyFont="1" applyFill="1" applyBorder="1" applyAlignment="1">
      <alignment horizontal="center" vertical="center"/>
    </xf>
    <xf numFmtId="193" fontId="1" fillId="16" borderId="1" xfId="1195" applyNumberFormat="1" applyFont="1" applyFill="1" applyBorder="1" applyAlignment="1">
      <alignment horizontal="center" vertical="center"/>
    </xf>
    <xf numFmtId="0" fontId="50" fillId="0" borderId="32" xfId="1185" applyFont="1" applyBorder="1" applyAlignment="1">
      <alignment horizontal="center" vertical="center"/>
    </xf>
    <xf numFmtId="0" fontId="50" fillId="0" borderId="47" xfId="1185" applyFont="1" applyBorder="1">
      <alignment vertical="center"/>
    </xf>
    <xf numFmtId="0" fontId="53" fillId="0" borderId="47" xfId="1185" applyFont="1" applyBorder="1" applyAlignment="1">
      <alignment horizontal="center" vertical="center"/>
    </xf>
    <xf numFmtId="9" fontId="53" fillId="0" borderId="0" xfId="870" applyFont="1" applyAlignment="1" applyProtection="1">
      <alignment horizontal="center" vertical="center" wrapText="1"/>
      <protection locked="0"/>
    </xf>
    <xf numFmtId="9" fontId="53" fillId="0" borderId="0" xfId="870" applyFont="1" applyAlignment="1" applyProtection="1">
      <alignment horizontal="center" vertical="center"/>
      <protection locked="0"/>
    </xf>
    <xf numFmtId="0" fontId="53" fillId="0" borderId="49" xfId="1185" applyFont="1" applyBorder="1" applyAlignment="1">
      <alignment horizontal="center" vertical="center"/>
    </xf>
    <xf numFmtId="0" fontId="7" fillId="27" borderId="0" xfId="1195" applyFont="1" applyFill="1" applyAlignment="1">
      <alignment horizontal="center" vertical="center"/>
    </xf>
    <xf numFmtId="49" fontId="0" fillId="0" borderId="0" xfId="0" applyNumberFormat="1">
      <alignment vertical="center"/>
    </xf>
    <xf numFmtId="49" fontId="0" fillId="0" borderId="1"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7" fillId="0" borderId="0" xfId="0" applyFont="1">
      <alignment vertical="center"/>
    </xf>
    <xf numFmtId="0" fontId="27" fillId="0" borderId="0" xfId="0" applyFont="1" applyAlignment="1">
      <alignment horizontal="center" vertical="center"/>
    </xf>
    <xf numFmtId="0" fontId="7" fillId="0" borderId="0" xfId="0" applyFont="1" applyAlignment="1">
      <alignment horizontal="right" vertical="center"/>
    </xf>
    <xf numFmtId="0" fontId="7" fillId="0" borderId="0" xfId="0" applyFont="1" applyAlignment="1">
      <alignment horizontal="lef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5" fillId="0" borderId="43" xfId="0" applyFont="1" applyBorder="1" applyAlignment="1">
      <alignment horizontal="center" vertical="center"/>
    </xf>
    <xf numFmtId="0" fontId="5" fillId="0" borderId="1" xfId="0" applyFont="1" applyBorder="1">
      <alignment vertical="center"/>
    </xf>
    <xf numFmtId="43" fontId="4" fillId="0" borderId="1" xfId="1" applyFont="1" applyBorder="1">
      <alignment vertical="center"/>
    </xf>
    <xf numFmtId="4" fontId="5" fillId="0" borderId="1" xfId="0" applyNumberFormat="1" applyFont="1" applyBorder="1">
      <alignment vertical="center"/>
    </xf>
    <xf numFmtId="0" fontId="5" fillId="0" borderId="45" xfId="0" applyFont="1" applyBorder="1">
      <alignment vertical="center"/>
    </xf>
    <xf numFmtId="0" fontId="7" fillId="0" borderId="43" xfId="0" applyFont="1" applyBorder="1" applyAlignment="1">
      <alignment horizontal="center" vertical="center"/>
    </xf>
    <xf numFmtId="0" fontId="7" fillId="0" borderId="1" xfId="0" applyFont="1" applyBorder="1">
      <alignment vertical="center"/>
    </xf>
    <xf numFmtId="43" fontId="1" fillId="0" borderId="1" xfId="1" applyFont="1" applyBorder="1">
      <alignment vertical="center"/>
    </xf>
    <xf numFmtId="10" fontId="7" fillId="0" borderId="1" xfId="0" applyNumberFormat="1" applyFont="1" applyBorder="1">
      <alignment vertical="center"/>
    </xf>
    <xf numFmtId="4" fontId="7" fillId="0" borderId="1" xfId="0" applyNumberFormat="1" applyFont="1" applyBorder="1">
      <alignment vertical="center"/>
    </xf>
    <xf numFmtId="0" fontId="7" fillId="0" borderId="45" xfId="0" applyFont="1" applyBorder="1">
      <alignment vertical="center"/>
    </xf>
    <xf numFmtId="43" fontId="7" fillId="0" borderId="1" xfId="1" applyFont="1" applyBorder="1">
      <alignment vertical="center"/>
    </xf>
    <xf numFmtId="43" fontId="7" fillId="0" borderId="1" xfId="1" applyFont="1" applyBorder="1" applyAlignment="1">
      <alignment horizontal="center" vertical="center"/>
    </xf>
    <xf numFmtId="10" fontId="5" fillId="0" borderId="1" xfId="0" applyNumberFormat="1" applyFont="1" applyBorder="1">
      <alignment vertical="center"/>
    </xf>
    <xf numFmtId="194" fontId="5" fillId="0" borderId="1" xfId="0" applyNumberFormat="1" applyFont="1" applyBorder="1" applyAlignment="1">
      <alignment horizontal="center" vertical="center"/>
    </xf>
    <xf numFmtId="0" fontId="5" fillId="0" borderId="45" xfId="0" applyFont="1" applyBorder="1" applyAlignment="1">
      <alignment vertical="center" wrapText="1"/>
    </xf>
    <xf numFmtId="195" fontId="5" fillId="0" borderId="1" xfId="0" applyNumberFormat="1" applyFont="1" applyBorder="1" applyAlignment="1">
      <alignment horizontal="center" vertical="center"/>
    </xf>
    <xf numFmtId="0" fontId="7" fillId="0" borderId="43" xfId="0" applyFont="1" applyBorder="1">
      <alignment vertical="center"/>
    </xf>
    <xf numFmtId="0" fontId="0" fillId="0" borderId="9" xfId="0" applyBorder="1">
      <alignment vertical="center"/>
    </xf>
    <xf numFmtId="0" fontId="7" fillId="0" borderId="10" xfId="0" applyFont="1" applyBorder="1" applyAlignment="1">
      <alignment horizontal="center" vertical="center"/>
    </xf>
    <xf numFmtId="0" fontId="0" fillId="0" borderId="10" xfId="0" applyBorder="1">
      <alignment vertical="center"/>
    </xf>
    <xf numFmtId="4" fontId="0" fillId="0" borderId="10" xfId="0" applyNumberFormat="1" applyBorder="1">
      <alignment vertical="center"/>
    </xf>
    <xf numFmtId="0" fontId="0" fillId="0" borderId="14" xfId="0" applyBorder="1">
      <alignment vertical="center"/>
    </xf>
    <xf numFmtId="0" fontId="0" fillId="0" borderId="0" xfId="0" applyAlignment="1">
      <alignment horizontal="right" vertical="center"/>
    </xf>
    <xf numFmtId="0" fontId="0" fillId="0" borderId="0" xfId="0" applyAlignment="1">
      <alignment horizontal="left" vertical="center"/>
    </xf>
    <xf numFmtId="0" fontId="18" fillId="0" borderId="0" xfId="0" applyFont="1">
      <alignment vertical="center"/>
    </xf>
    <xf numFmtId="0" fontId="55" fillId="0" borderId="0" xfId="0" applyFont="1" applyAlignment="1">
      <alignment horizontal="center" vertical="center"/>
    </xf>
    <xf numFmtId="0" fontId="55" fillId="0" borderId="0" xfId="0" applyFont="1">
      <alignment vertical="center"/>
    </xf>
    <xf numFmtId="0" fontId="7" fillId="0" borderId="15" xfId="0" applyFont="1" applyBorder="1" applyAlignment="1">
      <alignment horizontal="center" vertical="center"/>
    </xf>
    <xf numFmtId="0" fontId="7" fillId="0" borderId="16" xfId="0" applyFont="1" applyBorder="1" applyAlignment="1">
      <alignment horizontal="center" vertical="center" wrapText="1"/>
    </xf>
    <xf numFmtId="0" fontId="7" fillId="0" borderId="16" xfId="0" applyFont="1" applyBorder="1" applyAlignment="1">
      <alignment horizontal="center" vertical="center"/>
    </xf>
    <xf numFmtId="0" fontId="7" fillId="0" borderId="21" xfId="1185" applyFont="1" applyBorder="1" applyAlignment="1">
      <alignment horizontal="center" vertical="center"/>
    </xf>
    <xf numFmtId="0" fontId="7" fillId="0" borderId="23" xfId="1185" applyFont="1" applyBorder="1" applyAlignment="1">
      <alignment horizontal="center" vertical="center"/>
    </xf>
    <xf numFmtId="0" fontId="7" fillId="0" borderId="26" xfId="0" applyFont="1" applyBorder="1" applyAlignment="1">
      <alignment horizontal="center" vertical="center"/>
    </xf>
    <xf numFmtId="0" fontId="7" fillId="0" borderId="11" xfId="0" applyFont="1" applyBorder="1" applyAlignment="1">
      <alignment horizontal="center" vertical="center" wrapText="1"/>
    </xf>
    <xf numFmtId="0" fontId="7" fillId="0" borderId="11" xfId="0" applyFont="1" applyBorder="1" applyAlignment="1">
      <alignment horizontal="center" vertical="center"/>
    </xf>
    <xf numFmtId="0" fontId="7" fillId="0" borderId="1" xfId="1185" applyFont="1" applyBorder="1" applyAlignment="1">
      <alignment horizontal="center" vertical="center" wrapText="1"/>
    </xf>
    <xf numFmtId="0" fontId="7" fillId="0" borderId="11" xfId="0" applyFont="1" applyBorder="1" applyAlignment="1">
      <alignment horizontal="left" vertical="center" wrapText="1"/>
    </xf>
    <xf numFmtId="0" fontId="26" fillId="0" borderId="50" xfId="0" applyFont="1" applyBorder="1" applyAlignment="1">
      <alignment horizontal="center" vertical="center"/>
    </xf>
    <xf numFmtId="0" fontId="7" fillId="0" borderId="1" xfId="1185" applyFont="1" applyBorder="1" applyAlignment="1">
      <alignment horizontal="right" vertical="center" wrapText="1"/>
    </xf>
    <xf numFmtId="0" fontId="7" fillId="0" borderId="1" xfId="1200" applyFont="1" applyBorder="1" applyAlignment="1">
      <alignment vertical="center"/>
    </xf>
    <xf numFmtId="0" fontId="36" fillId="0" borderId="39" xfId="0" applyFont="1" applyBorder="1" applyAlignment="1">
      <alignment horizontal="center" vertical="center"/>
    </xf>
    <xf numFmtId="0" fontId="7" fillId="28" borderId="1" xfId="0" applyFont="1" applyFill="1" applyBorder="1" applyAlignment="1">
      <alignment horizontal="center" vertical="center"/>
    </xf>
    <xf numFmtId="0" fontId="7" fillId="28" borderId="11" xfId="0" applyFont="1" applyFill="1" applyBorder="1" applyAlignment="1">
      <alignment horizontal="center" vertical="center"/>
    </xf>
    <xf numFmtId="0" fontId="7" fillId="29" borderId="11" xfId="0" applyFont="1" applyFill="1" applyBorder="1" applyAlignment="1">
      <alignment horizontal="left" vertical="center"/>
    </xf>
    <xf numFmtId="0" fontId="7" fillId="29" borderId="1" xfId="0" applyFont="1" applyFill="1" applyBorder="1" applyAlignment="1">
      <alignment horizontal="center" vertical="center"/>
    </xf>
    <xf numFmtId="0" fontId="7" fillId="29" borderId="1" xfId="0" applyFont="1" applyFill="1" applyBorder="1" applyAlignment="1">
      <alignment horizontal="left" vertical="center"/>
    </xf>
    <xf numFmtId="0" fontId="36" fillId="29" borderId="1" xfId="0" applyFont="1" applyFill="1" applyBorder="1" applyAlignment="1">
      <alignment horizontal="left" vertical="center"/>
    </xf>
    <xf numFmtId="0" fontId="7" fillId="29" borderId="11" xfId="0" applyFont="1" applyFill="1" applyBorder="1" applyAlignment="1">
      <alignment horizontal="center" vertical="center"/>
    </xf>
    <xf numFmtId="0" fontId="7" fillId="0" borderId="9" xfId="0" applyFont="1" applyBorder="1" applyAlignment="1">
      <alignment horizontal="center" vertical="center"/>
    </xf>
    <xf numFmtId="0" fontId="7" fillId="0" borderId="10" xfId="0" applyFont="1" applyBorder="1">
      <alignment vertical="center"/>
    </xf>
    <xf numFmtId="0" fontId="0" fillId="0" borderId="0" xfId="0" applyAlignment="1">
      <alignment horizontal="center" vertical="center"/>
    </xf>
    <xf numFmtId="0" fontId="56" fillId="0" borderId="0" xfId="0" applyFont="1" applyAlignment="1">
      <alignment horizontal="right" vertical="center"/>
    </xf>
    <xf numFmtId="0" fontId="18" fillId="0" borderId="0" xfId="0" applyFont="1" applyAlignment="1">
      <alignment horizontal="left" vertical="center"/>
    </xf>
    <xf numFmtId="0" fontId="7" fillId="0" borderId="22" xfId="1185" applyFont="1" applyBorder="1" applyAlignment="1">
      <alignment horizontal="center" vertical="center"/>
    </xf>
    <xf numFmtId="0" fontId="7" fillId="0" borderId="16" xfId="1185" applyFont="1" applyBorder="1" applyAlignment="1">
      <alignment horizontal="center" vertical="center" wrapText="1"/>
    </xf>
    <xf numFmtId="0" fontId="7" fillId="0" borderId="19" xfId="0" applyFont="1" applyBorder="1" applyAlignment="1">
      <alignment horizontal="center" vertical="center"/>
    </xf>
    <xf numFmtId="0" fontId="7" fillId="0" borderId="11" xfId="1185" applyFont="1" applyBorder="1" applyAlignment="1">
      <alignment horizontal="center" vertical="center" wrapText="1"/>
    </xf>
    <xf numFmtId="0" fontId="7" fillId="0" borderId="29" xfId="0" applyFont="1" applyBorder="1" applyAlignment="1">
      <alignment horizontal="center" vertical="center"/>
    </xf>
    <xf numFmtId="0" fontId="9" fillId="0" borderId="1" xfId="1185" applyFont="1" applyBorder="1" applyAlignment="1">
      <alignment horizontal="center" vertical="center" wrapText="1"/>
    </xf>
    <xf numFmtId="0" fontId="7" fillId="0" borderId="11" xfId="0" applyFont="1" applyBorder="1">
      <alignment vertical="center"/>
    </xf>
    <xf numFmtId="0" fontId="7" fillId="0" borderId="14" xfId="0" applyFont="1" applyBorder="1">
      <alignment vertical="center"/>
    </xf>
    <xf numFmtId="185" fontId="7" fillId="0" borderId="0" xfId="0" applyNumberFormat="1" applyFont="1">
      <alignment vertical="center"/>
    </xf>
    <xf numFmtId="0" fontId="7" fillId="0" borderId="0" xfId="0" applyFont="1" applyAlignment="1">
      <alignment vertical="center" wrapText="1"/>
    </xf>
    <xf numFmtId="0" fontId="15" fillId="0" borderId="0" xfId="0" applyFont="1">
      <alignment vertical="center"/>
    </xf>
    <xf numFmtId="184" fontId="15" fillId="0" borderId="0" xfId="0" applyNumberFormat="1" applyFont="1">
      <alignment vertical="center"/>
    </xf>
    <xf numFmtId="184" fontId="1" fillId="0" borderId="0" xfId="0" applyNumberFormat="1" applyFont="1">
      <alignment vertical="center"/>
    </xf>
    <xf numFmtId="49" fontId="0" fillId="0" borderId="0" xfId="0" applyNumberFormat="1" applyAlignment="1">
      <alignment horizontal="center" vertical="center"/>
    </xf>
    <xf numFmtId="0" fontId="27" fillId="0" borderId="0" xfId="0" applyFont="1" applyAlignment="1">
      <alignment horizontal="left" vertical="center"/>
    </xf>
    <xf numFmtId="0" fontId="27" fillId="0" borderId="0" xfId="0" applyFont="1" applyAlignment="1">
      <alignment horizontal="centerContinuous" vertical="center"/>
    </xf>
    <xf numFmtId="0" fontId="7" fillId="0" borderId="7"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 xfId="0" applyFont="1" applyBorder="1" applyAlignment="1">
      <alignment horizontal="center" vertical="center" wrapText="1"/>
    </xf>
    <xf numFmtId="0" fontId="0" fillId="10" borderId="43" xfId="0" applyFill="1" applyBorder="1" applyAlignment="1">
      <alignment horizontal="centerContinuous" vertical="center" wrapText="1"/>
    </xf>
    <xf numFmtId="0" fontId="15" fillId="10" borderId="1" xfId="0" applyFont="1" applyFill="1" applyBorder="1" applyAlignment="1">
      <alignment horizontal="centerContinuous" vertical="center" wrapText="1"/>
    </xf>
    <xf numFmtId="0" fontId="15" fillId="10" borderId="41" xfId="0" applyFont="1" applyFill="1" applyBorder="1" applyAlignment="1">
      <alignment horizontal="centerContinuous" vertical="center" wrapText="1"/>
    </xf>
    <xf numFmtId="0" fontId="15" fillId="10" borderId="1" xfId="0" applyFont="1" applyFill="1" applyBorder="1" applyAlignment="1">
      <alignment horizontal="centerContinuous" vertical="center"/>
    </xf>
    <xf numFmtId="49" fontId="15" fillId="0" borderId="26" xfId="0" applyNumberFormat="1" applyFont="1" applyBorder="1" applyAlignment="1">
      <alignment horizontal="left" vertical="center"/>
    </xf>
    <xf numFmtId="49" fontId="15" fillId="0" borderId="27" xfId="0" applyNumberFormat="1" applyFont="1" applyBorder="1" applyAlignment="1">
      <alignment horizontal="center" vertical="center"/>
    </xf>
    <xf numFmtId="184" fontId="15" fillId="0" borderId="11" xfId="0" applyNumberFormat="1" applyFont="1" applyBorder="1">
      <alignment vertical="center"/>
    </xf>
    <xf numFmtId="184" fontId="15" fillId="0" borderId="11" xfId="0" applyNumberFormat="1" applyFont="1" applyBorder="1" applyAlignment="1">
      <alignment vertical="center" wrapText="1"/>
    </xf>
    <xf numFmtId="49" fontId="15" fillId="0" borderId="43" xfId="0" applyNumberFormat="1" applyFont="1" applyBorder="1" applyAlignment="1">
      <alignment horizontal="left" vertical="center" indent="1"/>
    </xf>
    <xf numFmtId="49" fontId="15" fillId="0" borderId="41" xfId="0" applyNumberFormat="1" applyFont="1" applyBorder="1" applyAlignment="1">
      <alignment horizontal="center" vertical="center"/>
    </xf>
    <xf numFmtId="184" fontId="15" fillId="0" borderId="1" xfId="0" applyNumberFormat="1" applyFont="1" applyBorder="1">
      <alignment vertical="center"/>
    </xf>
    <xf numFmtId="184" fontId="15" fillId="0" borderId="1" xfId="0" applyNumberFormat="1" applyFont="1" applyBorder="1" applyAlignment="1">
      <alignment vertical="center" wrapText="1"/>
    </xf>
    <xf numFmtId="49" fontId="15" fillId="0" borderId="43" xfId="0" applyNumberFormat="1" applyFont="1" applyBorder="1" applyAlignment="1">
      <alignment horizontal="left" vertical="center"/>
    </xf>
    <xf numFmtId="184" fontId="15" fillId="0" borderId="41" xfId="0" applyNumberFormat="1" applyFont="1" applyBorder="1">
      <alignment vertical="center"/>
    </xf>
    <xf numFmtId="184" fontId="15" fillId="0" borderId="2" xfId="0" applyNumberFormat="1" applyFont="1" applyBorder="1" applyAlignment="1">
      <alignment vertical="center" wrapText="1"/>
    </xf>
    <xf numFmtId="184" fontId="15" fillId="0" borderId="2" xfId="0" applyNumberFormat="1" applyFont="1" applyBorder="1">
      <alignment vertical="center"/>
    </xf>
    <xf numFmtId="49" fontId="15" fillId="0" borderId="41" xfId="0" applyNumberFormat="1" applyFont="1" applyBorder="1" applyAlignment="1">
      <alignment horizontal="left" vertical="center"/>
    </xf>
    <xf numFmtId="184" fontId="37" fillId="0" borderId="1" xfId="0" applyNumberFormat="1" applyFont="1" applyBorder="1">
      <alignment vertical="center"/>
    </xf>
    <xf numFmtId="184" fontId="37" fillId="0" borderId="1" xfId="0" applyNumberFormat="1" applyFont="1" applyBorder="1" applyAlignment="1">
      <alignment vertical="center" wrapText="1"/>
    </xf>
    <xf numFmtId="49" fontId="15" fillId="0" borderId="9" xfId="0" applyNumberFormat="1" applyFont="1" applyBorder="1" applyAlignment="1">
      <alignment horizontal="left" vertical="center" indent="1"/>
    </xf>
    <xf numFmtId="49" fontId="15" fillId="0" borderId="51" xfId="0" applyNumberFormat="1" applyFont="1" applyBorder="1" applyAlignment="1">
      <alignment horizontal="center" vertical="center"/>
    </xf>
    <xf numFmtId="184" fontId="15" fillId="0" borderId="51" xfId="0" applyNumberFormat="1" applyFont="1" applyBorder="1">
      <alignment vertical="center"/>
    </xf>
    <xf numFmtId="184" fontId="37" fillId="0" borderId="10" xfId="0" applyNumberFormat="1" applyFont="1" applyBorder="1">
      <alignment vertical="center"/>
    </xf>
    <xf numFmtId="184" fontId="15" fillId="0" borderId="10" xfId="0" applyNumberFormat="1" applyFont="1" applyBorder="1" applyAlignment="1">
      <alignment vertical="center" wrapText="1"/>
    </xf>
    <xf numFmtId="184" fontId="15" fillId="0" borderId="10" xfId="0" applyNumberFormat="1" applyFont="1" applyBorder="1">
      <alignment vertical="center"/>
    </xf>
    <xf numFmtId="49" fontId="1" fillId="0" borderId="0" xfId="0" applyNumberFormat="1" applyFont="1">
      <alignment vertical="center"/>
    </xf>
    <xf numFmtId="49" fontId="0" fillId="0" borderId="0" xfId="0" applyNumberFormat="1" applyAlignment="1">
      <alignment horizontal="right" vertical="center"/>
    </xf>
    <xf numFmtId="49" fontId="18" fillId="0" borderId="0" xfId="0" applyNumberFormat="1" applyFont="1">
      <alignment vertical="center"/>
    </xf>
    <xf numFmtId="185" fontId="7" fillId="0" borderId="8" xfId="0" applyNumberFormat="1" applyFont="1" applyBorder="1" applyAlignment="1">
      <alignment horizontal="center" vertical="center" wrapText="1"/>
    </xf>
    <xf numFmtId="185" fontId="15" fillId="10" borderId="1" xfId="0" applyNumberFormat="1" applyFont="1" applyFill="1" applyBorder="1" applyAlignment="1">
      <alignment horizontal="centerContinuous" vertical="center"/>
    </xf>
    <xf numFmtId="0" fontId="5" fillId="10" borderId="0" xfId="0" applyFont="1" applyFill="1" applyAlignment="1">
      <alignment horizontal="right" vertical="center"/>
    </xf>
    <xf numFmtId="184" fontId="15" fillId="0" borderId="1" xfId="0" applyNumberFormat="1" applyFont="1" applyBorder="1" applyAlignment="1">
      <alignment horizontal="right" vertical="center"/>
    </xf>
    <xf numFmtId="184" fontId="57" fillId="0" borderId="1" xfId="0" applyNumberFormat="1" applyFont="1" applyBorder="1" applyAlignment="1">
      <alignment horizontal="right" vertical="center"/>
    </xf>
    <xf numFmtId="184" fontId="15" fillId="0" borderId="2" xfId="0" applyNumberFormat="1" applyFont="1" applyBorder="1" applyAlignment="1">
      <alignment horizontal="right" vertical="center"/>
    </xf>
    <xf numFmtId="184" fontId="58" fillId="0" borderId="1" xfId="0" applyNumberFormat="1" applyFont="1" applyBorder="1" applyAlignment="1">
      <alignment horizontal="right" vertical="center"/>
    </xf>
    <xf numFmtId="184" fontId="15" fillId="0" borderId="10" xfId="0" applyNumberFormat="1" applyFont="1" applyBorder="1" applyAlignment="1">
      <alignment horizontal="right" vertical="center"/>
    </xf>
    <xf numFmtId="0" fontId="1" fillId="0" borderId="13" xfId="0" applyFont="1" applyBorder="1" applyAlignment="1">
      <alignment horizontal="center" vertical="center" wrapText="1"/>
    </xf>
    <xf numFmtId="0" fontId="15" fillId="10" borderId="45" xfId="0" applyFont="1" applyFill="1" applyBorder="1" applyAlignment="1">
      <alignment horizontal="centerContinuous" vertical="center"/>
    </xf>
    <xf numFmtId="184" fontId="15" fillId="0" borderId="45" xfId="0" applyNumberFormat="1" applyFont="1" applyBorder="1">
      <alignment vertical="center"/>
    </xf>
    <xf numFmtId="184" fontId="15" fillId="0" borderId="45" xfId="0" applyNumberFormat="1" applyFont="1" applyBorder="1" applyAlignment="1">
      <alignment vertical="center" wrapText="1"/>
    </xf>
    <xf numFmtId="184" fontId="15" fillId="0" borderId="46" xfId="0" applyNumberFormat="1" applyFont="1" applyBorder="1">
      <alignment vertical="center"/>
    </xf>
    <xf numFmtId="185" fontId="15" fillId="0" borderId="0" xfId="0" applyNumberFormat="1" applyFont="1">
      <alignment vertical="center"/>
    </xf>
    <xf numFmtId="184" fontId="58" fillId="0" borderId="0" xfId="0" applyNumberFormat="1" applyFont="1">
      <alignment vertical="center"/>
    </xf>
    <xf numFmtId="9" fontId="15" fillId="0" borderId="46" xfId="0" applyNumberFormat="1" applyFont="1" applyBorder="1" applyAlignment="1">
      <alignment horizontal="left" vertical="center"/>
    </xf>
    <xf numFmtId="184" fontId="15" fillId="0" borderId="46" xfId="0" applyNumberFormat="1" applyFont="1" applyBorder="1" applyAlignment="1">
      <alignment vertical="center" wrapText="1"/>
    </xf>
    <xf numFmtId="185" fontId="0" fillId="0" borderId="0" xfId="0" applyNumberFormat="1">
      <alignment vertical="center"/>
    </xf>
    <xf numFmtId="184" fontId="15" fillId="0" borderId="14" xfId="0" applyNumberFormat="1" applyFont="1" applyBorder="1">
      <alignment vertical="center"/>
    </xf>
    <xf numFmtId="0" fontId="7" fillId="0" borderId="0" xfId="0" applyFont="1" applyProtection="1">
      <alignment vertical="center"/>
      <protection locked="0"/>
    </xf>
    <xf numFmtId="0" fontId="7" fillId="0" borderId="0" xfId="0" applyFont="1" applyAlignment="1" applyProtection="1">
      <alignment vertical="center" wrapText="1"/>
      <protection locked="0"/>
    </xf>
    <xf numFmtId="0" fontId="1" fillId="0" borderId="0" xfId="0" applyFont="1" applyProtection="1">
      <alignment vertical="center"/>
      <protection locked="0"/>
    </xf>
    <xf numFmtId="0" fontId="15" fillId="0" borderId="0" xfId="0" applyFont="1" applyProtection="1">
      <alignment vertical="center"/>
      <protection locked="0"/>
    </xf>
    <xf numFmtId="0" fontId="4"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4" fontId="0" fillId="0" borderId="0" xfId="0" applyNumberFormat="1" applyProtection="1">
      <alignment vertical="center"/>
      <protection locked="0"/>
    </xf>
    <xf numFmtId="0" fontId="59" fillId="0" borderId="0" xfId="0" applyFont="1" applyAlignment="1">
      <alignment horizontal="centerContinuous" vertical="center"/>
    </xf>
    <xf numFmtId="0" fontId="27" fillId="0" borderId="0" xfId="0" applyFont="1" applyAlignment="1">
      <alignment horizontal="centerContinuous" vertical="center" wrapText="1"/>
    </xf>
    <xf numFmtId="0" fontId="7" fillId="0" borderId="0" xfId="0" applyFont="1" applyAlignment="1">
      <alignment horizontal="centerContinuous" vertical="center"/>
    </xf>
    <xf numFmtId="0" fontId="7" fillId="0" borderId="0" xfId="0" applyFont="1" applyAlignment="1">
      <alignment horizontal="centerContinuous" vertical="center" wrapText="1"/>
    </xf>
    <xf numFmtId="0" fontId="7" fillId="30" borderId="7" xfId="0" applyFont="1" applyFill="1" applyBorder="1" applyAlignment="1">
      <alignment horizontal="center" vertical="center" wrapText="1"/>
    </xf>
    <xf numFmtId="0" fontId="7" fillId="30" borderId="22" xfId="0" applyFont="1" applyFill="1" applyBorder="1" applyAlignment="1">
      <alignment horizontal="center" vertical="center" wrapText="1"/>
    </xf>
    <xf numFmtId="0" fontId="7" fillId="30" borderId="8" xfId="0" applyFont="1" applyFill="1" applyBorder="1" applyAlignment="1">
      <alignment horizontal="center" vertical="center" wrapText="1"/>
    </xf>
    <xf numFmtId="0" fontId="7" fillId="10" borderId="43" xfId="0" applyFont="1" applyFill="1" applyBorder="1" applyAlignment="1">
      <alignment horizontal="centerContinuous" vertical="center" wrapText="1"/>
    </xf>
    <xf numFmtId="0" fontId="7" fillId="10" borderId="1" xfId="0" applyFont="1" applyFill="1" applyBorder="1" applyAlignment="1">
      <alignment horizontal="centerContinuous" vertical="center" wrapText="1"/>
    </xf>
    <xf numFmtId="0" fontId="7" fillId="10" borderId="41" xfId="0" applyFont="1" applyFill="1" applyBorder="1" applyAlignment="1">
      <alignment horizontal="centerContinuous" vertical="center" wrapText="1"/>
    </xf>
    <xf numFmtId="0" fontId="7" fillId="10" borderId="1" xfId="0" applyFont="1" applyFill="1" applyBorder="1" applyAlignment="1">
      <alignment horizontal="centerContinuous" vertical="center"/>
    </xf>
    <xf numFmtId="0" fontId="4" fillId="31" borderId="26" xfId="0" applyFont="1" applyFill="1" applyBorder="1" applyAlignment="1" applyProtection="1">
      <alignment horizontal="left" vertical="center" wrapText="1"/>
      <protection locked="0"/>
    </xf>
    <xf numFmtId="0" fontId="4" fillId="31" borderId="40" xfId="0" applyFont="1" applyFill="1" applyBorder="1" applyAlignment="1" applyProtection="1">
      <alignment horizontal="center" vertical="center" wrapText="1"/>
      <protection locked="0"/>
    </xf>
    <xf numFmtId="0" fontId="4" fillId="31" borderId="11" xfId="0" applyFont="1" applyFill="1" applyBorder="1" applyAlignment="1" applyProtection="1">
      <alignment horizontal="center" vertical="center" wrapText="1"/>
      <protection locked="0"/>
    </xf>
    <xf numFmtId="0" fontId="15" fillId="0" borderId="26" xfId="0" applyFont="1" applyBorder="1" applyAlignment="1" applyProtection="1">
      <alignment horizontal="left" vertical="center" wrapText="1" indent="1"/>
      <protection locked="0"/>
    </xf>
    <xf numFmtId="49" fontId="60" fillId="0" borderId="5" xfId="0" applyNumberFormat="1" applyFont="1" applyBorder="1" applyAlignment="1" applyProtection="1">
      <alignment horizontal="left" vertical="center" wrapText="1"/>
      <protection locked="0"/>
    </xf>
    <xf numFmtId="0" fontId="15" fillId="0" borderId="1" xfId="0" applyFont="1" applyBorder="1" applyProtection="1">
      <alignment vertical="center"/>
      <protection locked="0"/>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 xfId="0" applyFont="1" applyBorder="1" applyProtection="1">
      <alignment vertical="center"/>
      <protection locked="0"/>
    </xf>
    <xf numFmtId="0" fontId="58" fillId="0" borderId="1" xfId="0" applyFont="1" applyBorder="1" applyAlignment="1" applyProtection="1">
      <alignment vertical="center" wrapText="1"/>
      <protection locked="0"/>
    </xf>
    <xf numFmtId="185" fontId="27" fillId="0" borderId="0" xfId="0" applyNumberFormat="1" applyFont="1" applyAlignment="1">
      <alignment horizontal="right" vertical="center"/>
    </xf>
    <xf numFmtId="184" fontId="27" fillId="0" borderId="0" xfId="0" applyNumberFormat="1" applyFont="1" applyAlignment="1">
      <alignment horizontal="centerContinuous" vertical="center"/>
    </xf>
    <xf numFmtId="184" fontId="7" fillId="0" borderId="0" xfId="0" applyNumberFormat="1" applyFont="1" applyAlignment="1">
      <alignment horizontal="centerContinuous" vertical="center"/>
    </xf>
    <xf numFmtId="184" fontId="7" fillId="0" borderId="0" xfId="0" applyNumberFormat="1" applyFont="1">
      <alignment vertical="center"/>
    </xf>
    <xf numFmtId="185" fontId="7" fillId="30" borderId="8" xfId="0" applyNumberFormat="1" applyFont="1" applyFill="1" applyBorder="1" applyAlignment="1">
      <alignment horizontal="center" vertical="center" wrapText="1"/>
    </xf>
    <xf numFmtId="185" fontId="7" fillId="30" borderId="8" xfId="0" applyNumberFormat="1" applyFont="1" applyFill="1" applyBorder="1" applyAlignment="1">
      <alignment horizontal="right" vertical="center" wrapText="1"/>
    </xf>
    <xf numFmtId="184" fontId="7" fillId="30" borderId="8" xfId="0" applyNumberFormat="1" applyFont="1" applyFill="1" applyBorder="1" applyAlignment="1">
      <alignment horizontal="center" vertical="center" wrapText="1"/>
    </xf>
    <xf numFmtId="185" fontId="7" fillId="10" borderId="1" xfId="0" applyNumberFormat="1" applyFont="1" applyFill="1" applyBorder="1" applyAlignment="1">
      <alignment horizontal="centerContinuous" vertical="center"/>
    </xf>
    <xf numFmtId="185" fontId="7" fillId="10" borderId="0" xfId="0" applyNumberFormat="1" applyFont="1" applyFill="1" applyAlignment="1">
      <alignment horizontal="centerContinuous" vertical="center"/>
    </xf>
    <xf numFmtId="184" fontId="7" fillId="10" borderId="1" xfId="0" applyNumberFormat="1" applyFont="1" applyFill="1" applyBorder="1" applyAlignment="1">
      <alignment horizontal="centerContinuous" vertical="center"/>
    </xf>
    <xf numFmtId="0" fontId="4" fillId="31" borderId="1" xfId="0" applyFont="1" applyFill="1" applyBorder="1" applyAlignment="1" applyProtection="1">
      <alignment horizontal="center" vertical="center"/>
      <protection locked="0"/>
    </xf>
    <xf numFmtId="185" fontId="1" fillId="31" borderId="1" xfId="0" applyNumberFormat="1" applyFont="1" applyFill="1" applyBorder="1" applyProtection="1">
      <alignment vertical="center"/>
      <protection locked="0"/>
    </xf>
    <xf numFmtId="184" fontId="4" fillId="31" borderId="11" xfId="0" applyNumberFormat="1" applyFont="1" applyFill="1" applyBorder="1" applyAlignment="1" applyProtection="1">
      <alignment horizontal="center" vertical="center"/>
      <protection locked="0"/>
    </xf>
    <xf numFmtId="184" fontId="4" fillId="31" borderId="11" xfId="0" applyNumberFormat="1" applyFont="1" applyFill="1" applyBorder="1" applyAlignment="1" applyProtection="1">
      <alignment horizontal="right" vertical="center"/>
      <protection locked="0"/>
    </xf>
    <xf numFmtId="184" fontId="4" fillId="31" borderId="1" xfId="0" applyNumberFormat="1" applyFont="1" applyFill="1" applyBorder="1" applyAlignment="1" applyProtection="1">
      <alignment horizontal="right" vertical="center"/>
      <protection locked="0"/>
    </xf>
    <xf numFmtId="185" fontId="4" fillId="31" borderId="1" xfId="0" applyNumberFormat="1" applyFont="1" applyFill="1" applyBorder="1" applyAlignment="1" applyProtection="1">
      <alignment horizontal="right" vertical="center"/>
      <protection locked="0"/>
    </xf>
    <xf numFmtId="185" fontId="15" fillId="0" borderId="1" xfId="0" applyNumberFormat="1" applyFont="1" applyBorder="1" applyAlignment="1" applyProtection="1">
      <alignment horizontal="right" vertical="center"/>
      <protection locked="0"/>
    </xf>
    <xf numFmtId="184" fontId="15" fillId="0" borderId="1" xfId="0" applyNumberFormat="1" applyFont="1" applyBorder="1" applyProtection="1">
      <alignment vertical="center"/>
      <protection locked="0"/>
    </xf>
    <xf numFmtId="184" fontId="15" fillId="0" borderId="1" xfId="0" applyNumberFormat="1" applyFont="1" applyBorder="1" applyAlignment="1" applyProtection="1">
      <alignment horizontal="right" vertical="center"/>
      <protection locked="0"/>
    </xf>
    <xf numFmtId="185" fontId="15" fillId="0" borderId="1" xfId="0" applyNumberFormat="1" applyFont="1" applyBorder="1" applyProtection="1">
      <alignment vertical="center"/>
      <protection locked="0"/>
    </xf>
    <xf numFmtId="0" fontId="7" fillId="0" borderId="0" xfId="0" applyFont="1" applyAlignment="1">
      <alignment horizontal="left" vertical="center" wrapText="1"/>
    </xf>
    <xf numFmtId="0" fontId="1" fillId="30" borderId="13" xfId="0" applyFont="1" applyFill="1" applyBorder="1" applyAlignment="1">
      <alignment horizontal="center" vertical="center" wrapText="1"/>
    </xf>
    <xf numFmtId="0" fontId="1" fillId="10" borderId="45" xfId="0" applyFont="1" applyFill="1" applyBorder="1" applyAlignment="1">
      <alignment horizontal="centerContinuous" vertical="center" wrapText="1"/>
    </xf>
    <xf numFmtId="0" fontId="4" fillId="31" borderId="45" xfId="0" applyFont="1" applyFill="1" applyBorder="1" applyAlignment="1" applyProtection="1">
      <alignment horizontal="center" vertical="center" wrapText="1"/>
      <protection locked="0"/>
    </xf>
    <xf numFmtId="0" fontId="15" fillId="0" borderId="45" xfId="0" applyFont="1" applyBorder="1" applyAlignment="1" applyProtection="1">
      <alignment vertical="center" wrapText="1"/>
      <protection locked="0"/>
    </xf>
    <xf numFmtId="0" fontId="1" fillId="0" borderId="45" xfId="0" applyFont="1" applyBorder="1" applyAlignment="1" applyProtection="1">
      <alignment vertical="center" wrapText="1"/>
      <protection locked="0"/>
    </xf>
    <xf numFmtId="49" fontId="61" fillId="31" borderId="5" xfId="0" applyNumberFormat="1" applyFont="1" applyFill="1" applyBorder="1" applyAlignment="1" applyProtection="1">
      <alignment horizontal="left" vertical="center" wrapText="1"/>
      <protection locked="0"/>
    </xf>
    <xf numFmtId="0" fontId="4" fillId="31" borderId="1" xfId="0" applyFont="1" applyFill="1" applyBorder="1" applyAlignment="1" applyProtection="1">
      <alignment vertical="center" wrapText="1"/>
      <protection locked="0"/>
    </xf>
    <xf numFmtId="0" fontId="4" fillId="31" borderId="1" xfId="0" applyFont="1" applyFill="1" applyBorder="1" applyProtection="1">
      <alignment vertical="center"/>
      <protection locked="0"/>
    </xf>
    <xf numFmtId="0" fontId="4" fillId="0" borderId="1" xfId="0" applyFont="1" applyBorder="1" applyProtection="1">
      <alignment vertical="center"/>
      <protection locked="0"/>
    </xf>
    <xf numFmtId="0" fontId="24" fillId="0" borderId="1" xfId="0" applyFont="1" applyBorder="1" applyProtection="1">
      <alignment vertical="center"/>
      <protection locked="0"/>
    </xf>
    <xf numFmtId="0" fontId="37" fillId="0" borderId="1" xfId="0" applyFont="1" applyBorder="1" applyAlignment="1" applyProtection="1">
      <alignment vertical="center" wrapText="1"/>
      <protection locked="0"/>
    </xf>
    <xf numFmtId="0" fontId="1" fillId="31" borderId="26" xfId="0" applyFont="1" applyFill="1" applyBorder="1" applyAlignment="1" applyProtection="1">
      <alignment horizontal="left" vertical="center" wrapText="1"/>
      <protection locked="0"/>
    </xf>
    <xf numFmtId="49" fontId="13" fillId="31" borderId="5" xfId="0" applyNumberFormat="1" applyFont="1" applyFill="1" applyBorder="1" applyAlignment="1" applyProtection="1">
      <alignment horizontal="left" vertical="center" wrapText="1"/>
      <protection locked="0"/>
    </xf>
    <xf numFmtId="0" fontId="1" fillId="31" borderId="1" xfId="0" applyFont="1" applyFill="1" applyBorder="1" applyAlignment="1" applyProtection="1">
      <alignment vertical="center" wrapText="1"/>
      <protection locked="0"/>
    </xf>
    <xf numFmtId="0" fontId="1" fillId="31" borderId="1" xfId="0" applyFont="1" applyFill="1" applyBorder="1" applyAlignment="1" applyProtection="1">
      <alignment horizontal="center" vertical="center"/>
      <protection locked="0"/>
    </xf>
    <xf numFmtId="49" fontId="60" fillId="0" borderId="17" xfId="0" applyNumberFormat="1" applyFont="1" applyBorder="1" applyAlignment="1" applyProtection="1">
      <alignment horizontal="left" vertical="center" wrapText="1"/>
      <protection locked="0"/>
    </xf>
    <xf numFmtId="49" fontId="60" fillId="0" borderId="4" xfId="0" applyNumberFormat="1" applyFont="1" applyBorder="1" applyAlignment="1" applyProtection="1">
      <alignment horizontal="left" vertical="center" wrapText="1"/>
      <protection locked="0"/>
    </xf>
    <xf numFmtId="0" fontId="15" fillId="0" borderId="1" xfId="0" applyFont="1" applyBorder="1" applyAlignment="1" applyProtection="1">
      <alignment horizontal="left" vertical="center"/>
      <protection locked="0"/>
    </xf>
    <xf numFmtId="0" fontId="7" fillId="0" borderId="1" xfId="0" applyFont="1" applyBorder="1" applyAlignment="1" applyProtection="1">
      <alignment vertical="center" wrapText="1"/>
      <protection locked="0"/>
    </xf>
    <xf numFmtId="0" fontId="7" fillId="0" borderId="41" xfId="0" applyFont="1" applyBorder="1" applyProtection="1">
      <alignment vertical="center"/>
      <protection locked="0"/>
    </xf>
    <xf numFmtId="0" fontId="15" fillId="10" borderId="41" xfId="0" applyFont="1" applyFill="1" applyBorder="1" applyAlignment="1">
      <alignment horizontal="centerContinuous" vertical="center"/>
    </xf>
    <xf numFmtId="0" fontId="15" fillId="32" borderId="43" xfId="0" applyFont="1" applyFill="1" applyBorder="1" applyAlignment="1">
      <alignment horizontal="center" vertical="center"/>
    </xf>
    <xf numFmtId="0" fontId="15" fillId="32" borderId="41" xfId="0" applyFont="1" applyFill="1" applyBorder="1" applyAlignment="1">
      <alignment horizontal="center" vertical="center"/>
    </xf>
    <xf numFmtId="0" fontId="15" fillId="32" borderId="1" xfId="0" applyFont="1" applyFill="1" applyBorder="1" applyAlignment="1">
      <alignment horizontal="left" vertical="center"/>
    </xf>
    <xf numFmtId="0" fontId="15" fillId="32" borderId="1" xfId="0" applyFont="1" applyFill="1" applyBorder="1" applyAlignment="1">
      <alignment horizontal="center" vertical="center"/>
    </xf>
    <xf numFmtId="0" fontId="15" fillId="32" borderId="1" xfId="0" applyFont="1" applyFill="1" applyBorder="1">
      <alignment vertical="center"/>
    </xf>
    <xf numFmtId="0" fontId="1" fillId="32" borderId="41" xfId="0" applyFont="1" applyFill="1" applyBorder="1" applyAlignment="1">
      <alignment horizontal="center" vertical="center"/>
    </xf>
    <xf numFmtId="0" fontId="12" fillId="32" borderId="1" xfId="0" applyFont="1" applyFill="1" applyBorder="1" applyAlignment="1">
      <alignment horizontal="left" vertical="center" indent="1"/>
    </xf>
    <xf numFmtId="0" fontId="12" fillId="32" borderId="1" xfId="0" applyFont="1" applyFill="1" applyBorder="1" applyAlignment="1">
      <alignment horizontal="center" vertical="center"/>
    </xf>
    <xf numFmtId="0" fontId="1" fillId="32" borderId="1" xfId="0" applyFont="1" applyFill="1" applyBorder="1" applyAlignment="1">
      <alignment horizontal="center" vertical="center"/>
    </xf>
    <xf numFmtId="0" fontId="1" fillId="32" borderId="1" xfId="0" applyFont="1" applyFill="1" applyBorder="1">
      <alignment vertical="center"/>
    </xf>
    <xf numFmtId="0" fontId="1" fillId="32" borderId="52" xfId="0" applyFont="1" applyFill="1" applyBorder="1" applyAlignment="1">
      <alignment horizontal="center" vertical="center"/>
    </xf>
    <xf numFmtId="0" fontId="1" fillId="32" borderId="10" xfId="0" applyFont="1" applyFill="1" applyBorder="1" applyAlignment="1">
      <alignment horizontal="center" vertical="center"/>
    </xf>
    <xf numFmtId="0" fontId="1" fillId="32" borderId="42" xfId="0" applyFont="1" applyFill="1" applyBorder="1" applyAlignment="1">
      <alignment vertical="center" wrapText="1"/>
    </xf>
    <xf numFmtId="0" fontId="1" fillId="32" borderId="10" xfId="0" applyFont="1" applyFill="1" applyBorder="1" applyAlignment="1">
      <alignment vertical="center" wrapText="1"/>
    </xf>
    <xf numFmtId="0" fontId="1" fillId="32" borderId="10" xfId="0" applyFont="1" applyFill="1" applyBorder="1" applyAlignment="1">
      <alignment horizontal="center" vertical="center" wrapText="1"/>
    </xf>
    <xf numFmtId="189" fontId="1" fillId="32" borderId="1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pplyProtection="1">
      <alignment horizontal="right" vertical="center"/>
      <protection locked="0"/>
    </xf>
    <xf numFmtId="0" fontId="12" fillId="0" borderId="0" xfId="0" applyFont="1" applyProtection="1">
      <alignment vertical="center"/>
      <protection locked="0"/>
    </xf>
    <xf numFmtId="0" fontId="18" fillId="0" borderId="0" xfId="0" applyFont="1" applyProtection="1">
      <alignment vertical="center"/>
      <protection locked="0"/>
    </xf>
    <xf numFmtId="185" fontId="4" fillId="31" borderId="1" xfId="0" applyNumberFormat="1" applyFont="1" applyFill="1" applyBorder="1" applyProtection="1">
      <alignment vertical="center"/>
      <protection locked="0"/>
    </xf>
    <xf numFmtId="184" fontId="4" fillId="31" borderId="1" xfId="0" applyNumberFormat="1" applyFont="1" applyFill="1" applyBorder="1" applyProtection="1">
      <alignment vertical="center"/>
      <protection locked="0"/>
    </xf>
    <xf numFmtId="0" fontId="1" fillId="31" borderId="1" xfId="0" applyFont="1" applyFill="1" applyBorder="1" applyProtection="1">
      <alignment vertical="center"/>
      <protection locked="0"/>
    </xf>
    <xf numFmtId="184" fontId="1" fillId="31" borderId="1" xfId="0" applyNumberFormat="1" applyFont="1" applyFill="1" applyBorder="1" applyProtection="1">
      <alignment vertical="center"/>
      <protection locked="0"/>
    </xf>
    <xf numFmtId="184" fontId="1" fillId="31" borderId="1" xfId="0" applyNumberFormat="1" applyFont="1" applyFill="1" applyBorder="1" applyAlignment="1" applyProtection="1">
      <alignment horizontal="right" vertical="center"/>
      <protection locked="0"/>
    </xf>
    <xf numFmtId="185" fontId="15" fillId="0" borderId="1" xfId="0" applyNumberFormat="1" applyFont="1" applyBorder="1" applyAlignment="1">
      <alignment horizontal="right" vertical="center"/>
    </xf>
    <xf numFmtId="185" fontId="58" fillId="0" borderId="1" xfId="0" applyNumberFormat="1" applyFont="1" applyBorder="1" applyAlignment="1">
      <alignment horizontal="right" vertical="center"/>
    </xf>
    <xf numFmtId="184" fontId="15" fillId="10" borderId="1" xfId="0" applyNumberFormat="1" applyFont="1" applyFill="1" applyBorder="1" applyAlignment="1">
      <alignment horizontal="centerContinuous" vertical="center"/>
    </xf>
    <xf numFmtId="184" fontId="15" fillId="32" borderId="1" xfId="0" applyNumberFormat="1" applyFont="1" applyFill="1" applyBorder="1">
      <alignment vertical="center"/>
    </xf>
    <xf numFmtId="185" fontId="15" fillId="32" borderId="1" xfId="0" applyNumberFormat="1" applyFont="1" applyFill="1" applyBorder="1">
      <alignment vertical="center"/>
    </xf>
    <xf numFmtId="185" fontId="1" fillId="32" borderId="1" xfId="0" applyNumberFormat="1" applyFont="1" applyFill="1" applyBorder="1">
      <alignment vertical="center"/>
    </xf>
    <xf numFmtId="184" fontId="1" fillId="32" borderId="1" xfId="0" applyNumberFormat="1" applyFont="1" applyFill="1" applyBorder="1">
      <alignment vertical="center"/>
    </xf>
    <xf numFmtId="185" fontId="1" fillId="32" borderId="10" xfId="0" applyNumberFormat="1" applyFont="1" applyFill="1" applyBorder="1" applyAlignment="1">
      <alignment horizontal="right" vertical="center"/>
    </xf>
    <xf numFmtId="184" fontId="1" fillId="32" borderId="10" xfId="0" applyNumberFormat="1" applyFont="1" applyFill="1" applyBorder="1">
      <alignment vertical="center"/>
    </xf>
    <xf numFmtId="185" fontId="1" fillId="32" borderId="10" xfId="0" applyNumberFormat="1" applyFont="1" applyFill="1" applyBorder="1">
      <alignment vertical="center"/>
    </xf>
    <xf numFmtId="185" fontId="7" fillId="0" borderId="0" xfId="0" applyNumberFormat="1" applyFont="1" applyProtection="1">
      <alignment vertical="center"/>
      <protection locked="0"/>
    </xf>
    <xf numFmtId="184" fontId="7" fillId="0" borderId="0" xfId="0" applyNumberFormat="1" applyFont="1" applyProtection="1">
      <alignment vertical="center"/>
      <protection locked="0"/>
    </xf>
    <xf numFmtId="185" fontId="0" fillId="0" borderId="0" xfId="0" applyNumberFormat="1" applyProtection="1">
      <alignment vertical="center"/>
      <protection locked="0"/>
    </xf>
    <xf numFmtId="185" fontId="18" fillId="0" borderId="0" xfId="0" applyNumberFormat="1" applyFont="1" applyProtection="1">
      <alignment vertical="center"/>
      <protection locked="0"/>
    </xf>
    <xf numFmtId="184" fontId="18" fillId="0" borderId="0" xfId="0" applyNumberFormat="1" applyFont="1" applyProtection="1">
      <alignment vertical="center"/>
      <protection locked="0"/>
    </xf>
    <xf numFmtId="0" fontId="4" fillId="31" borderId="45" xfId="0" applyFont="1" applyFill="1" applyBorder="1" applyAlignment="1" applyProtection="1">
      <alignment vertical="center" wrapText="1"/>
      <protection locked="0"/>
    </xf>
    <xf numFmtId="0" fontId="37" fillId="0" borderId="45" xfId="0" applyFont="1" applyBorder="1" applyAlignment="1" applyProtection="1">
      <alignment vertical="center" wrapText="1"/>
      <protection locked="0"/>
    </xf>
    <xf numFmtId="0" fontId="1" fillId="31" borderId="45" xfId="0" applyFont="1" applyFill="1" applyBorder="1" applyAlignment="1" applyProtection="1">
      <alignment vertical="center" wrapText="1"/>
      <protection locked="0"/>
    </xf>
    <xf numFmtId="0" fontId="15" fillId="0" borderId="53" xfId="0" applyFont="1" applyBorder="1" applyAlignment="1" applyProtection="1">
      <alignment vertical="center" wrapText="1"/>
      <protection locked="0"/>
    </xf>
    <xf numFmtId="0" fontId="15" fillId="10" borderId="45" xfId="0" applyFont="1" applyFill="1" applyBorder="1" applyAlignment="1">
      <alignment horizontal="centerContinuous" vertical="center" wrapText="1"/>
    </xf>
    <xf numFmtId="0" fontId="15" fillId="32" borderId="45" xfId="0" applyFont="1" applyFill="1" applyBorder="1" applyAlignment="1">
      <alignment vertical="center" wrapText="1"/>
    </xf>
    <xf numFmtId="0" fontId="1" fillId="32" borderId="45" xfId="0" applyFont="1" applyFill="1" applyBorder="1" applyAlignment="1">
      <alignment vertical="center" wrapText="1"/>
    </xf>
    <xf numFmtId="0" fontId="1" fillId="32" borderId="14" xfId="0" applyFont="1" applyFill="1" applyBorder="1" applyAlignment="1">
      <alignment vertical="center" wrapText="1"/>
    </xf>
    <xf numFmtId="0" fontId="18" fillId="0" borderId="0" xfId="0" applyFont="1" applyAlignment="1" applyProtection="1">
      <alignment vertical="center" wrapText="1"/>
      <protection locked="0"/>
    </xf>
    <xf numFmtId="0" fontId="0" fillId="0" borderId="0" xfId="0" applyAlignment="1">
      <alignment vertical="center" wrapText="1"/>
    </xf>
    <xf numFmtId="0" fontId="20" fillId="0" borderId="0" xfId="0" applyFont="1" applyAlignment="1" applyProtection="1">
      <alignment horizontal="center" vertical="center"/>
      <protection locked="0"/>
    </xf>
    <xf numFmtId="0" fontId="16" fillId="0" borderId="0" xfId="0" applyFont="1" applyAlignment="1">
      <alignment horizontal="left" vertical="center"/>
    </xf>
    <xf numFmtId="0" fontId="16" fillId="0" borderId="0" xfId="0" applyFont="1" applyAlignment="1">
      <alignment horizontal="center" vertical="center"/>
    </xf>
    <xf numFmtId="0" fontId="16" fillId="0" borderId="0" xfId="0" applyFont="1" applyAlignment="1">
      <alignment horizontal="centerContinuous" vertical="center"/>
    </xf>
    <xf numFmtId="0" fontId="16" fillId="0" borderId="0" xfId="0" applyFont="1">
      <alignment vertical="center"/>
    </xf>
    <xf numFmtId="0" fontId="1" fillId="30" borderId="1" xfId="0" applyFont="1" applyFill="1" applyBorder="1" applyAlignment="1">
      <alignment horizontal="center" vertical="center" wrapText="1"/>
    </xf>
    <xf numFmtId="0" fontId="7" fillId="10" borderId="1" xfId="0" applyFont="1" applyFill="1" applyBorder="1" applyAlignment="1">
      <alignment horizontal="center" vertical="center" wrapText="1"/>
    </xf>
    <xf numFmtId="0" fontId="4" fillId="31" borderId="1" xfId="0" applyFont="1" applyFill="1" applyBorder="1" applyAlignment="1" applyProtection="1">
      <alignment horizontal="left" vertical="center" wrapText="1"/>
      <protection locked="0"/>
    </xf>
    <xf numFmtId="0" fontId="4" fillId="31" borderId="1" xfId="0" applyFont="1" applyFill="1" applyBorder="1" applyAlignment="1" applyProtection="1">
      <alignment horizontal="center" vertical="center" wrapText="1"/>
      <protection locked="0"/>
    </xf>
    <xf numFmtId="0" fontId="1" fillId="0" borderId="1" xfId="0" applyFont="1" applyBorder="1" applyProtection="1">
      <alignment vertical="center"/>
      <protection locked="0"/>
    </xf>
    <xf numFmtId="0" fontId="1" fillId="0" borderId="1" xfId="0" applyFont="1" applyBorder="1" applyAlignment="1" applyProtection="1">
      <alignment vertical="center" wrapText="1"/>
      <protection locked="0"/>
    </xf>
    <xf numFmtId="185" fontId="16" fillId="0" borderId="0" xfId="0" applyNumberFormat="1" applyFont="1" applyAlignment="1">
      <alignment horizontal="right" vertical="center"/>
    </xf>
    <xf numFmtId="185" fontId="1" fillId="30" borderId="1" xfId="0" applyNumberFormat="1" applyFont="1" applyFill="1" applyBorder="1" applyAlignment="1">
      <alignment horizontal="center" vertical="center" wrapText="1"/>
    </xf>
    <xf numFmtId="188" fontId="1" fillId="30" borderId="1" xfId="0" applyNumberFormat="1" applyFont="1" applyFill="1" applyBorder="1" applyAlignment="1">
      <alignment horizontal="center" vertical="center" wrapText="1"/>
    </xf>
    <xf numFmtId="184" fontId="1" fillId="30" borderId="1" xfId="0" applyNumberFormat="1" applyFont="1" applyFill="1" applyBorder="1" applyAlignment="1">
      <alignment horizontal="center" vertical="center" wrapText="1"/>
    </xf>
    <xf numFmtId="185" fontId="1" fillId="30" borderId="1" xfId="0" applyNumberFormat="1" applyFont="1" applyFill="1" applyBorder="1" applyAlignment="1">
      <alignment horizontal="right" vertical="center" wrapText="1"/>
    </xf>
    <xf numFmtId="188" fontId="4" fillId="31" borderId="1" xfId="0" applyNumberFormat="1" applyFont="1" applyFill="1" applyBorder="1" applyAlignment="1" applyProtection="1">
      <alignment horizontal="center" vertical="center"/>
      <protection locked="0"/>
    </xf>
    <xf numFmtId="184" fontId="4" fillId="31" borderId="1" xfId="0" applyNumberFormat="1" applyFont="1" applyFill="1" applyBorder="1" applyAlignment="1" applyProtection="1">
      <alignment horizontal="center" vertical="center"/>
      <protection locked="0"/>
    </xf>
    <xf numFmtId="185" fontId="1" fillId="31" borderId="1" xfId="0" applyNumberFormat="1" applyFont="1" applyFill="1" applyBorder="1" applyAlignment="1" applyProtection="1">
      <alignment horizontal="right" vertical="center"/>
      <protection locked="0"/>
    </xf>
    <xf numFmtId="184" fontId="1" fillId="0" borderId="1" xfId="0" applyNumberFormat="1" applyFont="1" applyBorder="1" applyProtection="1">
      <alignment vertical="center"/>
      <protection locked="0"/>
    </xf>
    <xf numFmtId="185" fontId="1" fillId="0" borderId="1" xfId="0" applyNumberFormat="1" applyFont="1" applyBorder="1" applyProtection="1">
      <alignment vertical="center"/>
      <protection locked="0"/>
    </xf>
    <xf numFmtId="9" fontId="7" fillId="0" borderId="0" xfId="0" applyNumberFormat="1" applyFont="1" applyProtection="1">
      <alignment vertical="center"/>
      <protection locked="0"/>
    </xf>
    <xf numFmtId="0" fontId="1" fillId="10" borderId="45" xfId="0" applyFont="1" applyFill="1" applyBorder="1" applyAlignment="1">
      <alignment horizontal="centerContinuous" vertical="center"/>
    </xf>
    <xf numFmtId="0" fontId="1" fillId="0" borderId="1" xfId="0" applyFont="1" applyBorder="1" applyAlignment="1" applyProtection="1">
      <alignment horizontal="left" vertical="center" indent="1"/>
      <protection locked="0"/>
    </xf>
    <xf numFmtId="0" fontId="1" fillId="0" borderId="1"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1" fillId="0" borderId="0" xfId="1284" applyFont="1"/>
    <xf numFmtId="196" fontId="0" fillId="0" borderId="0" xfId="0" applyNumberFormat="1">
      <alignment vertical="center"/>
    </xf>
    <xf numFmtId="0" fontId="1" fillId="0" borderId="0" xfId="0" applyFont="1">
      <alignment vertical="center"/>
    </xf>
    <xf numFmtId="0" fontId="62" fillId="0" borderId="0" xfId="0" applyFont="1">
      <alignment vertical="center"/>
    </xf>
    <xf numFmtId="0" fontId="62" fillId="0" borderId="0" xfId="0" applyFont="1" applyAlignment="1">
      <alignment horizontal="center" vertical="center"/>
    </xf>
    <xf numFmtId="0" fontId="63" fillId="0" borderId="0" xfId="0" applyFont="1">
      <alignment vertical="center"/>
    </xf>
    <xf numFmtId="184" fontId="40" fillId="0" borderId="0" xfId="0" applyNumberFormat="1" applyFont="1" applyAlignment="1">
      <alignment horizontal="center" vertical="center" wrapText="1"/>
    </xf>
    <xf numFmtId="0" fontId="7" fillId="0" borderId="0" xfId="0" applyFont="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7" fillId="33" borderId="1" xfId="0" applyFont="1" applyFill="1" applyBorder="1" applyAlignment="1">
      <alignment vertical="center" wrapText="1"/>
    </xf>
    <xf numFmtId="0" fontId="7" fillId="33" borderId="1" xfId="0" applyFont="1" applyFill="1" applyBorder="1" applyAlignment="1">
      <alignment horizontal="center" vertical="center" wrapText="1"/>
    </xf>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0" fillId="33" borderId="1" xfId="0" applyFill="1" applyBorder="1" applyAlignment="1">
      <alignment horizontal="left" vertical="center" wrapText="1"/>
    </xf>
    <xf numFmtId="0" fontId="0" fillId="33" borderId="1" xfId="0" applyFill="1" applyBorder="1" applyAlignment="1">
      <alignment vertical="center" wrapText="1"/>
    </xf>
    <xf numFmtId="0" fontId="0" fillId="33" borderId="1" xfId="0"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64" fillId="0" borderId="0" xfId="0" applyFont="1">
      <alignment vertical="center"/>
    </xf>
    <xf numFmtId="185" fontId="64" fillId="0" borderId="0" xfId="0" applyNumberFormat="1" applyFont="1">
      <alignment vertical="center"/>
    </xf>
    <xf numFmtId="196" fontId="64" fillId="0" borderId="0" xfId="0" applyNumberFormat="1" applyFont="1">
      <alignment vertical="center"/>
    </xf>
    <xf numFmtId="185" fontId="65" fillId="0" borderId="0" xfId="1284" applyNumberFormat="1" applyFont="1" applyAlignment="1">
      <alignment vertical="center" wrapText="1"/>
    </xf>
    <xf numFmtId="185" fontId="40" fillId="0" borderId="0" xfId="0" applyNumberFormat="1" applyFont="1">
      <alignment vertical="center"/>
    </xf>
    <xf numFmtId="0" fontId="20" fillId="0" borderId="0" xfId="0" applyFont="1">
      <alignment vertical="center"/>
    </xf>
    <xf numFmtId="185" fontId="16" fillId="0" borderId="0" xfId="0" applyNumberFormat="1" applyFont="1">
      <alignment vertical="center"/>
    </xf>
    <xf numFmtId="196" fontId="16" fillId="0" borderId="0" xfId="0" applyNumberFormat="1" applyFont="1">
      <alignment vertical="center"/>
    </xf>
    <xf numFmtId="185" fontId="7" fillId="33" borderId="1" xfId="0" applyNumberFormat="1" applyFont="1" applyFill="1" applyBorder="1" applyAlignment="1">
      <alignment vertical="center" wrapText="1"/>
    </xf>
    <xf numFmtId="196" fontId="7" fillId="19" borderId="1" xfId="0" applyNumberFormat="1" applyFont="1" applyFill="1" applyBorder="1" applyAlignment="1">
      <alignment vertical="center" wrapText="1"/>
    </xf>
    <xf numFmtId="185" fontId="7" fillId="19" borderId="1" xfId="0" applyNumberFormat="1" applyFont="1" applyFill="1" applyBorder="1" applyAlignment="1">
      <alignment vertical="center" wrapText="1"/>
    </xf>
    <xf numFmtId="0" fontId="1" fillId="33" borderId="1" xfId="0" applyFont="1" applyFill="1" applyBorder="1" applyAlignment="1">
      <alignment vertical="center" wrapText="1"/>
    </xf>
    <xf numFmtId="189" fontId="0" fillId="10" borderId="1" xfId="0" applyNumberFormat="1" applyFill="1" applyBorder="1">
      <alignment vertical="center"/>
    </xf>
    <xf numFmtId="0" fontId="0" fillId="10" borderId="1" xfId="0" applyFill="1" applyBorder="1">
      <alignment vertical="center"/>
    </xf>
    <xf numFmtId="185" fontId="0" fillId="10" borderId="1" xfId="0" applyNumberFormat="1" applyFill="1" applyBorder="1">
      <alignment vertical="center"/>
    </xf>
    <xf numFmtId="196" fontId="0" fillId="10" borderId="1" xfId="0" applyNumberFormat="1" applyFill="1" applyBorder="1" applyAlignment="1">
      <alignment vertical="center" wrapText="1"/>
    </xf>
    <xf numFmtId="185" fontId="0" fillId="10" borderId="1" xfId="0" applyNumberFormat="1" applyFill="1" applyBorder="1" applyAlignment="1">
      <alignment vertical="center" wrapText="1"/>
    </xf>
    <xf numFmtId="185" fontId="0" fillId="33" borderId="1" xfId="0" applyNumberFormat="1" applyFill="1" applyBorder="1">
      <alignment vertical="center"/>
    </xf>
    <xf numFmtId="0" fontId="0" fillId="33" borderId="1" xfId="0" applyFill="1" applyBorder="1">
      <alignment vertical="center"/>
    </xf>
    <xf numFmtId="196" fontId="0" fillId="33" borderId="1" xfId="0" applyNumberFormat="1" applyFill="1" applyBorder="1" applyAlignment="1">
      <alignment vertical="center" wrapText="1"/>
    </xf>
    <xf numFmtId="185" fontId="0" fillId="33" borderId="1" xfId="0" applyNumberFormat="1" applyFill="1" applyBorder="1" applyAlignment="1">
      <alignment vertical="center" wrapText="1"/>
    </xf>
    <xf numFmtId="185" fontId="0" fillId="0" borderId="1" xfId="0" applyNumberFormat="1" applyBorder="1">
      <alignment vertical="center"/>
    </xf>
    <xf numFmtId="196" fontId="0" fillId="0" borderId="1" xfId="0" applyNumberFormat="1" applyBorder="1">
      <alignment vertical="center"/>
    </xf>
    <xf numFmtId="0" fontId="1" fillId="0" borderId="1" xfId="0" applyFont="1" applyBorder="1">
      <alignment vertical="center"/>
    </xf>
    <xf numFmtId="0" fontId="4" fillId="0" borderId="0" xfId="0" applyFont="1">
      <alignment vertical="center"/>
    </xf>
    <xf numFmtId="0" fontId="66" fillId="0" borderId="0" xfId="0" applyFont="1" applyAlignment="1">
      <alignment horizontal="right" vertical="center"/>
    </xf>
    <xf numFmtId="0" fontId="67" fillId="0" borderId="0" xfId="0" applyFont="1" applyAlignment="1">
      <alignment horizontal="left" vertical="center" wrapText="1"/>
    </xf>
    <xf numFmtId="0" fontId="66" fillId="0" borderId="0" xfId="0" applyFont="1" applyAlignment="1">
      <alignment horizontal="left" vertical="center" wrapText="1"/>
    </xf>
    <xf numFmtId="0" fontId="66" fillId="0" borderId="0" xfId="0" applyFont="1">
      <alignment vertical="center"/>
    </xf>
    <xf numFmtId="10" fontId="66" fillId="0" borderId="0" xfId="0" applyNumberFormat="1" applyFont="1">
      <alignment vertical="center"/>
    </xf>
    <xf numFmtId="0" fontId="66" fillId="0" borderId="54" xfId="0" applyFont="1" applyBorder="1" applyAlignment="1">
      <alignment horizontal="center" vertical="center" wrapText="1"/>
    </xf>
    <xf numFmtId="0" fontId="66" fillId="0" borderId="55" xfId="0" applyFont="1" applyBorder="1" applyAlignment="1">
      <alignment horizontal="center" vertical="center" wrapText="1"/>
    </xf>
    <xf numFmtId="10" fontId="66" fillId="0" borderId="55" xfId="0" applyNumberFormat="1" applyFont="1" applyBorder="1" applyAlignment="1">
      <alignment horizontal="center" vertical="center" wrapText="1"/>
    </xf>
    <xf numFmtId="0" fontId="7" fillId="10" borderId="56" xfId="0" applyFont="1" applyFill="1" applyBorder="1" applyAlignment="1">
      <alignment horizontal="left" vertical="center"/>
    </xf>
    <xf numFmtId="0" fontId="7" fillId="10" borderId="37" xfId="0" applyFont="1" applyFill="1" applyBorder="1" applyAlignment="1">
      <alignment vertical="center" wrapText="1"/>
    </xf>
    <xf numFmtId="10" fontId="7" fillId="10" borderId="37" xfId="0" applyNumberFormat="1" applyFont="1" applyFill="1" applyBorder="1" applyAlignment="1">
      <alignment vertical="center" wrapText="1"/>
    </xf>
    <xf numFmtId="0" fontId="68" fillId="31" borderId="57" xfId="0" applyFont="1" applyFill="1" applyBorder="1" applyAlignment="1">
      <alignment horizontal="left" vertical="center"/>
    </xf>
    <xf numFmtId="0" fontId="68" fillId="31" borderId="11" xfId="0" applyFont="1" applyFill="1" applyBorder="1">
      <alignment vertical="center"/>
    </xf>
    <xf numFmtId="185" fontId="68" fillId="31" borderId="11" xfId="0" applyNumberFormat="1" applyFont="1" applyFill="1" applyBorder="1">
      <alignment vertical="center"/>
    </xf>
    <xf numFmtId="184" fontId="68" fillId="31" borderId="11" xfId="0" applyNumberFormat="1" applyFont="1" applyFill="1" applyBorder="1">
      <alignment vertical="center"/>
    </xf>
    <xf numFmtId="10" fontId="68" fillId="31" borderId="11" xfId="0" applyNumberFormat="1" applyFont="1" applyFill="1" applyBorder="1">
      <alignment vertical="center"/>
    </xf>
    <xf numFmtId="0" fontId="69" fillId="0" borderId="58" xfId="0" applyFont="1" applyBorder="1" applyAlignment="1">
      <alignment horizontal="left" vertical="center" indent="1"/>
    </xf>
    <xf numFmtId="0" fontId="69" fillId="0" borderId="11" xfId="0" applyFont="1" applyBorder="1" applyAlignment="1">
      <alignment horizontal="left" vertical="center" indent="1"/>
    </xf>
    <xf numFmtId="185" fontId="69" fillId="0" borderId="11" xfId="0" applyNumberFormat="1" applyFont="1" applyBorder="1">
      <alignment vertical="center"/>
    </xf>
    <xf numFmtId="184" fontId="69" fillId="0" borderId="11" xfId="0" applyNumberFormat="1" applyFont="1" applyBorder="1">
      <alignment vertical="center"/>
    </xf>
    <xf numFmtId="10" fontId="69" fillId="0" borderId="11" xfId="0" applyNumberFormat="1" applyFont="1" applyBorder="1">
      <alignment vertical="center"/>
    </xf>
    <xf numFmtId="0" fontId="68" fillId="0" borderId="58" xfId="0" applyFont="1" applyBorder="1" applyAlignment="1">
      <alignment horizontal="left" vertical="center"/>
    </xf>
    <xf numFmtId="0" fontId="68" fillId="0" borderId="1" xfId="0" applyFont="1" applyBorder="1">
      <alignment vertical="center"/>
    </xf>
    <xf numFmtId="184" fontId="68" fillId="0" borderId="1" xfId="0" applyNumberFormat="1" applyFont="1" applyBorder="1">
      <alignment vertical="center"/>
    </xf>
    <xf numFmtId="10" fontId="68" fillId="0" borderId="1" xfId="0" applyNumberFormat="1" applyFont="1" applyBorder="1">
      <alignment vertical="center"/>
    </xf>
    <xf numFmtId="185" fontId="68" fillId="0" borderId="1" xfId="0" applyNumberFormat="1" applyFont="1" applyBorder="1">
      <alignment vertical="center"/>
    </xf>
    <xf numFmtId="0" fontId="69" fillId="0" borderId="1" xfId="0" applyFont="1" applyBorder="1" applyAlignment="1">
      <alignment horizontal="left" vertical="center" indent="1"/>
    </xf>
    <xf numFmtId="189" fontId="69" fillId="0" borderId="2" xfId="0" applyNumberFormat="1" applyFont="1" applyBorder="1">
      <alignment vertical="center"/>
    </xf>
    <xf numFmtId="10" fontId="69" fillId="0" borderId="1" xfId="0" applyNumberFormat="1" applyFont="1" applyBorder="1">
      <alignment vertical="center"/>
    </xf>
    <xf numFmtId="185" fontId="69" fillId="0" borderId="1" xfId="0" applyNumberFormat="1" applyFont="1" applyBorder="1">
      <alignment vertical="center"/>
    </xf>
    <xf numFmtId="184" fontId="68" fillId="0" borderId="2" xfId="0" applyNumberFormat="1" applyFont="1" applyBorder="1">
      <alignment vertical="center"/>
    </xf>
    <xf numFmtId="0" fontId="68" fillId="10" borderId="1" xfId="0" applyFont="1" applyFill="1" applyBorder="1">
      <alignment vertical="center"/>
    </xf>
    <xf numFmtId="185" fontId="68" fillId="10" borderId="1" xfId="0" applyNumberFormat="1" applyFont="1" applyFill="1" applyBorder="1">
      <alignment vertical="center"/>
    </xf>
    <xf numFmtId="184" fontId="68" fillId="10" borderId="2" xfId="0" applyNumberFormat="1" applyFont="1" applyFill="1" applyBorder="1">
      <alignment vertical="center"/>
    </xf>
    <xf numFmtId="10" fontId="68" fillId="10" borderId="1" xfId="0" applyNumberFormat="1" applyFont="1" applyFill="1" applyBorder="1">
      <alignment vertical="center"/>
    </xf>
    <xf numFmtId="0" fontId="69" fillId="0" borderId="58" xfId="0" applyFont="1" applyBorder="1" applyAlignment="1">
      <alignment horizontal="center" vertical="center"/>
    </xf>
    <xf numFmtId="185" fontId="68" fillId="0" borderId="1" xfId="0" applyNumberFormat="1" applyFont="1" applyBorder="1" applyAlignment="1">
      <alignment horizontal="right" vertical="center"/>
    </xf>
    <xf numFmtId="184" fontId="68" fillId="0" borderId="1" xfId="0" applyNumberFormat="1" applyFont="1" applyBorder="1" applyAlignment="1">
      <alignment horizontal="right" vertical="center"/>
    </xf>
    <xf numFmtId="10" fontId="70" fillId="0" borderId="1" xfId="0" applyNumberFormat="1" applyFont="1" applyBorder="1" applyAlignment="1">
      <alignment horizontal="right" vertical="center"/>
    </xf>
    <xf numFmtId="0" fontId="71" fillId="0" borderId="1" xfId="0" applyFont="1" applyBorder="1">
      <alignment vertical="center"/>
    </xf>
    <xf numFmtId="185" fontId="69" fillId="0" borderId="1" xfId="0" applyNumberFormat="1" applyFont="1" applyBorder="1" applyAlignment="1">
      <alignment horizontal="right" vertical="center"/>
    </xf>
    <xf numFmtId="184" fontId="69" fillId="0" borderId="1" xfId="0" applyNumberFormat="1" applyFont="1" applyBorder="1" applyAlignment="1">
      <alignment horizontal="right" vertical="center"/>
    </xf>
    <xf numFmtId="10" fontId="69" fillId="0" borderId="1" xfId="0" applyNumberFormat="1" applyFont="1" applyBorder="1" applyAlignment="1">
      <alignment horizontal="right" vertical="center"/>
    </xf>
    <xf numFmtId="0" fontId="69" fillId="0" borderId="1" xfId="0" applyFont="1" applyBorder="1" applyAlignment="1">
      <alignment horizontal="right" vertical="center"/>
    </xf>
    <xf numFmtId="0" fontId="69" fillId="0" borderId="1" xfId="0" applyFont="1" applyBorder="1">
      <alignment vertical="center"/>
    </xf>
    <xf numFmtId="184" fontId="72" fillId="0" borderId="1" xfId="0" applyNumberFormat="1" applyFont="1" applyBorder="1" applyAlignment="1">
      <alignment horizontal="right" vertical="center"/>
    </xf>
    <xf numFmtId="197" fontId="69" fillId="0" borderId="1" xfId="0" applyNumberFormat="1" applyFont="1" applyBorder="1" applyAlignment="1">
      <alignment horizontal="right" vertical="center"/>
    </xf>
    <xf numFmtId="0" fontId="69" fillId="0" borderId="59" xfId="0" applyFont="1" applyBorder="1" applyAlignment="1">
      <alignment horizontal="center" vertical="center"/>
    </xf>
    <xf numFmtId="0" fontId="69" fillId="0" borderId="60" xfId="0" applyFont="1" applyBorder="1">
      <alignment vertical="center"/>
    </xf>
    <xf numFmtId="185" fontId="69" fillId="0" borderId="60" xfId="0" applyNumberFormat="1" applyFont="1" applyBorder="1" applyAlignment="1">
      <alignment horizontal="right" vertical="center"/>
    </xf>
    <xf numFmtId="197" fontId="72" fillId="0" borderId="60" xfId="0" applyNumberFormat="1" applyFont="1" applyBorder="1" applyAlignment="1">
      <alignment horizontal="right" vertical="center"/>
    </xf>
    <xf numFmtId="184" fontId="72" fillId="0" borderId="60" xfId="0" applyNumberFormat="1" applyFont="1" applyBorder="1" applyAlignment="1">
      <alignment horizontal="right" vertical="center"/>
    </xf>
    <xf numFmtId="0" fontId="69" fillId="0" borderId="60" xfId="0" applyFont="1" applyBorder="1" applyAlignment="1">
      <alignment horizontal="right" vertical="center"/>
    </xf>
    <xf numFmtId="0" fontId="66" fillId="0" borderId="0" xfId="0" applyFont="1" applyAlignment="1">
      <alignment horizontal="center" vertical="center"/>
    </xf>
    <xf numFmtId="0" fontId="73" fillId="0" borderId="0" xfId="0" applyFont="1">
      <alignment vertical="center"/>
    </xf>
    <xf numFmtId="197" fontId="66" fillId="0" borderId="0" xfId="0" applyNumberFormat="1" applyFont="1">
      <alignment vertical="center"/>
    </xf>
    <xf numFmtId="197" fontId="74" fillId="0" borderId="0" xfId="0" applyNumberFormat="1" applyFont="1">
      <alignment vertical="center"/>
    </xf>
    <xf numFmtId="0" fontId="7" fillId="21" borderId="0" xfId="0" applyFont="1" applyFill="1" applyAlignment="1">
      <alignment vertical="center" wrapText="1"/>
    </xf>
    <xf numFmtId="0" fontId="3" fillId="0" borderId="0" xfId="0" applyFont="1" applyAlignment="1">
      <alignment vertical="center" wrapText="1"/>
    </xf>
    <xf numFmtId="0" fontId="66" fillId="0" borderId="61" xfId="0" applyFont="1" applyBorder="1" applyAlignment="1">
      <alignment horizontal="center" vertical="center" wrapText="1"/>
    </xf>
    <xf numFmtId="0" fontId="7" fillId="10" borderId="62" xfId="0" applyFont="1" applyFill="1" applyBorder="1" applyAlignment="1">
      <alignment vertical="center" wrapText="1"/>
    </xf>
    <xf numFmtId="0" fontId="68" fillId="31" borderId="63" xfId="0" applyFont="1" applyFill="1" applyBorder="1">
      <alignment vertical="center"/>
    </xf>
    <xf numFmtId="185" fontId="1" fillId="0" borderId="0" xfId="0" applyNumberFormat="1" applyFont="1">
      <alignment vertical="center"/>
    </xf>
    <xf numFmtId="10" fontId="1" fillId="0" borderId="0" xfId="3" applyNumberFormat="1" applyFont="1">
      <alignment vertical="center"/>
    </xf>
    <xf numFmtId="0" fontId="69" fillId="0" borderId="63" xfId="0" applyFont="1" applyBorder="1">
      <alignment vertical="center"/>
    </xf>
    <xf numFmtId="0" fontId="68" fillId="0" borderId="64" xfId="0" applyFont="1" applyBorder="1">
      <alignment vertical="center"/>
    </xf>
    <xf numFmtId="0" fontId="12" fillId="0" borderId="0" xfId="0" applyFont="1">
      <alignment vertical="center"/>
    </xf>
    <xf numFmtId="0" fontId="69" fillId="0" borderId="64" xfId="0" applyFont="1" applyBorder="1">
      <alignment vertical="center"/>
    </xf>
    <xf numFmtId="198" fontId="1" fillId="0" borderId="0" xfId="0" applyNumberFormat="1" applyFont="1">
      <alignment vertical="center"/>
    </xf>
    <xf numFmtId="0" fontId="68" fillId="10" borderId="64" xfId="0" applyFont="1" applyFill="1" applyBorder="1">
      <alignment vertical="center"/>
    </xf>
    <xf numFmtId="185" fontId="5" fillId="0" borderId="0" xfId="0" applyNumberFormat="1" applyFont="1">
      <alignment vertical="center"/>
    </xf>
    <xf numFmtId="185" fontId="4" fillId="0" borderId="0" xfId="0" applyNumberFormat="1" applyFont="1">
      <alignment vertical="center"/>
    </xf>
    <xf numFmtId="197" fontId="69" fillId="0" borderId="64" xfId="0" applyNumberFormat="1" applyFont="1" applyBorder="1" applyAlignment="1">
      <alignment horizontal="center" vertical="center" wrapText="1"/>
    </xf>
    <xf numFmtId="0" fontId="69" fillId="0" borderId="65" xfId="0" applyFont="1" applyBorder="1">
      <alignment vertical="center"/>
    </xf>
    <xf numFmtId="0" fontId="0" fillId="0" borderId="0" xfId="0" applyFill="1" applyBorder="1">
      <alignment vertical="center"/>
    </xf>
    <xf numFmtId="0" fontId="5" fillId="34" borderId="0" xfId="0" applyFont="1" applyFill="1">
      <alignment vertical="center"/>
    </xf>
    <xf numFmtId="0" fontId="5" fillId="0" borderId="0" xfId="0" applyFont="1" applyAlignment="1">
      <alignment horizontal="center" vertical="center"/>
    </xf>
    <xf numFmtId="0" fontId="5" fillId="0" borderId="0" xfId="0" applyFont="1">
      <alignment vertical="center"/>
    </xf>
    <xf numFmtId="2" fontId="0" fillId="0" borderId="0" xfId="0" applyNumberFormat="1">
      <alignment vertical="center"/>
    </xf>
    <xf numFmtId="186" fontId="36" fillId="0" borderId="0" xfId="0" applyNumberFormat="1" applyFont="1">
      <alignment vertical="center"/>
    </xf>
    <xf numFmtId="186" fontId="0" fillId="0" borderId="0" xfId="0" applyNumberFormat="1">
      <alignment vertical="center"/>
    </xf>
    <xf numFmtId="0" fontId="42" fillId="34" borderId="66" xfId="0" applyFont="1" applyFill="1" applyBorder="1">
      <alignment vertical="center"/>
    </xf>
    <xf numFmtId="0" fontId="42" fillId="35" borderId="67" xfId="0" applyFont="1" applyFill="1" applyBorder="1" applyAlignment="1">
      <alignment horizontal="center" vertical="center"/>
    </xf>
    <xf numFmtId="0" fontId="42" fillId="35" borderId="67" xfId="0" applyFont="1" applyFill="1" applyBorder="1">
      <alignment vertical="center"/>
    </xf>
    <xf numFmtId="0" fontId="42" fillId="35" borderId="68" xfId="0" applyFont="1" applyFill="1" applyBorder="1">
      <alignment vertical="center"/>
    </xf>
    <xf numFmtId="0" fontId="42" fillId="0" borderId="0" xfId="0" applyFont="1" applyFill="1" applyBorder="1">
      <alignment vertical="center"/>
    </xf>
    <xf numFmtId="0" fontId="29" fillId="0" borderId="69" xfId="0" applyFont="1" applyBorder="1">
      <alignment vertical="center"/>
    </xf>
    <xf numFmtId="0" fontId="29" fillId="36" borderId="70" xfId="0" applyFont="1" applyFill="1" applyBorder="1" applyAlignment="1">
      <alignment horizontal="center" vertical="center"/>
    </xf>
    <xf numFmtId="186" fontId="36" fillId="0" borderId="71" xfId="0" applyNumberFormat="1" applyFont="1" applyBorder="1">
      <alignment vertical="center"/>
    </xf>
    <xf numFmtId="186" fontId="36" fillId="0" borderId="0" xfId="0" applyNumberFormat="1" applyFont="1" applyFill="1" applyBorder="1">
      <alignment vertical="center"/>
    </xf>
    <xf numFmtId="0" fontId="36" fillId="0" borderId="0" xfId="0" applyFont="1">
      <alignment vertical="center"/>
    </xf>
    <xf numFmtId="0" fontId="29" fillId="36" borderId="72" xfId="0" applyFont="1" applyFill="1" applyBorder="1">
      <alignment vertical="center"/>
    </xf>
    <xf numFmtId="0" fontId="29" fillId="36" borderId="70" xfId="0" applyFont="1" applyFill="1" applyBorder="1">
      <alignment vertical="center"/>
    </xf>
    <xf numFmtId="0" fontId="9" fillId="0" borderId="0" xfId="0" applyFont="1">
      <alignment vertical="center"/>
    </xf>
    <xf numFmtId="184" fontId="36" fillId="0" borderId="0" xfId="0" applyNumberFormat="1" applyFont="1">
      <alignment vertical="center"/>
    </xf>
    <xf numFmtId="0" fontId="36" fillId="0" borderId="0" xfId="0" applyFont="1" applyAlignment="1">
      <alignment horizontal="center" vertical="center"/>
    </xf>
    <xf numFmtId="0" fontId="0" fillId="26" borderId="0" xfId="0" applyFill="1">
      <alignment vertical="center"/>
    </xf>
    <xf numFmtId="0" fontId="75"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1" fillId="0" borderId="0" xfId="0" applyNumberFormat="1" applyFont="1">
      <alignment vertical="center"/>
    </xf>
    <xf numFmtId="0" fontId="60" fillId="0" borderId="0" xfId="0" applyFont="1" applyAlignment="1">
      <alignment horizontal="center" vertical="center"/>
    </xf>
    <xf numFmtId="0" fontId="13" fillId="0" borderId="0" xfId="0" applyFont="1" applyAlignment="1">
      <alignment horizontal="center" vertical="center"/>
    </xf>
    <xf numFmtId="9" fontId="13" fillId="0" borderId="0" xfId="0" applyNumberFormat="1" applyFont="1" applyAlignment="1">
      <alignment horizontal="center" vertical="center"/>
    </xf>
    <xf numFmtId="184" fontId="13" fillId="0" borderId="0" xfId="0" applyNumberFormat="1" applyFont="1" applyAlignment="1">
      <alignment horizontal="center" vertical="center"/>
    </xf>
    <xf numFmtId="184" fontId="75" fillId="0" borderId="0" xfId="0" applyNumberFormat="1" applyFont="1" applyAlignment="1">
      <alignment horizontal="center" vertical="center" wrapText="1"/>
    </xf>
    <xf numFmtId="0" fontId="75" fillId="0" borderId="0" xfId="0" applyNumberFormat="1" applyFont="1" applyAlignment="1">
      <alignment horizontal="center" vertical="center" wrapText="1"/>
    </xf>
    <xf numFmtId="0" fontId="13" fillId="0" borderId="0" xfId="0" applyNumberFormat="1" applyFont="1" applyAlignment="1">
      <alignment horizontal="center" vertical="center"/>
    </xf>
    <xf numFmtId="0" fontId="1" fillId="0" borderId="0" xfId="0" applyNumberFormat="1" applyFont="1">
      <alignment vertical="center"/>
    </xf>
    <xf numFmtId="0" fontId="1" fillId="0" borderId="0" xfId="0" applyFont="1" applyAlignment="1">
      <alignment horizontal="center" vertical="center" wrapText="1"/>
    </xf>
    <xf numFmtId="10" fontId="13" fillId="0" borderId="0" xfId="0" applyNumberFormat="1" applyFont="1" applyAlignment="1">
      <alignment horizontal="center" vertical="center"/>
    </xf>
    <xf numFmtId="0" fontId="29" fillId="36" borderId="72" xfId="0" applyFont="1" applyFill="1" applyBorder="1" applyAlignment="1">
      <alignment vertical="center" wrapText="1"/>
    </xf>
    <xf numFmtId="0" fontId="7" fillId="0" borderId="73" xfId="0" applyFont="1" applyBorder="1">
      <alignment vertical="center"/>
    </xf>
    <xf numFmtId="0" fontId="7" fillId="0" borderId="74" xfId="0" applyFont="1" applyBorder="1" applyAlignment="1">
      <alignment horizontal="left" vertical="center"/>
    </xf>
    <xf numFmtId="0" fontId="7" fillId="0" borderId="74" xfId="0" applyFont="1" applyBorder="1">
      <alignment vertical="center"/>
    </xf>
    <xf numFmtId="0" fontId="7" fillId="0" borderId="74" xfId="0" applyFont="1" applyBorder="1" applyAlignment="1">
      <alignment horizontal="left" vertical="top" wrapText="1"/>
    </xf>
    <xf numFmtId="0" fontId="7" fillId="0" borderId="74" xfId="0" applyFont="1" applyBorder="1" applyAlignment="1">
      <alignment vertical="center" wrapText="1"/>
    </xf>
    <xf numFmtId="0" fontId="7" fillId="0" borderId="74" xfId="0" applyFont="1" applyBorder="1" applyAlignment="1">
      <alignment horizontal="left" vertical="top"/>
    </xf>
    <xf numFmtId="0" fontId="7" fillId="0" borderId="75" xfId="0" applyFont="1" applyBorder="1">
      <alignment vertical="center"/>
    </xf>
    <xf numFmtId="0" fontId="0" fillId="0" borderId="0" xfId="1185">
      <alignment vertical="center"/>
    </xf>
    <xf numFmtId="0" fontId="76" fillId="0" borderId="0" xfId="1185" applyFont="1" applyAlignment="1">
      <alignment horizontal="center" vertical="center"/>
    </xf>
    <xf numFmtId="0" fontId="2" fillId="0" borderId="0" xfId="1185" applyFont="1" applyAlignment="1">
      <alignment horizontal="right" vertical="center"/>
    </xf>
    <xf numFmtId="0" fontId="2" fillId="0" borderId="7" xfId="1185" applyFont="1" applyBorder="1" applyAlignment="1">
      <alignment horizontal="left" vertical="center"/>
    </xf>
    <xf numFmtId="0" fontId="0" fillId="0" borderId="8" xfId="1185" applyBorder="1" applyAlignment="1">
      <alignment horizontal="left" vertical="center"/>
    </xf>
    <xf numFmtId="0" fontId="0" fillId="0" borderId="13" xfId="1185" applyBorder="1" applyAlignment="1">
      <alignment horizontal="left" vertical="center"/>
    </xf>
    <xf numFmtId="0" fontId="2" fillId="0" borderId="43" xfId="1185" applyFont="1" applyBorder="1" applyAlignment="1">
      <alignment horizontal="left" vertical="center"/>
    </xf>
    <xf numFmtId="0" fontId="0" fillId="0" borderId="1" xfId="1185" applyBorder="1" applyAlignment="1">
      <alignment horizontal="left" vertical="center"/>
    </xf>
    <xf numFmtId="0" fontId="0" fillId="0" borderId="45" xfId="1185" applyBorder="1" applyAlignment="1">
      <alignment horizontal="left" vertical="center"/>
    </xf>
    <xf numFmtId="0" fontId="2" fillId="0" borderId="43" xfId="1185" applyFont="1" applyBorder="1" applyAlignment="1">
      <alignment vertical="center" wrapText="1"/>
    </xf>
    <xf numFmtId="184" fontId="0" fillId="0" borderId="45" xfId="1185" applyNumberFormat="1" applyBorder="1" applyAlignment="1">
      <alignment horizontal="center" vertical="center" wrapText="1"/>
    </xf>
    <xf numFmtId="0" fontId="2" fillId="0" borderId="43" xfId="1185" applyFont="1" applyBorder="1" applyAlignment="1">
      <alignment horizontal="left" vertical="center" wrapText="1"/>
    </xf>
    <xf numFmtId="0" fontId="0" fillId="0" borderId="1" xfId="1185" applyBorder="1" applyAlignment="1">
      <alignment horizontal="left" vertical="center" wrapText="1"/>
    </xf>
    <xf numFmtId="0" fontId="0" fillId="0" borderId="45" xfId="1185" applyBorder="1" applyAlignment="1">
      <alignment horizontal="left" vertical="center" wrapText="1"/>
    </xf>
    <xf numFmtId="0" fontId="0" fillId="0" borderId="43" xfId="1185" applyBorder="1" applyAlignment="1">
      <alignment horizontal="center" vertical="center" wrapText="1"/>
    </xf>
    <xf numFmtId="0" fontId="0" fillId="0" borderId="45" xfId="1185" applyBorder="1" applyAlignment="1">
      <alignment horizontal="center" vertical="center" wrapText="1"/>
    </xf>
    <xf numFmtId="0" fontId="77" fillId="0" borderId="43" xfId="1185" applyFont="1" applyBorder="1" applyAlignment="1">
      <alignment horizontal="center" vertical="center"/>
    </xf>
    <xf numFmtId="0" fontId="77" fillId="0" borderId="1" xfId="1185" applyFont="1" applyBorder="1" applyAlignment="1">
      <alignment horizontal="center" vertical="center"/>
    </xf>
    <xf numFmtId="0" fontId="77" fillId="0" borderId="45" xfId="1185" applyFont="1" applyBorder="1" applyAlignment="1">
      <alignment horizontal="center" vertical="center"/>
    </xf>
    <xf numFmtId="0" fontId="0" fillId="0" borderId="9" xfId="1185" applyBorder="1" applyAlignment="1">
      <alignment horizontal="center" vertical="center"/>
    </xf>
    <xf numFmtId="0" fontId="0" fillId="0" borderId="10" xfId="1185" applyBorder="1" applyAlignment="1">
      <alignment horizontal="center" vertical="center"/>
    </xf>
    <xf numFmtId="0" fontId="0" fillId="0" borderId="14" xfId="1185" applyBorder="1" applyAlignment="1">
      <alignment horizontal="center" vertical="center"/>
    </xf>
    <xf numFmtId="0" fontId="78" fillId="0" borderId="0" xfId="1185" applyFont="1">
      <alignment vertical="center"/>
    </xf>
    <xf numFmtId="0" fontId="0" fillId="0" borderId="0" xfId="0" applyAlignment="1">
      <alignment horizontal="left" vertical="center" wrapText="1"/>
    </xf>
    <xf numFmtId="0" fontId="79" fillId="0" borderId="0" xfId="0" applyFont="1" applyAlignment="1">
      <alignment horizontal="center" vertical="center"/>
    </xf>
    <xf numFmtId="0" fontId="80" fillId="0" borderId="0" xfId="0" applyFont="1">
      <alignment vertical="center"/>
    </xf>
    <xf numFmtId="0" fontId="36" fillId="0" borderId="2" xfId="0" applyFont="1" applyBorder="1" applyAlignment="1">
      <alignment vertical="center" wrapText="1"/>
    </xf>
    <xf numFmtId="0" fontId="36" fillId="0" borderId="0" xfId="0" applyFont="1" applyAlignment="1">
      <alignment vertical="center" wrapText="1"/>
    </xf>
    <xf numFmtId="0" fontId="36" fillId="0" borderId="20" xfId="0" applyFont="1" applyBorder="1" applyAlignment="1">
      <alignment vertical="center" wrapText="1"/>
    </xf>
    <xf numFmtId="0" fontId="0" fillId="0" borderId="20" xfId="0" applyBorder="1" applyAlignment="1">
      <alignment horizontal="left" vertical="center" wrapText="1"/>
    </xf>
    <xf numFmtId="0" fontId="7" fillId="0" borderId="20" xfId="0" applyFont="1" applyBorder="1" applyAlignment="1">
      <alignment horizontal="left" vertical="center" wrapText="1"/>
    </xf>
    <xf numFmtId="0" fontId="7" fillId="0" borderId="40"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family val="0"/>
        <b val="0"/>
        <i val="0"/>
        <strike val="0"/>
        <u val="none"/>
        <sz val="10"/>
        <color auto="1"/>
      </font>
      <alignment horizontal="center" vertical="center" wrapText="1"/>
    </dxf>
    <dxf>
      <font>
        <name val="Microsoft YaHei"/>
        <scheme val="none"/>
        <charset val="134"/>
        <family val="0"/>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family val="0"/>
        <b val="0"/>
        <i val="0"/>
        <strike val="0"/>
        <u val="none"/>
        <sz val="10"/>
        <color auto="1"/>
      </font>
      <numFmt numFmtId="2" formatCode="0.00"/>
    </dxf>
    <dxf>
      <font>
        <name val="宋体"/>
        <scheme val="none"/>
        <charset val="134"/>
        <family val="0"/>
        <b val="0"/>
        <i val="0"/>
        <strike val="0"/>
        <u val="none"/>
        <sz val="10"/>
        <color auto="1"/>
      </font>
      <numFmt numFmtId="2" formatCode="0.00"/>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numFmt numFmtId="0" formatCode="General"/>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name val="宋体"/>
        <scheme val="none"/>
        <charset val="134"/>
        <family val="0"/>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family val="0"/>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family val="0"/>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8ECC7365-E99C-4FB4-80F4-D18AC1FF8BFE}">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styles" Target="styles.xml"/><Relationship Id="rId38" Type="http://schemas.openxmlformats.org/officeDocument/2006/relationships/customXml" Target="../customXml/item5.xml"/><Relationship Id="rId37" Type="http://schemas.microsoft.com/office/2006/relationships/vbaProject" Target="vbaProject.bin"/><Relationship Id="rId36" Type="http://schemas.openxmlformats.org/officeDocument/2006/relationships/sheetMetadata" Target="metadata.xml"/><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4.xml"/><Relationship Id="rId31" Type="http://schemas.openxmlformats.org/officeDocument/2006/relationships/customXml" Target="../customXml/item3.xml"/><Relationship Id="rId30" Type="http://schemas.openxmlformats.org/officeDocument/2006/relationships/customXml" Target="../customXml/item2.xml"/><Relationship Id="rId3" Type="http://schemas.openxmlformats.org/officeDocument/2006/relationships/worksheet" Target="worksheets/sheet3.xml"/><Relationship Id="rId29" Type="http://schemas.openxmlformats.org/officeDocument/2006/relationships/customXml" Target="../customXml/item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215005"/>
          <a:ext cx="8846185" cy="16783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076700"/>
          <a:ext cx="8846185" cy="1790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034030"/>
          <a:ext cx="8840470" cy="16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14220"/>
          <a:ext cx="8840470" cy="16395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281235"/>
          <a:ext cx="8834755" cy="16243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285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twoCellAnchor>
    <xdr:from>
      <xdr:col>9</xdr:col>
      <xdr:colOff>791845</xdr:colOff>
      <xdr:row>127</xdr:row>
      <xdr:rowOff>400050</xdr:rowOff>
    </xdr:from>
    <xdr:to>
      <xdr:col>15</xdr:col>
      <xdr:colOff>42545</xdr:colOff>
      <xdr:row>133</xdr:row>
      <xdr:rowOff>365760</xdr:rowOff>
    </xdr:to>
    <xdr:sp>
      <xdr:nvSpPr>
        <xdr:cNvPr id="3" name="文本框 2"/>
        <xdr:cNvSpPr txBox="1"/>
      </xdr:nvSpPr>
      <xdr:spPr>
        <a:xfrm>
          <a:off x="10564495" y="63303150"/>
          <a:ext cx="5575300" cy="2937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1、工程产值对比表（01表）</a:t>
          </a:r>
          <a:endParaRPr lang="zh-CN" altLang="en-US" sz="1100"/>
        </a:p>
        <a:p>
          <a:pPr algn="l"/>
          <a:r>
            <a:rPr lang="zh-CN" altLang="en-US" sz="1100"/>
            <a:t>1.1合同中相关内容应录入与业主签订的主合同内容。</a:t>
          </a:r>
          <a:endParaRPr lang="zh-CN" altLang="en-US" sz="1100"/>
        </a:p>
        <a:p>
          <a:pPr algn="l"/>
          <a:r>
            <a:rPr lang="zh-CN" altLang="en-US" sz="1100"/>
            <a:t>1.2图纸复核中相关内容应与成本预算中图纸复核预算收入相同。</a:t>
          </a:r>
          <a:endParaRPr lang="zh-CN" altLang="en-US" sz="1100"/>
        </a:p>
        <a:p>
          <a:pPr algn="l"/>
          <a:r>
            <a:rPr lang="zh-CN" altLang="en-US" sz="1100"/>
            <a:t>1.3合同履行中出现变更时如实录入变更栏，并提供相关变更资料。</a:t>
          </a:r>
          <a:endParaRPr lang="zh-CN" altLang="en-US" sz="1100"/>
        </a:p>
        <a:p>
          <a:pPr algn="l"/>
          <a:r>
            <a:rPr lang="zh-CN" altLang="en-US" sz="1100"/>
            <a:t>1.4合计中数量=图纸复核中数量+变更中数量，单价采用主合同单价。</a:t>
          </a:r>
          <a:endParaRPr lang="zh-CN" altLang="en-US" sz="1100"/>
        </a:p>
        <a:p>
          <a:pPr algn="l"/>
          <a:r>
            <a:rPr lang="zh-CN" altLang="en-US" sz="1100"/>
            <a:t>1.5本月完成产值/截止本月累计完成产值相关内容应与报工程部产值数据一致。</a:t>
          </a:r>
          <a:endParaRPr lang="zh-CN" altLang="en-US" sz="1100"/>
        </a:p>
        <a:p>
          <a:pPr algn="l"/>
          <a:r>
            <a:rPr lang="zh-CN" altLang="en-US" sz="1100"/>
            <a:t>1.6剩余工作量中数量=合计中数量-截止本月累计完成产值中数量，单价采用主合同单价。</a:t>
          </a:r>
          <a:endParaRPr lang="zh-CN" altLang="en-US" sz="1100"/>
        </a:p>
        <a:p>
          <a:pPr algn="l"/>
          <a:r>
            <a:rPr lang="zh-CN" altLang="en-US" sz="1100"/>
            <a:t>1.7截止本月业主已审核进度款栏如实录入，并提供业主审核资料。</a:t>
          </a:r>
          <a:endParaRPr lang="zh-CN" altLang="en-US" sz="1100"/>
        </a:p>
        <a:p>
          <a:pPr algn="l"/>
          <a:endParaRPr lang="zh-CN" altLang="en-US" sz="1100"/>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6779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639310"/>
          <a:ext cx="8018780" cy="216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06805"/>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365625"/>
          <a:ext cx="8430260" cy="1633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6207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401060"/>
          <a:ext cx="5850255" cy="1791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4175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157730"/>
          <a:ext cx="8125460" cy="18243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774670"/>
          <a:ext cx="6010910"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xmlns:etc="http://www.wps.cn/officeDocument/2017/etCustomData" ref="Y2:AB166" etc:filterBottomFollowUsedRange="0"/>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xmlns:etc="http://www.wps.cn/officeDocument/2017/etCustomData" ref="A2:D282" etc:filterBottomFollowUsedRange="0"/>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xmlns:etc="http://www.wps.cn/officeDocument/2017/etCustomData" ref="I2:L359" etc:filterBottomFollowUsedRange="0"/>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xmlns:etc="http://www.wps.cn/officeDocument/2017/etCustomData" ref="AG2:AG11" etc:filterBottomFollowUsedRange="0"/>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xmlns:etc="http://www.wps.cn/officeDocument/2017/etCustomData" ref="Q2:T280" etc:filterBottomFollowUsedRange="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tableColumn id="10" name="含量2" dataDxfId="12"/>
    <tableColumn id="11" name="单价2" dataDxfId="13"/>
    <tableColumn id="12" name="合价2" dataDxfId="14"/>
    <tableColumn id="13" name="含量3" dataDxfId="15"/>
    <tableColumn id="14" name="单价3" dataDxfId="16"/>
    <tableColumn id="15" name="合价3" dataDxfId="17"/>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tableColumn id="22" name="含量6" dataDxfId="24"/>
    <tableColumn id="23" name="单价6" dataDxfId="25"/>
    <tableColumn id="24" name="合价6" dataDxfId="26"/>
    <tableColumn id="25" name="含量7" dataDxfId="27"/>
    <tableColumn id="26" name="单价7" dataDxfId="28"/>
    <tableColumn id="27" name="合价7" dataDxfId="29"/>
    <tableColumn id="28" name="含量8" dataDxfId="30"/>
    <tableColumn id="29" name="单价8" dataDxfId="31"/>
    <tableColumn id="30" name="合价8" dataDxfId="32"/>
    <tableColumn id="31" name="含量9" dataDxfId="33"/>
    <tableColumn id="32" name="单价9" dataDxfId="34"/>
    <tableColumn id="33" name="合价9" dataDxfId="35"/>
    <tableColumn id="34" name="含量10" dataDxfId="36"/>
    <tableColumn id="35" name="单价10" dataDxfId="37"/>
    <tableColumn id="36" name="合价10" dataDxfId="38"/>
    <tableColumn id="37" name="含量11"/>
    <tableColumn id="38" name="单价11"/>
    <tableColumn id="39" name="合价11"/>
    <tableColumn id="40" name="含量12" dataDxfId="39"/>
    <tableColumn id="41" name="单价12" dataDxfId="40"/>
    <tableColumn id="42" name="合价12" dataDxfId="41"/>
    <tableColumn id="43" name="含量13" dataDxfId="42"/>
    <tableColumn id="44" name="单价13"/>
    <tableColumn id="45" name="合价13" dataDxfId="43"/>
    <tableColumn id="46" name="含量14" dataDxfId="44"/>
    <tableColumn id="47" name="单价14" dataDxfId="45"/>
    <tableColumn id="48" name="合价14" dataDxfId="46"/>
    <tableColumn id="49" name="含量15" dataDxfId="47"/>
    <tableColumn id="50" name="单价15" dataDxfId="48"/>
    <tableColumn id="51" name="合价15" dataDxfId="49"/>
    <tableColumn id="52" name="含量16" dataDxfId="50"/>
    <tableColumn id="53" name="单价16"/>
    <tableColumn id="54" name="合价16"/>
    <tableColumn id="55" name="含量17"/>
    <tableColumn id="56" name="单价17"/>
    <tableColumn id="57" name="合价17"/>
    <tableColumn id="58" name="含量18"/>
    <tableColumn id="59" name="单价18"/>
    <tableColumn id="60" name="合价18"/>
    <tableColumn id="61" name="含量19"/>
    <tableColumn id="62" name="单价19"/>
    <tableColumn id="63" name="合价19"/>
    <tableColumn id="64" name="含量20"/>
    <tableColumn id="65" name="单价20"/>
    <tableColumn id="66" name="合价20"/>
    <tableColumn id="67" name="含量21"/>
    <tableColumn id="68" name="单价21"/>
    <tableColumn id="69" name="合价21"/>
    <tableColumn id="70" name="含量22"/>
    <tableColumn id="71" name="单价22"/>
    <tableColumn id="72" name="合价22"/>
    <tableColumn id="73" name="含量23"/>
    <tableColumn id="74" name="单价23"/>
    <tableColumn id="75" name="合价23"/>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xmlns:etc="http://www.wps.cn/officeDocument/2017/etCustomData" ref="A1:A588" etc:filterBottomFollowUsedRange="0"/>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xmlns:etc="http://www.wps.cn/officeDocument/2017/etCustomData" ref="K5:U77" etc:filterBottomFollowUsedRange="0"/>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xmlns:etc="http://www.wps.cn/officeDocument/2017/etCustomData" ref="A4:V19" etc:filterBottomFollowUsedRange="0"/>
  <tableColumns count="22">
    <tableColumn id="1" name="序号"/>
    <tableColumn id="2" name="工程部位"/>
    <tableColumn id="3" name="预算项目分类"/>
    <tableColumn id="4" name="成本预算项目名称"/>
    <tableColumn id="5" name="项目特征"/>
    <tableColumn id="6" name="单位"/>
    <tableColumn id="7" name="数量1"/>
    <tableColumn id="8" name="单价1"/>
    <tableColumn id="9" name="合价（元）1" dataDxfId="77"/>
    <tableColumn id="10" name="数量2（对应产值）"/>
    <tableColumn id="11" name="合价2（元）" dataDxfId="78"/>
    <tableColumn id="12" name="数量3"/>
    <tableColumn id="13" name="单价3"/>
    <tableColumn id="14" name="合价（元）3" dataDxfId="79"/>
    <tableColumn id="15" name="数量4" dataDxfId="80"/>
    <tableColumn id="16" name="合价（元）4" dataDxfId="81"/>
    <tableColumn id="17" name="价差" dataDxfId="82"/>
    <tableColumn id="18" name="量差" dataDxfId="83"/>
    <tableColumn id="19" name="合价（元）5" dataDxfId="84"/>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tableColumn id="2" name="工程部位" dataDxfId="86"/>
    <tableColumn id="3" name="预算项目分类" dataDxfId="87"/>
    <tableColumn id="4" name="成本预算项目名称" dataDxfId="88"/>
    <tableColumn id="5" name="项目特征" dataDxfId="89"/>
    <tableColumn id="6" name="单位" dataDxfId="90"/>
    <tableColumn id="7" name="数量1" dataDxfId="91"/>
    <tableColumn id="8" name="单价1" dataDxfId="92"/>
    <tableColumn id="9" name="合价（元）1" dataDxfId="93"/>
    <tableColumn id="10" name="数量2（对应产值）" dataDxfId="94"/>
    <tableColumn id="11" name="合价2（元）" dataDxfId="95"/>
    <tableColumn id="12" name="数量3" dataDxfId="96"/>
    <tableColumn id="13" name="单价3" dataDxfId="97"/>
    <tableColumn id="14" name="合价（元）3" dataDxfId="98"/>
    <tableColumn id="15" name="数量4" dataDxfId="99"/>
    <tableColumn id="16" name="合价（元）4" dataDxfId="100"/>
    <tableColumn id="17" name="价差" dataDxfId="101"/>
    <tableColumn id="18" name="量差" dataDxfId="102"/>
    <tableColumn id="19" name="合价（元）5" dataDxfId="103"/>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tableColumn id="2" name="工程部位" dataDxfId="108"/>
    <tableColumn id="3" name="预算项目分类" dataDxfId="109"/>
    <tableColumn id="4" name="成本预算项目名称" dataDxfId="110"/>
    <tableColumn id="5" name="项目特征" dataDxfId="111"/>
    <tableColumn id="6" name="单位" dataDxfId="112"/>
    <tableColumn id="7" name="数量1" dataDxfId="113"/>
    <tableColumn id="8" name="单价1" dataDxfId="114"/>
    <tableColumn id="9" name="合价（元）1" dataDxfId="115"/>
    <tableColumn id="10" name="数量2（对应产值）" dataDxfId="116"/>
    <tableColumn id="11" name="合价2（元）" dataDxfId="117"/>
    <tableColumn id="12" name="数量3" dataDxfId="118"/>
    <tableColumn id="13" name="单价3" dataDxfId="119"/>
    <tableColumn id="14" name="合价（元）3" dataDxfId="120"/>
    <tableColumn id="15" name="数量4" dataDxfId="121"/>
    <tableColumn id="16" name="合价（元）4" dataDxfId="122"/>
    <tableColumn id="17" name="价差" dataDxfId="123"/>
    <tableColumn id="18" name="量差" dataDxfId="124"/>
    <tableColumn id="19" name="合价（元）5" dataDxfId="125"/>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xmlns:etc="http://www.wps.cn/officeDocument/2017/etCustomData" ref="A4:V7" etc:filterBottomFollowUsedRange="0"/>
  <tableColumns count="22">
    <tableColumn id="1" name="序号"/>
    <tableColumn id="2" name="工程部位"/>
    <tableColumn id="3" name="预算项目分类"/>
    <tableColumn id="4" name="成本预算项目名称"/>
    <tableColumn id="5" name="项目特征"/>
    <tableColumn id="6" name="单位"/>
    <tableColumn id="7" name="数量1"/>
    <tableColumn id="8" name="单价1"/>
    <tableColumn id="9" name="合价（元）1"/>
    <tableColumn id="10" name="数量2（对应产值）"/>
    <tableColumn id="11" name="合价2（元）"/>
    <tableColumn id="12" name="数量3"/>
    <tableColumn id="13" name="单价3"/>
    <tableColumn id="14" name="合价（元）3"/>
    <tableColumn id="15" name="数量4"/>
    <tableColumn id="16" name="合价（元）4"/>
    <tableColumn id="17" name="价差"/>
    <tableColumn id="18" name="量差"/>
    <tableColumn id="19" name="合价（元）5"/>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6" sqref="C6"/>
    </sheetView>
  </sheetViews>
  <sheetFormatPr defaultColWidth="8.875" defaultRowHeight="14.25" outlineLevelCol="2"/>
  <cols>
    <col min="1" max="1" width="87" customWidth="1"/>
    <col min="2" max="2" width="10.75" customWidth="1"/>
    <col min="3" max="3" width="56.625" customWidth="1"/>
  </cols>
  <sheetData>
    <row r="1" ht="34.15" customHeight="1" spans="1:3">
      <c r="A1" s="1087" t="s">
        <v>0</v>
      </c>
      <c r="C1" s="1088"/>
    </row>
    <row r="2" ht="34.15" customHeight="1" spans="1:3">
      <c r="A2" s="1089" t="s">
        <v>1</v>
      </c>
      <c r="C2" s="1090" t="s">
        <v>2</v>
      </c>
    </row>
    <row r="3" ht="45" customHeight="1" spans="1:3">
      <c r="A3" s="1091" t="s">
        <v>3</v>
      </c>
      <c r="B3" s="902"/>
      <c r="C3" s="1090" t="s">
        <v>4</v>
      </c>
    </row>
    <row r="4" s="1086" customFormat="1" ht="45" customHeight="1" spans="1:3">
      <c r="A4" s="1092" t="s">
        <v>5</v>
      </c>
      <c r="C4" s="1086" t="s">
        <v>6</v>
      </c>
    </row>
    <row r="5" s="1086" customFormat="1" ht="45" customHeight="1" spans="1:1">
      <c r="A5" s="1092" t="s">
        <v>7</v>
      </c>
    </row>
    <row r="6" s="1086" customFormat="1" ht="84" customHeight="1" spans="1:1">
      <c r="A6" s="1092" t="s">
        <v>8</v>
      </c>
    </row>
    <row r="7" s="1086" customFormat="1" ht="30.75" customHeight="1" spans="1:1">
      <c r="A7" s="1092" t="s">
        <v>9</v>
      </c>
    </row>
    <row r="8" s="1086" customFormat="1" ht="42" customHeight="1" spans="1:1">
      <c r="A8" s="1092" t="s">
        <v>10</v>
      </c>
    </row>
    <row r="9" s="1086" customFormat="1" ht="30.75" customHeight="1" spans="1:1">
      <c r="A9" s="1093"/>
    </row>
    <row r="10" s="1086" customFormat="1" ht="30.75" customHeight="1" spans="1:1">
      <c r="A10" s="1093"/>
    </row>
    <row r="11" s="1086" customFormat="1" ht="48" customHeight="1" spans="1:1">
      <c r="A11" s="667"/>
    </row>
    <row r="12" s="1086" customFormat="1" ht="54" customHeight="1" spans="1:1">
      <c r="A12" s="1094"/>
    </row>
    <row r="13" s="1086" customFormat="1" ht="54" customHeight="1" spans="1:1">
      <c r="A13" s="1094"/>
    </row>
    <row r="14" s="1086" customFormat="1" ht="45.75" customHeight="1" spans="1:1">
      <c r="A14" s="1094"/>
    </row>
    <row r="15" s="1086" customFormat="1" ht="62.25" customHeight="1" spans="1:1">
      <c r="A15" s="1094"/>
    </row>
    <row r="16" s="1086" customFormat="1" ht="71.25" customHeight="1" spans="1:1">
      <c r="A16" s="1094"/>
    </row>
    <row r="17" s="1086" customFormat="1" ht="61.5" customHeight="1" spans="1:1">
      <c r="A17" s="1094"/>
    </row>
    <row r="18" s="1086" customFormat="1" ht="97.5" customHeight="1" spans="1:1">
      <c r="A18" s="1094"/>
    </row>
    <row r="19" ht="41.25" customHeight="1" spans="1:1">
      <c r="A19" s="1094"/>
    </row>
    <row r="20" ht="48.75" customHeight="1" spans="1:1">
      <c r="A20" s="1094"/>
    </row>
    <row r="21" ht="30.75" customHeight="1" spans="1:1">
      <c r="A21" s="1094"/>
    </row>
    <row r="22" ht="30.75" customHeight="1" spans="1:1">
      <c r="A22" s="1094"/>
    </row>
    <row r="23" ht="45.75" customHeight="1" spans="1:1">
      <c r="A23" s="1094"/>
    </row>
    <row r="24" ht="28.5" customHeight="1" spans="1:1">
      <c r="A24" s="1094"/>
    </row>
    <row r="25" ht="28.5" customHeight="1" spans="1:1">
      <c r="A25" s="1094"/>
    </row>
    <row r="26" ht="35.25" customHeight="1" spans="1:1">
      <c r="A26" s="1094"/>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4.25" outlineLevelCol="6"/>
  <cols>
    <col min="1" max="1" width="52.5" style="1063" customWidth="1"/>
    <col min="2" max="2" width="5.75" style="1063" customWidth="1"/>
    <col min="3" max="3" width="63.875" style="1063" customWidth="1"/>
    <col min="4" max="4" width="15.625" style="1063" customWidth="1"/>
    <col min="5" max="6" width="8.875" style="1063"/>
    <col min="7" max="7" width="16.625" style="1063" customWidth="1"/>
    <col min="8" max="16384" width="8.875" style="1063"/>
  </cols>
  <sheetData>
    <row r="1" s="118" customFormat="1" ht="54.95" customHeight="1" spans="1:3">
      <c r="A1" s="1064" t="s">
        <v>11</v>
      </c>
      <c r="B1" s="1064"/>
      <c r="C1" s="1064"/>
    </row>
    <row r="2" s="118" customFormat="1" ht="15.95" customHeight="1" spans="1:3">
      <c r="A2" s="1065" t="s">
        <v>12</v>
      </c>
      <c r="B2" s="1065"/>
      <c r="C2" s="1065"/>
    </row>
    <row r="3" s="623" customFormat="1" ht="33.95" customHeight="1" spans="1:7">
      <c r="A3" s="1066" t="s">
        <v>13</v>
      </c>
      <c r="B3" s="1067"/>
      <c r="C3" s="1068"/>
      <c r="D3" s="1063"/>
      <c r="E3" s="1063"/>
      <c r="F3" s="1063"/>
      <c r="G3" s="1063"/>
    </row>
    <row r="4" s="118" customFormat="1" ht="33.95" customHeight="1" spans="1:4">
      <c r="A4" s="1069" t="str">
        <f>"2、工程名称(全称）："&amp;工程名称</f>
        <v>2、工程名称(全称）：az</v>
      </c>
      <c r="B4" s="1070"/>
      <c r="C4" s="1071"/>
      <c r="D4" s="1063"/>
    </row>
    <row r="5" s="118" customFormat="1" ht="33.95" customHeight="1" spans="1:4">
      <c r="A5" s="1069" t="str">
        <f>"3、工区："&amp;工区</f>
        <v>3、工区：2</v>
      </c>
      <c r="B5" s="1070"/>
      <c r="C5" s="1071"/>
      <c r="D5" s="1063"/>
    </row>
    <row r="6" s="118" customFormat="1" ht="33.95" customHeight="1" spans="1:4">
      <c r="A6" s="1072" t="s">
        <v>14</v>
      </c>
      <c r="B6" s="25" t="s">
        <v>15</v>
      </c>
      <c r="C6" s="1073">
        <f ca="1">'工程项目成本预算表(01表)'!C18</f>
        <v>5219653.345</v>
      </c>
      <c r="D6" s="1063"/>
    </row>
    <row r="7" s="118" customFormat="1" ht="33.95" customHeight="1" spans="1:3">
      <c r="A7" s="1072" t="s">
        <v>16</v>
      </c>
      <c r="B7" s="25" t="s">
        <v>15</v>
      </c>
      <c r="C7" s="1073">
        <f ca="1">'工程项目成本预算表(01表)'!C15+'工程项目成本预算表(01表)'!C17</f>
        <v>5219653.345</v>
      </c>
    </row>
    <row r="8" s="118" customFormat="1" ht="33.95" customHeight="1" spans="1:3">
      <c r="A8" s="1072" t="s">
        <v>17</v>
      </c>
      <c r="B8" s="25" t="s">
        <v>15</v>
      </c>
      <c r="C8" s="1073">
        <f ca="1">'工程项目成本预算表(01表)'!C15</f>
        <v>5219653.345</v>
      </c>
    </row>
    <row r="9" s="118" customFormat="1" ht="33.95" customHeight="1" spans="1:3">
      <c r="A9" s="1072" t="s">
        <v>18</v>
      </c>
      <c r="B9" s="25" t="s">
        <v>15</v>
      </c>
      <c r="C9" s="1073">
        <f ca="1">'工程项目成本预算表(01表)'!D15</f>
        <v>5219653.345</v>
      </c>
    </row>
    <row r="10" s="118" customFormat="1" ht="33.95" customHeight="1" spans="1:3">
      <c r="A10" s="1072" t="s">
        <v>19</v>
      </c>
      <c r="B10" s="25" t="s">
        <v>15</v>
      </c>
      <c r="C10" s="1073">
        <f ca="1">'工程项目成本预算表(01表)'!E15</f>
        <v>28314475.3573391</v>
      </c>
    </row>
    <row r="11" s="118" customFormat="1" ht="33.95" customHeight="1" spans="1:4">
      <c r="A11" s="1074" t="s">
        <v>20</v>
      </c>
      <c r="B11" s="1075"/>
      <c r="C11" s="1076"/>
      <c r="D11" s="1063"/>
    </row>
    <row r="12" s="118" customFormat="1" ht="33.95" customHeight="1" spans="1:4">
      <c r="A12" s="1074" t="str">
        <f>"8、所属分公司："&amp;所属单位</f>
        <v>8、所属分公司：bjgs</v>
      </c>
      <c r="B12" s="1075"/>
      <c r="C12" s="1076"/>
      <c r="D12" s="1063"/>
    </row>
    <row r="13" s="118" customFormat="1" ht="30.95" customHeight="1" spans="1:3">
      <c r="A13" s="1077" t="str">
        <f>"                                                     项目经理："&amp;项目经理</f>
        <v>                                                     项目经理：lu</v>
      </c>
      <c r="B13" s="25"/>
      <c r="C13" s="1078"/>
    </row>
    <row r="14" s="118" customFormat="1" ht="30.95" customHeight="1" spans="1:3">
      <c r="A14" s="1079" t="s">
        <v>21</v>
      </c>
      <c r="B14" s="1080"/>
      <c r="C14" s="1081"/>
    </row>
    <row r="15" s="118" customFormat="1" ht="30.95" customHeight="1" spans="1:3">
      <c r="A15" s="1082" t="str">
        <f>"                                                     日期："&amp;编制日期</f>
        <v>                                                     日期：2025-5-5</v>
      </c>
      <c r="B15" s="1083"/>
      <c r="C15" s="1084"/>
    </row>
    <row r="16" s="118" customFormat="1" ht="33" customHeight="1" spans="1:3">
      <c r="A16" s="1085"/>
      <c r="B16" s="1085"/>
      <c r="C16" s="1085"/>
    </row>
    <row r="17" s="118" customFormat="1" ht="33" customHeight="1" spans="1:3">
      <c r="A17" s="1085" t="s">
        <v>22</v>
      </c>
      <c r="B17" s="1085"/>
      <c r="C17" s="1085"/>
    </row>
    <row r="18" s="118" customFormat="1" ht="20.1" customHeight="1" spans="1:3">
      <c r="A18" s="1085"/>
      <c r="B18" s="1085"/>
      <c r="C18" s="1085"/>
    </row>
    <row r="19" s="118" customFormat="1" ht="20.1" customHeight="1"/>
    <row r="20" s="118" customFormat="1" ht="20.1" customHeight="1"/>
    <row r="21" s="118" customFormat="1" ht="20.1" customHeight="1"/>
    <row r="22" s="118" customFormat="1" ht="20.1" customHeight="1"/>
    <row r="23" s="118" customFormat="1" ht="20.1" customHeight="1"/>
    <row r="24" s="118" customFormat="1" ht="20.1" customHeight="1"/>
    <row r="25" s="118" customFormat="1" ht="20.1" customHeight="1"/>
    <row r="26" s="118" customFormat="1" ht="20.1" customHeight="1"/>
    <row r="27" s="118" customFormat="1" ht="20.1" customHeight="1"/>
    <row r="28" s="118" customFormat="1" ht="20.1" customHeight="1"/>
    <row r="29" s="118" customFormat="1" ht="20.1" customHeight="1"/>
    <row r="30" s="118" customFormat="1" ht="20.1" customHeight="1"/>
    <row r="31" s="118" customFormat="1" ht="20.1" customHeight="1" spans="1:3">
      <c r="A31" s="117"/>
      <c r="B31" s="117"/>
      <c r="C31" s="117"/>
    </row>
    <row r="32" s="118"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4.25" outlineLevelCol="1"/>
  <cols>
    <col min="1" max="1" width="1.125" customWidth="1"/>
    <col min="2" max="2" width="115.875" customWidth="1"/>
  </cols>
  <sheetData>
    <row r="1" ht="49.5" customHeight="1" spans="2:2">
      <c r="B1" s="624" t="s">
        <v>23</v>
      </c>
    </row>
    <row r="2" s="623" customFormat="1" ht="24.75" customHeight="1" spans="2:2">
      <c r="B2" s="1056" t="s">
        <v>24</v>
      </c>
    </row>
    <row r="3" s="623" customFormat="1" ht="20.25" customHeight="1" spans="2:2">
      <c r="B3" s="1057" t="str" cm="1">
        <f t="array" ref="B3">"1、工程名称："&amp;工程名称</f>
        <v>1、工程名称：az</v>
      </c>
    </row>
    <row r="4" s="623" customFormat="1" ht="20.25" customHeight="1" spans="2:2">
      <c r="B4" s="1058" t="s">
        <v>25</v>
      </c>
    </row>
    <row r="5" s="623" customFormat="1" ht="20.25" customHeight="1" spans="2:2">
      <c r="B5" s="1058" t="s">
        <v>26</v>
      </c>
    </row>
    <row r="6" s="623" customFormat="1" ht="20.25" customHeight="1" spans="2:2">
      <c r="B6" s="1058" t="s">
        <v>27</v>
      </c>
    </row>
    <row r="7" s="623" customFormat="1" ht="20.25" customHeight="1" spans="2:2">
      <c r="B7" s="1058" t="s">
        <v>28</v>
      </c>
    </row>
    <row r="8" s="623" customFormat="1" ht="21" customHeight="1" spans="2:2">
      <c r="B8" s="1059" t="s">
        <v>29</v>
      </c>
    </row>
    <row r="9" s="623" customFormat="1" ht="23.1" customHeight="1" spans="2:2">
      <c r="B9" s="1060" t="s">
        <v>30</v>
      </c>
    </row>
    <row r="10" s="623" customFormat="1" ht="20.25" customHeight="1" spans="2:2">
      <c r="B10" s="1060" t="s">
        <v>31</v>
      </c>
    </row>
    <row r="11" s="623" customFormat="1" ht="21" customHeight="1" spans="2:2">
      <c r="B11" s="1060"/>
    </row>
    <row r="12" s="623" customFormat="1" ht="50.1" customHeight="1" spans="2:2">
      <c r="B12" s="1059" t="s">
        <v>32</v>
      </c>
    </row>
    <row r="13" s="623" customFormat="1" ht="210.95" customHeight="1" spans="2:2">
      <c r="B13" s="1061" t="s">
        <v>33</v>
      </c>
    </row>
    <row r="14" s="623" customFormat="1" ht="20.25" customHeight="1" spans="2:2">
      <c r="B14" s="1062"/>
    </row>
    <row r="15" s="623" customFormat="1" ht="24.95" customHeight="1" spans="1:2">
      <c r="A15" s="626" t="s">
        <v>34</v>
      </c>
      <c r="B15" s="626"/>
    </row>
    <row r="16" s="623"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tabSelected="1" zoomScale="115" zoomScaleNormal="115" topLeftCell="AN1" workbookViewId="0">
      <pane ySplit="2" topLeftCell="A3" activePane="bottomLeft" state="frozen"/>
      <selection/>
      <selection pane="bottomLeft" activeCell="AV25" sqref="AV25"/>
    </sheetView>
  </sheetViews>
  <sheetFormatPr defaultColWidth="9" defaultRowHeight="14.25"/>
  <cols>
    <col min="1" max="1" width="20.625" customWidth="1"/>
    <col min="2" max="2" width="6.875" style="681" customWidth="1"/>
    <col min="3" max="3" width="11.625" customWidth="1"/>
    <col min="4" max="8" width="11.75" customWidth="1"/>
    <col min="9" max="9" width="34.125" customWidth="1"/>
    <col min="10" max="10" width="6.75" style="681" customWidth="1"/>
    <col min="11" max="11" width="8.75" customWidth="1"/>
    <col min="12" max="12" width="12.625" customWidth="1"/>
    <col min="13" max="15" width="12.625" style="1018" customWidth="1"/>
    <col min="16" max="16" width="8.75" customWidth="1"/>
    <col min="17" max="17" width="20.625" customWidth="1"/>
    <col min="18" max="18" width="6.5" style="681"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02" customWidth="1"/>
    <col min="93" max="118" width="7.31666666666667" customWidth="1"/>
    <col min="119" max="119" width="8.74166666666667" customWidth="1"/>
    <col min="120" max="120" width="10.125"/>
    <col min="121" max="121" width="12.125"/>
  </cols>
  <sheetData>
    <row r="1" ht="57" customHeight="1" spans="48:120">
      <c r="AV1" s="902" t="s">
        <v>35</v>
      </c>
      <c r="AY1" s="902" t="s">
        <v>36</v>
      </c>
      <c r="BB1" s="902" t="s">
        <v>37</v>
      </c>
      <c r="BE1" s="902" t="s">
        <v>37</v>
      </c>
      <c r="BH1" s="902" t="s">
        <v>38</v>
      </c>
      <c r="BK1" s="902" t="s">
        <v>39</v>
      </c>
      <c r="BN1" s="902" t="s">
        <v>40</v>
      </c>
      <c r="BQ1" s="902" t="s">
        <v>41</v>
      </c>
      <c r="BT1" s="902" t="s">
        <v>42</v>
      </c>
      <c r="BW1" s="902" t="s">
        <v>43</v>
      </c>
      <c r="BZ1" s="902" t="s">
        <v>44</v>
      </c>
      <c r="CC1" s="902" t="s">
        <v>45</v>
      </c>
      <c r="CF1" s="902" t="s">
        <v>46</v>
      </c>
      <c r="CI1" s="902" t="s">
        <v>47</v>
      </c>
      <c r="CL1" s="902" t="s">
        <v>48</v>
      </c>
      <c r="CO1" s="902" t="s">
        <v>49</v>
      </c>
      <c r="CP1" s="902"/>
      <c r="CQ1" s="902"/>
      <c r="CR1" s="902" t="s">
        <v>50</v>
      </c>
      <c r="CS1" s="902"/>
      <c r="CT1" s="902"/>
      <c r="CU1" s="902" t="s">
        <v>51</v>
      </c>
      <c r="CV1" s="902"/>
      <c r="CW1" s="902"/>
      <c r="CX1" s="902" t="s">
        <v>52</v>
      </c>
      <c r="CY1" s="902"/>
      <c r="DA1" t="s">
        <v>53</v>
      </c>
      <c r="DD1" t="s">
        <v>54</v>
      </c>
      <c r="DG1" t="s">
        <v>55</v>
      </c>
      <c r="DJ1" t="s">
        <v>56</v>
      </c>
      <c r="DM1" t="s">
        <v>57</v>
      </c>
      <c r="DP1" t="s">
        <v>58</v>
      </c>
    </row>
    <row r="2" ht="21" customHeight="1" spans="1:121">
      <c r="A2" s="1019" t="s">
        <v>59</v>
      </c>
      <c r="B2" s="1020" t="s">
        <v>60</v>
      </c>
      <c r="C2" s="1021" t="s">
        <v>61</v>
      </c>
      <c r="D2" s="623" t="s">
        <v>62</v>
      </c>
      <c r="E2" s="623"/>
      <c r="F2" s="623"/>
      <c r="G2" s="623"/>
      <c r="H2" s="623"/>
      <c r="I2" s="1025" t="s">
        <v>63</v>
      </c>
      <c r="J2" s="1026" t="s">
        <v>60</v>
      </c>
      <c r="K2" s="1027" t="s">
        <v>61</v>
      </c>
      <c r="L2" s="1028" t="s">
        <v>62</v>
      </c>
      <c r="M2" s="1029"/>
      <c r="N2" s="1029"/>
      <c r="O2" s="1029"/>
      <c r="P2" s="1021"/>
      <c r="Q2" s="1019" t="s">
        <v>64</v>
      </c>
      <c r="R2" s="1020" t="s">
        <v>60</v>
      </c>
      <c r="S2" s="1021" t="s">
        <v>61</v>
      </c>
      <c r="T2" s="623" t="s">
        <v>62</v>
      </c>
      <c r="U2" s="623"/>
      <c r="V2" s="623"/>
      <c r="W2" s="623"/>
      <c r="X2" s="623"/>
      <c r="Y2" s="1019" t="s">
        <v>65</v>
      </c>
      <c r="Z2" s="1021" t="s">
        <v>60</v>
      </c>
      <c r="AA2" s="1021" t="s">
        <v>61</v>
      </c>
      <c r="AB2" s="623" t="s">
        <v>62</v>
      </c>
      <c r="AC2" s="623"/>
      <c r="AD2" s="623"/>
      <c r="AE2" s="623"/>
      <c r="AG2" s="1040" t="s">
        <v>66</v>
      </c>
      <c r="AK2" t="s">
        <v>60</v>
      </c>
      <c r="AT2" s="653" t="s">
        <v>67</v>
      </c>
      <c r="AU2" s="696" cm="1">
        <f t="array" ref="AU2">SUM(配比[总数量]*AU6:AU28)/1000</f>
        <v>1627.403279326</v>
      </c>
      <c r="AV2" s="696">
        <f>IFERROR(+AW2/AU2,"")</f>
        <v>353.982300884956</v>
      </c>
      <c r="AW2" s="696" cm="1">
        <f t="array" ref="AW2">SUM(配比[总数量]*AW6:AW28)</f>
        <v>576071.95728354</v>
      </c>
      <c r="AX2" s="696" cm="1">
        <f t="array" ref="AX2">SUM(配比[总数量]*AX6:AX28)/1000</f>
        <v>6192.46430509</v>
      </c>
      <c r="AY2" s="696">
        <f>IFERROR(+AZ2/AX2,"")</f>
        <v>180</v>
      </c>
      <c r="AZ2" s="696" cm="1">
        <f t="array" ref="AZ2">SUM(配比[总数量]*AZ6:AZ28)</f>
        <v>1114643.5749162</v>
      </c>
      <c r="BA2" s="696" cm="1">
        <f t="array" ref="BA2">SUM(配比[总数量]*BA6:BA28)/1000</f>
        <v>0</v>
      </c>
      <c r="BB2" s="696" t="str">
        <f>IFERROR(+BC2/BA2,"")</f>
        <v/>
      </c>
      <c r="BC2" s="696" cm="1">
        <f t="array" ref="BC2">SUM(配比[总数量]*BC6:BC28)</f>
        <v>0</v>
      </c>
      <c r="BD2" s="696" cm="1">
        <f t="array" ref="BD2">SUM(配比[总数量]*BD6:BD28)/1000</f>
        <v>0</v>
      </c>
      <c r="BE2" s="696" t="str">
        <f>IFERROR(+BF2/BD2,"")</f>
        <v/>
      </c>
      <c r="BF2" s="696" cm="1">
        <f t="array" ref="BF2">SUM(配比[总数量]*BF6:BF28)</f>
        <v>0</v>
      </c>
      <c r="BG2" s="696" cm="1">
        <f t="array" ref="BG2">SUM(配比[总数量]*BG6:BG28)/1000</f>
        <v>3326.90677121</v>
      </c>
      <c r="BH2" s="696">
        <f>IFERROR(+BI2/BG2,"")</f>
        <v>90</v>
      </c>
      <c r="BI2" s="696" cm="1">
        <f t="array" ref="BI2">SUM(配比[总数量]*BI6:BI28)</f>
        <v>299421.6094089</v>
      </c>
      <c r="BJ2" s="696" cm="1">
        <f t="array" ref="BJ2">SUM(配比[总数量]*BJ6:BJ28)/1000</f>
        <v>0</v>
      </c>
      <c r="BK2" s="696" t="str">
        <f>IFERROR(+BL2/BJ2,"")</f>
        <v/>
      </c>
      <c r="BL2" s="696" cm="1">
        <f t="array" ref="BL2">SUM(配比[总数量]*BL6:BL28)</f>
        <v>0</v>
      </c>
      <c r="BM2" s="696" cm="1">
        <f t="array" ref="BM2">SUM(配比[总数量]*BM6:BM28)/1000</f>
        <v>3.538551048</v>
      </c>
      <c r="BN2" s="696">
        <f>IFERROR(+BO2/BM2,"")</f>
        <v>21810</v>
      </c>
      <c r="BO2" s="696" cm="1">
        <f t="array" ref="BO2">SUM(配比[总数量]*BO6:BO28)</f>
        <v>77175.79835688</v>
      </c>
      <c r="BP2" s="696" cm="1">
        <f t="array" ref="BP2">SUM(配比[总数量]*BP6:BP28)/1000</f>
        <v>0</v>
      </c>
      <c r="BQ2" s="696" t="str">
        <f>IFERROR(+BR2/BP2,"")</f>
        <v/>
      </c>
      <c r="BR2" s="696" cm="1">
        <f t="array" ref="BR2">SUM(配比[总数量]*BR6:BR28)</f>
        <v>0</v>
      </c>
      <c r="BS2" s="696" cm="1">
        <f t="array" ref="BS2">SUM(配比[总数量]*BS6:BS28)/1000</f>
        <v>0</v>
      </c>
      <c r="BT2" s="696" t="str">
        <f>IFERROR(+BU2/BS2,"")</f>
        <v/>
      </c>
      <c r="BU2" s="696" cm="1">
        <f t="array" ref="BU2">SUM(配比[总数量]*BU6:BU28)</f>
        <v>0</v>
      </c>
      <c r="BV2" s="696" cm="1">
        <f t="array" ref="BV2">SUM(配比[总数量]*BV6:BV28)/1000</f>
        <v>0</v>
      </c>
      <c r="BW2" s="696" t="str">
        <f>IFERROR(+BX2/BV2,"")</f>
        <v/>
      </c>
      <c r="BX2" s="696" cm="1">
        <f t="array" ref="BX2">SUM(配比[总数量]*BX6:BX28)</f>
        <v>0</v>
      </c>
      <c r="BY2" s="696" cm="1">
        <f t="array" ref="BY2">SUM(配比[总数量]*BY6:BY28)/1000</f>
        <v>0</v>
      </c>
      <c r="BZ2" s="696" t="str">
        <f>IFERROR(+CA2/BY2,"")</f>
        <v/>
      </c>
      <c r="CA2" s="696" cm="1">
        <f t="array" ref="CA2">SUM(配比[总数量]*CA6:CA28)</f>
        <v>0</v>
      </c>
      <c r="CB2" s="696" cm="1">
        <f t="array" ref="CB2">SUM(配比[总数量]*CB6:CB28)/1000</f>
        <v>0</v>
      </c>
      <c r="CC2" s="696" t="str">
        <f>IFERROR(+CD2/CB2,"")</f>
        <v/>
      </c>
      <c r="CD2" s="696" cm="1">
        <f t="array" ref="CD2">SUM(配比[总数量]*CD6:CD28)</f>
        <v>0</v>
      </c>
      <c r="CE2" s="696" cm="1">
        <f t="array" ref="CE2">SUM(配比[总数量]*CE6:CE28)/1000</f>
        <v>0</v>
      </c>
      <c r="CF2" s="696" t="str">
        <f>IFERROR(+CG2/CE2,"")</f>
        <v/>
      </c>
      <c r="CG2" s="696" cm="1">
        <f t="array" ref="CG2">SUM(配比[总数量]*CG6:CG28)</f>
        <v>0</v>
      </c>
      <c r="CH2" s="696" cm="1">
        <f t="array" ref="CH2">SUM(配比[总数量]*CH6:CH28)/1000</f>
        <v>0</v>
      </c>
      <c r="CI2" s="696" t="str">
        <f>IFERROR(+CJ2/CH2,"")</f>
        <v/>
      </c>
      <c r="CJ2" s="696" cm="1">
        <f t="array" ref="CJ2">SUM(配比[总数量]*CJ6:CJ28)</f>
        <v>0</v>
      </c>
      <c r="CK2" s="696" cm="1">
        <f t="array" ref="CK2">SUM(配比[总数量]*CK6:CK28)/1000</f>
        <v>0</v>
      </c>
      <c r="CL2" s="696" t="str">
        <f>IFERROR(+CM2/CK2,"")</f>
        <v/>
      </c>
      <c r="CM2" s="696" cm="1">
        <f t="array" ref="CM2">SUM(配比[总数量]*CM6:CM28)</f>
        <v>0</v>
      </c>
      <c r="CN2" s="696" cm="1">
        <f t="array" ref="CN2">SUM(配比[总数量]*CN6:CN28)/1000</f>
        <v>0</v>
      </c>
      <c r="CO2" s="696" t="str">
        <f>IFERROR(+CP2/CN2,"")</f>
        <v/>
      </c>
      <c r="CP2" s="696" cm="1">
        <f t="array" ref="CP2">SUM(配比[总数量]*CP6:CP28)</f>
        <v>0</v>
      </c>
      <c r="CQ2" s="696" cm="1">
        <f t="array" ref="CQ2">SUM(配比[总数量]*CQ6:CQ28)/1000</f>
        <v>0</v>
      </c>
      <c r="CR2" s="696" t="str">
        <f>IFERROR(+CS2/CQ2,"")</f>
        <v/>
      </c>
      <c r="CS2" s="696" cm="1">
        <f t="array" ref="CS2">SUM(配比[总数量]*CS6:CS28)</f>
        <v>0</v>
      </c>
      <c r="CT2" s="696" cm="1">
        <f t="array" ref="CT2">SUM(配比[总数量]*CT6:CT28)/1000</f>
        <v>0</v>
      </c>
      <c r="CU2" s="696" t="str">
        <f>IFERROR(+CV2/CT2,"")</f>
        <v/>
      </c>
      <c r="CV2" s="696" cm="1">
        <f t="array" ref="CV2">SUM(配比[总数量]*CV6:CV28)</f>
        <v>0</v>
      </c>
      <c r="CW2" s="696" cm="1">
        <f t="array" ref="CW2">SUM(配比[总数量]*CW6:CW28)/1000</f>
        <v>0</v>
      </c>
      <c r="CX2" s="696" t="str">
        <f>IFERROR(+CY2/CW2,"")</f>
        <v/>
      </c>
      <c r="CY2" s="696" cm="1">
        <f t="array" ref="CY2">SUM(配比[总数量]*CY6:CY28)</f>
        <v>0</v>
      </c>
      <c r="CZ2" s="696" cm="1">
        <f t="array" ref="CZ2">SUM(配比[总数量]*CZ6:CZ28)/1000</f>
        <v>0</v>
      </c>
      <c r="DA2" s="696" t="str">
        <f>IFERROR(+DB2/CZ2,"")</f>
        <v/>
      </c>
      <c r="DB2" s="696" cm="1">
        <f t="array" ref="DB2">SUM(配比[总数量]*DB6:DB28)</f>
        <v>0</v>
      </c>
      <c r="DC2" s="696" cm="1">
        <f t="array" ref="DC2">SUM(配比[总数量]*DC6:DC28)/1000</f>
        <v>0</v>
      </c>
      <c r="DD2" s="696" t="str">
        <f>IFERROR(+DE2/DC2,"")</f>
        <v/>
      </c>
      <c r="DE2" s="696" cm="1">
        <f t="array" ref="DE2">SUM(配比[总数量]*DE6:DE28)</f>
        <v>0</v>
      </c>
      <c r="DF2" s="696" cm="1">
        <f t="array" ref="DF2">SUM(配比[总数量]*DF6:DF28)/1000</f>
        <v>0</v>
      </c>
      <c r="DG2" s="696" t="str">
        <f>IFERROR(+DH2/DF2,"")</f>
        <v/>
      </c>
      <c r="DH2" s="696" cm="1">
        <f t="array" ref="DH2">SUM(配比[总数量]*DH6:DH28)</f>
        <v>0</v>
      </c>
      <c r="DI2" s="696" cm="1">
        <f t="array" ref="DI2">SUM(配比[总数量]*DI6:DI28)/1000</f>
        <v>0</v>
      </c>
      <c r="DJ2" s="696" t="str">
        <f>IFERROR(+DK2/DI2,"")</f>
        <v/>
      </c>
      <c r="DK2" s="696" cm="1">
        <f t="array" ref="DK2">SUM(配比[总数量]*DK6:DK28)</f>
        <v>0</v>
      </c>
      <c r="DL2" s="696" cm="1">
        <f t="array" ref="DL2">SUM(配比[总数量]*DL6:DL28)/1000</f>
        <v>0</v>
      </c>
      <c r="DM2" s="696" t="str">
        <f>IFERROR(+DN2/DL2,"")</f>
        <v/>
      </c>
      <c r="DN2" s="696" cm="1">
        <f t="array" ref="DN2">SUM(配比[总数量]*DN6:DN28)</f>
        <v>0</v>
      </c>
      <c r="DO2" s="696" cm="1">
        <f t="array" ref="DO2">SUM(配比[总数量]*DO6:DO28)/1000</f>
        <v>24.63829999</v>
      </c>
      <c r="DP2" s="696">
        <f>IFERROR(+DQ2/DO2,"")</f>
        <v>540000</v>
      </c>
      <c r="DQ2" s="696" cm="1">
        <f t="array" ref="DQ2">SUM(配比[总数量]*DQ6:DQ28)</f>
        <v>13304681.9946</v>
      </c>
    </row>
    <row r="3" ht="27" customHeight="1" spans="1:121">
      <c r="A3" t="str">
        <f t="shared" ref="A3:A25" si="0">AO6</f>
        <v>道面混凝土</v>
      </c>
      <c r="B3" s="681" t="str">
        <f t="shared" ref="B3:B25" si="1">AP6</f>
        <v>m3</v>
      </c>
      <c r="C3" s="1022">
        <f t="shared" ref="C3:C25" si="2">AQ6</f>
        <v>596.736637168142</v>
      </c>
      <c r="D3" s="1023">
        <f>SUMIFS('01工程产值对比表'!$M:$M,'01工程产值对比表'!$D:$D,A3,'01工程产值对比表'!$C:$C,A$2)</f>
        <v>0</v>
      </c>
      <c r="E3" s="1023"/>
      <c r="F3" s="1023"/>
      <c r="G3" s="1023"/>
      <c r="H3" s="1023"/>
      <c r="I3" s="1030" t="s">
        <v>68</v>
      </c>
      <c r="J3" s="1031" t="s">
        <v>69</v>
      </c>
      <c r="K3" s="1030">
        <v>1.5</v>
      </c>
      <c r="L3" s="1032">
        <f>SUMIFS('01工程产值对比表'!$M:$M,'01工程产值对比表'!$D:$D,I3,'01工程产值对比表'!$C:$C,I$2)</f>
        <v>0</v>
      </c>
      <c r="M3" s="1033"/>
      <c r="N3" s="1033"/>
      <c r="O3" s="1033"/>
      <c r="P3" s="1034"/>
      <c r="Q3" s="1034" t="s">
        <v>70</v>
      </c>
      <c r="R3" s="1039" t="s">
        <v>69</v>
      </c>
      <c r="S3" s="1037">
        <v>1.5</v>
      </c>
      <c r="T3" s="1023">
        <f>SUMIFS('01工程产值对比表'!$M:$M,'01工程产值对比表'!$D:$D,Q3,'01工程产值对比表'!$C:$C,Q$2)</f>
        <v>0</v>
      </c>
      <c r="U3" s="1023"/>
      <c r="V3" s="1023"/>
      <c r="W3" s="1023"/>
      <c r="X3" s="1034"/>
      <c r="Y3" t="s">
        <v>71</v>
      </c>
      <c r="Z3" t="s">
        <v>15</v>
      </c>
      <c r="AA3">
        <v>0.85</v>
      </c>
      <c r="AB3" s="1023">
        <f>SUMIFS('01工程产值对比表'!$M:$M,'01工程产值对比表'!$D:$D,Y3,'01工程产值对比表'!$C:$C,Y$2)</f>
        <v>0</v>
      </c>
      <c r="AG3" t="s">
        <v>71</v>
      </c>
      <c r="AH3" s="1023"/>
      <c r="AI3" s="1023"/>
      <c r="AK3" t="s">
        <v>72</v>
      </c>
      <c r="AS3" t="s">
        <v>73</v>
      </c>
      <c r="AU3" s="696" cm="1">
        <f ca="1" t="array" ref="AU3">SUM($AS$6:$AS$28*AU6:AU28)/1000</f>
        <v>0</v>
      </c>
      <c r="AV3" s="696" t="e">
        <f ca="1">+AW3/AU3</f>
        <v>#DIV/0!</v>
      </c>
      <c r="AW3" s="696" cm="1">
        <f ca="1" t="array" ref="AW3">SUM($AS$6:$AS$28*AW6:AW28)</f>
        <v>0</v>
      </c>
      <c r="AX3" s="696" cm="1">
        <f ca="1" t="array" ref="AX3">SUM($AS$6:$AS$28*AX6:AX28)/1000</f>
        <v>0</v>
      </c>
      <c r="AY3" s="696" t="e">
        <f ca="1">+AZ3/AX3</f>
        <v>#DIV/0!</v>
      </c>
      <c r="AZ3" s="696" cm="1">
        <f ca="1" t="array" ref="AZ3">SUM($AS$6:$AS$28*AZ6:AZ28)</f>
        <v>0</v>
      </c>
      <c r="BA3" s="696" cm="1">
        <f ca="1" t="array" ref="BA3">SUM($AS$6:$AS$28*BA6:BA28)/1000</f>
        <v>0</v>
      </c>
      <c r="BB3" s="696" t="e">
        <f ca="1">+BC3/BA3</f>
        <v>#DIV/0!</v>
      </c>
      <c r="BC3" s="696" cm="1">
        <f ca="1" t="array" ref="BC3">SUM($AS$6:$AS$28*BC6:BC28)</f>
        <v>0</v>
      </c>
      <c r="BD3" s="696" cm="1">
        <f ca="1" t="array" ref="BD3">SUM($AS$6:$AS$28*BD6:BD28)/1000</f>
        <v>0</v>
      </c>
      <c r="BE3" s="696" t="e">
        <f ca="1">+BF3/BD3</f>
        <v>#DIV/0!</v>
      </c>
      <c r="BF3" s="696" cm="1">
        <f ca="1" t="array" ref="BF3">SUM($AS$6:$AS$28*BF6:BF28)</f>
        <v>0</v>
      </c>
      <c r="BG3" s="696" cm="1">
        <f ca="1" t="array" ref="BG3">SUM($AS$6:$AS$28*BG6:BG28)/1000</f>
        <v>0</v>
      </c>
      <c r="BH3" s="696" t="e">
        <f ca="1">+BI3/BG3</f>
        <v>#DIV/0!</v>
      </c>
      <c r="BI3" s="696" cm="1">
        <f ca="1" t="array" ref="BI3">SUM($AS$6:$AS$28*BI6:BI28)</f>
        <v>0</v>
      </c>
      <c r="BJ3" s="696" cm="1">
        <f ca="1" t="array" ref="BJ3">SUM($AS$6:$AS$28*BJ6:BJ28)/1000</f>
        <v>0</v>
      </c>
      <c r="BK3" s="696" t="e">
        <f ca="1">+BL3/BJ3</f>
        <v>#DIV/0!</v>
      </c>
      <c r="BL3" s="696" cm="1">
        <f ca="1" t="array" ref="BL3">SUM($AS$6:$AS$28*BL6:BL28)</f>
        <v>0</v>
      </c>
      <c r="BM3" s="696" cm="1">
        <f ca="1" t="array" ref="BM3">SUM($AS$6:$AS$28*BM6:BM28)/1000</f>
        <v>0</v>
      </c>
      <c r="BN3" s="696" t="e">
        <f ca="1">+BO3/BM3</f>
        <v>#DIV/0!</v>
      </c>
      <c r="BO3" s="696" cm="1">
        <f ca="1" t="array" ref="BO3">SUM($AS$6:$AS$28*BO6:BO28)</f>
        <v>0</v>
      </c>
      <c r="BP3" s="696" cm="1">
        <f ca="1" t="array" ref="BP3">SUM($AS$6:$AS$28*BP6:BP28)/1000</f>
        <v>0</v>
      </c>
      <c r="BQ3" s="696" t="e">
        <f ca="1">+BR3/BP3</f>
        <v>#DIV/0!</v>
      </c>
      <c r="BR3" s="696" cm="1">
        <f ca="1" t="array" ref="BR3">SUM($AS$6:$AS$28*BR6:BR28)</f>
        <v>0</v>
      </c>
      <c r="BS3" s="696" cm="1">
        <f ca="1" t="array" ref="BS3">SUM($AS$6:$AS$28*BS6:BS28)/1000</f>
        <v>0</v>
      </c>
      <c r="BT3" s="696" t="e">
        <f ca="1">+BU3/BS3</f>
        <v>#DIV/0!</v>
      </c>
      <c r="BU3" s="696" cm="1">
        <f ca="1" t="array" ref="BU3">SUM($AS$6:$AS$28*BU6:BU28)</f>
        <v>0</v>
      </c>
      <c r="BV3" s="696" cm="1">
        <f ca="1" t="array" ref="BV3">SUM($AS$6:$AS$28*BV6:BV28)/1000</f>
        <v>0</v>
      </c>
      <c r="BW3" s="696" t="e">
        <f ca="1">+BX3/BV3</f>
        <v>#DIV/0!</v>
      </c>
      <c r="BX3" s="696" cm="1">
        <f ca="1" t="array" ref="BX3">SUM($AS$6:$AS$28*BX6:BX28)</f>
        <v>0</v>
      </c>
      <c r="BY3" s="696" cm="1">
        <f ca="1" t="array" ref="BY3">SUM($AS$6:$AS$28*BY6:BY28)/1000</f>
        <v>0</v>
      </c>
      <c r="BZ3" s="696" t="e">
        <f ca="1">+CA3/BY3</f>
        <v>#DIV/0!</v>
      </c>
      <c r="CA3" s="696" cm="1">
        <f ca="1" t="array" ref="CA3">SUM($AS$6:$AS$28*CA6:CA28)</f>
        <v>0</v>
      </c>
      <c r="CB3" s="696" cm="1">
        <f ca="1" t="array" ref="CB3">SUM($AS$6:$AS$28*CB6:CB28)/1000</f>
        <v>0</v>
      </c>
      <c r="CC3" s="696" t="e">
        <f ca="1">+CD3/CB3</f>
        <v>#DIV/0!</v>
      </c>
      <c r="CD3" s="696" cm="1">
        <f ca="1" t="array" ref="CD3">SUM($AS$6:$AS$28*CD6:CD28)</f>
        <v>0</v>
      </c>
      <c r="CE3" s="696" cm="1">
        <f ca="1" t="array" ref="CE3">SUM($AS$6:$AS$28*CE6:CE28)/1000</f>
        <v>0</v>
      </c>
      <c r="CF3" s="696" t="e">
        <f ca="1">+CG3/CE3</f>
        <v>#DIV/0!</v>
      </c>
      <c r="CG3" s="696" cm="1">
        <f ca="1" t="array" ref="CG3">SUM($AS$6:$AS$28*CG6:CG28)</f>
        <v>0</v>
      </c>
      <c r="CH3" s="696" cm="1">
        <f ca="1" t="array" ref="CH3">SUM($AS$6:$AS$28*CH6:CH28)/1000</f>
        <v>0</v>
      </c>
      <c r="CI3" s="696" t="e">
        <f ca="1">+CJ3/CH3</f>
        <v>#DIV/0!</v>
      </c>
      <c r="CJ3" s="696" cm="1">
        <f ca="1" t="array" ref="CJ3">SUM($AS$6:$AS$28*CJ6:CJ28)</f>
        <v>0</v>
      </c>
      <c r="CK3" s="696" cm="1">
        <f ca="1" t="array" ref="CK3">SUM($AS$6:$AS$28*CK6:CK28)/1000</f>
        <v>0</v>
      </c>
      <c r="CL3" s="696" t="e">
        <f ca="1">+CM3/CK3</f>
        <v>#DIV/0!</v>
      </c>
      <c r="CM3" s="696" cm="1">
        <f ca="1" t="array" ref="CM3">SUM($AS$6:$AS$28*CM6:CM28)</f>
        <v>0</v>
      </c>
      <c r="CN3" s="696" cm="1">
        <f ca="1" t="array" ref="CN3">SUM($AS$6:$AS$28*CN6:CN28)/1000</f>
        <v>0</v>
      </c>
      <c r="CO3" s="696" t="e">
        <f ca="1">+CP3/CN3</f>
        <v>#DIV/0!</v>
      </c>
      <c r="CP3" s="696" cm="1">
        <f ca="1" t="array" ref="CP3">SUM($AS$6:$AS$28*CP6:CP28)</f>
        <v>0</v>
      </c>
      <c r="CQ3" s="696" cm="1">
        <f ca="1" t="array" ref="CQ3">SUM($AS$6:$AS$28*CQ6:CQ28)/1000</f>
        <v>0</v>
      </c>
      <c r="CR3" s="696" t="e">
        <f ca="1">+CS3/CQ3</f>
        <v>#DIV/0!</v>
      </c>
      <c r="CS3" s="696" cm="1">
        <f ca="1" t="array" ref="CS3">SUM($AS$6:$AS$28*CS6:CS28)</f>
        <v>0</v>
      </c>
      <c r="CT3" s="696" cm="1">
        <f ca="1" t="array" ref="CT3">SUM($AS$6:$AS$28*CT6:CT28)/1000</f>
        <v>0</v>
      </c>
      <c r="CU3" s="696" t="e">
        <f ca="1">+CV3/CT3</f>
        <v>#DIV/0!</v>
      </c>
      <c r="CV3" s="696" cm="1">
        <f ca="1" t="array" ref="CV3">SUM($AS$6:$AS$28*CV6:CV28)</f>
        <v>0</v>
      </c>
      <c r="CW3" s="696" cm="1">
        <f ca="1" t="array" ref="CW3">SUM($AS$6:$AS$28*CW6:CW28)/1000</f>
        <v>0</v>
      </c>
      <c r="CX3" s="696" t="e">
        <f ca="1">+CY3/CW3</f>
        <v>#DIV/0!</v>
      </c>
      <c r="CY3" s="696" cm="1">
        <f ca="1" t="array" ref="CY3">SUM($AS$6:$AS$28*CY6:CY28)</f>
        <v>0</v>
      </c>
      <c r="CZ3" s="696" cm="1">
        <f ca="1" t="array" ref="CZ3">SUM($AS$6:$AS$28*CZ6:CZ28)/1000</f>
        <v>0</v>
      </c>
      <c r="DA3" s="696" t="e">
        <f ca="1">+DB3/CZ3</f>
        <v>#DIV/0!</v>
      </c>
      <c r="DB3" s="696" cm="1">
        <f ca="1" t="array" ref="DB3">SUM($AS$6:$AS$28*DB6:DB28)</f>
        <v>0</v>
      </c>
      <c r="DC3" s="696" cm="1">
        <f ca="1" t="array" ref="DC3">SUM($AS$6:$AS$28*DC6:DC28)/1000</f>
        <v>0</v>
      </c>
      <c r="DD3" s="696" t="e">
        <f ca="1">+DE3/DC3</f>
        <v>#DIV/0!</v>
      </c>
      <c r="DE3" s="696" cm="1">
        <f ca="1" t="array" ref="DE3">SUM($AS$6:$AS$28*DE6:DE28)</f>
        <v>0</v>
      </c>
      <c r="DF3" s="696" cm="1">
        <f ca="1" t="array" ref="DF3">SUM($AS$6:$AS$28*DF6:DF28)/1000</f>
        <v>0</v>
      </c>
      <c r="DG3" s="696" t="e">
        <f ca="1">+DH3/DF3</f>
        <v>#DIV/0!</v>
      </c>
      <c r="DH3" s="696" cm="1">
        <f ca="1" t="array" ref="DH3">SUM($AS$6:$AS$28*DH6:DH28)</f>
        <v>0</v>
      </c>
      <c r="DI3" s="696" cm="1">
        <f ca="1" t="array" ref="DI3">SUM($AS$6:$AS$28*DI6:DI28)/1000</f>
        <v>0</v>
      </c>
      <c r="DJ3" s="696" t="e">
        <f ca="1">+DK3/DI3</f>
        <v>#DIV/0!</v>
      </c>
      <c r="DK3" s="696" cm="1">
        <f ca="1" t="array" ref="DK3">SUM($AS$6:$AS$28*DK6:DK28)</f>
        <v>0</v>
      </c>
      <c r="DL3" s="696" cm="1">
        <f ca="1" t="array" ref="DL3">SUM($AS$6:$AS$28*DL6:DL28)/1000</f>
        <v>0</v>
      </c>
      <c r="DM3" s="696" t="e">
        <f ca="1">+DN3/DL3</f>
        <v>#DIV/0!</v>
      </c>
      <c r="DN3" s="696" cm="1">
        <f ca="1" t="array" ref="DN3">SUM($AS$6:$AS$28*DN6:DN28)</f>
        <v>0</v>
      </c>
      <c r="DO3" s="696" cm="1">
        <f ca="1" t="array" ref="DO3">SUM($AS$6:$AS$28*DO6:DO28)/1000</f>
        <v>0</v>
      </c>
      <c r="DP3" s="696" t="e">
        <f ca="1">+DQ3/DO3</f>
        <v>#DIV/0!</v>
      </c>
      <c r="DQ3" s="696" cm="1">
        <f ca="1" t="array" ref="DQ3">SUM($AS$6:$AS$28*DQ6:DQ28)</f>
        <v>0</v>
      </c>
    </row>
    <row r="4" ht="21" customHeight="1" spans="1:121">
      <c r="A4" t="str">
        <f t="shared" si="0"/>
        <v>道肩混凝土</v>
      </c>
      <c r="B4" s="681" t="str">
        <f t="shared" si="1"/>
        <v>m3</v>
      </c>
      <c r="C4" s="1022">
        <f t="shared" si="2"/>
        <v>139722</v>
      </c>
      <c r="D4" s="1023">
        <f>SUMIFS('01工程产值对比表'!$M:$M,'01工程产值对比表'!$D:$D,A4,'01工程产值对比表'!$C:$C,A$2)</f>
        <v>0</v>
      </c>
      <c r="F4" s="1024"/>
      <c r="H4" s="1023"/>
      <c r="I4" s="1030" t="s">
        <v>74</v>
      </c>
      <c r="J4" s="1031" t="s">
        <v>69</v>
      </c>
      <c r="K4" s="1030">
        <v>4</v>
      </c>
      <c r="L4" s="1032">
        <f>SUMIFS('01工程产值对比表'!$M:$M,'01工程产值对比表'!$D:$D,I4,'01工程产值对比表'!$C:$C,I$2)</f>
        <v>0</v>
      </c>
      <c r="M4" s="1033"/>
      <c r="N4" s="1033"/>
      <c r="O4" s="1033"/>
      <c r="P4" s="1034"/>
      <c r="Q4" t="s">
        <v>75</v>
      </c>
      <c r="R4" s="681" t="s">
        <v>76</v>
      </c>
      <c r="T4" s="1023">
        <f>SUMIFS('01工程产值对比表'!$M:$M,'01工程产值对比表'!$D:$D,Q4,'01工程产值对比表'!$C:$C,Q$2)</f>
        <v>0</v>
      </c>
      <c r="U4" s="1023"/>
      <c r="V4" s="1023"/>
      <c r="W4" s="1023"/>
      <c r="X4" s="1034"/>
      <c r="Y4" t="s">
        <v>77</v>
      </c>
      <c r="Z4" t="s">
        <v>15</v>
      </c>
      <c r="AB4" s="1023">
        <f>SUMIFS('01工程产值对比表'!$M:$M,'01工程产值对比表'!$D:$D,Y4,'01工程产值对比表'!$C:$C,Y$2)</f>
        <v>0</v>
      </c>
      <c r="AG4" t="s">
        <v>77</v>
      </c>
      <c r="AH4" s="1023"/>
      <c r="AI4" s="1023"/>
      <c r="AK4" t="s">
        <v>69</v>
      </c>
      <c r="AS4" t="s">
        <v>78</v>
      </c>
      <c r="AU4" s="696" cm="1">
        <f ca="1" t="array" ref="AU4">SUM(AU6:AU28*$AT$6:$AT$28)/1000</f>
        <v>3293.40013543528</v>
      </c>
      <c r="AV4" s="696">
        <f ca="1">+AW4/AU4</f>
        <v>353.982300884956</v>
      </c>
      <c r="AW4" s="696" cm="1">
        <f ca="1" t="array" ref="AW4">SUM(AW6:AW28*$AT$6:$AT$28)</f>
        <v>1165805.35767621</v>
      </c>
      <c r="AX4" s="696" cm="1">
        <f ca="1" t="array" ref="AX4">SUM(AX6:AX28*$AT$6:$AT$28)/1000</f>
        <v>13526.8127184489</v>
      </c>
      <c r="AY4" s="696">
        <f ca="1">+AZ4/AX4</f>
        <v>180</v>
      </c>
      <c r="AZ4" s="696" cm="1">
        <f ca="1" t="array" ref="AZ4">SUM(AZ6:AZ28*$AT$6:$AT$28)</f>
        <v>2434826.28932081</v>
      </c>
      <c r="BA4" s="696" cm="1">
        <f ca="1" t="array" ref="BA4">SUM(BA6:BA28*$AT$6:$AT$28)/1000</f>
        <v>0</v>
      </c>
      <c r="BB4" s="696" t="e">
        <f ca="1">+BC4/BA4</f>
        <v>#DIV/0!</v>
      </c>
      <c r="BC4" s="696" cm="1">
        <f ca="1" t="array" ref="BC4">SUM(BC6:BC28*$AT$6:$AT$28)</f>
        <v>0</v>
      </c>
      <c r="BD4" s="696" cm="1">
        <f ca="1" t="array" ref="BD4">SUM(BD6:BD28*$AT$6:$AT$28)/1000</f>
        <v>0</v>
      </c>
      <c r="BE4" s="696" t="e">
        <f ca="1">+BF4/BD4</f>
        <v>#DIV/0!</v>
      </c>
      <c r="BF4" s="696" cm="1">
        <f ca="1" t="array" ref="BF4">SUM(BF6:BF28*$AT$6:$AT$28)</f>
        <v>0</v>
      </c>
      <c r="BG4" s="696" cm="1">
        <f ca="1" t="array" ref="BG4">SUM(BG6:BG28*$AT$6:$AT$28)/1000</f>
        <v>7287.79277191715</v>
      </c>
      <c r="BH4" s="696">
        <f ca="1">+BI4/BG4</f>
        <v>90</v>
      </c>
      <c r="BI4" s="696" cm="1">
        <f ca="1" t="array" ref="BI4">SUM(BI6:BI28*$AT$6:$AT$28)</f>
        <v>655901.349472543</v>
      </c>
      <c r="BJ4" s="696" cm="1">
        <f ca="1" t="array" ref="BJ4">SUM(BJ6:BJ28*$AT$6:$AT$28)/1000</f>
        <v>0</v>
      </c>
      <c r="BK4" s="696" t="e">
        <f ca="1">+BL4/BJ4</f>
        <v>#DIV/0!</v>
      </c>
      <c r="BL4" s="696" cm="1">
        <f ca="1" t="array" ref="BL4">SUM(BL6:BL28*$AT$6:$AT$28)</f>
        <v>0</v>
      </c>
      <c r="BM4" s="696" cm="1">
        <f ca="1" t="array" ref="BM4">SUM(BM6:BM28*$AT$6:$AT$28)/1000</f>
        <v>0</v>
      </c>
      <c r="BN4" s="696" t="e">
        <f ca="1">+BO4/BM4</f>
        <v>#DIV/0!</v>
      </c>
      <c r="BO4" s="696" cm="1">
        <f ca="1" t="array" ref="BO4">SUM(BO6:BO28*$AT$6:$AT$28)</f>
        <v>0</v>
      </c>
      <c r="BP4" s="696" cm="1">
        <f ca="1" t="array" ref="BP4">SUM(BP6:BP28*$AT$6:$AT$28)/1000</f>
        <v>0</v>
      </c>
      <c r="BQ4" s="696" t="e">
        <f ca="1">+BR4/BP4</f>
        <v>#DIV/0!</v>
      </c>
      <c r="BR4" s="696" cm="1">
        <f ca="1" t="array" ref="BR4">SUM(BR6:BR28*$AT$6:$AT$28)</f>
        <v>0</v>
      </c>
      <c r="BS4" s="696" cm="1">
        <f ca="1" t="array" ref="BS4">SUM(BS6:BS28*$AT$6:$AT$28)/1000</f>
        <v>0</v>
      </c>
      <c r="BT4" s="696" t="e">
        <f ca="1">+BU4/BS4</f>
        <v>#DIV/0!</v>
      </c>
      <c r="BU4" s="696" cm="1">
        <f ca="1" t="array" ref="BU4">SUM(BU6:BU28*$AT$6:$AT$28)</f>
        <v>0</v>
      </c>
      <c r="BV4" s="696" cm="1">
        <f ca="1" t="array" ref="BV4">SUM(BV6:BV28*$AT$6:$AT$28)/1000</f>
        <v>0</v>
      </c>
      <c r="BW4" s="696" t="e">
        <f ca="1">+BX4/BV4</f>
        <v>#DIV/0!</v>
      </c>
      <c r="BX4" s="696" cm="1">
        <f ca="1" t="array" ref="BX4">SUM(BX6:BX28*$AT$6:$AT$28)</f>
        <v>0</v>
      </c>
      <c r="BY4" s="696" cm="1">
        <f ca="1" t="array" ref="BY4">SUM(BY6:BY28*$AT$6:$AT$28)/1000</f>
        <v>0</v>
      </c>
      <c r="BZ4" s="696" t="e">
        <f ca="1">+CA4/BY4</f>
        <v>#DIV/0!</v>
      </c>
      <c r="CA4" s="696" cm="1">
        <f ca="1" t="array" ref="CA4">SUM(CA6:CA28*$AT$6:$AT$28)</f>
        <v>0</v>
      </c>
      <c r="CB4" s="696" cm="1">
        <f ca="1" t="array" ref="CB4">SUM(CB6:CB28*$AT$6:$AT$28)/1000</f>
        <v>0</v>
      </c>
      <c r="CC4" s="696" t="e">
        <f ca="1">+CD4/CB4</f>
        <v>#DIV/0!</v>
      </c>
      <c r="CD4" s="696" cm="1">
        <f ca="1" t="array" ref="CD4">SUM(CD6:CD28*$AT$6:$AT$28)</f>
        <v>0</v>
      </c>
      <c r="CE4" s="696" cm="1">
        <f ca="1" t="array" ref="CE4">SUM(CE6:CE28*$AT$6:$AT$28)/1000</f>
        <v>0</v>
      </c>
      <c r="CF4" s="696" t="e">
        <f ca="1">+CG4/CE4</f>
        <v>#DIV/0!</v>
      </c>
      <c r="CG4" s="696" cm="1">
        <f ca="1" t="array" ref="CG4">SUM(CG6:CG28*$AT$6:$AT$28)</f>
        <v>0</v>
      </c>
      <c r="CH4" s="696" cm="1">
        <f ca="1" t="array" ref="CH4">SUM(CH6:CH28*$AT$6:$AT$28)/1000</f>
        <v>0</v>
      </c>
      <c r="CI4" s="696" t="e">
        <f ca="1">+CJ4/CH4</f>
        <v>#DIV/0!</v>
      </c>
      <c r="CJ4" s="696" cm="1">
        <f ca="1" t="array" ref="CJ4">SUM(CJ6:CJ28*$AT$6:$AT$28)</f>
        <v>0</v>
      </c>
      <c r="CK4" s="696" cm="1">
        <f ca="1" t="array" ref="CK4">SUM(CK6:CK28*$AT$6:$AT$28)/1000</f>
        <v>0</v>
      </c>
      <c r="CL4" s="696" t="e">
        <f ca="1">+CM4/CK4</f>
        <v>#DIV/0!</v>
      </c>
      <c r="CM4" s="696" cm="1">
        <f ca="1" t="array" ref="CM4">SUM(CM6:CM28*$AT$6:$AT$28)</f>
        <v>0</v>
      </c>
      <c r="CN4" s="696" cm="1">
        <f ca="1" t="array" ref="CN4">SUM(CN6:CN28*$AT$6:$AT$28)/1000</f>
        <v>0</v>
      </c>
      <c r="CO4" s="696" t="e">
        <f ca="1">+CP4/CN4</f>
        <v>#DIV/0!</v>
      </c>
      <c r="CP4" s="696" cm="1">
        <f ca="1" t="array" ref="CP4">SUM(CP6:CP28*$AT$6:$AT$28)</f>
        <v>0</v>
      </c>
      <c r="CQ4" s="696" cm="1">
        <f ca="1" t="array" ref="CQ4">SUM(CQ6:CQ28*$AT$6:$AT$28)/1000</f>
        <v>0</v>
      </c>
      <c r="CR4" s="696" t="e">
        <f ca="1">+CS4/CQ4</f>
        <v>#DIV/0!</v>
      </c>
      <c r="CS4" s="696" cm="1">
        <f ca="1" t="array" ref="CS4">SUM(CS6:CS28*$AT$6:$AT$28)</f>
        <v>0</v>
      </c>
      <c r="CT4" s="696" cm="1">
        <f ca="1" t="array" ref="CT4">SUM(CT6:CT28*$AT$6:$AT$28)/1000</f>
        <v>0</v>
      </c>
      <c r="CU4" s="696" t="e">
        <f ca="1">+CV4/CT4</f>
        <v>#DIV/0!</v>
      </c>
      <c r="CV4" s="696" cm="1">
        <f ca="1" t="array" ref="CV4">SUM(CV6:CV28*$AT$6:$AT$28)</f>
        <v>0</v>
      </c>
      <c r="CW4" s="696" cm="1">
        <f ca="1" t="array" ref="CW4">SUM(CW6:CW28*$AT$6:$AT$28)/1000</f>
        <v>0</v>
      </c>
      <c r="CX4" s="696" t="e">
        <f ca="1">+CY4/CW4</f>
        <v>#DIV/0!</v>
      </c>
      <c r="CY4" s="696" cm="1">
        <f ca="1" t="array" ref="CY4">SUM(CY6:CY28*$AT$6:$AT$28)</f>
        <v>0</v>
      </c>
      <c r="CZ4" s="696" cm="1">
        <f ca="1" t="array" ref="CZ4">SUM(CZ6:CZ28*$AT$6:$AT$28)/1000</f>
        <v>0</v>
      </c>
      <c r="DA4" s="696" t="e">
        <f ca="1">+DB4/CZ4</f>
        <v>#DIV/0!</v>
      </c>
      <c r="DB4" s="696" cm="1">
        <f ca="1" t="array" ref="DB4">SUM(DB6:DB28*$AT$6:$AT$28)</f>
        <v>0</v>
      </c>
      <c r="DC4" s="696" cm="1">
        <f ca="1" t="array" ref="DC4">SUM(DC6:DC28*$AT$6:$AT$28)/1000</f>
        <v>0</v>
      </c>
      <c r="DD4" s="696" t="e">
        <f ca="1">+DE4/DC4</f>
        <v>#DIV/0!</v>
      </c>
      <c r="DE4" s="696" cm="1">
        <f ca="1" t="array" ref="DE4">SUM(DE6:DE28*$AT$6:$AT$28)</f>
        <v>0</v>
      </c>
      <c r="DF4" s="696" cm="1">
        <f ca="1" t="array" ref="DF4">SUM(DF6:DF28*$AT$6:$AT$28)/1000</f>
        <v>0</v>
      </c>
      <c r="DG4" s="696" t="e">
        <f ca="1">+DH4/DF4</f>
        <v>#DIV/0!</v>
      </c>
      <c r="DH4" s="696" cm="1">
        <f ca="1" t="array" ref="DH4">SUM(DH6:DH28*$AT$6:$AT$28)</f>
        <v>0</v>
      </c>
      <c r="DI4" s="696" cm="1">
        <f ca="1" t="array" ref="DI4">SUM(DI6:DI28*$AT$6:$AT$28)/1000</f>
        <v>0</v>
      </c>
      <c r="DJ4" s="696" t="e">
        <f ca="1">+DK4/DI4</f>
        <v>#DIV/0!</v>
      </c>
      <c r="DK4" s="696" cm="1">
        <f ca="1" t="array" ref="DK4">SUM(DK6:DK28*$AT$6:$AT$28)</f>
        <v>0</v>
      </c>
      <c r="DL4" s="696" cm="1">
        <f ca="1" t="array" ref="DL4">SUM(DL6:DL28*$AT$6:$AT$28)/1000</f>
        <v>0</v>
      </c>
      <c r="DM4" s="696" t="e">
        <f ca="1">+DN4/DL4</f>
        <v>#DIV/0!</v>
      </c>
      <c r="DN4" s="696" cm="1">
        <f ca="1" t="array" ref="DN4">SUM(DN6:DN28*$AT$6:$AT$28)</f>
        <v>0</v>
      </c>
      <c r="DO4" s="696" cm="1">
        <f ca="1" t="array" ref="DO4">SUM(DO6:DO28*$AT$6:$AT$28)/1000</f>
        <v>54.2675910404624</v>
      </c>
      <c r="DP4" s="696">
        <f ca="1">+DQ4/DO4</f>
        <v>540000</v>
      </c>
      <c r="DQ4" s="696" cm="1">
        <f ca="1" t="array" ref="DQ4">SUM(DQ6:DQ28*$AT$6:$AT$28)</f>
        <v>29304499.1618497</v>
      </c>
    </row>
    <row r="5" ht="23.1" customHeight="1" spans="1:121">
      <c r="A5" t="str">
        <f t="shared" si="0"/>
        <v>水稳下基层料</v>
      </c>
      <c r="B5" s="681" t="str">
        <f t="shared" si="1"/>
        <v>m3</v>
      </c>
      <c r="C5" s="1022">
        <f t="shared" si="2"/>
        <v>276.597407079646</v>
      </c>
      <c r="D5" s="1023">
        <f>SUMIFS('01工程产值对比表'!$M:$M,'01工程产值对比表'!$D:$D,A5,'01工程产值对比表'!$C:$C,A$2)</f>
        <v>0</v>
      </c>
      <c r="F5" s="1024"/>
      <c r="H5" s="1023"/>
      <c r="I5" s="1030" t="s">
        <v>79</v>
      </c>
      <c r="J5" s="1031" t="s">
        <v>72</v>
      </c>
      <c r="K5" s="1030">
        <v>11</v>
      </c>
      <c r="L5" s="1032">
        <f>SUMIFS('01工程产值对比表'!$M:$M,'01工程产值对比表'!$D:$D,I5,'01工程产值对比表'!$C:$C,I$2)</f>
        <v>0</v>
      </c>
      <c r="M5" s="1033"/>
      <c r="N5" s="1033"/>
      <c r="O5" s="1033"/>
      <c r="P5" s="1034"/>
      <c r="Q5" t="s">
        <v>80</v>
      </c>
      <c r="R5" s="681" t="s">
        <v>72</v>
      </c>
      <c r="S5">
        <v>45</v>
      </c>
      <c r="T5" s="1023">
        <f>SUMIFS('01工程产值对比表'!$M:$M,'01工程产值对比表'!$D:$D,Q5,'01工程产值对比表'!$C:$C,Q$2)</f>
        <v>512.349</v>
      </c>
      <c r="U5" s="1023"/>
      <c r="V5" s="1023"/>
      <c r="W5" s="1023"/>
      <c r="X5" s="1034"/>
      <c r="Y5" t="s">
        <v>81</v>
      </c>
      <c r="Z5" t="s">
        <v>15</v>
      </c>
      <c r="AB5" s="1023">
        <f>SUMIFS('01工程产值对比表'!$M:$M,'01工程产值对比表'!$D:$D,Y5,'01工程产值对比表'!$C:$C,Y$2)</f>
        <v>0</v>
      </c>
      <c r="AG5" t="s">
        <v>81</v>
      </c>
      <c r="AH5" s="1023"/>
      <c r="AI5" s="1023"/>
      <c r="AK5" t="s">
        <v>82</v>
      </c>
      <c r="AO5" s="873" t="s">
        <v>83</v>
      </c>
      <c r="AP5" s="873" t="s">
        <v>60</v>
      </c>
      <c r="AQ5" s="873" t="s">
        <v>61</v>
      </c>
      <c r="AR5" s="873" t="s">
        <v>84</v>
      </c>
      <c r="AS5" s="873" t="s">
        <v>85</v>
      </c>
      <c r="AT5" s="681" t="s">
        <v>86</v>
      </c>
      <c r="AU5" s="902" t="s">
        <v>87</v>
      </c>
      <c r="AV5" s="902" t="s">
        <v>88</v>
      </c>
      <c r="AW5" s="902" t="s">
        <v>89</v>
      </c>
      <c r="AX5" s="902" t="s">
        <v>90</v>
      </c>
      <c r="AY5" s="902" t="s">
        <v>91</v>
      </c>
      <c r="AZ5" s="902" t="s">
        <v>92</v>
      </c>
      <c r="BA5" s="902" t="s">
        <v>93</v>
      </c>
      <c r="BB5" s="902" t="s">
        <v>94</v>
      </c>
      <c r="BC5" s="902" t="s">
        <v>95</v>
      </c>
      <c r="BD5" s="902" t="s">
        <v>96</v>
      </c>
      <c r="BE5" s="902" t="s">
        <v>97</v>
      </c>
      <c r="BF5" s="902" t="s">
        <v>98</v>
      </c>
      <c r="BG5" s="902" t="s">
        <v>99</v>
      </c>
      <c r="BH5" s="902" t="s">
        <v>100</v>
      </c>
      <c r="BI5" s="902" t="s">
        <v>101</v>
      </c>
      <c r="BJ5" s="902" t="s">
        <v>102</v>
      </c>
      <c r="BK5" s="902" t="s">
        <v>103</v>
      </c>
      <c r="BL5" s="902" t="s">
        <v>104</v>
      </c>
      <c r="BM5" s="902" t="s">
        <v>105</v>
      </c>
      <c r="BN5" s="902" t="s">
        <v>106</v>
      </c>
      <c r="BO5" s="902" t="s">
        <v>107</v>
      </c>
      <c r="BP5" s="902" t="s">
        <v>108</v>
      </c>
      <c r="BQ5" s="902" t="s">
        <v>109</v>
      </c>
      <c r="BR5" s="902" t="s">
        <v>110</v>
      </c>
      <c r="BS5" s="902" t="s">
        <v>111</v>
      </c>
      <c r="BT5" s="902" t="s">
        <v>112</v>
      </c>
      <c r="BU5" s="902" t="s">
        <v>113</v>
      </c>
      <c r="BV5" s="902" t="s">
        <v>114</v>
      </c>
      <c r="BW5" s="902" t="s">
        <v>115</v>
      </c>
      <c r="BX5" s="902" t="s">
        <v>116</v>
      </c>
      <c r="BY5" s="902" t="s">
        <v>117</v>
      </c>
      <c r="BZ5" s="902" t="s">
        <v>118</v>
      </c>
      <c r="CA5" s="902" t="s">
        <v>119</v>
      </c>
      <c r="CB5" s="902" t="s">
        <v>120</v>
      </c>
      <c r="CC5" s="902" t="s">
        <v>121</v>
      </c>
      <c r="CD5" s="902" t="s">
        <v>122</v>
      </c>
      <c r="CE5" s="902" t="s">
        <v>123</v>
      </c>
      <c r="CF5" s="902" t="s">
        <v>124</v>
      </c>
      <c r="CG5" s="902" t="s">
        <v>125</v>
      </c>
      <c r="CH5" s="902" t="s">
        <v>126</v>
      </c>
      <c r="CI5" s="902" t="s">
        <v>127</v>
      </c>
      <c r="CJ5" s="902" t="s">
        <v>128</v>
      </c>
      <c r="CK5" s="902" t="s">
        <v>129</v>
      </c>
      <c r="CL5" s="902" t="s">
        <v>130</v>
      </c>
      <c r="CM5" s="902" t="s">
        <v>131</v>
      </c>
      <c r="CN5" s="902" t="s">
        <v>132</v>
      </c>
      <c r="CO5" s="902" t="s">
        <v>133</v>
      </c>
      <c r="CP5" s="902" t="s">
        <v>134</v>
      </c>
      <c r="CQ5" s="902" t="s">
        <v>135</v>
      </c>
      <c r="CR5" s="902" t="s">
        <v>136</v>
      </c>
      <c r="CS5" s="902" t="s">
        <v>137</v>
      </c>
      <c r="CT5" s="902" t="s">
        <v>138</v>
      </c>
      <c r="CU5" s="902" t="s">
        <v>139</v>
      </c>
      <c r="CV5" s="902" t="s">
        <v>140</v>
      </c>
      <c r="CW5" s="902" t="s">
        <v>141</v>
      </c>
      <c r="CX5" s="902" t="s">
        <v>142</v>
      </c>
      <c r="CY5" s="902" t="s">
        <v>143</v>
      </c>
      <c r="CZ5" s="902" t="s">
        <v>144</v>
      </c>
      <c r="DA5" s="902" t="s">
        <v>145</v>
      </c>
      <c r="DB5" s="902" t="s">
        <v>146</v>
      </c>
      <c r="DC5" s="902" t="s">
        <v>147</v>
      </c>
      <c r="DD5" s="902" t="s">
        <v>148</v>
      </c>
      <c r="DE5" s="902" t="s">
        <v>149</v>
      </c>
      <c r="DF5" s="902" t="s">
        <v>150</v>
      </c>
      <c r="DG5" s="902" t="s">
        <v>151</v>
      </c>
      <c r="DH5" s="902" t="s">
        <v>152</v>
      </c>
      <c r="DI5" s="902" t="s">
        <v>153</v>
      </c>
      <c r="DJ5" s="902" t="s">
        <v>154</v>
      </c>
      <c r="DK5" s="902" t="s">
        <v>155</v>
      </c>
      <c r="DL5" s="902" t="s">
        <v>156</v>
      </c>
      <c r="DM5" s="902" t="s">
        <v>157</v>
      </c>
      <c r="DN5" s="902" t="s">
        <v>158</v>
      </c>
      <c r="DO5" s="902" t="s">
        <v>159</v>
      </c>
      <c r="DP5" s="902" t="s">
        <v>160</v>
      </c>
      <c r="DQ5" s="902" t="s">
        <v>161</v>
      </c>
    </row>
    <row r="6" ht="23.1" customHeight="1" spans="1:121">
      <c r="A6" t="str">
        <f t="shared" si="0"/>
        <v>水稳上基层料</v>
      </c>
      <c r="B6" s="681" t="str">
        <f t="shared" si="1"/>
        <v>m3</v>
      </c>
      <c r="C6" s="1022">
        <f t="shared" si="2"/>
        <v>8253.44</v>
      </c>
      <c r="D6" s="1023">
        <f>SUMIFS('01工程产值对比表'!$M:$M,'01工程产值对比表'!$D:$D,A6,'01工程产值对比表'!$C:$C,A$2)</f>
        <v>0</v>
      </c>
      <c r="F6" s="1024"/>
      <c r="H6" s="1023"/>
      <c r="I6" s="1030" t="s">
        <v>162</v>
      </c>
      <c r="J6" s="1031" t="s">
        <v>72</v>
      </c>
      <c r="K6" s="1030">
        <v>4.5</v>
      </c>
      <c r="L6" s="1032">
        <f>SUMIFS('01工程产值对比表'!$M:$M,'01工程产值对比表'!$D:$D,I6,'01工程产值对比表'!$C:$C,I$2)</f>
        <v>0</v>
      </c>
      <c r="M6" s="1033"/>
      <c r="N6" s="1033"/>
      <c r="O6" s="1033"/>
      <c r="P6" s="1034"/>
      <c r="Q6" t="s">
        <v>163</v>
      </c>
      <c r="R6" s="681" t="s">
        <v>76</v>
      </c>
      <c r="S6">
        <v>0.2</v>
      </c>
      <c r="T6" s="1023">
        <f>SUMIFS('01工程产值对比表'!$M:$M,'01工程产值对比表'!$D:$D,Q6,'01工程产值对比表'!$C:$C,Q$2)</f>
        <v>0</v>
      </c>
      <c r="U6" s="1023"/>
      <c r="V6" s="1023"/>
      <c r="W6" s="1023"/>
      <c r="X6" s="1034"/>
      <c r="Y6" t="s">
        <v>164</v>
      </c>
      <c r="Z6" t="s">
        <v>15</v>
      </c>
      <c r="AA6">
        <v>0.5</v>
      </c>
      <c r="AB6" s="1023">
        <f>SUMIFS('01工程产值对比表'!$M:$M,'01工程产值对比表'!$D:$D,Y6,'01工程产值对比表'!$C:$C,Y$2)</f>
        <v>237597.933944954</v>
      </c>
      <c r="AG6" t="s">
        <v>164</v>
      </c>
      <c r="AH6" s="1023"/>
      <c r="AI6" s="1023"/>
      <c r="AK6" t="s">
        <v>76</v>
      </c>
      <c r="AO6" s="1041" t="s">
        <v>165</v>
      </c>
      <c r="AP6" s="1041" t="s">
        <v>72</v>
      </c>
      <c r="AQ6" s="1042">
        <f>SUMIF($AU$5:$DQ$5,"合价*",AU6:DQ6)</f>
        <v>596.736637168142</v>
      </c>
      <c r="AR6" s="1043">
        <f>SUMIFS('01工程产值对比表'!$M:$M,'01工程产值对比表'!$D:$D,AO6,'01工程产值对比表'!$C:$C,"材料")</f>
        <v>0</v>
      </c>
      <c r="AS6" s="1044">
        <f ca="1">SUMIFS('01工程产值对比表'!$T:$T,'01工程产值对比表'!$D:$D,AO6,'01工程产值对比表'!$C:$C,"材料")</f>
        <v>0</v>
      </c>
      <c r="AT6" s="1044">
        <f ca="1">SUMIFS('01工程产值对比表'!$V:$V,'01工程产值对比表'!$D:$D,AO6,'01工程产值对比表'!$C:$C,"材料")</f>
        <v>0</v>
      </c>
      <c r="AU6" s="1041">
        <v>330</v>
      </c>
      <c r="AV6" s="1041">
        <f>0.47/1.13</f>
        <v>0.415929203539823</v>
      </c>
      <c r="AW6" s="1049">
        <f t="shared" ref="AW6:AW28" si="3">+AU6*AV6</f>
        <v>137.256637168142</v>
      </c>
      <c r="AX6" s="1041">
        <v>426</v>
      </c>
      <c r="AY6" s="1041">
        <v>0.18</v>
      </c>
      <c r="AZ6" s="1041">
        <f t="shared" ref="AZ6:AZ28" si="4">+AX6*AY6</f>
        <v>76.68</v>
      </c>
      <c r="BA6" s="1041">
        <v>638</v>
      </c>
      <c r="BB6" s="1041">
        <v>0.3</v>
      </c>
      <c r="BC6" s="1041">
        <f t="shared" ref="BC6:BC28" si="5">+BA6*BB6</f>
        <v>191.4</v>
      </c>
      <c r="BD6" s="1041">
        <v>638</v>
      </c>
      <c r="BE6" s="1041">
        <v>0.3</v>
      </c>
      <c r="BF6" s="1050">
        <f t="shared" ref="BF6:BF28" si="6">+BD6*BE6</f>
        <v>191.4</v>
      </c>
      <c r="BG6" s="1041"/>
      <c r="BH6" s="1041"/>
      <c r="BI6" s="1041">
        <f t="shared" ref="BI6:BI28" si="7">+BG6*BH6</f>
        <v>0</v>
      </c>
      <c r="BJ6" s="1041"/>
      <c r="BK6" s="1041"/>
      <c r="BL6" s="1041">
        <f t="shared" ref="BL6:BL28" si="8">+BJ6*BK6</f>
        <v>0</v>
      </c>
      <c r="BM6" s="1041">
        <v>0</v>
      </c>
      <c r="BN6" s="1041"/>
      <c r="BO6" s="1041">
        <f t="shared" ref="BO6:BO28" si="9">+BM6*BN6</f>
        <v>0</v>
      </c>
      <c r="BP6" s="1041"/>
      <c r="BQ6" s="1041"/>
      <c r="BR6" s="1041">
        <f t="shared" ref="BR6:BR28" si="10">+BP6*BQ6</f>
        <v>0</v>
      </c>
      <c r="BS6" s="1041"/>
      <c r="BT6" s="1041"/>
      <c r="BU6" s="1041">
        <f t="shared" ref="BU6:BU28" si="11">+BS6*BT6</f>
        <v>0</v>
      </c>
      <c r="BV6" s="1041"/>
      <c r="BW6" s="1041"/>
      <c r="BX6" s="1041">
        <f t="shared" ref="BX6:BX28" si="12">+BV6*BW6</f>
        <v>0</v>
      </c>
      <c r="BY6" s="1053"/>
      <c r="BZ6" s="1053"/>
      <c r="CA6" s="1053">
        <f t="shared" ref="CA6:CA28" si="13">+BY6*BZ6</f>
        <v>0</v>
      </c>
      <c r="CB6" s="1053"/>
      <c r="CC6" s="1053"/>
      <c r="CD6" s="1053">
        <f t="shared" ref="CD6:CD28" si="14">+CB6*CC6</f>
        <v>0</v>
      </c>
      <c r="CG6" s="902">
        <f t="shared" ref="CG6:CG28" si="15">+CE6*CF6</f>
        <v>0</v>
      </c>
      <c r="CJ6" s="902">
        <f t="shared" ref="CJ6:CJ28" si="16">+CH6*CI6</f>
        <v>0</v>
      </c>
      <c r="CK6" s="1053"/>
      <c r="CL6" s="1053"/>
      <c r="CM6" s="1053">
        <f t="shared" ref="CM6:CM28" si="17">+CK6*CL6</f>
        <v>0</v>
      </c>
      <c r="CN6" s="1053"/>
      <c r="CO6" s="1053"/>
      <c r="CP6" s="1053">
        <f t="shared" ref="CP6:CP28" si="18">+CN6*CO6</f>
        <v>0</v>
      </c>
      <c r="CQ6" s="1053"/>
      <c r="CR6" s="1053"/>
      <c r="CS6" s="1053">
        <f t="shared" ref="CS6:CS28" si="19">+CQ6*CR6</f>
        <v>0</v>
      </c>
      <c r="CT6" s="1053"/>
      <c r="CU6" s="1053"/>
      <c r="CV6" s="1053">
        <f t="shared" ref="CV6:CV28" si="20">+CT6*CU6</f>
        <v>0</v>
      </c>
      <c r="CW6" s="902"/>
      <c r="CX6" s="902"/>
      <c r="CY6" s="902">
        <f t="shared" ref="CY6:CY28" si="21">+CW6*CX6</f>
        <v>0</v>
      </c>
      <c r="DB6">
        <f t="shared" ref="DB6:DB28" si="22">+CZ6*DA6</f>
        <v>0</v>
      </c>
      <c r="DE6">
        <f t="shared" ref="DE6:DE28" si="23">+DC6*DD6</f>
        <v>0</v>
      </c>
      <c r="DH6">
        <f t="shared" ref="DH6:DH28" si="24">+DF6*DG6</f>
        <v>0</v>
      </c>
      <c r="DK6">
        <f t="shared" ref="DK6:DK28" si="25">+DI6*DJ6</f>
        <v>0</v>
      </c>
      <c r="DN6">
        <f t="shared" ref="DN6:DN28" si="26">+DL6*DM6</f>
        <v>0</v>
      </c>
      <c r="DQ6">
        <f t="shared" ref="DQ6:DQ28" si="27">+DO6*DP6</f>
        <v>0</v>
      </c>
    </row>
    <row r="7" ht="23.1" customHeight="1" spans="1:121">
      <c r="A7" t="str">
        <f t="shared" si="0"/>
        <v>C15混凝土</v>
      </c>
      <c r="B7" s="681" t="str">
        <f t="shared" si="1"/>
        <v>m3</v>
      </c>
      <c r="C7" s="1022">
        <f t="shared" si="2"/>
        <v>368.930088495575</v>
      </c>
      <c r="D7" s="1023">
        <f>SUMIFS('01工程产值对比表'!$M:$M,'01工程产值对比表'!$D:$D,A7,'01工程产值对比表'!$C:$C,A$2)</f>
        <v>0</v>
      </c>
      <c r="F7" s="1024"/>
      <c r="H7" s="1023"/>
      <c r="I7" s="1035" t="s">
        <v>166</v>
      </c>
      <c r="J7" s="1031"/>
      <c r="K7" s="1036"/>
      <c r="L7" s="1032">
        <f>SUMIFS('01工程产值对比表'!$M:$M,'01工程产值对比表'!$D:$D,I7,'01工程产值对比表'!$C:$C,I$2)</f>
        <v>0</v>
      </c>
      <c r="M7" s="1033"/>
      <c r="N7" s="1033"/>
      <c r="O7" s="1033"/>
      <c r="P7" s="1034"/>
      <c r="Q7" t="s">
        <v>167</v>
      </c>
      <c r="R7" s="681" t="s">
        <v>69</v>
      </c>
      <c r="S7">
        <v>1.5</v>
      </c>
      <c r="T7" s="1023">
        <f>SUMIFS('01工程产值对比表'!$M:$M,'01工程产值对比表'!$D:$D,Q7,'01工程产值对比表'!$C:$C,Q$2)</f>
        <v>0</v>
      </c>
      <c r="U7" s="1023"/>
      <c r="V7" s="1023"/>
      <c r="W7" s="1023"/>
      <c r="X7" s="1034"/>
      <c r="Y7" t="s">
        <v>168</v>
      </c>
      <c r="Z7" t="s">
        <v>15</v>
      </c>
      <c r="AB7" s="1023">
        <f>SUMIFS('01工程产值对比表'!$M:$M,'01工程产值对比表'!$D:$D,Y7,'01工程产值对比表'!$C:$C,Y$2)</f>
        <v>0</v>
      </c>
      <c r="AG7" t="s">
        <v>168</v>
      </c>
      <c r="AH7" s="1023"/>
      <c r="AI7" s="1023"/>
      <c r="AK7" t="s">
        <v>169</v>
      </c>
      <c r="AO7" s="1045" t="s">
        <v>170</v>
      </c>
      <c r="AP7" s="1041" t="s">
        <v>72</v>
      </c>
      <c r="AQ7" s="1042">
        <f>SUMIF($AU$5:$DQ$5,"合价*",AU7:DQ7)</f>
        <v>139722</v>
      </c>
      <c r="AR7" s="1043">
        <f>SUMIFS('01工程产值对比表'!$M:$M,'01工程产值对比表'!$D:$D,AO7,'01工程产值对比表'!$C:$C,"材料")</f>
        <v>0</v>
      </c>
      <c r="AS7" s="1044">
        <f ca="1">SUMIFS('01工程产值对比表'!$T:$T,'01工程产值对比表'!$D:$D,AO7,'01工程产值对比表'!$C:$C,"材料")</f>
        <v>0</v>
      </c>
      <c r="AT7" s="1044">
        <f ca="1">SUMIFS('01工程产值对比表'!$V:$V,'01工程产值对比表'!$D:$D,AO7,'01工程产值对比表'!$C:$C,"材料")</f>
        <v>0</v>
      </c>
      <c r="AU7" s="1046">
        <v>310</v>
      </c>
      <c r="AV7" s="1046">
        <f>+BC6</f>
        <v>191.4</v>
      </c>
      <c r="AW7" s="1046">
        <f t="shared" si="3"/>
        <v>59334</v>
      </c>
      <c r="AX7" s="1046">
        <v>420</v>
      </c>
      <c r="AY7" s="1046">
        <f>+BF6</f>
        <v>191.4</v>
      </c>
      <c r="AZ7" s="1046">
        <f t="shared" si="4"/>
        <v>80388</v>
      </c>
      <c r="BA7" s="1046">
        <v>659</v>
      </c>
      <c r="BB7" s="1046">
        <f>+BL6</f>
        <v>0</v>
      </c>
      <c r="BC7" s="1046">
        <f t="shared" si="5"/>
        <v>0</v>
      </c>
      <c r="BD7" s="1046"/>
      <c r="BE7" s="1046"/>
      <c r="BF7" s="1051">
        <f t="shared" si="6"/>
        <v>0</v>
      </c>
      <c r="BG7" s="1046"/>
      <c r="BH7" s="1046"/>
      <c r="BI7" s="1046">
        <f t="shared" si="7"/>
        <v>0</v>
      </c>
      <c r="BJ7" s="1046"/>
      <c r="BK7" s="1046"/>
      <c r="BL7" s="1046">
        <f t="shared" si="8"/>
        <v>0</v>
      </c>
      <c r="BM7" s="1046">
        <v>0</v>
      </c>
      <c r="BN7" s="1046"/>
      <c r="BO7" s="1046">
        <f t="shared" si="9"/>
        <v>0</v>
      </c>
      <c r="BP7" s="1046"/>
      <c r="BQ7" s="1046"/>
      <c r="BR7" s="1046">
        <f t="shared" si="10"/>
        <v>0</v>
      </c>
      <c r="BS7" s="1046"/>
      <c r="BT7" s="1046"/>
      <c r="BU7" s="1046">
        <f t="shared" si="11"/>
        <v>0</v>
      </c>
      <c r="BV7" s="1046"/>
      <c r="BW7" s="1046"/>
      <c r="BX7" s="1046">
        <f t="shared" si="12"/>
        <v>0</v>
      </c>
      <c r="BY7" s="1046"/>
      <c r="BZ7" s="1046"/>
      <c r="CA7" s="1046">
        <f t="shared" si="13"/>
        <v>0</v>
      </c>
      <c r="CB7" s="1046"/>
      <c r="CC7" s="1046"/>
      <c r="CD7" s="1046">
        <f t="shared" si="14"/>
        <v>0</v>
      </c>
      <c r="CE7" s="1046"/>
      <c r="CF7" s="1046"/>
      <c r="CG7" s="1046">
        <f t="shared" si="15"/>
        <v>0</v>
      </c>
      <c r="CH7" s="1046"/>
      <c r="CI7" s="1046"/>
      <c r="CJ7" s="1046">
        <f t="shared" si="16"/>
        <v>0</v>
      </c>
      <c r="CK7" s="1046"/>
      <c r="CL7" s="1046"/>
      <c r="CM7" s="1046">
        <f t="shared" si="17"/>
        <v>0</v>
      </c>
      <c r="CN7" s="1046"/>
      <c r="CP7">
        <f t="shared" si="18"/>
        <v>0</v>
      </c>
      <c r="CS7">
        <f t="shared" si="19"/>
        <v>0</v>
      </c>
      <c r="CV7">
        <f t="shared" si="20"/>
        <v>0</v>
      </c>
      <c r="CY7">
        <f t="shared" si="21"/>
        <v>0</v>
      </c>
      <c r="DB7">
        <f t="shared" si="22"/>
        <v>0</v>
      </c>
      <c r="DE7">
        <f t="shared" si="23"/>
        <v>0</v>
      </c>
      <c r="DH7">
        <f t="shared" si="24"/>
        <v>0</v>
      </c>
      <c r="DK7">
        <f t="shared" si="25"/>
        <v>0</v>
      </c>
      <c r="DN7">
        <f t="shared" si="26"/>
        <v>0</v>
      </c>
      <c r="DQ7">
        <f t="shared" si="27"/>
        <v>0</v>
      </c>
    </row>
    <row r="8" ht="23.1" customHeight="1" spans="1:121">
      <c r="A8" t="str">
        <f t="shared" si="0"/>
        <v>C20混凝土</v>
      </c>
      <c r="B8" s="681" t="str">
        <f t="shared" si="1"/>
        <v>m3</v>
      </c>
      <c r="C8" s="1022">
        <f t="shared" si="2"/>
        <v>3076.65752212389</v>
      </c>
      <c r="D8" s="1023">
        <f>SUMIFS('01工程产值对比表'!$M:$M,'01工程产值对比表'!$D:$D,A8,'01工程产值对比表'!$C:$C,A$2)</f>
        <v>440.5329</v>
      </c>
      <c r="F8" s="1024"/>
      <c r="H8" s="1023"/>
      <c r="I8" s="1035" t="s">
        <v>171</v>
      </c>
      <c r="J8" s="1031" t="s">
        <v>172</v>
      </c>
      <c r="K8" s="1036"/>
      <c r="L8" s="1032">
        <f>SUMIFS('01工程产值对比表'!$M:$M,'01工程产值对比表'!$D:$D,I8,'01工程产值对比表'!$C:$C,I$2)</f>
        <v>0</v>
      </c>
      <c r="M8" s="1033"/>
      <c r="N8" s="1033"/>
      <c r="O8" s="1033"/>
      <c r="P8" s="1034"/>
      <c r="Q8" t="s">
        <v>173</v>
      </c>
      <c r="R8" s="681" t="s">
        <v>82</v>
      </c>
      <c r="S8">
        <v>3250</v>
      </c>
      <c r="T8" s="1023">
        <f>SUMIFS('01工程产值对比表'!$M:$M,'01工程产值对比表'!$D:$D,Q8,'01工程产值对比表'!$C:$C,Q$2)</f>
        <v>0</v>
      </c>
      <c r="U8" s="1023"/>
      <c r="V8" s="1023"/>
      <c r="W8" s="1023"/>
      <c r="X8" s="1034"/>
      <c r="Y8" t="s">
        <v>174</v>
      </c>
      <c r="Z8" t="s">
        <v>15</v>
      </c>
      <c r="AB8" s="1023">
        <f>SUMIFS('01工程产值对比表'!$M:$M,'01工程产值对比表'!$D:$D,Y8,'01工程产值对比表'!$C:$C,Y$2)</f>
        <v>0</v>
      </c>
      <c r="AG8" t="s">
        <v>174</v>
      </c>
      <c r="AH8" s="1023"/>
      <c r="AI8" s="1023"/>
      <c r="AK8" t="s">
        <v>175</v>
      </c>
      <c r="AO8" s="1045" t="s">
        <v>176</v>
      </c>
      <c r="AP8" s="1041" t="s">
        <v>72</v>
      </c>
      <c r="AQ8" s="1042">
        <f>SUMIF($AU$5:$DQ$5,"合价*",AU8:DQ8)</f>
        <v>276.597407079646</v>
      </c>
      <c r="AR8" s="1043">
        <f>SUMIFS('01工程产值对比表'!$M:$M,'01工程产值对比表'!$D:$D,AO8,'01工程产值对比表'!$C:$C,"材料")</f>
        <v>0</v>
      </c>
      <c r="AS8" s="1044">
        <f ca="1">SUMIFS('01工程产值对比表'!$T:$T,'01工程产值对比表'!$D:$D,AO8,'01工程产值对比表'!$C:$C,"材料")</f>
        <v>0</v>
      </c>
      <c r="AT8" s="1044">
        <f ca="1">SUMIFS('01工程产值对比表'!$V:$V,'01工程产值对比表'!$D:$D,AO8,'01工程产值对比表'!$C:$C,"材料")</f>
        <v>0</v>
      </c>
      <c r="AU8" s="1046"/>
      <c r="AV8" s="1047"/>
      <c r="AW8" s="1047">
        <f t="shared" si="3"/>
        <v>0</v>
      </c>
      <c r="AX8" s="1047"/>
      <c r="AY8" s="1047"/>
      <c r="AZ8" s="1047">
        <f t="shared" si="4"/>
        <v>0</v>
      </c>
      <c r="BA8" s="1047"/>
      <c r="BB8" s="1047"/>
      <c r="BC8" s="1047">
        <f t="shared" si="5"/>
        <v>0</v>
      </c>
      <c r="BD8" s="1047"/>
      <c r="BE8" s="1047"/>
      <c r="BF8" s="1051">
        <f t="shared" si="6"/>
        <v>0</v>
      </c>
      <c r="BG8" s="1047"/>
      <c r="BH8" s="1047"/>
      <c r="BI8" s="1047">
        <f t="shared" si="7"/>
        <v>0</v>
      </c>
      <c r="BJ8" s="1047"/>
      <c r="BK8" s="1047"/>
      <c r="BL8" s="1047">
        <f t="shared" si="8"/>
        <v>0</v>
      </c>
      <c r="BM8" s="1047">
        <v>0</v>
      </c>
      <c r="BN8" s="1047"/>
      <c r="BO8" s="1047">
        <f t="shared" si="9"/>
        <v>0</v>
      </c>
      <c r="BP8" s="1047">
        <v>90</v>
      </c>
      <c r="BQ8" s="1047">
        <f>0.4/1.13</f>
        <v>0.353982300884956</v>
      </c>
      <c r="BR8" s="1047">
        <f t="shared" si="10"/>
        <v>31.858407079646</v>
      </c>
      <c r="BS8" s="1047">
        <f>1018+339</f>
        <v>1357</v>
      </c>
      <c r="BT8" s="1047">
        <v>0.127</v>
      </c>
      <c r="BU8" s="1047">
        <f t="shared" si="11"/>
        <v>172.339</v>
      </c>
      <c r="BV8" s="1047">
        <v>905</v>
      </c>
      <c r="BW8" s="1047">
        <v>0.08</v>
      </c>
      <c r="BX8" s="1047">
        <f t="shared" si="12"/>
        <v>72.4</v>
      </c>
      <c r="BY8" s="1047"/>
      <c r="BZ8" s="1047"/>
      <c r="CA8" s="1047">
        <f t="shared" si="13"/>
        <v>0</v>
      </c>
      <c r="CB8" s="1047"/>
      <c r="CC8" s="1047"/>
      <c r="CD8" s="1047">
        <f t="shared" si="14"/>
        <v>0</v>
      </c>
      <c r="CE8" s="1047"/>
      <c r="CF8" s="1047"/>
      <c r="CG8" s="1047">
        <f t="shared" si="15"/>
        <v>0</v>
      </c>
      <c r="CH8" s="1047"/>
      <c r="CI8" s="1054"/>
      <c r="CJ8" s="1054">
        <f t="shared" si="16"/>
        <v>0</v>
      </c>
      <c r="CK8" s="1054"/>
      <c r="CL8" s="1054"/>
      <c r="CM8" s="1054">
        <f t="shared" si="17"/>
        <v>0</v>
      </c>
      <c r="CN8" s="1054"/>
      <c r="CP8">
        <f t="shared" si="18"/>
        <v>0</v>
      </c>
      <c r="CS8">
        <f t="shared" si="19"/>
        <v>0</v>
      </c>
      <c r="CV8">
        <f t="shared" si="20"/>
        <v>0</v>
      </c>
      <c r="CY8">
        <f t="shared" si="21"/>
        <v>0</v>
      </c>
      <c r="DB8">
        <f t="shared" si="22"/>
        <v>0</v>
      </c>
      <c r="DE8">
        <f t="shared" si="23"/>
        <v>0</v>
      </c>
      <c r="DH8">
        <f t="shared" si="24"/>
        <v>0</v>
      </c>
      <c r="DK8">
        <f t="shared" si="25"/>
        <v>0</v>
      </c>
      <c r="DN8">
        <f t="shared" si="26"/>
        <v>0</v>
      </c>
      <c r="DQ8">
        <f t="shared" si="27"/>
        <v>0</v>
      </c>
    </row>
    <row r="9" ht="23.1" customHeight="1" spans="1:121">
      <c r="A9" t="str">
        <f t="shared" si="0"/>
        <v>C20混凝土（泵送）</v>
      </c>
      <c r="B9" s="681" t="str">
        <f t="shared" si="1"/>
        <v>m3</v>
      </c>
      <c r="C9" s="1022">
        <f t="shared" si="2"/>
        <v>3096.97752212389</v>
      </c>
      <c r="D9" s="1023">
        <f>SUMIFS('01工程产值对比表'!$M:$M,'01工程产值对比表'!$D:$D,A9,'01工程产值对比表'!$C:$C,A$2)</f>
        <v>0</v>
      </c>
      <c r="F9" s="1024"/>
      <c r="H9" s="1023"/>
      <c r="I9" s="1035" t="s">
        <v>177</v>
      </c>
      <c r="J9" s="1031" t="s">
        <v>172</v>
      </c>
      <c r="K9" s="1036"/>
      <c r="L9" s="1032">
        <f>SUMIFS('01工程产值对比表'!$M:$M,'01工程产值对比表'!$D:$D,I9,'01工程产值对比表'!$C:$C,I$2)</f>
        <v>0</v>
      </c>
      <c r="M9" s="1033"/>
      <c r="N9" s="1033"/>
      <c r="O9" s="1033"/>
      <c r="P9" s="1034"/>
      <c r="Q9" t="s">
        <v>178</v>
      </c>
      <c r="R9" s="681" t="s">
        <v>76</v>
      </c>
      <c r="S9">
        <v>7</v>
      </c>
      <c r="T9" s="1023">
        <f>SUMIFS('01工程产值对比表'!$M:$M,'01工程产值对比表'!$D:$D,Q9,'01工程产值对比表'!$C:$C,Q$2)</f>
        <v>0</v>
      </c>
      <c r="U9" s="1023"/>
      <c r="V9" s="1023"/>
      <c r="W9" s="1023"/>
      <c r="X9" s="1034"/>
      <c r="Y9" t="s">
        <v>179</v>
      </c>
      <c r="Z9" t="s">
        <v>15</v>
      </c>
      <c r="AB9" s="1023">
        <f>SUMIFS('01工程产值对比表'!$M:$M,'01工程产值对比表'!$D:$D,Y9,'01工程产值对比表'!$C:$C,Y$2)</f>
        <v>0</v>
      </c>
      <c r="AG9" t="s">
        <v>179</v>
      </c>
      <c r="AH9" s="1023"/>
      <c r="AI9" s="1023"/>
      <c r="AK9" t="s">
        <v>180</v>
      </c>
      <c r="AO9" s="1045" t="s">
        <v>181</v>
      </c>
      <c r="AP9" s="1041" t="s">
        <v>72</v>
      </c>
      <c r="AQ9" s="1042">
        <f>SUMIF($AU$5:$DQ$5,"合价*",AU9:DQ9)</f>
        <v>8253.44</v>
      </c>
      <c r="AR9" s="1043">
        <f>SUMIFS('01工程产值对比表'!$M:$M,'01工程产值对比表'!$D:$D,AO9,'01工程产值对比表'!$C:$C,"材料")</f>
        <v>0</v>
      </c>
      <c r="AS9" s="1044">
        <f ca="1">SUMIFS('01工程产值对比表'!$T:$T,'01工程产值对比表'!$D:$D,AO9,'01工程产值对比表'!$C:$C,"材料")</f>
        <v>0</v>
      </c>
      <c r="AT9" s="1044">
        <f ca="1">SUMIFS('01工程产值对比表'!$V:$V,'01工程产值对比表'!$D:$D,AO9,'01工程产值对比表'!$C:$C,"材料")</f>
        <v>0</v>
      </c>
      <c r="AU9" s="1048"/>
      <c r="AV9" s="1048"/>
      <c r="AW9" s="1048">
        <f t="shared" si="3"/>
        <v>0</v>
      </c>
      <c r="AX9" s="1048"/>
      <c r="AY9" s="1048"/>
      <c r="AZ9" s="1048">
        <f t="shared" si="4"/>
        <v>0</v>
      </c>
      <c r="BA9" s="1048"/>
      <c r="BB9" s="1048"/>
      <c r="BC9" s="1048">
        <f t="shared" si="5"/>
        <v>0</v>
      </c>
      <c r="BD9" s="1048"/>
      <c r="BE9" s="1048"/>
      <c r="BF9" s="1051">
        <f t="shared" si="6"/>
        <v>0</v>
      </c>
      <c r="BG9" s="1048"/>
      <c r="BH9" s="1048"/>
      <c r="BI9" s="1048">
        <f t="shared" si="7"/>
        <v>0</v>
      </c>
      <c r="BJ9" s="1048"/>
      <c r="BK9" s="1048"/>
      <c r="BL9" s="1048">
        <f t="shared" si="8"/>
        <v>0</v>
      </c>
      <c r="BM9" s="1048">
        <v>0</v>
      </c>
      <c r="BN9" s="1048"/>
      <c r="BO9" s="1048">
        <f t="shared" si="9"/>
        <v>0</v>
      </c>
      <c r="BP9" s="1048">
        <v>113</v>
      </c>
      <c r="BQ9" s="1048">
        <f>+BX8</f>
        <v>72.4</v>
      </c>
      <c r="BR9" s="1048">
        <f t="shared" si="10"/>
        <v>8181.2</v>
      </c>
      <c r="BS9" s="1048">
        <f>BZ8</f>
        <v>0</v>
      </c>
      <c r="BT9" s="1048">
        <f>+CA8</f>
        <v>0</v>
      </c>
      <c r="BU9" s="1048">
        <f t="shared" si="11"/>
        <v>0</v>
      </c>
      <c r="BV9" s="1048">
        <v>903</v>
      </c>
      <c r="BW9" s="1048">
        <v>0.08</v>
      </c>
      <c r="BX9" s="1048">
        <f t="shared" si="12"/>
        <v>72.24</v>
      </c>
      <c r="BY9" s="1048"/>
      <c r="BZ9" s="1048"/>
      <c r="CA9" s="1048">
        <f t="shared" si="13"/>
        <v>0</v>
      </c>
      <c r="CB9" s="1048"/>
      <c r="CC9" s="1048"/>
      <c r="CD9" s="1048">
        <f t="shared" si="14"/>
        <v>0</v>
      </c>
      <c r="CE9" s="1048"/>
      <c r="CF9" s="1048"/>
      <c r="CG9" s="1048">
        <f t="shared" si="15"/>
        <v>0</v>
      </c>
      <c r="CH9" s="1048"/>
      <c r="CI9" s="1048"/>
      <c r="CJ9" s="1048">
        <f t="shared" si="16"/>
        <v>0</v>
      </c>
      <c r="CK9" s="1048"/>
      <c r="CL9" s="1048"/>
      <c r="CM9" s="1048">
        <f t="shared" si="17"/>
        <v>0</v>
      </c>
      <c r="CN9" s="1048"/>
      <c r="CP9">
        <f t="shared" si="18"/>
        <v>0</v>
      </c>
      <c r="CS9">
        <f t="shared" si="19"/>
        <v>0</v>
      </c>
      <c r="CV9">
        <f t="shared" si="20"/>
        <v>0</v>
      </c>
      <c r="CY9">
        <f t="shared" si="21"/>
        <v>0</v>
      </c>
      <c r="DB9">
        <f t="shared" si="22"/>
        <v>0</v>
      </c>
      <c r="DE9">
        <f t="shared" si="23"/>
        <v>0</v>
      </c>
      <c r="DH9">
        <f t="shared" si="24"/>
        <v>0</v>
      </c>
      <c r="DK9">
        <f t="shared" si="25"/>
        <v>0</v>
      </c>
      <c r="DN9">
        <f t="shared" si="26"/>
        <v>0</v>
      </c>
      <c r="DQ9">
        <f t="shared" si="27"/>
        <v>0</v>
      </c>
    </row>
    <row r="10" ht="23.1" customHeight="1" spans="1:121">
      <c r="A10" t="str">
        <f t="shared" si="0"/>
        <v>C20毛石混凝土</v>
      </c>
      <c r="B10" s="681" t="str">
        <f t="shared" si="1"/>
        <v>m3</v>
      </c>
      <c r="C10" s="1022">
        <f t="shared" si="2"/>
        <v>3074.85752212389</v>
      </c>
      <c r="D10" s="1023">
        <f>SUMIFS('01工程产值对比表'!$M:$M,'01工程产值对比表'!$D:$D,A10,'01工程产值对比表'!$C:$C,A$2)</f>
        <v>0</v>
      </c>
      <c r="F10" s="1024"/>
      <c r="H10" s="1023"/>
      <c r="I10" s="1035" t="s">
        <v>182</v>
      </c>
      <c r="J10" s="1031" t="s">
        <v>172</v>
      </c>
      <c r="K10" s="1036">
        <v>16150</v>
      </c>
      <c r="L10" s="1032">
        <f>SUMIFS('01工程产值对比表'!$M:$M,'01工程产值对比表'!$D:$D,I10,'01工程产值对比表'!$C:$C,I$2)</f>
        <v>0</v>
      </c>
      <c r="M10" s="1033"/>
      <c r="N10" s="1033"/>
      <c r="O10" s="1033"/>
      <c r="P10" s="1034"/>
      <c r="Q10" t="s">
        <v>183</v>
      </c>
      <c r="R10" s="681" t="s">
        <v>69</v>
      </c>
      <c r="S10">
        <v>1</v>
      </c>
      <c r="T10" s="1023">
        <f>SUMIFS('01工程产值对比表'!$M:$M,'01工程产值对比表'!$D:$D,Q10,'01工程产值对比表'!$C:$C,Q$2)</f>
        <v>0</v>
      </c>
      <c r="U10" s="1023"/>
      <c r="V10" s="1023"/>
      <c r="W10" s="1023"/>
      <c r="X10" s="1034"/>
      <c r="Y10" t="s">
        <v>184</v>
      </c>
      <c r="Z10" t="s">
        <v>15</v>
      </c>
      <c r="AB10" s="1023">
        <f>SUMIFS('01工程产值对比表'!$M:$M,'01工程产值对比表'!$D:$D,Y10,'01工程产值对比表'!$C:$C,Y$2)</f>
        <v>0</v>
      </c>
      <c r="AG10" t="s">
        <v>184</v>
      </c>
      <c r="AH10" s="1023"/>
      <c r="AI10" s="1023"/>
      <c r="AK10" t="s">
        <v>185</v>
      </c>
      <c r="AO10" s="1045" t="s">
        <v>186</v>
      </c>
      <c r="AP10" s="1041" t="s">
        <v>72</v>
      </c>
      <c r="AQ10" s="1042">
        <f>SUMIF($AU$5:$DQ$5,"合价*",AU10:DQ10)</f>
        <v>368.930088495575</v>
      </c>
      <c r="AR10" s="1043">
        <f>SUMIFS('01工程产值对比表'!$M:$M,'01工程产值对比表'!$D:$D,AO10,'01工程产值对比表'!$C:$C,"材料")</f>
        <v>0</v>
      </c>
      <c r="AS10" s="1044">
        <f ca="1">SUMIFS('01工程产值对比表'!$T:$T,'01工程产值对比表'!$D:$D,AO10,'01工程产值对比表'!$C:$C,"材料")</f>
        <v>0</v>
      </c>
      <c r="AT10" s="1044">
        <f ca="1">SUMIFS('01工程产值对比表'!$V:$V,'01工程产值对比表'!$D:$D,AO10,'01工程产值对比表'!$C:$C,"材料")</f>
        <v>0</v>
      </c>
      <c r="AU10" s="1046">
        <v>221</v>
      </c>
      <c r="AV10" s="1046">
        <f t="shared" ref="AV10:AV22" si="28">0.4/1.13</f>
        <v>0.353982300884956</v>
      </c>
      <c r="AW10" s="1046">
        <f t="shared" si="3"/>
        <v>78.2300884955752</v>
      </c>
      <c r="AX10" s="1046">
        <v>1270</v>
      </c>
      <c r="AY10" s="1046">
        <v>0.18</v>
      </c>
      <c r="AZ10" s="1046">
        <f t="shared" si="4"/>
        <v>228.6</v>
      </c>
      <c r="BA10" s="1046"/>
      <c r="BB10" s="1046"/>
      <c r="BC10" s="1046">
        <f t="shared" si="5"/>
        <v>0</v>
      </c>
      <c r="BD10" s="1046"/>
      <c r="BE10" s="1046"/>
      <c r="BF10" s="1051">
        <f t="shared" si="6"/>
        <v>0</v>
      </c>
      <c r="BG10" s="1046">
        <v>690</v>
      </c>
      <c r="BH10" s="1046">
        <v>0.09</v>
      </c>
      <c r="BI10" s="1046">
        <f t="shared" si="7"/>
        <v>62.1</v>
      </c>
      <c r="BJ10" s="1046"/>
      <c r="BK10" s="1046"/>
      <c r="BL10" s="1046">
        <f t="shared" si="8"/>
        <v>0</v>
      </c>
      <c r="BM10" s="1046">
        <v>0</v>
      </c>
      <c r="BN10" s="1046">
        <v>16.51</v>
      </c>
      <c r="BO10" s="1046">
        <f t="shared" si="9"/>
        <v>0</v>
      </c>
      <c r="BP10" s="1046"/>
      <c r="BQ10" s="1046"/>
      <c r="BR10" s="1046">
        <f t="shared" si="10"/>
        <v>0</v>
      </c>
      <c r="BS10" s="1046"/>
      <c r="BT10" s="1046"/>
      <c r="BU10" s="1046">
        <f t="shared" si="11"/>
        <v>0</v>
      </c>
      <c r="BV10" s="1046"/>
      <c r="BW10" s="1046"/>
      <c r="BX10" s="1046">
        <f t="shared" si="12"/>
        <v>0</v>
      </c>
      <c r="BY10" s="1046"/>
      <c r="BZ10" s="1046"/>
      <c r="CA10" s="1046">
        <f t="shared" si="13"/>
        <v>0</v>
      </c>
      <c r="CB10" s="1046"/>
      <c r="CC10" s="1046"/>
      <c r="CD10" s="1046">
        <f t="shared" si="14"/>
        <v>0</v>
      </c>
      <c r="CE10" s="1046"/>
      <c r="CF10" s="1046"/>
      <c r="CG10" s="1048">
        <f t="shared" si="15"/>
        <v>0</v>
      </c>
      <c r="CH10" s="1046"/>
      <c r="CI10" s="1046"/>
      <c r="CJ10" s="1046">
        <f t="shared" si="16"/>
        <v>0</v>
      </c>
      <c r="CK10" s="1046"/>
      <c r="CL10" s="1046"/>
      <c r="CM10" s="1046">
        <f t="shared" si="17"/>
        <v>0</v>
      </c>
      <c r="CN10" s="1046"/>
      <c r="CP10">
        <f t="shared" si="18"/>
        <v>0</v>
      </c>
      <c r="CS10">
        <f t="shared" si="19"/>
        <v>0</v>
      </c>
      <c r="CV10">
        <f t="shared" si="20"/>
        <v>0</v>
      </c>
      <c r="CY10">
        <f t="shared" si="21"/>
        <v>0</v>
      </c>
      <c r="DB10">
        <f t="shared" si="22"/>
        <v>0</v>
      </c>
      <c r="DE10">
        <f t="shared" si="23"/>
        <v>0</v>
      </c>
      <c r="DH10">
        <f t="shared" si="24"/>
        <v>0</v>
      </c>
      <c r="DK10">
        <f t="shared" si="25"/>
        <v>0</v>
      </c>
      <c r="DN10">
        <f t="shared" si="26"/>
        <v>0</v>
      </c>
      <c r="DQ10">
        <f t="shared" si="27"/>
        <v>0</v>
      </c>
    </row>
    <row r="11" ht="23.1" customHeight="1" spans="1:121">
      <c r="A11" t="str">
        <f t="shared" si="0"/>
        <v>C30混凝土</v>
      </c>
      <c r="B11" s="681" t="str">
        <f t="shared" si="1"/>
        <v>m3</v>
      </c>
      <c r="C11" s="1022">
        <f t="shared" si="2"/>
        <v>3097.57831858407</v>
      </c>
      <c r="D11" s="1023">
        <f>SUMIFS('01工程产值对比表'!$M:$M,'01工程产值对比表'!$D:$D,A11,'01工程产值对比表'!$C:$C,A$2)</f>
        <v>948.57605</v>
      </c>
      <c r="F11" s="1024"/>
      <c r="H11" s="1023"/>
      <c r="I11" s="1035" t="s">
        <v>187</v>
      </c>
      <c r="J11" s="1031" t="s">
        <v>172</v>
      </c>
      <c r="K11" s="1036">
        <v>14750</v>
      </c>
      <c r="L11" s="1032">
        <f>SUMIFS('01工程产值对比表'!$M:$M,'01工程产值对比表'!$D:$D,I11,'01工程产值对比表'!$C:$C,I$2)</f>
        <v>0</v>
      </c>
      <c r="M11" s="1033"/>
      <c r="N11" s="1033"/>
      <c r="O11" s="1033"/>
      <c r="P11" s="1034"/>
      <c r="Q11" t="s">
        <v>188</v>
      </c>
      <c r="R11" s="681" t="s">
        <v>69</v>
      </c>
      <c r="S11">
        <v>9</v>
      </c>
      <c r="T11" s="1023">
        <f>SUMIFS('01工程产值对比表'!$M:$M,'01工程产值对比表'!$D:$D,Q11,'01工程产值对比表'!$C:$C,Q$2)</f>
        <v>0</v>
      </c>
      <c r="U11" s="1023"/>
      <c r="V11" s="1023"/>
      <c r="W11" s="1023"/>
      <c r="X11" s="1034"/>
      <c r="Y11" t="s">
        <v>189</v>
      </c>
      <c r="Z11" t="s">
        <v>15</v>
      </c>
      <c r="AA11"/>
      <c r="AB11" s="1023">
        <f>SUMIFS('01工程产值对比表'!$M:$M,'01工程产值对比表'!$D:$D,Y11,'01工程产值对比表'!$C:$C,Y$2)</f>
        <v>741957.237522936</v>
      </c>
      <c r="AG11" t="s">
        <v>189</v>
      </c>
      <c r="AH11" s="1023"/>
      <c r="AI11" s="1023"/>
      <c r="AK11" t="s">
        <v>190</v>
      </c>
      <c r="AO11" s="1045" t="s">
        <v>191</v>
      </c>
      <c r="AP11" s="1041" t="s">
        <v>72</v>
      </c>
      <c r="AQ11" s="1042">
        <f>SUMIF($AU$5:$DQ$5,"合价*",AU11:DQ11)</f>
        <v>3076.65752212389</v>
      </c>
      <c r="AR11" s="1043">
        <f>SUMIFS('01工程产值对比表'!$M:$M,'01工程产值对比表'!$D:$D,AO11,'01工程产值对比表'!$C:$C,"材料")</f>
        <v>440.5329</v>
      </c>
      <c r="AS11" s="1044">
        <f ca="1">SUMIFS('01工程产值对比表'!$T:$T,'01工程产值对比表'!$D:$D,AO11,'01工程产值对比表'!$C:$C,"材料")</f>
        <v>0</v>
      </c>
      <c r="AT11" s="1044">
        <f ca="1">SUMIFS('01工程产值对比表'!$V:$V,'01工程产值对比表'!$D:$D,AO11,'01工程产值对比表'!$C:$C,"材料")</f>
        <v>2803.46820809249</v>
      </c>
      <c r="AU11" s="1046">
        <v>253</v>
      </c>
      <c r="AV11" s="1048">
        <f t="shared" si="28"/>
        <v>0.353982300884956</v>
      </c>
      <c r="AW11" s="1048">
        <f t="shared" si="3"/>
        <v>89.5575221238938</v>
      </c>
      <c r="AX11" s="1048">
        <v>1250</v>
      </c>
      <c r="AY11" s="1048">
        <v>0.18</v>
      </c>
      <c r="AZ11" s="1048">
        <f t="shared" si="4"/>
        <v>225</v>
      </c>
      <c r="BA11" s="1048"/>
      <c r="BB11" s="1048"/>
      <c r="BC11" s="1048">
        <f t="shared" si="5"/>
        <v>0</v>
      </c>
      <c r="BD11" s="1048"/>
      <c r="BE11" s="1048"/>
      <c r="BF11" s="1051">
        <f t="shared" si="6"/>
        <v>0</v>
      </c>
      <c r="BG11" s="1048">
        <v>690</v>
      </c>
      <c r="BH11" s="1048">
        <v>0.09</v>
      </c>
      <c r="BI11" s="1048">
        <f t="shared" si="7"/>
        <v>62.1</v>
      </c>
      <c r="BJ11" s="1048"/>
      <c r="BK11" s="1048"/>
      <c r="BL11" s="1048">
        <f t="shared" si="8"/>
        <v>0</v>
      </c>
      <c r="BM11" s="1048">
        <v>0</v>
      </c>
      <c r="BN11" s="1048">
        <v>21.22</v>
      </c>
      <c r="BO11" s="1048">
        <f t="shared" si="9"/>
        <v>0</v>
      </c>
      <c r="BP11" s="1048"/>
      <c r="BQ11" s="1048"/>
      <c r="BR11" s="1048">
        <f t="shared" si="10"/>
        <v>0</v>
      </c>
      <c r="BS11" s="1048"/>
      <c r="BT11" s="1048"/>
      <c r="BU11" s="1048">
        <f t="shared" si="11"/>
        <v>0</v>
      </c>
      <c r="BV11" s="1048"/>
      <c r="BW11" s="1048"/>
      <c r="BX11" s="1048">
        <f t="shared" si="12"/>
        <v>0</v>
      </c>
      <c r="BY11" s="1048"/>
      <c r="BZ11" s="1048"/>
      <c r="CA11" s="1048">
        <f t="shared" si="13"/>
        <v>0</v>
      </c>
      <c r="CB11" s="1048"/>
      <c r="CC11" s="1048"/>
      <c r="CD11" s="1048">
        <f t="shared" si="14"/>
        <v>0</v>
      </c>
      <c r="CE11" s="1048"/>
      <c r="CF11" s="1048"/>
      <c r="CG11" s="1048">
        <f t="shared" si="15"/>
        <v>0</v>
      </c>
      <c r="CH11" s="1048"/>
      <c r="CI11" s="1048"/>
      <c r="CJ11" s="1048">
        <f t="shared" si="16"/>
        <v>0</v>
      </c>
      <c r="CK11" s="1048"/>
      <c r="CL11" s="1048"/>
      <c r="CM11" s="1048">
        <f t="shared" si="17"/>
        <v>0</v>
      </c>
      <c r="CN11" s="1048"/>
      <c r="CP11">
        <f t="shared" si="18"/>
        <v>0</v>
      </c>
      <c r="CS11">
        <f t="shared" si="19"/>
        <v>0</v>
      </c>
      <c r="CV11">
        <f t="shared" si="20"/>
        <v>0</v>
      </c>
      <c r="CY11">
        <f t="shared" si="21"/>
        <v>0</v>
      </c>
      <c r="DB11">
        <f t="shared" si="22"/>
        <v>0</v>
      </c>
      <c r="DE11">
        <f t="shared" si="23"/>
        <v>0</v>
      </c>
      <c r="DH11">
        <f t="shared" si="24"/>
        <v>0</v>
      </c>
      <c r="DK11">
        <f t="shared" si="25"/>
        <v>0</v>
      </c>
      <c r="DN11">
        <f t="shared" si="26"/>
        <v>0</v>
      </c>
      <c r="DO11">
        <v>5</v>
      </c>
      <c r="DP11">
        <v>540</v>
      </c>
      <c r="DQ11">
        <f t="shared" si="27"/>
        <v>2700</v>
      </c>
    </row>
    <row r="12" ht="23.1" customHeight="1" spans="1:121">
      <c r="A12" t="str">
        <f t="shared" si="0"/>
        <v>C30水下混凝土</v>
      </c>
      <c r="B12" s="681" t="str">
        <f t="shared" si="1"/>
        <v>m3</v>
      </c>
      <c r="C12" s="1022">
        <f t="shared" si="2"/>
        <v>3125.05203539823</v>
      </c>
      <c r="D12" s="1023">
        <f>SUMIFS('01工程产值对比表'!$M:$M,'01工程产值对比表'!$D:$D,A12,'01工程产值对比表'!$C:$C,A$2)</f>
        <v>3538.551048</v>
      </c>
      <c r="F12" s="1024"/>
      <c r="H12" s="1023"/>
      <c r="I12" s="1035" t="s">
        <v>192</v>
      </c>
      <c r="J12" s="1031" t="s">
        <v>172</v>
      </c>
      <c r="K12" s="1036"/>
      <c r="L12" s="1032">
        <f>SUMIFS('01工程产值对比表'!$M:$M,'01工程产值对比表'!$D:$D,I12,'01工程产值对比表'!$C:$C,I$2)</f>
        <v>0</v>
      </c>
      <c r="M12" s="1033"/>
      <c r="N12" s="1033"/>
      <c r="O12" s="1033"/>
      <c r="P12" s="1034"/>
      <c r="Q12" t="s">
        <v>193</v>
      </c>
      <c r="R12" s="681" t="s">
        <v>69</v>
      </c>
      <c r="S12">
        <v>0.5</v>
      </c>
      <c r="T12" s="1023">
        <f>SUMIFS('01工程产值对比表'!$M:$M,'01工程产值对比表'!$D:$D,Q12,'01工程产值对比表'!$C:$C,Q$2)</f>
        <v>0</v>
      </c>
      <c r="U12" s="1023"/>
      <c r="V12" s="1023"/>
      <c r="W12" s="1023"/>
      <c r="X12" s="1034"/>
      <c r="Y12" t="s">
        <v>194</v>
      </c>
      <c r="Z12" t="s">
        <v>69</v>
      </c>
      <c r="AA12">
        <v>95</v>
      </c>
      <c r="AB12" s="1023">
        <f>SUMIFS('01工程产值对比表'!$M:$M,'01工程产值对比表'!$D:$D,Y12,'01工程产值对比表'!$C:$C,Y$2)</f>
        <v>0</v>
      </c>
      <c r="AK12" t="s">
        <v>195</v>
      </c>
      <c r="AO12" t="s">
        <v>196</v>
      </c>
      <c r="AP12" s="1041" t="s">
        <v>72</v>
      </c>
      <c r="AQ12" s="1042">
        <f>SUMIF($AU$5:$DQ$5,"合价*",AU12:DQ12)</f>
        <v>3096.97752212389</v>
      </c>
      <c r="AR12" s="1043">
        <f>SUMIFS('01工程产值对比表'!$M:$M,'01工程产值对比表'!$D:$D,AO12,'01工程产值对比表'!$C:$C,"材料")</f>
        <v>0</v>
      </c>
      <c r="AS12" s="1044">
        <f ca="1">SUMIFS('01工程产值对比表'!$T:$T,'01工程产值对比表'!$D:$D,AO12,'01工程产值对比表'!$C:$C,"材料")</f>
        <v>0</v>
      </c>
      <c r="AT12" s="1044">
        <f ca="1">SUMIFS('01工程产值对比表'!$V:$V,'01工程产值对比表'!$D:$D,AO12,'01工程产值对比表'!$C:$C,"材料")</f>
        <v>0</v>
      </c>
      <c r="AU12" s="902">
        <v>253</v>
      </c>
      <c r="AV12" s="902">
        <f t="shared" si="28"/>
        <v>0.353982300884956</v>
      </c>
      <c r="AW12" s="902">
        <f t="shared" si="3"/>
        <v>89.5575221238938</v>
      </c>
      <c r="AX12" s="902">
        <v>1250</v>
      </c>
      <c r="AY12" s="902">
        <v>0.18</v>
      </c>
      <c r="AZ12" s="902">
        <f t="shared" si="4"/>
        <v>225</v>
      </c>
      <c r="BC12" s="902">
        <f t="shared" si="5"/>
        <v>0</v>
      </c>
      <c r="BF12" s="1052">
        <f t="shared" si="6"/>
        <v>0</v>
      </c>
      <c r="BG12" s="902">
        <v>680</v>
      </c>
      <c r="BH12" s="902">
        <v>0.09</v>
      </c>
      <c r="BI12" s="902">
        <f t="shared" si="7"/>
        <v>61.2</v>
      </c>
      <c r="BL12" s="902">
        <f t="shared" si="8"/>
        <v>0</v>
      </c>
      <c r="BM12" s="902">
        <v>1</v>
      </c>
      <c r="BN12" s="902">
        <v>21.22</v>
      </c>
      <c r="BO12" s="902">
        <f t="shared" si="9"/>
        <v>21.22</v>
      </c>
      <c r="BR12" s="902">
        <f t="shared" si="10"/>
        <v>0</v>
      </c>
      <c r="BU12" s="902">
        <f t="shared" si="11"/>
        <v>0</v>
      </c>
      <c r="BX12" s="902">
        <f t="shared" si="12"/>
        <v>0</v>
      </c>
      <c r="CA12" s="902">
        <f t="shared" si="13"/>
        <v>0</v>
      </c>
      <c r="CD12" s="902">
        <f t="shared" si="14"/>
        <v>0</v>
      </c>
      <c r="CG12" s="902">
        <f t="shared" si="15"/>
        <v>0</v>
      </c>
      <c r="CJ12" s="902">
        <f t="shared" si="16"/>
        <v>0</v>
      </c>
      <c r="CM12" s="902">
        <f t="shared" si="17"/>
        <v>0</v>
      </c>
      <c r="CP12">
        <f t="shared" si="18"/>
        <v>0</v>
      </c>
      <c r="CS12">
        <f t="shared" si="19"/>
        <v>0</v>
      </c>
      <c r="CV12">
        <f t="shared" si="20"/>
        <v>0</v>
      </c>
      <c r="CY12">
        <f t="shared" si="21"/>
        <v>0</v>
      </c>
      <c r="DB12">
        <f t="shared" si="22"/>
        <v>0</v>
      </c>
      <c r="DE12">
        <f t="shared" si="23"/>
        <v>0</v>
      </c>
      <c r="DH12">
        <f t="shared" si="24"/>
        <v>0</v>
      </c>
      <c r="DK12">
        <f t="shared" si="25"/>
        <v>0</v>
      </c>
      <c r="DN12">
        <f t="shared" si="26"/>
        <v>0</v>
      </c>
      <c r="DO12">
        <v>5</v>
      </c>
      <c r="DP12">
        <v>540</v>
      </c>
      <c r="DQ12">
        <f t="shared" si="27"/>
        <v>2700</v>
      </c>
    </row>
    <row r="13" ht="23.1" customHeight="1" spans="1:121">
      <c r="A13" t="str">
        <f t="shared" si="0"/>
        <v>C40混凝土p8</v>
      </c>
      <c r="B13" s="681" t="str">
        <f t="shared" si="1"/>
        <v>m3</v>
      </c>
      <c r="C13" s="1022">
        <f t="shared" si="2"/>
        <v>3133.43230088496</v>
      </c>
      <c r="D13" s="1023">
        <f>SUMIFS('01工程产值对比表'!$M:$M,'01工程产值对比表'!$D:$D,A13,'01工程产值对比表'!$C:$C,A$2)</f>
        <v>0</v>
      </c>
      <c r="F13" s="1024"/>
      <c r="H13" s="1023"/>
      <c r="I13" s="1035" t="s">
        <v>197</v>
      </c>
      <c r="J13" s="1031" t="s">
        <v>172</v>
      </c>
      <c r="K13" s="1036"/>
      <c r="L13" s="1032">
        <f>SUMIFS('01工程产值对比表'!$M:$M,'01工程产值对比表'!$D:$D,I13,'01工程产值对比表'!$C:$C,I$2)</f>
        <v>0</v>
      </c>
      <c r="M13" s="1033"/>
      <c r="N13" s="1033"/>
      <c r="O13" s="1033"/>
      <c r="P13" s="1034"/>
      <c r="Q13" t="s">
        <v>198</v>
      </c>
      <c r="R13" s="681" t="s">
        <v>76</v>
      </c>
      <c r="S13">
        <v>1.2</v>
      </c>
      <c r="T13" s="1023">
        <f>SUMIFS('01工程产值对比表'!$M:$M,'01工程产值对比表'!$D:$D,Q13,'01工程产值对比表'!$C:$C,Q$2)</f>
        <v>0</v>
      </c>
      <c r="U13" s="1023"/>
      <c r="V13" s="1023"/>
      <c r="W13" s="1023"/>
      <c r="X13" s="1034"/>
      <c r="Y13" t="s">
        <v>199</v>
      </c>
      <c r="Z13" t="s">
        <v>76</v>
      </c>
      <c r="AA13">
        <v>7</v>
      </c>
      <c r="AB13" s="1023">
        <f>SUMIFS('01工程产值对比表'!$M:$M,'01工程产值对比表'!$D:$D,Y13,'01工程产值对比表'!$C:$C,Y$2)</f>
        <v>0</v>
      </c>
      <c r="AK13" t="s">
        <v>200</v>
      </c>
      <c r="AO13" t="s">
        <v>201</v>
      </c>
      <c r="AP13" s="1041" t="s">
        <v>72</v>
      </c>
      <c r="AQ13" s="1042">
        <f>SUMIF($AU$5:$DQ$5,"合价*",AU13:DQ13)</f>
        <v>3074.85752212389</v>
      </c>
      <c r="AR13" s="1043">
        <f>SUMIFS('01工程产值对比表'!$M:$M,'01工程产值对比表'!$D:$D,AO13,'01工程产值对比表'!$C:$C,"材料")</f>
        <v>0</v>
      </c>
      <c r="AS13" s="1044">
        <f ca="1">SUMIFS('01工程产值对比表'!$T:$T,'01工程产值对比表'!$D:$D,AO13,'01工程产值对比表'!$C:$C,"材料")</f>
        <v>0</v>
      </c>
      <c r="AT13" s="1044">
        <f ca="1">SUMIFS('01工程产值对比表'!$V:$V,'01工程产值对比表'!$D:$D,AO13,'01工程产值对比表'!$C:$C,"材料")</f>
        <v>0</v>
      </c>
      <c r="AU13" s="902">
        <v>253</v>
      </c>
      <c r="AV13" s="902">
        <f t="shared" si="28"/>
        <v>0.353982300884956</v>
      </c>
      <c r="AW13" s="902">
        <f t="shared" si="3"/>
        <v>89.5575221238938</v>
      </c>
      <c r="AX13" s="902">
        <v>1245</v>
      </c>
      <c r="AY13" s="902">
        <v>0.18</v>
      </c>
      <c r="AZ13" s="902">
        <f t="shared" si="4"/>
        <v>224.1</v>
      </c>
      <c r="BC13" s="902">
        <f t="shared" si="5"/>
        <v>0</v>
      </c>
      <c r="BF13" s="1052">
        <f t="shared" si="6"/>
        <v>0</v>
      </c>
      <c r="BG13" s="902">
        <v>680</v>
      </c>
      <c r="BH13" s="902">
        <v>0.09</v>
      </c>
      <c r="BI13" s="902">
        <f t="shared" si="7"/>
        <v>61.2</v>
      </c>
      <c r="BL13" s="902">
        <f t="shared" si="8"/>
        <v>0</v>
      </c>
      <c r="BM13" s="902">
        <v>0</v>
      </c>
      <c r="BO13" s="902">
        <f t="shared" si="9"/>
        <v>0</v>
      </c>
      <c r="BR13" s="902">
        <f t="shared" si="10"/>
        <v>0</v>
      </c>
      <c r="BU13" s="902">
        <f t="shared" si="11"/>
        <v>0</v>
      </c>
      <c r="BX13" s="902">
        <f t="shared" si="12"/>
        <v>0</v>
      </c>
      <c r="CA13" s="902">
        <f t="shared" si="13"/>
        <v>0</v>
      </c>
      <c r="CD13" s="902">
        <f t="shared" si="14"/>
        <v>0</v>
      </c>
      <c r="CG13" s="902">
        <f t="shared" si="15"/>
        <v>0</v>
      </c>
      <c r="CJ13" s="902">
        <f t="shared" si="16"/>
        <v>0</v>
      </c>
      <c r="CM13" s="902">
        <f t="shared" si="17"/>
        <v>0</v>
      </c>
      <c r="CP13">
        <f t="shared" si="18"/>
        <v>0</v>
      </c>
      <c r="CS13">
        <f t="shared" si="19"/>
        <v>0</v>
      </c>
      <c r="CV13">
        <f t="shared" si="20"/>
        <v>0</v>
      </c>
      <c r="CY13">
        <f t="shared" si="21"/>
        <v>0</v>
      </c>
      <c r="DB13">
        <f t="shared" si="22"/>
        <v>0</v>
      </c>
      <c r="DE13">
        <f t="shared" si="23"/>
        <v>0</v>
      </c>
      <c r="DH13">
        <f t="shared" si="24"/>
        <v>0</v>
      </c>
      <c r="DK13">
        <f t="shared" si="25"/>
        <v>0</v>
      </c>
      <c r="DN13">
        <f t="shared" si="26"/>
        <v>0</v>
      </c>
      <c r="DO13">
        <v>5</v>
      </c>
      <c r="DP13">
        <v>540</v>
      </c>
      <c r="DQ13">
        <f t="shared" si="27"/>
        <v>2700</v>
      </c>
    </row>
    <row r="14" ht="23.1" customHeight="1" spans="1:121">
      <c r="A14" t="str">
        <f t="shared" si="0"/>
        <v>C40混凝土p8（泵送）</v>
      </c>
      <c r="B14" s="681" t="str">
        <f t="shared" si="1"/>
        <v>m3</v>
      </c>
      <c r="C14" s="1022">
        <f t="shared" si="2"/>
        <v>3157.18230088496</v>
      </c>
      <c r="D14" s="1023">
        <f>SUMIFS('01工程产值对比表'!$M:$M,'01工程产值对比表'!$D:$D,A14,'01工程产值对比表'!$C:$C,A$2)</f>
        <v>0</v>
      </c>
      <c r="F14" s="1024"/>
      <c r="H14" s="1023"/>
      <c r="I14" s="1035" t="s">
        <v>202</v>
      </c>
      <c r="J14" s="1031" t="s">
        <v>172</v>
      </c>
      <c r="K14" s="1036"/>
      <c r="L14" s="1032">
        <f>SUMIFS('01工程产值对比表'!$M:$M,'01工程产值对比表'!$D:$D,I14,'01工程产值对比表'!$C:$C,I$2)</f>
        <v>0</v>
      </c>
      <c r="M14" s="1033"/>
      <c r="N14" s="1033"/>
      <c r="O14" s="1033"/>
      <c r="P14" s="1034"/>
      <c r="Q14" t="s">
        <v>203</v>
      </c>
      <c r="R14" s="681" t="s">
        <v>69</v>
      </c>
      <c r="S14">
        <v>5</v>
      </c>
      <c r="T14" s="1023">
        <f>SUMIFS('01工程产值对比表'!$M:$M,'01工程产值对比表'!$D:$D,Q14,'01工程产值对比表'!$C:$C,Q$2)</f>
        <v>0</v>
      </c>
      <c r="U14" s="1023"/>
      <c r="V14" s="1023"/>
      <c r="W14" s="1023"/>
      <c r="X14" s="1034"/>
      <c r="Y14" t="s">
        <v>204</v>
      </c>
      <c r="Z14" t="s">
        <v>76</v>
      </c>
      <c r="AA14">
        <v>14</v>
      </c>
      <c r="AB14" s="1023">
        <f>SUMIFS('01工程产值对比表'!$M:$M,'01工程产值对比表'!$D:$D,Y14,'01工程产值对比表'!$C:$C,Y$2)</f>
        <v>0</v>
      </c>
      <c r="AK14" t="s">
        <v>205</v>
      </c>
      <c r="AO14" t="s">
        <v>206</v>
      </c>
      <c r="AP14" s="1041" t="s">
        <v>72</v>
      </c>
      <c r="AQ14" s="1042">
        <f>SUMIF($AU$5:$DQ$5,"合价*",AU14:DQ14)</f>
        <v>3097.57831858407</v>
      </c>
      <c r="AR14" s="1043">
        <f>SUMIFS('01工程产值对比表'!$M:$M,'01工程产值对比表'!$D:$D,AO14,'01工程产值对比表'!$C:$C,"材料")</f>
        <v>948.57605</v>
      </c>
      <c r="AS14" s="1044">
        <f ca="1">SUMIFS('01工程产值对比表'!$T:$T,'01工程产值对比表'!$D:$D,AO14,'01工程产值对比表'!$C:$C,"材料")</f>
        <v>0</v>
      </c>
      <c r="AT14" s="1044">
        <f ca="1">SUMIFS('01工程产值对比表'!$V:$V,'01工程产值对比表'!$D:$D,AO14,'01工程产值对比表'!$C:$C,"材料")</f>
        <v>8050.05</v>
      </c>
      <c r="AU14" s="902">
        <v>321</v>
      </c>
      <c r="AV14" s="902">
        <f t="shared" si="28"/>
        <v>0.353982300884956</v>
      </c>
      <c r="AW14" s="902">
        <f t="shared" si="3"/>
        <v>113.628318584071</v>
      </c>
      <c r="AX14" s="902">
        <v>1245</v>
      </c>
      <c r="AY14" s="902">
        <v>0.18</v>
      </c>
      <c r="AZ14" s="902">
        <f t="shared" si="4"/>
        <v>224.1</v>
      </c>
      <c r="BC14" s="902">
        <f t="shared" si="5"/>
        <v>0</v>
      </c>
      <c r="BF14" s="1052">
        <f t="shared" si="6"/>
        <v>0</v>
      </c>
      <c r="BG14" s="902">
        <v>665</v>
      </c>
      <c r="BH14" s="902">
        <v>0.09</v>
      </c>
      <c r="BI14" s="902">
        <f t="shared" si="7"/>
        <v>59.85</v>
      </c>
      <c r="BL14" s="902">
        <f t="shared" si="8"/>
        <v>0</v>
      </c>
      <c r="BM14" s="902">
        <v>0</v>
      </c>
      <c r="BN14" s="902">
        <v>21.81</v>
      </c>
      <c r="BO14" s="902">
        <f t="shared" si="9"/>
        <v>0</v>
      </c>
      <c r="BR14" s="902">
        <f t="shared" si="10"/>
        <v>0</v>
      </c>
      <c r="BU14" s="902">
        <f t="shared" si="11"/>
        <v>0</v>
      </c>
      <c r="BX14" s="902">
        <f t="shared" si="12"/>
        <v>0</v>
      </c>
      <c r="CA14" s="902">
        <f t="shared" si="13"/>
        <v>0</v>
      </c>
      <c r="CD14" s="902">
        <f t="shared" si="14"/>
        <v>0</v>
      </c>
      <c r="CG14" s="902">
        <f t="shared" si="15"/>
        <v>0</v>
      </c>
      <c r="CJ14" s="902">
        <f t="shared" si="16"/>
        <v>0</v>
      </c>
      <c r="CM14" s="902">
        <f t="shared" si="17"/>
        <v>0</v>
      </c>
      <c r="CP14">
        <f t="shared" si="18"/>
        <v>0</v>
      </c>
      <c r="CS14">
        <f t="shared" si="19"/>
        <v>0</v>
      </c>
      <c r="CV14">
        <f t="shared" si="20"/>
        <v>0</v>
      </c>
      <c r="CY14">
        <f t="shared" si="21"/>
        <v>0</v>
      </c>
      <c r="DB14">
        <f t="shared" si="22"/>
        <v>0</v>
      </c>
      <c r="DE14">
        <f t="shared" si="23"/>
        <v>0</v>
      </c>
      <c r="DH14">
        <f t="shared" si="24"/>
        <v>0</v>
      </c>
      <c r="DK14">
        <f t="shared" si="25"/>
        <v>0</v>
      </c>
      <c r="DN14">
        <f t="shared" si="26"/>
        <v>0</v>
      </c>
      <c r="DO14">
        <v>5</v>
      </c>
      <c r="DP14">
        <v>540</v>
      </c>
      <c r="DQ14">
        <f t="shared" si="27"/>
        <v>2700</v>
      </c>
    </row>
    <row r="15" ht="23.1" customHeight="1" spans="1:121">
      <c r="A15" t="str">
        <f t="shared" si="0"/>
        <v>C45混凝土p8</v>
      </c>
      <c r="B15" s="681" t="str">
        <f t="shared" si="1"/>
        <v>m3</v>
      </c>
      <c r="C15" s="1022">
        <f t="shared" si="2"/>
        <v>3127.06061946903</v>
      </c>
      <c r="D15" s="1023">
        <f>SUMIFS('01工程产值对比表'!$M:$M,'01工程产值对比表'!$D:$D,A15,'01工程产值对比表'!$C:$C,A$2)</f>
        <v>0</v>
      </c>
      <c r="F15" s="1024"/>
      <c r="H15" s="1023"/>
      <c r="I15" s="1035" t="s">
        <v>207</v>
      </c>
      <c r="J15" s="1031" t="s">
        <v>208</v>
      </c>
      <c r="K15" s="1036"/>
      <c r="L15" s="1032">
        <f>SUMIFS('01工程产值对比表'!$M:$M,'01工程产值对比表'!$D:$D,I15,'01工程产值对比表'!$C:$C,I$2)</f>
        <v>0</v>
      </c>
      <c r="M15" s="1033"/>
      <c r="N15" s="1033"/>
      <c r="O15" s="1033"/>
      <c r="P15" s="1034"/>
      <c r="Q15" t="s">
        <v>209</v>
      </c>
      <c r="R15" s="681" t="s">
        <v>69</v>
      </c>
      <c r="S15">
        <v>10</v>
      </c>
      <c r="T15" s="1023">
        <f>SUMIFS('01工程产值对比表'!$M:$M,'01工程产值对比表'!$D:$D,Q15,'01工程产值对比表'!$C:$C,Q$2)</f>
        <v>0</v>
      </c>
      <c r="U15" s="1023"/>
      <c r="V15" s="1023"/>
      <c r="W15" s="1023"/>
      <c r="X15" s="1034"/>
      <c r="Y15" t="s">
        <v>210</v>
      </c>
      <c r="Z15" t="s">
        <v>169</v>
      </c>
      <c r="AA15">
        <v>800</v>
      </c>
      <c r="AB15" s="1023">
        <f>SUMIFS('01工程产值对比表'!$M:$M,'01工程产值对比表'!$D:$D,Y15,'01工程产值对比表'!$C:$C,Y$2)</f>
        <v>0</v>
      </c>
      <c r="AK15" t="s">
        <v>211</v>
      </c>
      <c r="AO15" t="s">
        <v>212</v>
      </c>
      <c r="AP15" s="1041" t="s">
        <v>72</v>
      </c>
      <c r="AQ15" s="1042">
        <f>SUMIF($AU$5:$DQ$5,"合价*",AU15:DQ15)</f>
        <v>3125.05203539823</v>
      </c>
      <c r="AR15" s="1043">
        <f>SUMIFS('01工程产值对比表'!$M:$M,'01工程产值对比表'!$D:$D,AO15,'01工程产值对比表'!$C:$C,"材料")</f>
        <v>3538.551048</v>
      </c>
      <c r="AS15" s="1044">
        <f ca="1">SUMIFS('01工程产值对比表'!$T:$T,'01工程产值对比表'!$D:$D,AO15,'01工程产值对比表'!$C:$C,"材料")</f>
        <v>0</v>
      </c>
      <c r="AT15" s="1044">
        <f ca="1">SUMIFS('01工程产值对比表'!$V:$V,'01工程产值对比表'!$D:$D,AO15,'01工程产值对比表'!$C:$C,"材料")</f>
        <v>0</v>
      </c>
      <c r="AU15" s="902">
        <v>337</v>
      </c>
      <c r="AV15" s="902">
        <f t="shared" si="28"/>
        <v>0.353982300884956</v>
      </c>
      <c r="AW15" s="902">
        <f t="shared" si="3"/>
        <v>119.29203539823</v>
      </c>
      <c r="AX15" s="902">
        <v>1245</v>
      </c>
      <c r="AY15" s="902">
        <v>0.18</v>
      </c>
      <c r="AZ15" s="902">
        <f t="shared" si="4"/>
        <v>224.1</v>
      </c>
      <c r="BC15" s="902">
        <f t="shared" si="5"/>
        <v>0</v>
      </c>
      <c r="BF15" s="1052">
        <f t="shared" si="6"/>
        <v>0</v>
      </c>
      <c r="BG15" s="902">
        <v>665</v>
      </c>
      <c r="BH15" s="902">
        <v>0.09</v>
      </c>
      <c r="BI15" s="902">
        <f t="shared" si="7"/>
        <v>59.85</v>
      </c>
      <c r="BL15" s="902">
        <f t="shared" si="8"/>
        <v>0</v>
      </c>
      <c r="BM15" s="902">
        <v>1</v>
      </c>
      <c r="BN15" s="902">
        <v>21.81</v>
      </c>
      <c r="BO15" s="902">
        <f t="shared" si="9"/>
        <v>21.81</v>
      </c>
      <c r="BR15" s="902">
        <f t="shared" si="10"/>
        <v>0</v>
      </c>
      <c r="BU15" s="902">
        <f t="shared" si="11"/>
        <v>0</v>
      </c>
      <c r="BX15" s="902">
        <f t="shared" si="12"/>
        <v>0</v>
      </c>
      <c r="CA15" s="902">
        <f t="shared" si="13"/>
        <v>0</v>
      </c>
      <c r="CD15" s="902">
        <f t="shared" si="14"/>
        <v>0</v>
      </c>
      <c r="CG15" s="902">
        <f t="shared" si="15"/>
        <v>0</v>
      </c>
      <c r="CJ15" s="902">
        <f t="shared" si="16"/>
        <v>0</v>
      </c>
      <c r="CM15" s="902">
        <f t="shared" si="17"/>
        <v>0</v>
      </c>
      <c r="CP15">
        <f t="shared" si="18"/>
        <v>0</v>
      </c>
      <c r="CS15">
        <f t="shared" si="19"/>
        <v>0</v>
      </c>
      <c r="CV15">
        <f t="shared" si="20"/>
        <v>0</v>
      </c>
      <c r="CY15">
        <f t="shared" si="21"/>
        <v>0</v>
      </c>
      <c r="DB15">
        <f t="shared" si="22"/>
        <v>0</v>
      </c>
      <c r="DE15">
        <f t="shared" si="23"/>
        <v>0</v>
      </c>
      <c r="DH15">
        <f t="shared" si="24"/>
        <v>0</v>
      </c>
      <c r="DK15">
        <f t="shared" si="25"/>
        <v>0</v>
      </c>
      <c r="DN15">
        <f t="shared" si="26"/>
        <v>0</v>
      </c>
      <c r="DO15">
        <v>5</v>
      </c>
      <c r="DP15">
        <v>540</v>
      </c>
      <c r="DQ15">
        <f t="shared" si="27"/>
        <v>2700</v>
      </c>
    </row>
    <row r="16" ht="23.1" customHeight="1" spans="1:121">
      <c r="A16" t="str">
        <f t="shared" si="0"/>
        <v>C45混凝土p8（含泵送）</v>
      </c>
      <c r="B16" s="681" t="str">
        <f t="shared" si="1"/>
        <v>m3</v>
      </c>
      <c r="C16" s="1022">
        <f t="shared" si="2"/>
        <v>3154.52061946903</v>
      </c>
      <c r="D16" s="1023">
        <f>SUMIFS('01工程产值对比表'!$M:$M,'01工程产值对比表'!$D:$D,A16,'01工程产值对比表'!$C:$C,A$2)</f>
        <v>0</v>
      </c>
      <c r="F16" s="1024"/>
      <c r="H16" s="1023"/>
      <c r="I16" s="1035" t="s">
        <v>213</v>
      </c>
      <c r="J16" s="1031" t="s">
        <v>208</v>
      </c>
      <c r="K16" s="1036"/>
      <c r="L16" s="1032">
        <f>SUMIFS('01工程产值对比表'!$M:$M,'01工程产值对比表'!$D:$D,I16,'01工程产值对比表'!$C:$C,I$2)</f>
        <v>0</v>
      </c>
      <c r="M16" s="1033"/>
      <c r="N16" s="1033"/>
      <c r="O16" s="1033"/>
      <c r="P16" s="1034"/>
      <c r="Q16" t="s">
        <v>214</v>
      </c>
      <c r="R16" s="681" t="s">
        <v>195</v>
      </c>
      <c r="S16">
        <v>150000</v>
      </c>
      <c r="T16" s="1023">
        <f>SUMIFS('01工程产值对比表'!$M:$M,'01工程产值对比表'!$D:$D,Q16,'01工程产值对比表'!$C:$C,Q$2)</f>
        <v>0</v>
      </c>
      <c r="U16" s="1023"/>
      <c r="V16" s="1023"/>
      <c r="W16" s="1023"/>
      <c r="X16" s="1034"/>
      <c r="Y16" t="s">
        <v>215</v>
      </c>
      <c r="Z16" t="s">
        <v>76</v>
      </c>
      <c r="AA16">
        <v>15</v>
      </c>
      <c r="AB16" s="1023">
        <f>SUMIFS('01工程产值对比表'!$M:$M,'01工程产值对比表'!$D:$D,Y16,'01工程产值对比表'!$C:$C,Y$2)</f>
        <v>0</v>
      </c>
      <c r="AK16" t="s">
        <v>216</v>
      </c>
      <c r="AO16" t="s">
        <v>217</v>
      </c>
      <c r="AP16" s="1041" t="s">
        <v>72</v>
      </c>
      <c r="AQ16" s="1042">
        <f>SUMIF($AU$5:$DQ$5,"合价*",AU16:DQ16)</f>
        <v>3133.43230088496</v>
      </c>
      <c r="AR16" s="1043">
        <f>SUMIFS('01工程产值对比表'!$M:$M,'01工程产值对比表'!$D:$D,AO16,'01工程产值对比表'!$C:$C,"材料")</f>
        <v>0</v>
      </c>
      <c r="AS16" s="1044">
        <f ca="1">SUMIFS('01工程产值对比表'!$T:$T,'01工程产值对比表'!$D:$D,AO16,'01工程产值对比表'!$C:$C,"材料")</f>
        <v>0</v>
      </c>
      <c r="AT16" s="1044">
        <f ca="1">SUMIFS('01工程产值对比表'!$V:$V,'01工程产值对比表'!$D:$D,AO16,'01工程产值对比表'!$C:$C,"材料")</f>
        <v>0</v>
      </c>
      <c r="AU16" s="902">
        <v>435</v>
      </c>
      <c r="AV16" s="902">
        <f t="shared" si="28"/>
        <v>0.353982300884956</v>
      </c>
      <c r="AW16" s="902">
        <f t="shared" si="3"/>
        <v>153.982300884956</v>
      </c>
      <c r="AX16" s="902">
        <v>1220</v>
      </c>
      <c r="AY16" s="902">
        <v>0.18</v>
      </c>
      <c r="AZ16" s="902">
        <f t="shared" si="4"/>
        <v>219.6</v>
      </c>
      <c r="BC16" s="902">
        <f t="shared" si="5"/>
        <v>0</v>
      </c>
      <c r="BF16" s="1052">
        <f t="shared" si="6"/>
        <v>0</v>
      </c>
      <c r="BG16" s="902">
        <v>665</v>
      </c>
      <c r="BH16" s="902">
        <v>0.09</v>
      </c>
      <c r="BI16" s="902">
        <f t="shared" si="7"/>
        <v>59.85</v>
      </c>
      <c r="BL16" s="902">
        <f t="shared" si="8"/>
        <v>0</v>
      </c>
      <c r="BM16" s="902">
        <v>0</v>
      </c>
      <c r="BN16" s="902">
        <v>23.75</v>
      </c>
      <c r="BO16" s="902">
        <f t="shared" si="9"/>
        <v>0</v>
      </c>
      <c r="BR16" s="902">
        <f t="shared" si="10"/>
        <v>0</v>
      </c>
      <c r="BU16" s="902">
        <f t="shared" si="11"/>
        <v>0</v>
      </c>
      <c r="BX16" s="902">
        <f t="shared" si="12"/>
        <v>0</v>
      </c>
      <c r="CA16" s="902">
        <f t="shared" si="13"/>
        <v>0</v>
      </c>
      <c r="CD16" s="902">
        <f t="shared" si="14"/>
        <v>0</v>
      </c>
      <c r="CG16" s="902">
        <f t="shared" si="15"/>
        <v>0</v>
      </c>
      <c r="CJ16" s="902">
        <f t="shared" si="16"/>
        <v>0</v>
      </c>
      <c r="CM16" s="902">
        <f t="shared" si="17"/>
        <v>0</v>
      </c>
      <c r="CP16">
        <f t="shared" si="18"/>
        <v>0</v>
      </c>
      <c r="CS16">
        <f t="shared" si="19"/>
        <v>0</v>
      </c>
      <c r="CV16">
        <f t="shared" si="20"/>
        <v>0</v>
      </c>
      <c r="CY16">
        <f t="shared" si="21"/>
        <v>0</v>
      </c>
      <c r="DB16">
        <f t="shared" si="22"/>
        <v>0</v>
      </c>
      <c r="DE16">
        <f t="shared" si="23"/>
        <v>0</v>
      </c>
      <c r="DH16">
        <f t="shared" si="24"/>
        <v>0</v>
      </c>
      <c r="DK16">
        <f t="shared" si="25"/>
        <v>0</v>
      </c>
      <c r="DN16">
        <f t="shared" si="26"/>
        <v>0</v>
      </c>
      <c r="DO16">
        <v>5</v>
      </c>
      <c r="DP16">
        <v>540</v>
      </c>
      <c r="DQ16">
        <f t="shared" si="27"/>
        <v>2700</v>
      </c>
    </row>
    <row r="17" ht="23.1" customHeight="1" spans="1:121">
      <c r="A17" t="str">
        <f t="shared" si="0"/>
        <v>C50混凝土p10</v>
      </c>
      <c r="B17" s="681" t="str">
        <f t="shared" si="1"/>
        <v>m3</v>
      </c>
      <c r="C17" s="1022">
        <f t="shared" si="2"/>
        <v>3149.78061946903</v>
      </c>
      <c r="D17" s="1023">
        <f>SUMIFS('01工程产值对比表'!$M:$M,'01工程产值对比表'!$D:$D,A17,'01工程产值对比表'!$C:$C,A$2)</f>
        <v>0</v>
      </c>
      <c r="F17" s="1024"/>
      <c r="H17" s="1023"/>
      <c r="I17" s="1035" t="s">
        <v>218</v>
      </c>
      <c r="J17" s="1031" t="s">
        <v>219</v>
      </c>
      <c r="K17" s="1036">
        <v>600</v>
      </c>
      <c r="L17" s="1032">
        <f>SUMIFS('01工程产值对比表'!$M:$M,'01工程产值对比表'!$D:$D,I17,'01工程产值对比表'!$C:$C,I$2)</f>
        <v>0</v>
      </c>
      <c r="M17" s="1033"/>
      <c r="N17" s="1033"/>
      <c r="O17" s="1033"/>
      <c r="P17" s="1034"/>
      <c r="Q17" t="s">
        <v>220</v>
      </c>
      <c r="R17" s="681" t="s">
        <v>69</v>
      </c>
      <c r="S17">
        <v>0.1</v>
      </c>
      <c r="T17" s="1023">
        <f>SUMIFS('01工程产值对比表'!$M:$M,'01工程产值对比表'!$D:$D,Q17,'01工程产值对比表'!$C:$C,Q$2)</f>
        <v>0</v>
      </c>
      <c r="U17" s="1023"/>
      <c r="V17" s="1023"/>
      <c r="W17" s="1023"/>
      <c r="X17" s="1034"/>
      <c r="Y17" t="s">
        <v>221</v>
      </c>
      <c r="Z17" t="s">
        <v>169</v>
      </c>
      <c r="AA17">
        <v>15</v>
      </c>
      <c r="AB17" s="1023">
        <f>SUMIFS('01工程产值对比表'!$M:$M,'01工程产值对比表'!$D:$D,Y17,'01工程产值对比表'!$C:$C,Y$2)</f>
        <v>0</v>
      </c>
      <c r="AK17" t="s">
        <v>15</v>
      </c>
      <c r="AO17" t="s">
        <v>222</v>
      </c>
      <c r="AP17" s="1041" t="s">
        <v>72</v>
      </c>
      <c r="AQ17" s="1042">
        <f>SUMIF($AU$5:$DQ$5,"合价*",AU17:DQ17)</f>
        <v>3157.18230088496</v>
      </c>
      <c r="AR17" s="1043">
        <f>SUMIFS('01工程产值对比表'!$M:$M,'01工程产值对比表'!$D:$D,AO17,'01工程产值对比表'!$C:$C,"材料")</f>
        <v>0</v>
      </c>
      <c r="AS17" s="1044">
        <f ca="1">SUMIFS('01工程产值对比表'!$T:$T,'01工程产值对比表'!$D:$D,AO17,'01工程产值对比表'!$C:$C,"材料")</f>
        <v>0</v>
      </c>
      <c r="AT17" s="1044">
        <f ca="1">SUMIFS('01工程产值对比表'!$V:$V,'01工程产值对比表'!$D:$D,AO17,'01工程产值对比表'!$C:$C,"材料")</f>
        <v>0</v>
      </c>
      <c r="AU17" s="902">
        <v>435</v>
      </c>
      <c r="AV17" s="902">
        <f t="shared" si="28"/>
        <v>0.353982300884956</v>
      </c>
      <c r="AW17" s="902">
        <f t="shared" si="3"/>
        <v>153.982300884956</v>
      </c>
      <c r="AX17" s="902">
        <v>1220</v>
      </c>
      <c r="AY17" s="902">
        <v>0.18</v>
      </c>
      <c r="AZ17" s="902">
        <f t="shared" si="4"/>
        <v>219.6</v>
      </c>
      <c r="BC17" s="902">
        <f t="shared" si="5"/>
        <v>0</v>
      </c>
      <c r="BF17" s="1052">
        <f t="shared" si="6"/>
        <v>0</v>
      </c>
      <c r="BG17" s="902">
        <v>665</v>
      </c>
      <c r="BH17" s="902">
        <v>0.09</v>
      </c>
      <c r="BI17" s="902">
        <f t="shared" si="7"/>
        <v>59.85</v>
      </c>
      <c r="BL17" s="902">
        <f t="shared" si="8"/>
        <v>0</v>
      </c>
      <c r="BM17" s="902">
        <v>1</v>
      </c>
      <c r="BN17" s="902">
        <v>23.75</v>
      </c>
      <c r="BO17" s="902">
        <f t="shared" si="9"/>
        <v>23.75</v>
      </c>
      <c r="BR17" s="902">
        <f t="shared" si="10"/>
        <v>0</v>
      </c>
      <c r="BU17" s="902">
        <f t="shared" si="11"/>
        <v>0</v>
      </c>
      <c r="BX17" s="902">
        <f t="shared" si="12"/>
        <v>0</v>
      </c>
      <c r="CA17" s="902">
        <f t="shared" si="13"/>
        <v>0</v>
      </c>
      <c r="CD17" s="902">
        <f t="shared" si="14"/>
        <v>0</v>
      </c>
      <c r="CG17" s="902">
        <f t="shared" si="15"/>
        <v>0</v>
      </c>
      <c r="CJ17" s="902">
        <f t="shared" si="16"/>
        <v>0</v>
      </c>
      <c r="CM17" s="902">
        <f t="shared" si="17"/>
        <v>0</v>
      </c>
      <c r="CP17">
        <f t="shared" si="18"/>
        <v>0</v>
      </c>
      <c r="CS17">
        <f t="shared" si="19"/>
        <v>0</v>
      </c>
      <c r="CV17">
        <f t="shared" si="20"/>
        <v>0</v>
      </c>
      <c r="CY17">
        <f t="shared" si="21"/>
        <v>0</v>
      </c>
      <c r="DB17">
        <f t="shared" si="22"/>
        <v>0</v>
      </c>
      <c r="DE17">
        <f t="shared" si="23"/>
        <v>0</v>
      </c>
      <c r="DH17">
        <f t="shared" si="24"/>
        <v>0</v>
      </c>
      <c r="DK17">
        <f t="shared" si="25"/>
        <v>0</v>
      </c>
      <c r="DN17">
        <f t="shared" si="26"/>
        <v>0</v>
      </c>
      <c r="DO17">
        <v>5</v>
      </c>
      <c r="DP17">
        <v>540</v>
      </c>
      <c r="DQ17">
        <f t="shared" si="27"/>
        <v>2700</v>
      </c>
    </row>
    <row r="18" ht="23.1" customHeight="1" spans="1:121">
      <c r="A18" t="str">
        <f t="shared" si="0"/>
        <v>水泥砂浆</v>
      </c>
      <c r="B18" s="681" t="str">
        <f t="shared" si="1"/>
        <v>m3</v>
      </c>
      <c r="C18" s="1022">
        <f t="shared" si="2"/>
        <v>244.76592920354</v>
      </c>
      <c r="D18" s="1023">
        <f>SUMIFS('01工程产值对比表'!$M:$M,'01工程产值对比表'!$D:$D,A18,'01工程产值对比表'!$C:$C,A$2)</f>
        <v>82.45148</v>
      </c>
      <c r="F18" s="1024"/>
      <c r="H18" s="1023"/>
      <c r="I18" s="1035" t="s">
        <v>223</v>
      </c>
      <c r="J18" s="1031" t="s">
        <v>219</v>
      </c>
      <c r="K18" s="1036">
        <v>600</v>
      </c>
      <c r="L18" s="1032">
        <f>SUMIFS('01工程产值对比表'!$M:$M,'01工程产值对比表'!$D:$D,I18,'01工程产值对比表'!$C:$C,I$2)</f>
        <v>0</v>
      </c>
      <c r="M18" s="1033"/>
      <c r="N18" s="1033"/>
      <c r="O18" s="1033"/>
      <c r="P18" s="1034"/>
      <c r="Q18" t="s">
        <v>224</v>
      </c>
      <c r="R18" s="681" t="s">
        <v>69</v>
      </c>
      <c r="S18">
        <v>100</v>
      </c>
      <c r="T18" s="1023">
        <f>SUMIFS('01工程产值对比表'!$M:$M,'01工程产值对比表'!$D:$D,Q18,'01工程产值对比表'!$C:$C,Q$2)</f>
        <v>0</v>
      </c>
      <c r="U18" s="1023"/>
      <c r="V18" s="1023"/>
      <c r="W18" s="1023"/>
      <c r="X18" s="1034"/>
      <c r="Y18" t="s">
        <v>225</v>
      </c>
      <c r="Z18" t="s">
        <v>72</v>
      </c>
      <c r="AA18">
        <v>300</v>
      </c>
      <c r="AB18" s="1023">
        <f>SUMIFS('01工程产值对比表'!$M:$M,'01工程产值对比表'!$D:$D,Y18,'01工程产值对比表'!$C:$C,Y$2)</f>
        <v>0</v>
      </c>
      <c r="AK18" t="s">
        <v>172</v>
      </c>
      <c r="AO18" t="s">
        <v>226</v>
      </c>
      <c r="AP18" s="1041" t="s">
        <v>72</v>
      </c>
      <c r="AQ18" s="1042">
        <f>SUMIF($AU$5:$DQ$5,"合价*",AU18:DQ18)</f>
        <v>3127.06061946903</v>
      </c>
      <c r="AR18" s="1043">
        <f>SUMIFS('01工程产值对比表'!$M:$M,'01工程产值对比表'!$D:$D,AO18,'01工程产值对比表'!$C:$C,"材料")</f>
        <v>0</v>
      </c>
      <c r="AS18" s="1044">
        <f ca="1">SUMIFS('01工程产值对比表'!$T:$T,'01工程产值对比表'!$D:$D,AO18,'01工程产值对比表'!$C:$C,"材料")</f>
        <v>0</v>
      </c>
      <c r="AT18" s="1044">
        <f ca="1">SUMIFS('01工程产值对比表'!$V:$V,'01工程产值对比表'!$D:$D,AO18,'01工程产值对比表'!$C:$C,"材料")</f>
        <v>0</v>
      </c>
      <c r="AU18" s="902">
        <v>417</v>
      </c>
      <c r="AV18" s="902">
        <f t="shared" si="28"/>
        <v>0.353982300884956</v>
      </c>
      <c r="AW18" s="902">
        <f t="shared" si="3"/>
        <v>147.610619469027</v>
      </c>
      <c r="AX18" s="902">
        <v>1220</v>
      </c>
      <c r="AY18" s="902">
        <v>0.18</v>
      </c>
      <c r="AZ18" s="902">
        <f t="shared" si="4"/>
        <v>219.6</v>
      </c>
      <c r="BC18" s="902">
        <f t="shared" si="5"/>
        <v>0</v>
      </c>
      <c r="BF18" s="1052">
        <f t="shared" si="6"/>
        <v>0</v>
      </c>
      <c r="BG18" s="902">
        <v>665</v>
      </c>
      <c r="BH18" s="902">
        <v>0.09</v>
      </c>
      <c r="BI18" s="902">
        <f t="shared" si="7"/>
        <v>59.85</v>
      </c>
      <c r="BL18" s="902">
        <f t="shared" si="8"/>
        <v>0</v>
      </c>
      <c r="BM18" s="902">
        <v>0</v>
      </c>
      <c r="BN18" s="902">
        <v>27.46</v>
      </c>
      <c r="BO18" s="902">
        <f t="shared" si="9"/>
        <v>0</v>
      </c>
      <c r="BR18" s="902">
        <f t="shared" si="10"/>
        <v>0</v>
      </c>
      <c r="BU18" s="902">
        <f t="shared" si="11"/>
        <v>0</v>
      </c>
      <c r="BX18" s="902">
        <f t="shared" si="12"/>
        <v>0</v>
      </c>
      <c r="CA18" s="902">
        <f t="shared" si="13"/>
        <v>0</v>
      </c>
      <c r="CD18" s="902">
        <f t="shared" si="14"/>
        <v>0</v>
      </c>
      <c r="CG18" s="902">
        <f t="shared" si="15"/>
        <v>0</v>
      </c>
      <c r="CJ18" s="902">
        <f t="shared" si="16"/>
        <v>0</v>
      </c>
      <c r="CM18" s="902">
        <f t="shared" si="17"/>
        <v>0</v>
      </c>
      <c r="CP18">
        <f t="shared" si="18"/>
        <v>0</v>
      </c>
      <c r="CS18">
        <f t="shared" si="19"/>
        <v>0</v>
      </c>
      <c r="CV18">
        <f t="shared" si="20"/>
        <v>0</v>
      </c>
      <c r="CY18">
        <f t="shared" si="21"/>
        <v>0</v>
      </c>
      <c r="DB18">
        <f t="shared" si="22"/>
        <v>0</v>
      </c>
      <c r="DE18">
        <f t="shared" si="23"/>
        <v>0</v>
      </c>
      <c r="DH18">
        <f t="shared" si="24"/>
        <v>0</v>
      </c>
      <c r="DK18">
        <f t="shared" si="25"/>
        <v>0</v>
      </c>
      <c r="DN18">
        <f t="shared" si="26"/>
        <v>0</v>
      </c>
      <c r="DO18">
        <v>5</v>
      </c>
      <c r="DP18">
        <v>540</v>
      </c>
      <c r="DQ18">
        <f t="shared" si="27"/>
        <v>2700</v>
      </c>
    </row>
    <row r="19" ht="23.1" customHeight="1" spans="1:121">
      <c r="A19" t="str">
        <f t="shared" si="0"/>
        <v>低标号混凝土（注浆）</v>
      </c>
      <c r="B19" s="681" t="str">
        <f t="shared" si="1"/>
        <v>m3</v>
      </c>
      <c r="C19" s="1022">
        <f t="shared" si="2"/>
        <v>169.888871681416</v>
      </c>
      <c r="D19" s="1023">
        <f>SUMIFS('01工程产值对比表'!$M:$M,'01工程产值对比表'!$D:$D,A19,'01工程产值对比表'!$C:$C,A$2)</f>
        <v>0</v>
      </c>
      <c r="F19" s="1024"/>
      <c r="H19" s="1023"/>
      <c r="I19" s="1035" t="s">
        <v>227</v>
      </c>
      <c r="J19" s="1031" t="s">
        <v>172</v>
      </c>
      <c r="K19" s="1036">
        <v>18000</v>
      </c>
      <c r="L19" s="1032">
        <f>SUMIFS('01工程产值对比表'!$M:$M,'01工程产值对比表'!$D:$D,I19,'01工程产值对比表'!$C:$C,I$2)</f>
        <v>0</v>
      </c>
      <c r="M19" s="1033"/>
      <c r="N19" s="1033"/>
      <c r="O19" s="1033"/>
      <c r="P19" s="1034"/>
      <c r="Q19" t="s">
        <v>228</v>
      </c>
      <c r="R19" s="681" t="s">
        <v>72</v>
      </c>
      <c r="S19">
        <v>120</v>
      </c>
      <c r="T19" s="1023">
        <f>SUMIFS('01工程产值对比表'!$M:$M,'01工程产值对比表'!$D:$D,Q19,'01工程产值对比表'!$C:$C,Q$2)</f>
        <v>0</v>
      </c>
      <c r="U19" s="1023"/>
      <c r="V19" s="1023"/>
      <c r="W19" s="1023"/>
      <c r="X19" s="1034"/>
      <c r="Y19" t="s">
        <v>229</v>
      </c>
      <c r="Z19" t="s">
        <v>72</v>
      </c>
      <c r="AA19">
        <v>450</v>
      </c>
      <c r="AB19" s="1023">
        <f>SUMIFS('01工程产值对比表'!$M:$M,'01工程产值对比表'!$D:$D,Y19,'01工程产值对比表'!$C:$C,Y$2)</f>
        <v>0</v>
      </c>
      <c r="AK19" t="s">
        <v>208</v>
      </c>
      <c r="AO19" t="s">
        <v>230</v>
      </c>
      <c r="AP19" s="1041" t="s">
        <v>72</v>
      </c>
      <c r="AQ19" s="1042">
        <f>SUMIF($AU$5:$DQ$5,"合价*",AU19:DQ19)</f>
        <v>3154.52061946903</v>
      </c>
      <c r="AR19" s="1043">
        <f>SUMIFS('01工程产值对比表'!$M:$M,'01工程产值对比表'!$D:$D,AO19,'01工程产值对比表'!$C:$C,"材料")</f>
        <v>0</v>
      </c>
      <c r="AS19" s="1044">
        <f ca="1">SUMIFS('01工程产值对比表'!$T:$T,'01工程产值对比表'!$D:$D,AO19,'01工程产值对比表'!$C:$C,"材料")</f>
        <v>0</v>
      </c>
      <c r="AT19" s="1044">
        <f ca="1">SUMIFS('01工程产值对比表'!$V:$V,'01工程产值对比表'!$D:$D,AO19,'01工程产值对比表'!$C:$C,"材料")</f>
        <v>0</v>
      </c>
      <c r="AU19" s="902">
        <v>417</v>
      </c>
      <c r="AV19" s="902">
        <f t="shared" si="28"/>
        <v>0.353982300884956</v>
      </c>
      <c r="AW19" s="902">
        <f t="shared" si="3"/>
        <v>147.610619469027</v>
      </c>
      <c r="AX19" s="902">
        <v>1220</v>
      </c>
      <c r="AY19" s="902">
        <v>0.18</v>
      </c>
      <c r="AZ19" s="902">
        <f t="shared" si="4"/>
        <v>219.6</v>
      </c>
      <c r="BC19" s="902">
        <f t="shared" si="5"/>
        <v>0</v>
      </c>
      <c r="BF19" s="1052">
        <f t="shared" si="6"/>
        <v>0</v>
      </c>
      <c r="BG19" s="902">
        <v>665</v>
      </c>
      <c r="BH19" s="902">
        <v>0.09</v>
      </c>
      <c r="BI19" s="902">
        <f t="shared" si="7"/>
        <v>59.85</v>
      </c>
      <c r="BL19" s="902">
        <f t="shared" si="8"/>
        <v>0</v>
      </c>
      <c r="BM19" s="902">
        <v>1</v>
      </c>
      <c r="BN19" s="902">
        <v>27.46</v>
      </c>
      <c r="BO19" s="902">
        <f t="shared" si="9"/>
        <v>27.46</v>
      </c>
      <c r="BR19" s="902">
        <f t="shared" si="10"/>
        <v>0</v>
      </c>
      <c r="BU19" s="902">
        <f t="shared" si="11"/>
        <v>0</v>
      </c>
      <c r="BX19" s="902">
        <f t="shared" si="12"/>
        <v>0</v>
      </c>
      <c r="CA19" s="902">
        <f t="shared" si="13"/>
        <v>0</v>
      </c>
      <c r="CD19" s="902">
        <f t="shared" si="14"/>
        <v>0</v>
      </c>
      <c r="CG19" s="902">
        <f t="shared" si="15"/>
        <v>0</v>
      </c>
      <c r="CJ19" s="902">
        <f t="shared" si="16"/>
        <v>0</v>
      </c>
      <c r="CM19" s="902">
        <f t="shared" si="17"/>
        <v>0</v>
      </c>
      <c r="CP19">
        <f t="shared" si="18"/>
        <v>0</v>
      </c>
      <c r="CS19">
        <f t="shared" si="19"/>
        <v>0</v>
      </c>
      <c r="CV19">
        <f t="shared" si="20"/>
        <v>0</v>
      </c>
      <c r="CY19">
        <f t="shared" si="21"/>
        <v>0</v>
      </c>
      <c r="DB19">
        <f t="shared" si="22"/>
        <v>0</v>
      </c>
      <c r="DE19">
        <f t="shared" si="23"/>
        <v>0</v>
      </c>
      <c r="DH19">
        <f t="shared" si="24"/>
        <v>0</v>
      </c>
      <c r="DK19">
        <f t="shared" si="25"/>
        <v>0</v>
      </c>
      <c r="DN19">
        <f t="shared" si="26"/>
        <v>0</v>
      </c>
      <c r="DO19">
        <v>5</v>
      </c>
      <c r="DP19">
        <v>540</v>
      </c>
      <c r="DQ19">
        <f t="shared" si="27"/>
        <v>2700</v>
      </c>
    </row>
    <row r="20" ht="23.1" customHeight="1" spans="1:121">
      <c r="A20" t="str">
        <f t="shared" si="0"/>
        <v>贫混凝土</v>
      </c>
      <c r="B20" s="681" t="str">
        <f t="shared" si="1"/>
        <v>m3</v>
      </c>
      <c r="C20" s="1022">
        <f t="shared" si="2"/>
        <v>0</v>
      </c>
      <c r="D20" s="1023">
        <f>SUMIFS('01工程产值对比表'!$M:$M,'01工程产值对比表'!$D:$D,A20,'01工程产值对比表'!$C:$C,A$2)</f>
        <v>0</v>
      </c>
      <c r="F20" s="1024"/>
      <c r="H20" s="1023"/>
      <c r="I20" s="1035" t="s">
        <v>231</v>
      </c>
      <c r="J20" s="1031" t="s">
        <v>172</v>
      </c>
      <c r="K20" s="1036">
        <v>123893.81</v>
      </c>
      <c r="L20" s="1032">
        <f>SUMIFS('01工程产值对比表'!$M:$M,'01工程产值对比表'!$D:$D,I20,'01工程产值对比表'!$C:$C,I$2)</f>
        <v>0</v>
      </c>
      <c r="M20" s="1033"/>
      <c r="N20" s="1033"/>
      <c r="O20" s="1033"/>
      <c r="P20" s="1034"/>
      <c r="Q20" t="s">
        <v>232</v>
      </c>
      <c r="R20" s="681" t="s">
        <v>69</v>
      </c>
      <c r="S20">
        <v>4</v>
      </c>
      <c r="T20" s="1023">
        <f>SUMIFS('01工程产值对比表'!$M:$M,'01工程产值对比表'!$D:$D,Q20,'01工程产值对比表'!$C:$C,Q$2)</f>
        <v>0</v>
      </c>
      <c r="U20" s="1023"/>
      <c r="V20" s="1023"/>
      <c r="W20" s="1023"/>
      <c r="X20" s="1034"/>
      <c r="Y20" t="s">
        <v>233</v>
      </c>
      <c r="Z20" t="s">
        <v>169</v>
      </c>
      <c r="AA20">
        <v>200</v>
      </c>
      <c r="AB20" s="1023">
        <f>SUMIFS('01工程产值对比表'!$M:$M,'01工程产值对比表'!$D:$D,Y20,'01工程产值对比表'!$C:$C,Y$2)</f>
        <v>0</v>
      </c>
      <c r="AK20" t="s">
        <v>234</v>
      </c>
      <c r="AO20" t="s">
        <v>235</v>
      </c>
      <c r="AP20" s="1041" t="s">
        <v>72</v>
      </c>
      <c r="AQ20" s="1042">
        <f>SUMIF($AU$5:$DQ$5,"合价*",AU20:DQ20)</f>
        <v>3149.78061946903</v>
      </c>
      <c r="AR20" s="1043">
        <f>SUMIFS('01工程产值对比表'!$M:$M,'01工程产值对比表'!$D:$D,AO20,'01工程产值对比表'!$C:$C,"材料")</f>
        <v>0</v>
      </c>
      <c r="AS20" s="1044">
        <f ca="1">SUMIFS('01工程产值对比表'!$T:$T,'01工程产值对比表'!$D:$D,AO20,'01工程产值对比表'!$C:$C,"材料")</f>
        <v>0</v>
      </c>
      <c r="AT20" s="1044">
        <f ca="1">SUMIFS('01工程产值对比表'!$V:$V,'01工程产值对比表'!$D:$D,AO20,'01工程产值对比表'!$C:$C,"材料")</f>
        <v>0</v>
      </c>
      <c r="AU20" s="902">
        <v>530</v>
      </c>
      <c r="AV20" s="902">
        <f t="shared" si="28"/>
        <v>0.353982300884956</v>
      </c>
      <c r="AW20" s="902">
        <f t="shared" si="3"/>
        <v>187.610619469027</v>
      </c>
      <c r="AX20" s="902">
        <v>1220</v>
      </c>
      <c r="AY20" s="902">
        <v>0.18</v>
      </c>
      <c r="AZ20" s="902">
        <f t="shared" si="4"/>
        <v>219.6</v>
      </c>
      <c r="BC20" s="902">
        <f t="shared" si="5"/>
        <v>0</v>
      </c>
      <c r="BF20" s="1052">
        <f t="shared" si="6"/>
        <v>0</v>
      </c>
      <c r="BG20" s="902">
        <v>473</v>
      </c>
      <c r="BH20" s="902">
        <v>0.09</v>
      </c>
      <c r="BI20" s="902">
        <f t="shared" si="7"/>
        <v>42.57</v>
      </c>
      <c r="BL20" s="902">
        <f t="shared" si="8"/>
        <v>0</v>
      </c>
      <c r="BM20" s="902">
        <v>0</v>
      </c>
      <c r="BN20" s="902">
        <v>26.75</v>
      </c>
      <c r="BO20" s="902">
        <f t="shared" si="9"/>
        <v>0</v>
      </c>
      <c r="BR20" s="902">
        <f t="shared" si="10"/>
        <v>0</v>
      </c>
      <c r="BU20" s="902">
        <f t="shared" si="11"/>
        <v>0</v>
      </c>
      <c r="BX20" s="902">
        <f t="shared" si="12"/>
        <v>0</v>
      </c>
      <c r="CA20" s="902">
        <f t="shared" si="13"/>
        <v>0</v>
      </c>
      <c r="CD20" s="902">
        <f t="shared" si="14"/>
        <v>0</v>
      </c>
      <c r="CG20" s="902">
        <f t="shared" si="15"/>
        <v>0</v>
      </c>
      <c r="CJ20" s="902">
        <f t="shared" si="16"/>
        <v>0</v>
      </c>
      <c r="CM20" s="902">
        <f t="shared" si="17"/>
        <v>0</v>
      </c>
      <c r="CP20">
        <f t="shared" si="18"/>
        <v>0</v>
      </c>
      <c r="CS20">
        <f t="shared" si="19"/>
        <v>0</v>
      </c>
      <c r="CV20">
        <f t="shared" si="20"/>
        <v>0</v>
      </c>
      <c r="CY20">
        <f t="shared" si="21"/>
        <v>0</v>
      </c>
      <c r="DB20">
        <f t="shared" si="22"/>
        <v>0</v>
      </c>
      <c r="DE20">
        <f t="shared" si="23"/>
        <v>0</v>
      </c>
      <c r="DH20">
        <f t="shared" si="24"/>
        <v>0</v>
      </c>
      <c r="DK20">
        <f t="shared" si="25"/>
        <v>0</v>
      </c>
      <c r="DN20">
        <f t="shared" si="26"/>
        <v>0</v>
      </c>
      <c r="DO20">
        <v>5</v>
      </c>
      <c r="DP20">
        <v>540</v>
      </c>
      <c r="DQ20">
        <f t="shared" si="27"/>
        <v>2700</v>
      </c>
    </row>
    <row r="21" ht="16.5" spans="1:121">
      <c r="A21" t="str">
        <f t="shared" si="0"/>
        <v>AC-13</v>
      </c>
      <c r="B21" s="681" t="str">
        <f t="shared" si="1"/>
        <v>m3</v>
      </c>
      <c r="C21" s="1022">
        <f t="shared" si="2"/>
        <v>0</v>
      </c>
      <c r="D21" s="1023">
        <f>SUMIFS('01工程产值对比表'!$M:$M,'01工程产值对比表'!$D:$D,A21,'01工程产值对比表'!$C:$C,A$2)</f>
        <v>70.66845</v>
      </c>
      <c r="F21" s="1024"/>
      <c r="H21" s="1023"/>
      <c r="I21" s="1035" t="s">
        <v>236</v>
      </c>
      <c r="J21" s="1031" t="s">
        <v>172</v>
      </c>
      <c r="K21" s="1036">
        <v>97345.13</v>
      </c>
      <c r="L21" s="1032">
        <f>SUMIFS('01工程产值对比表'!$M:$M,'01工程产值对比表'!$D:$D,I21,'01工程产值对比表'!$C:$C,I$2)</f>
        <v>0</v>
      </c>
      <c r="M21" s="1033"/>
      <c r="N21" s="1033"/>
      <c r="O21" s="1033"/>
      <c r="P21" s="1034"/>
      <c r="Q21" t="s">
        <v>237</v>
      </c>
      <c r="R21" s="681" t="s">
        <v>69</v>
      </c>
      <c r="S21">
        <v>50</v>
      </c>
      <c r="T21" s="1023">
        <f>SUMIFS('01工程产值对比表'!$M:$M,'01工程产值对比表'!$D:$D,Q21,'01工程产值对比表'!$C:$C,Q$2)</f>
        <v>0</v>
      </c>
      <c r="U21" s="1023"/>
      <c r="V21" s="1023"/>
      <c r="W21" s="1023"/>
      <c r="X21" s="1034"/>
      <c r="Y21" t="s">
        <v>238</v>
      </c>
      <c r="Z21" t="s">
        <v>169</v>
      </c>
      <c r="AA21">
        <v>300</v>
      </c>
      <c r="AB21" s="1023">
        <f>SUMIFS('01工程产值对比表'!$M:$M,'01工程产值对比表'!$D:$D,Y21,'01工程产值对比表'!$C:$C,Y$2)</f>
        <v>0</v>
      </c>
      <c r="AO21" t="s">
        <v>239</v>
      </c>
      <c r="AP21" s="1041" t="s">
        <v>72</v>
      </c>
      <c r="AQ21" s="1042">
        <f>SUMIF($AU$5:$DQ$5,"合价*",AU21:DQ21)</f>
        <v>244.76592920354</v>
      </c>
      <c r="AR21" s="1043">
        <f>SUMIFS('01工程产值对比表'!$M:$M,'01工程产值对比表'!$D:$D,AO21,'01工程产值对比表'!$C:$C,"材料")</f>
        <v>82.45148</v>
      </c>
      <c r="AS21" s="1044">
        <f ca="1">SUMIFS('01工程产值对比表'!$T:$T,'01工程产值对比表'!$D:$D,AO21,'01工程产值对比表'!$C:$C,"材料")</f>
        <v>0</v>
      </c>
      <c r="AT21" s="1044">
        <f ca="1">SUMIFS('01工程产值对比表'!$V:$V,'01工程产值对比表'!$D:$D,AO21,'01工程产值对比表'!$C:$C,"材料")</f>
        <v>0.246212121212121</v>
      </c>
      <c r="AU21" s="902">
        <v>230</v>
      </c>
      <c r="AV21" s="902">
        <f t="shared" si="28"/>
        <v>0.353982300884956</v>
      </c>
      <c r="AW21" s="902">
        <f t="shared" si="3"/>
        <v>81.4159292035398</v>
      </c>
      <c r="AX21" s="902">
        <v>671</v>
      </c>
      <c r="AY21" s="902">
        <v>0.18</v>
      </c>
      <c r="AZ21" s="902">
        <f t="shared" si="4"/>
        <v>120.78</v>
      </c>
      <c r="BC21" s="902">
        <f t="shared" si="5"/>
        <v>0</v>
      </c>
      <c r="BF21" s="1052">
        <f t="shared" si="6"/>
        <v>0</v>
      </c>
      <c r="BG21" s="902">
        <v>473</v>
      </c>
      <c r="BH21" s="902">
        <v>0.09</v>
      </c>
      <c r="BI21" s="902">
        <f t="shared" si="7"/>
        <v>42.57</v>
      </c>
      <c r="BL21" s="902">
        <f t="shared" si="8"/>
        <v>0</v>
      </c>
      <c r="BM21" s="902">
        <v>0</v>
      </c>
      <c r="BN21" s="902">
        <v>26.75</v>
      </c>
      <c r="BO21" s="902">
        <f t="shared" si="9"/>
        <v>0</v>
      </c>
      <c r="BR21" s="902">
        <f t="shared" si="10"/>
        <v>0</v>
      </c>
      <c r="BU21" s="902">
        <f t="shared" si="11"/>
        <v>0</v>
      </c>
      <c r="BX21" s="902">
        <f t="shared" si="12"/>
        <v>0</v>
      </c>
      <c r="CA21" s="902">
        <f t="shared" si="13"/>
        <v>0</v>
      </c>
      <c r="CD21" s="902">
        <f t="shared" si="14"/>
        <v>0</v>
      </c>
      <c r="CG21" s="902">
        <f t="shared" si="15"/>
        <v>0</v>
      </c>
      <c r="CJ21" s="902">
        <f t="shared" si="16"/>
        <v>0</v>
      </c>
      <c r="CM21" s="902">
        <f t="shared" si="17"/>
        <v>0</v>
      </c>
      <c r="CP21">
        <f t="shared" si="18"/>
        <v>0</v>
      </c>
      <c r="CS21">
        <f t="shared" si="19"/>
        <v>0</v>
      </c>
      <c r="CV21">
        <f t="shared" si="20"/>
        <v>0</v>
      </c>
      <c r="CY21">
        <f t="shared" si="21"/>
        <v>0</v>
      </c>
      <c r="DB21">
        <f t="shared" si="22"/>
        <v>0</v>
      </c>
      <c r="DE21">
        <f t="shared" si="23"/>
        <v>0</v>
      </c>
      <c r="DH21">
        <f t="shared" si="24"/>
        <v>0</v>
      </c>
      <c r="DK21">
        <f t="shared" si="25"/>
        <v>0</v>
      </c>
      <c r="DN21">
        <f t="shared" si="26"/>
        <v>0</v>
      </c>
      <c r="DQ21">
        <f t="shared" si="27"/>
        <v>0</v>
      </c>
    </row>
    <row r="22" ht="16.5" spans="1:121">
      <c r="A22" t="str">
        <f t="shared" si="0"/>
        <v>AC-20</v>
      </c>
      <c r="B22" s="681" t="str">
        <f t="shared" si="1"/>
        <v>m3</v>
      </c>
      <c r="C22" s="1022">
        <f t="shared" si="2"/>
        <v>0</v>
      </c>
      <c r="D22" s="1023">
        <f>SUMIFS('01工程产值对比表'!$M:$M,'01工程产值对比表'!$D:$D,A22,'01工程产值对比表'!$C:$C,A$2)</f>
        <v>104.22426</v>
      </c>
      <c r="F22" s="1024"/>
      <c r="H22" s="1023"/>
      <c r="I22" s="1035" t="s">
        <v>240</v>
      </c>
      <c r="J22" s="1031" t="s">
        <v>172</v>
      </c>
      <c r="K22" s="1036">
        <v>28318.58</v>
      </c>
      <c r="L22" s="1032">
        <f>SUMIFS('01工程产值对比表'!$M:$M,'01工程产值对比表'!$D:$D,I22,'01工程产值对比表'!$C:$C,I$2)</f>
        <v>0</v>
      </c>
      <c r="M22" s="1033"/>
      <c r="N22" s="1033"/>
      <c r="O22" s="1033"/>
      <c r="P22" s="1034"/>
      <c r="Q22" t="s">
        <v>165</v>
      </c>
      <c r="R22" s="681" t="s">
        <v>72</v>
      </c>
      <c r="S22">
        <v>60</v>
      </c>
      <c r="T22" s="1023">
        <f>SUMIFS('01工程产值对比表'!$M:$M,'01工程产值对比表'!$D:$D,Q22,'01工程产值对比表'!$C:$C,Q$2)</f>
        <v>0</v>
      </c>
      <c r="U22" s="1023"/>
      <c r="V22" s="1023"/>
      <c r="W22" s="1023"/>
      <c r="X22" s="1034"/>
      <c r="Y22" t="s">
        <v>241</v>
      </c>
      <c r="Z22" t="s">
        <v>169</v>
      </c>
      <c r="AA22">
        <v>300</v>
      </c>
      <c r="AB22" s="1023">
        <f>SUMIFS('01工程产值对比表'!$M:$M,'01工程产值对比表'!$D:$D,Y22,'01工程产值对比表'!$C:$C,Y$2)</f>
        <v>0</v>
      </c>
      <c r="AO22" t="s">
        <v>242</v>
      </c>
      <c r="AP22" s="1041" t="s">
        <v>72</v>
      </c>
      <c r="AQ22" s="1042">
        <f>SUMIF($AU$5:$DQ$5,"合价*",AU22:DQ22)</f>
        <v>169.888871681416</v>
      </c>
      <c r="AR22" s="1043">
        <f>SUMIFS('01工程产值对比表'!$M:$M,'01工程产值对比表'!$D:$D,AO22,'01工程产值对比表'!$C:$C,"材料")</f>
        <v>0</v>
      </c>
      <c r="AS22" s="1044">
        <f ca="1">SUMIFS('01工程产值对比表'!$T:$T,'01工程产值对比表'!$D:$D,AO22,'01工程产值对比表'!$C:$C,"材料")</f>
        <v>0</v>
      </c>
      <c r="AT22" s="1044">
        <f ca="1">SUMIFS('01工程产值对比表'!$V:$V,'01工程产值对比表'!$D:$D,AO22,'01工程产值对比表'!$C:$C,"材料")</f>
        <v>0</v>
      </c>
      <c r="AU22" s="902">
        <v>205</v>
      </c>
      <c r="AV22" s="902">
        <f t="shared" si="28"/>
        <v>0.353982300884956</v>
      </c>
      <c r="AW22" s="902">
        <f t="shared" si="3"/>
        <v>72.5663716814159</v>
      </c>
      <c r="AZ22" s="902">
        <f t="shared" si="4"/>
        <v>0</v>
      </c>
      <c r="BC22" s="902">
        <f t="shared" si="5"/>
        <v>0</v>
      </c>
      <c r="BF22" s="1052">
        <f t="shared" si="6"/>
        <v>0</v>
      </c>
      <c r="BG22" s="902">
        <v>830.25</v>
      </c>
      <c r="BH22" s="902">
        <v>0.09</v>
      </c>
      <c r="BI22" s="902">
        <f t="shared" si="7"/>
        <v>74.7225</v>
      </c>
      <c r="BJ22" s="902">
        <v>113</v>
      </c>
      <c r="BK22" s="902">
        <v>0.2</v>
      </c>
      <c r="BL22" s="902">
        <f t="shared" si="8"/>
        <v>22.6</v>
      </c>
      <c r="BM22" s="902">
        <v>0</v>
      </c>
      <c r="BN22" s="902">
        <v>26.75</v>
      </c>
      <c r="BO22" s="902">
        <f t="shared" si="9"/>
        <v>0</v>
      </c>
      <c r="BR22" s="902">
        <f t="shared" si="10"/>
        <v>0</v>
      </c>
      <c r="BU22" s="902">
        <f t="shared" si="11"/>
        <v>0</v>
      </c>
      <c r="BX22" s="902">
        <f t="shared" si="12"/>
        <v>0</v>
      </c>
      <c r="CA22" s="902">
        <f t="shared" si="13"/>
        <v>0</v>
      </c>
      <c r="CD22" s="902">
        <f t="shared" si="14"/>
        <v>0</v>
      </c>
      <c r="CG22" s="902">
        <f t="shared" si="15"/>
        <v>0</v>
      </c>
      <c r="CJ22" s="902">
        <f t="shared" si="16"/>
        <v>0</v>
      </c>
      <c r="CM22" s="902">
        <f t="shared" si="17"/>
        <v>0</v>
      </c>
      <c r="CP22">
        <f t="shared" si="18"/>
        <v>0</v>
      </c>
      <c r="CS22">
        <f t="shared" si="19"/>
        <v>0</v>
      </c>
      <c r="CV22">
        <f t="shared" si="20"/>
        <v>0</v>
      </c>
      <c r="CY22">
        <f t="shared" si="21"/>
        <v>0</v>
      </c>
      <c r="DB22">
        <f t="shared" si="22"/>
        <v>0</v>
      </c>
      <c r="DE22">
        <f t="shared" si="23"/>
        <v>0</v>
      </c>
      <c r="DH22">
        <f t="shared" si="24"/>
        <v>0</v>
      </c>
      <c r="DK22">
        <f t="shared" si="25"/>
        <v>0</v>
      </c>
      <c r="DN22">
        <f t="shared" si="26"/>
        <v>0</v>
      </c>
      <c r="DQ22">
        <f t="shared" si="27"/>
        <v>0</v>
      </c>
    </row>
    <row r="23" ht="16.5" spans="1:121">
      <c r="A23" t="str">
        <f t="shared" si="0"/>
        <v>AC-25</v>
      </c>
      <c r="B23" s="681" t="str">
        <f t="shared" si="1"/>
        <v>m3</v>
      </c>
      <c r="C23" s="1022">
        <f t="shared" si="2"/>
        <v>0</v>
      </c>
      <c r="D23" s="1023">
        <f>SUMIFS('01工程产值对比表'!$M:$M,'01工程产值对比表'!$D:$D,A23,'01工程产值对比表'!$C:$C,A$2)</f>
        <v>0</v>
      </c>
      <c r="F23" s="1024"/>
      <c r="H23" s="1023"/>
      <c r="I23" s="1035" t="s">
        <v>243</v>
      </c>
      <c r="J23" s="1031" t="s">
        <v>172</v>
      </c>
      <c r="K23" s="1036">
        <v>35398.23</v>
      </c>
      <c r="L23" s="1032">
        <f>SUMIFS('01工程产值对比表'!$M:$M,'01工程产值对比表'!$D:$D,I23,'01工程产值对比表'!$C:$C,I$2)</f>
        <v>0</v>
      </c>
      <c r="M23" s="1033"/>
      <c r="N23" s="1033"/>
      <c r="O23" s="1033"/>
      <c r="P23" s="1034"/>
      <c r="Q23" t="s">
        <v>244</v>
      </c>
      <c r="R23" s="681" t="s">
        <v>76</v>
      </c>
      <c r="S23">
        <v>40000</v>
      </c>
      <c r="T23" s="1023">
        <f>SUMIFS('01工程产值对比表'!$M:$M,'01工程产值对比表'!$D:$D,Q23,'01工程产值对比表'!$C:$C,Q$2)</f>
        <v>0</v>
      </c>
      <c r="U23" s="1023"/>
      <c r="V23" s="1023"/>
      <c r="W23" s="1023"/>
      <c r="X23" s="1034"/>
      <c r="Y23" t="s">
        <v>245</v>
      </c>
      <c r="Z23" t="s">
        <v>169</v>
      </c>
      <c r="AA23">
        <v>800</v>
      </c>
      <c r="AB23" s="1023">
        <f>SUMIFS('01工程产值对比表'!$M:$M,'01工程产值对比表'!$D:$D,Y23,'01工程产值对比表'!$C:$C,Y$2)</f>
        <v>0</v>
      </c>
      <c r="AO23" t="s">
        <v>246</v>
      </c>
      <c r="AP23" s="1041" t="s">
        <v>72</v>
      </c>
      <c r="AQ23" s="1042">
        <f>SUMIF($AU$5:$DQ$5,"合价*",AU23:DQ23)</f>
        <v>0</v>
      </c>
      <c r="AR23" s="1043">
        <f>SUMIFS('01工程产值对比表'!$M:$M,'01工程产值对比表'!$D:$D,AO23,'01工程产值对比表'!$C:$C,"材料")</f>
        <v>0</v>
      </c>
      <c r="AS23" s="1044">
        <f ca="1">SUMIFS('01工程产值对比表'!$T:$T,'01工程产值对比表'!$D:$D,AO23,'01工程产值对比表'!$C:$C,"材料")</f>
        <v>0</v>
      </c>
      <c r="AT23" s="1044">
        <f ca="1">SUMIFS('01工程产值对比表'!$V:$V,'01工程产值对比表'!$D:$D,AO23,'01工程产值对比表'!$C:$C,"材料")</f>
        <v>0</v>
      </c>
      <c r="AW23" s="902">
        <f t="shared" si="3"/>
        <v>0</v>
      </c>
      <c r="AZ23" s="902">
        <f t="shared" si="4"/>
        <v>0</v>
      </c>
      <c r="BC23" s="902">
        <f t="shared" si="5"/>
        <v>0</v>
      </c>
      <c r="BF23" s="1052">
        <f t="shared" si="6"/>
        <v>0</v>
      </c>
      <c r="BI23" s="902">
        <f t="shared" si="7"/>
        <v>0</v>
      </c>
      <c r="BL23" s="902">
        <f t="shared" si="8"/>
        <v>0</v>
      </c>
      <c r="BO23" s="902">
        <f t="shared" si="9"/>
        <v>0</v>
      </c>
      <c r="BR23" s="902">
        <f t="shared" si="10"/>
        <v>0</v>
      </c>
      <c r="BU23" s="902">
        <f t="shared" si="11"/>
        <v>0</v>
      </c>
      <c r="BX23" s="902">
        <f t="shared" si="12"/>
        <v>0</v>
      </c>
      <c r="CA23" s="902">
        <f t="shared" si="13"/>
        <v>0</v>
      </c>
      <c r="CD23" s="902">
        <f t="shared" si="14"/>
        <v>0</v>
      </c>
      <c r="CG23" s="902">
        <f t="shared" si="15"/>
        <v>0</v>
      </c>
      <c r="CJ23" s="902">
        <f t="shared" si="16"/>
        <v>0</v>
      </c>
      <c r="CM23" s="902">
        <f t="shared" si="17"/>
        <v>0</v>
      </c>
      <c r="CP23">
        <f t="shared" si="18"/>
        <v>0</v>
      </c>
      <c r="CS23">
        <f t="shared" si="19"/>
        <v>0</v>
      </c>
      <c r="CV23">
        <f t="shared" si="20"/>
        <v>0</v>
      </c>
      <c r="CY23">
        <f t="shared" si="21"/>
        <v>0</v>
      </c>
      <c r="DB23">
        <f t="shared" si="22"/>
        <v>0</v>
      </c>
      <c r="DE23">
        <f t="shared" si="23"/>
        <v>0</v>
      </c>
      <c r="DH23">
        <f t="shared" si="24"/>
        <v>0</v>
      </c>
      <c r="DK23">
        <f t="shared" si="25"/>
        <v>0</v>
      </c>
      <c r="DN23">
        <f t="shared" si="26"/>
        <v>0</v>
      </c>
      <c r="DQ23">
        <f t="shared" si="27"/>
        <v>0</v>
      </c>
    </row>
    <row r="24" ht="16.5" spans="1:121">
      <c r="A24" t="str">
        <f t="shared" si="0"/>
        <v>SMA-13</v>
      </c>
      <c r="B24" s="681" t="str">
        <f t="shared" si="1"/>
        <v>m3</v>
      </c>
      <c r="C24" s="1022">
        <f t="shared" si="2"/>
        <v>0</v>
      </c>
      <c r="D24" s="1023">
        <f>SUMIFS('01工程产值对比表'!$M:$M,'01工程产值对比表'!$D:$D,A24,'01工程产值对比表'!$C:$C,A$2)</f>
        <v>565.0638</v>
      </c>
      <c r="F24" s="1024"/>
      <c r="H24" s="1023"/>
      <c r="I24" s="1035" t="s">
        <v>247</v>
      </c>
      <c r="J24" s="1031" t="s">
        <v>172</v>
      </c>
      <c r="K24" s="1036">
        <v>115044.25</v>
      </c>
      <c r="L24" s="1032">
        <f>SUMIFS('01工程产值对比表'!$M:$M,'01工程产值对比表'!$D:$D,I24,'01工程产值对比表'!$C:$C,I$2)</f>
        <v>0</v>
      </c>
      <c r="M24" s="1033"/>
      <c r="N24" s="1033"/>
      <c r="O24" s="1033"/>
      <c r="P24" s="1034"/>
      <c r="Q24" t="s">
        <v>248</v>
      </c>
      <c r="R24" s="681" t="s">
        <v>69</v>
      </c>
      <c r="S24">
        <v>10</v>
      </c>
      <c r="T24" s="1023">
        <f>SUMIFS('01工程产值对比表'!$M:$M,'01工程产值对比表'!$D:$D,Q24,'01工程产值对比表'!$C:$C,Q$2)</f>
        <v>399.64</v>
      </c>
      <c r="U24" s="1023"/>
      <c r="V24" s="1023"/>
      <c r="W24" s="1023"/>
      <c r="X24" s="1034"/>
      <c r="Y24" t="s">
        <v>249</v>
      </c>
      <c r="Z24" t="s">
        <v>169</v>
      </c>
      <c r="AA24">
        <v>800</v>
      </c>
      <c r="AB24" s="1023">
        <f>SUMIFS('01工程产值对比表'!$M:$M,'01工程产值对比表'!$D:$D,Y24,'01工程产值对比表'!$C:$C,Y$2)</f>
        <v>0</v>
      </c>
      <c r="AO24" t="s">
        <v>250</v>
      </c>
      <c r="AP24" s="1041" t="s">
        <v>72</v>
      </c>
      <c r="AQ24" s="1042">
        <f>SUMIF($AU$5:$DQ$5,"合价*",AU24:DQ24)</f>
        <v>0</v>
      </c>
      <c r="AR24" s="1043">
        <f>SUMIFS('01工程产值对比表'!$M:$M,'01工程产值对比表'!$D:$D,AO24,'01工程产值对比表'!$C:$C,"材料")</f>
        <v>70.66845</v>
      </c>
      <c r="AS24" s="1044">
        <f ca="1">SUMIFS('01工程产值对比表'!$T:$T,'01工程产值对比表'!$D:$D,AO24,'01工程产值对比表'!$C:$C,"材料")</f>
        <v>0</v>
      </c>
      <c r="AT24" s="1044">
        <f ca="1">SUMIFS('01工程产值对比表'!$V:$V,'01工程产值对比表'!$D:$D,AO24,'01工程产值对比表'!$C:$C,"材料")</f>
        <v>0</v>
      </c>
      <c r="AW24" s="902">
        <f t="shared" si="3"/>
        <v>0</v>
      </c>
      <c r="AZ24" s="902">
        <f t="shared" si="4"/>
        <v>0</v>
      </c>
      <c r="BC24" s="902">
        <f t="shared" si="5"/>
        <v>0</v>
      </c>
      <c r="BF24" s="1052">
        <f t="shared" si="6"/>
        <v>0</v>
      </c>
      <c r="BI24" s="902">
        <f t="shared" si="7"/>
        <v>0</v>
      </c>
      <c r="BL24" s="902">
        <f t="shared" si="8"/>
        <v>0</v>
      </c>
      <c r="BO24" s="902">
        <f t="shared" si="9"/>
        <v>0</v>
      </c>
      <c r="BR24" s="902">
        <f t="shared" si="10"/>
        <v>0</v>
      </c>
      <c r="BU24" s="902">
        <f t="shared" si="11"/>
        <v>0</v>
      </c>
      <c r="BX24" s="902">
        <f t="shared" si="12"/>
        <v>0</v>
      </c>
      <c r="CA24" s="902">
        <f t="shared" si="13"/>
        <v>0</v>
      </c>
      <c r="CD24" s="902">
        <f t="shared" si="14"/>
        <v>0</v>
      </c>
      <c r="CG24" s="902">
        <f t="shared" si="15"/>
        <v>0</v>
      </c>
      <c r="CJ24" s="902">
        <f t="shared" si="16"/>
        <v>0</v>
      </c>
      <c r="CM24" s="902">
        <f t="shared" si="17"/>
        <v>0</v>
      </c>
      <c r="CP24">
        <f t="shared" si="18"/>
        <v>0</v>
      </c>
      <c r="CS24">
        <f t="shared" si="19"/>
        <v>0</v>
      </c>
      <c r="CV24">
        <f t="shared" si="20"/>
        <v>0</v>
      </c>
      <c r="CY24">
        <f t="shared" si="21"/>
        <v>0</v>
      </c>
      <c r="DB24">
        <f t="shared" si="22"/>
        <v>0</v>
      </c>
      <c r="DE24">
        <f t="shared" si="23"/>
        <v>0</v>
      </c>
      <c r="DH24">
        <f t="shared" si="24"/>
        <v>0</v>
      </c>
      <c r="DK24">
        <f t="shared" si="25"/>
        <v>0</v>
      </c>
      <c r="DN24">
        <f t="shared" si="26"/>
        <v>0</v>
      </c>
      <c r="DQ24">
        <f t="shared" si="27"/>
        <v>0</v>
      </c>
    </row>
    <row r="25" ht="16.5" spans="1:121">
      <c r="A25" t="str">
        <f t="shared" si="0"/>
        <v>改性AC25</v>
      </c>
      <c r="B25" s="681" t="str">
        <f t="shared" si="1"/>
        <v>m3</v>
      </c>
      <c r="C25">
        <f t="shared" si="2"/>
        <v>0</v>
      </c>
      <c r="D25" s="1023">
        <f>SUMIFS('01工程产值对比表'!$M:$M,'01工程产值对比表'!$D:$D,A25,'01工程产值对比表'!$C:$C,A$2)</f>
        <v>0</v>
      </c>
      <c r="F25" s="1024"/>
      <c r="H25" s="1023"/>
      <c r="I25" s="1035" t="s">
        <v>251</v>
      </c>
      <c r="J25" s="1031" t="s">
        <v>172</v>
      </c>
      <c r="K25" s="1036">
        <v>26548.67</v>
      </c>
      <c r="L25" s="1032">
        <f>SUMIFS('01工程产值对比表'!$M:$M,'01工程产值对比表'!$D:$D,I25,'01工程产值对比表'!$C:$C,I$2)</f>
        <v>0</v>
      </c>
      <c r="M25" s="1033"/>
      <c r="N25" s="1033"/>
      <c r="O25" s="1033"/>
      <c r="P25" s="1034"/>
      <c r="Q25" t="s">
        <v>252</v>
      </c>
      <c r="R25" s="681" t="s">
        <v>72</v>
      </c>
      <c r="S25">
        <v>50</v>
      </c>
      <c r="T25" s="1023">
        <f>SUMIFS('01工程产值对比表'!$M:$M,'01工程产值对比表'!$D:$D,Q25,'01工程产值对比表'!$C:$C,Q$2)</f>
        <v>0</v>
      </c>
      <c r="U25" s="1023"/>
      <c r="V25" s="1023"/>
      <c r="W25" s="1023"/>
      <c r="X25" s="1034"/>
      <c r="Y25" t="s">
        <v>253</v>
      </c>
      <c r="Z25" t="s">
        <v>169</v>
      </c>
      <c r="AA25">
        <v>5000</v>
      </c>
      <c r="AB25" s="1023">
        <f>SUMIFS('01工程产值对比表'!$M:$M,'01工程产值对比表'!$D:$D,Y25,'01工程产值对比表'!$C:$C,Y$2)</f>
        <v>0</v>
      </c>
      <c r="AO25" t="s">
        <v>254</v>
      </c>
      <c r="AP25" s="1041" t="s">
        <v>72</v>
      </c>
      <c r="AQ25" s="1042">
        <f>SUMIF($AU$5:$DQ$5,"合价*",AU25:DQ25)</f>
        <v>0</v>
      </c>
      <c r="AR25" s="1043">
        <f>SUMIFS('01工程产值对比表'!$M:$M,'01工程产值对比表'!$D:$D,AO25,'01工程产值对比表'!$C:$C,"材料")</f>
        <v>104.22426</v>
      </c>
      <c r="AS25" s="1044">
        <f ca="1">SUMIFS('01工程产值对比表'!$T:$T,'01工程产值对比表'!$D:$D,AO25,'01工程产值对比表'!$C:$C,"材料")</f>
        <v>0</v>
      </c>
      <c r="AT25" s="1044">
        <f ca="1">SUMIFS('01工程产值对比表'!$V:$V,'01工程产值对比表'!$D:$D,AO25,'01工程产值对比表'!$C:$C,"材料")</f>
        <v>0</v>
      </c>
      <c r="AW25" s="902">
        <f t="shared" si="3"/>
        <v>0</v>
      </c>
      <c r="AZ25" s="902">
        <f t="shared" si="4"/>
        <v>0</v>
      </c>
      <c r="BC25" s="902">
        <f t="shared" si="5"/>
        <v>0</v>
      </c>
      <c r="BF25" s="1052">
        <f t="shared" si="6"/>
        <v>0</v>
      </c>
      <c r="BI25" s="902">
        <f t="shared" si="7"/>
        <v>0</v>
      </c>
      <c r="BL25" s="902">
        <f t="shared" si="8"/>
        <v>0</v>
      </c>
      <c r="BO25" s="902">
        <f t="shared" si="9"/>
        <v>0</v>
      </c>
      <c r="BR25" s="902">
        <f t="shared" si="10"/>
        <v>0</v>
      </c>
      <c r="BU25" s="902">
        <f t="shared" si="11"/>
        <v>0</v>
      </c>
      <c r="BX25" s="902">
        <f t="shared" si="12"/>
        <v>0</v>
      </c>
      <c r="CA25" s="902">
        <f t="shared" si="13"/>
        <v>0</v>
      </c>
      <c r="CD25" s="902">
        <f t="shared" si="14"/>
        <v>0</v>
      </c>
      <c r="CG25" s="902">
        <f t="shared" si="15"/>
        <v>0</v>
      </c>
      <c r="CJ25" s="902">
        <f t="shared" si="16"/>
        <v>0</v>
      </c>
      <c r="CM25" s="902">
        <f t="shared" si="17"/>
        <v>0</v>
      </c>
      <c r="CP25">
        <f t="shared" si="18"/>
        <v>0</v>
      </c>
      <c r="CS25">
        <f t="shared" si="19"/>
        <v>0</v>
      </c>
      <c r="CV25">
        <f t="shared" si="20"/>
        <v>0</v>
      </c>
      <c r="CY25">
        <f t="shared" si="21"/>
        <v>0</v>
      </c>
      <c r="DB25">
        <f t="shared" si="22"/>
        <v>0</v>
      </c>
      <c r="DE25">
        <f t="shared" si="23"/>
        <v>0</v>
      </c>
      <c r="DH25">
        <f t="shared" si="24"/>
        <v>0</v>
      </c>
      <c r="DK25">
        <f t="shared" si="25"/>
        <v>0</v>
      </c>
      <c r="DN25">
        <f t="shared" si="26"/>
        <v>0</v>
      </c>
      <c r="DQ25">
        <f t="shared" si="27"/>
        <v>0</v>
      </c>
    </row>
    <row r="26" ht="28.5" spans="1:121">
      <c r="A26" s="873" t="s">
        <v>255</v>
      </c>
      <c r="B26" s="681" t="s">
        <v>76</v>
      </c>
      <c r="C26">
        <v>180</v>
      </c>
      <c r="D26" s="1023">
        <f>SUMIFS('01工程产值对比表'!$M:$M,'01工程产值对比表'!$D:$D,A26,'01工程产值对比表'!$C:$C,A$2)</f>
        <v>0</v>
      </c>
      <c r="F26" s="1024"/>
      <c r="H26" s="1023"/>
      <c r="I26" s="1035" t="s">
        <v>256</v>
      </c>
      <c r="J26" s="1031" t="s">
        <v>172</v>
      </c>
      <c r="K26" s="1036">
        <v>18000</v>
      </c>
      <c r="L26" s="1032">
        <f>SUMIFS('01工程产值对比表'!$M:$M,'01工程产值对比表'!$D:$D,I26,'01工程产值对比表'!$C:$C,I$2)</f>
        <v>0</v>
      </c>
      <c r="M26" s="1033"/>
      <c r="N26" s="1033"/>
      <c r="O26" s="1033"/>
      <c r="P26" s="1034"/>
      <c r="Q26" t="s">
        <v>257</v>
      </c>
      <c r="R26" s="681" t="s">
        <v>72</v>
      </c>
      <c r="S26">
        <v>60</v>
      </c>
      <c r="T26" s="1023">
        <f>SUMIFS('01工程产值对比表'!$M:$M,'01工程产值对比表'!$D:$D,Q26,'01工程产值对比表'!$C:$C,Q$2)</f>
        <v>0</v>
      </c>
      <c r="U26" s="1023"/>
      <c r="V26" s="1023"/>
      <c r="W26" s="1023"/>
      <c r="X26" s="1034"/>
      <c r="Y26" t="s">
        <v>258</v>
      </c>
      <c r="Z26" t="s">
        <v>169</v>
      </c>
      <c r="AA26">
        <v>1200</v>
      </c>
      <c r="AB26" s="1023">
        <f>SUMIFS('01工程产值对比表'!$M:$M,'01工程产值对比表'!$D:$D,Y26,'01工程产值对比表'!$C:$C,Y$2)</f>
        <v>0</v>
      </c>
      <c r="AO26" t="s">
        <v>259</v>
      </c>
      <c r="AP26" s="1041" t="s">
        <v>72</v>
      </c>
      <c r="AQ26" s="1042">
        <f>SUMIF($AU$5:$DQ$5,"合价*",AU26:DQ26)</f>
        <v>0</v>
      </c>
      <c r="AR26" s="1043">
        <f>SUMIFS('01工程产值对比表'!$M:$M,'01工程产值对比表'!$D:$D,AO26,'01工程产值对比表'!$C:$C,"材料")</f>
        <v>0</v>
      </c>
      <c r="AS26" s="1044">
        <f ca="1">SUMIFS('01工程产值对比表'!$T:$T,'01工程产值对比表'!$D:$D,AO26,'01工程产值对比表'!$C:$C,"材料")</f>
        <v>0</v>
      </c>
      <c r="AT26" s="1044">
        <f ca="1">SUMIFS('01工程产值对比表'!$V:$V,'01工程产值对比表'!$D:$D,AO26,'01工程产值对比表'!$C:$C,"材料")</f>
        <v>0</v>
      </c>
      <c r="AW26" s="902">
        <f t="shared" si="3"/>
        <v>0</v>
      </c>
      <c r="AZ26" s="902">
        <f t="shared" si="4"/>
        <v>0</v>
      </c>
      <c r="BC26" s="902">
        <f t="shared" si="5"/>
        <v>0</v>
      </c>
      <c r="BF26" s="1052">
        <f t="shared" si="6"/>
        <v>0</v>
      </c>
      <c r="BI26" s="902">
        <f t="shared" si="7"/>
        <v>0</v>
      </c>
      <c r="BL26" s="902">
        <f t="shared" si="8"/>
        <v>0</v>
      </c>
      <c r="BO26" s="902">
        <f t="shared" si="9"/>
        <v>0</v>
      </c>
      <c r="BR26" s="902">
        <f t="shared" si="10"/>
        <v>0</v>
      </c>
      <c r="BU26" s="902">
        <f t="shared" si="11"/>
        <v>0</v>
      </c>
      <c r="BX26" s="902">
        <f t="shared" si="12"/>
        <v>0</v>
      </c>
      <c r="CA26" s="902">
        <f t="shared" si="13"/>
        <v>0</v>
      </c>
      <c r="CD26" s="902">
        <f t="shared" si="14"/>
        <v>0</v>
      </c>
      <c r="CG26" s="902">
        <f t="shared" si="15"/>
        <v>0</v>
      </c>
      <c r="CJ26" s="902">
        <f t="shared" si="16"/>
        <v>0</v>
      </c>
      <c r="CM26" s="902">
        <f t="shared" si="17"/>
        <v>0</v>
      </c>
      <c r="CP26">
        <f t="shared" si="18"/>
        <v>0</v>
      </c>
      <c r="CS26">
        <f t="shared" si="19"/>
        <v>0</v>
      </c>
      <c r="CV26">
        <f t="shared" si="20"/>
        <v>0</v>
      </c>
      <c r="CY26">
        <f t="shared" si="21"/>
        <v>0</v>
      </c>
      <c r="DB26">
        <f t="shared" si="22"/>
        <v>0</v>
      </c>
      <c r="DE26">
        <f t="shared" si="23"/>
        <v>0</v>
      </c>
      <c r="DH26">
        <f t="shared" si="24"/>
        <v>0</v>
      </c>
      <c r="DK26">
        <f t="shared" si="25"/>
        <v>0</v>
      </c>
      <c r="DN26">
        <f t="shared" si="26"/>
        <v>0</v>
      </c>
      <c r="DQ26">
        <f t="shared" si="27"/>
        <v>0</v>
      </c>
    </row>
    <row r="27" ht="16.5" spans="1:121">
      <c r="A27" t="s">
        <v>260</v>
      </c>
      <c r="B27" s="681" t="s">
        <v>169</v>
      </c>
      <c r="C27">
        <v>150</v>
      </c>
      <c r="D27" s="1023">
        <f>SUMIFS('01工程产值对比表'!$M:$M,'01工程产值对比表'!$D:$D,A27,'01工程产值对比表'!$C:$C,A$2)</f>
        <v>0</v>
      </c>
      <c r="F27" s="1024"/>
      <c r="H27" s="1023"/>
      <c r="I27" s="1035" t="s">
        <v>261</v>
      </c>
      <c r="J27" s="1031" t="s">
        <v>172</v>
      </c>
      <c r="K27" s="1036">
        <v>70000</v>
      </c>
      <c r="L27" s="1032">
        <f>SUMIFS('01工程产值对比表'!$M:$M,'01工程产值对比表'!$D:$D,I27,'01工程产值对比表'!$C:$C,I$2)</f>
        <v>0</v>
      </c>
      <c r="M27" s="1033"/>
      <c r="N27" s="1033"/>
      <c r="O27" s="1033"/>
      <c r="P27" s="1034"/>
      <c r="Q27" t="s">
        <v>262</v>
      </c>
      <c r="R27" s="681" t="s">
        <v>69</v>
      </c>
      <c r="S27">
        <v>55</v>
      </c>
      <c r="T27" s="1023">
        <f>SUMIFS('01工程产值对比表'!$M:$M,'01工程产值对比表'!$D:$D,Q27,'01工程产值对比表'!$C:$C,Q$2)</f>
        <v>9893.12492</v>
      </c>
      <c r="U27" s="1023"/>
      <c r="V27" s="1023"/>
      <c r="W27" s="1023"/>
      <c r="X27" s="1034"/>
      <c r="Y27" t="s">
        <v>263</v>
      </c>
      <c r="Z27" t="s">
        <v>169</v>
      </c>
      <c r="AA27">
        <v>3000</v>
      </c>
      <c r="AB27" s="1023">
        <f>SUMIFS('01工程产值对比表'!$M:$M,'01工程产值对比表'!$D:$D,Y27,'01工程产值对比表'!$C:$C,Y$2)</f>
        <v>0</v>
      </c>
      <c r="AO27" t="s">
        <v>264</v>
      </c>
      <c r="AP27" s="1041" t="s">
        <v>72</v>
      </c>
      <c r="AQ27" s="1042">
        <f>SUMIF($AU$5:$DQ$5,"合价*",AU27:DQ27)</f>
        <v>0</v>
      </c>
      <c r="AR27" s="1043">
        <f>SUMIFS('01工程产值对比表'!$M:$M,'01工程产值对比表'!$D:$D,AO27,'01工程产值对比表'!$C:$C,"材料")</f>
        <v>565.0638</v>
      </c>
      <c r="AS27" s="1044">
        <f ca="1">SUMIFS('01工程产值对比表'!$T:$T,'01工程产值对比表'!$D:$D,AO27,'01工程产值对比表'!$C:$C,"材料")</f>
        <v>0</v>
      </c>
      <c r="AT27" s="1044">
        <f ca="1">SUMIFS('01工程产值对比表'!$V:$V,'01工程产值对比表'!$D:$D,AO27,'01工程产值对比表'!$C:$C,"材料")</f>
        <v>0</v>
      </c>
      <c r="AW27" s="902">
        <f t="shared" si="3"/>
        <v>0</v>
      </c>
      <c r="AZ27" s="902">
        <f t="shared" si="4"/>
        <v>0</v>
      </c>
      <c r="BC27" s="902">
        <f t="shared" si="5"/>
        <v>0</v>
      </c>
      <c r="BF27" s="1052">
        <f t="shared" si="6"/>
        <v>0</v>
      </c>
      <c r="BI27" s="902">
        <f t="shared" si="7"/>
        <v>0</v>
      </c>
      <c r="BL27" s="902">
        <f t="shared" si="8"/>
        <v>0</v>
      </c>
      <c r="BO27" s="902">
        <f t="shared" si="9"/>
        <v>0</v>
      </c>
      <c r="BR27" s="902">
        <f t="shared" si="10"/>
        <v>0</v>
      </c>
      <c r="BU27" s="902">
        <f t="shared" si="11"/>
        <v>0</v>
      </c>
      <c r="BX27" s="902">
        <f t="shared" si="12"/>
        <v>0</v>
      </c>
      <c r="CA27" s="902">
        <f t="shared" si="13"/>
        <v>0</v>
      </c>
      <c r="CD27" s="902">
        <f t="shared" si="14"/>
        <v>0</v>
      </c>
      <c r="CG27" s="902">
        <f t="shared" si="15"/>
        <v>0</v>
      </c>
      <c r="CJ27" s="902">
        <f t="shared" si="16"/>
        <v>0</v>
      </c>
      <c r="CM27" s="902">
        <f t="shared" si="17"/>
        <v>0</v>
      </c>
      <c r="CP27">
        <f t="shared" si="18"/>
        <v>0</v>
      </c>
      <c r="CS27">
        <f t="shared" si="19"/>
        <v>0</v>
      </c>
      <c r="CV27">
        <f t="shared" si="20"/>
        <v>0</v>
      </c>
      <c r="CY27">
        <f t="shared" si="21"/>
        <v>0</v>
      </c>
      <c r="DB27">
        <f t="shared" si="22"/>
        <v>0</v>
      </c>
      <c r="DE27">
        <f t="shared" si="23"/>
        <v>0</v>
      </c>
      <c r="DH27">
        <f t="shared" si="24"/>
        <v>0</v>
      </c>
      <c r="DK27">
        <f t="shared" si="25"/>
        <v>0</v>
      </c>
      <c r="DN27">
        <f t="shared" si="26"/>
        <v>0</v>
      </c>
      <c r="DQ27">
        <f t="shared" si="27"/>
        <v>0</v>
      </c>
    </row>
    <row r="28" ht="23" customHeight="1" spans="1:121">
      <c r="A28" t="s">
        <v>265</v>
      </c>
      <c r="B28" s="681" t="s">
        <v>72</v>
      </c>
      <c r="C28">
        <v>1044.5725</v>
      </c>
      <c r="D28" s="1023">
        <f>SUMIFS('01工程产值对比表'!$M:$M,'01工程产值对比表'!$D:$D,A28,'01工程产值对比表'!$C:$C,A$2)</f>
        <v>0</v>
      </c>
      <c r="F28" s="1024"/>
      <c r="H28" s="1023"/>
      <c r="I28" s="1035" t="s">
        <v>266</v>
      </c>
      <c r="J28" s="1031" t="s">
        <v>172</v>
      </c>
      <c r="K28" s="1036">
        <v>45000</v>
      </c>
      <c r="L28" s="1032">
        <f>SUMIFS('01工程产值对比表'!$M:$M,'01工程产值对比表'!$D:$D,I28,'01工程产值对比表'!$C:$C,I$2)</f>
        <v>0</v>
      </c>
      <c r="M28" s="1033"/>
      <c r="N28" s="1033"/>
      <c r="O28" s="1033"/>
      <c r="P28" s="1034"/>
      <c r="Q28" t="s">
        <v>267</v>
      </c>
      <c r="R28" s="681" t="s">
        <v>76</v>
      </c>
      <c r="S28">
        <v>10</v>
      </c>
      <c r="T28" s="1023">
        <f>SUMIFS('01工程产值对比表'!$M:$M,'01工程产值对比表'!$D:$D,Q28,'01工程产值对比表'!$C:$C,Q$2)</f>
        <v>0</v>
      </c>
      <c r="U28" s="1023"/>
      <c r="V28" s="1023"/>
      <c r="W28" s="1023"/>
      <c r="X28" s="1034"/>
      <c r="Y28" t="s">
        <v>268</v>
      </c>
      <c r="Z28" t="s">
        <v>76</v>
      </c>
      <c r="AA28">
        <v>55</v>
      </c>
      <c r="AB28" s="1023">
        <f>SUMIFS('01工程产值对比表'!$M:$M,'01工程产值对比表'!$D:$D,Y28,'01工程产值对比表'!$C:$C,Y$2)</f>
        <v>0</v>
      </c>
      <c r="AO28" t="s">
        <v>269</v>
      </c>
      <c r="AP28" s="1041" t="s">
        <v>72</v>
      </c>
      <c r="AQ28" s="1042">
        <f>SUMIF($AU$5:$DQ$5,"合价*",AU28:DQ28)</f>
        <v>0</v>
      </c>
      <c r="AR28" s="1043">
        <f>SUMIFS('01工程产值对比表'!$M:$M,'01工程产值对比表'!$D:$D,AO28,'01工程产值对比表'!$C:$C,"材料")</f>
        <v>0</v>
      </c>
      <c r="AS28" s="1044">
        <f ca="1">SUMIFS('01工程产值对比表'!$T:$T,'01工程产值对比表'!$D:$D,AO28,'01工程产值对比表'!$C:$C,"材料")</f>
        <v>0</v>
      </c>
      <c r="AT28" s="1044">
        <f ca="1">SUMIFS('01工程产值对比表'!$V:$V,'01工程产值对比表'!$D:$D,AO28,'01工程产值对比表'!$C:$C,"材料")</f>
        <v>0</v>
      </c>
      <c r="AW28" s="902">
        <f t="shared" si="3"/>
        <v>0</v>
      </c>
      <c r="AZ28" s="902">
        <f t="shared" si="4"/>
        <v>0</v>
      </c>
      <c r="BC28" s="902">
        <f t="shared" si="5"/>
        <v>0</v>
      </c>
      <c r="BF28" s="902">
        <f t="shared" si="6"/>
        <v>0</v>
      </c>
      <c r="BI28" s="902">
        <f t="shared" si="7"/>
        <v>0</v>
      </c>
      <c r="BL28" s="902">
        <f t="shared" si="8"/>
        <v>0</v>
      </c>
      <c r="BO28" s="902">
        <f t="shared" si="9"/>
        <v>0</v>
      </c>
      <c r="BR28" s="902">
        <f t="shared" si="10"/>
        <v>0</v>
      </c>
      <c r="BU28" s="902">
        <f t="shared" si="11"/>
        <v>0</v>
      </c>
      <c r="BX28" s="902">
        <f t="shared" si="12"/>
        <v>0</v>
      </c>
      <c r="CA28" s="902">
        <f t="shared" si="13"/>
        <v>0</v>
      </c>
      <c r="CD28" s="902">
        <f t="shared" si="14"/>
        <v>0</v>
      </c>
      <c r="CG28" s="902">
        <f t="shared" si="15"/>
        <v>0</v>
      </c>
      <c r="CJ28" s="902">
        <f t="shared" si="16"/>
        <v>0</v>
      </c>
      <c r="CM28" s="902">
        <f t="shared" si="17"/>
        <v>0</v>
      </c>
      <c r="CP28">
        <f t="shared" si="18"/>
        <v>0</v>
      </c>
      <c r="CS28">
        <f t="shared" si="19"/>
        <v>0</v>
      </c>
      <c r="CV28">
        <f t="shared" si="20"/>
        <v>0</v>
      </c>
      <c r="CY28">
        <f t="shared" si="21"/>
        <v>0</v>
      </c>
      <c r="DB28">
        <f t="shared" si="22"/>
        <v>0</v>
      </c>
      <c r="DE28">
        <f t="shared" si="23"/>
        <v>0</v>
      </c>
      <c r="DH28">
        <f t="shared" si="24"/>
        <v>0</v>
      </c>
      <c r="DK28">
        <f t="shared" si="25"/>
        <v>0</v>
      </c>
      <c r="DN28">
        <f t="shared" si="26"/>
        <v>0</v>
      </c>
      <c r="DQ28">
        <f t="shared" si="27"/>
        <v>0</v>
      </c>
    </row>
    <row r="29" ht="23" customHeight="1" spans="1:28">
      <c r="A29" t="s">
        <v>53</v>
      </c>
      <c r="B29" s="681" t="s">
        <v>82</v>
      </c>
      <c r="C29">
        <v>120</v>
      </c>
      <c r="D29" s="1023">
        <f>SUMIFS('01工程产值对比表'!$M:$M,'01工程产值对比表'!$D:$D,A29,'01工程产值对比表'!$C:$C,A$2)</f>
        <v>0</v>
      </c>
      <c r="F29" s="1024"/>
      <c r="H29" s="1023"/>
      <c r="I29" s="1035" t="s">
        <v>270</v>
      </c>
      <c r="J29" s="1031" t="s">
        <v>172</v>
      </c>
      <c r="K29" s="1036">
        <v>380000</v>
      </c>
      <c r="L29" s="1032">
        <f>SUMIFS('01工程产值对比表'!$M:$M,'01工程产值对比表'!$D:$D,I29,'01工程产值对比表'!$C:$C,I$2)</f>
        <v>0</v>
      </c>
      <c r="M29" s="1033"/>
      <c r="N29" s="1033"/>
      <c r="O29" s="1033"/>
      <c r="P29" s="1034"/>
      <c r="Q29" t="s">
        <v>271</v>
      </c>
      <c r="R29" s="681" t="s">
        <v>69</v>
      </c>
      <c r="S29">
        <v>0</v>
      </c>
      <c r="T29" s="1023">
        <f>SUMIFS('01工程产值对比表'!$M:$M,'01工程产值对比表'!$D:$D,Q29,'01工程产值对比表'!$C:$C,Q$2)</f>
        <v>0</v>
      </c>
      <c r="U29" s="1023"/>
      <c r="V29" s="1023"/>
      <c r="W29" s="1023"/>
      <c r="X29" s="1034"/>
      <c r="Y29" t="s">
        <v>272</v>
      </c>
      <c r="Z29" t="s">
        <v>76</v>
      </c>
      <c r="AA29">
        <v>220</v>
      </c>
      <c r="AB29" s="1023">
        <f>SUMIFS('01工程产值对比表'!$M:$M,'01工程产值对比表'!$D:$D,Y29,'01工程产值对比表'!$C:$C,Y$2)</f>
        <v>0</v>
      </c>
    </row>
    <row r="30" spans="1:28">
      <c r="A30" t="s">
        <v>273</v>
      </c>
      <c r="B30" s="681" t="s">
        <v>82</v>
      </c>
      <c r="C30">
        <v>2730</v>
      </c>
      <c r="D30" s="1023">
        <f>SUMIFS('01工程产值对比表'!$M:$M,'01工程产值对比表'!$D:$D,A30,'01工程产值对比表'!$C:$C,A$2)</f>
        <v>0</v>
      </c>
      <c r="F30" s="1024"/>
      <c r="H30" s="1023"/>
      <c r="I30" s="1035" t="s">
        <v>274</v>
      </c>
      <c r="J30" s="1031" t="s">
        <v>172</v>
      </c>
      <c r="K30" s="1036"/>
      <c r="L30" s="1032">
        <f>SUMIFS('01工程产值对比表'!$M:$M,'01工程产值对比表'!$D:$D,I30,'01工程产值对比表'!$C:$C,I$2)</f>
        <v>0</v>
      </c>
      <c r="M30" s="1033"/>
      <c r="N30" s="1033"/>
      <c r="O30" s="1033"/>
      <c r="P30" s="1037"/>
      <c r="Q30" t="s">
        <v>275</v>
      </c>
      <c r="R30" s="681" t="s">
        <v>72</v>
      </c>
      <c r="S30">
        <v>100</v>
      </c>
      <c r="T30" s="1023">
        <f>SUMIFS('01工程产值对比表'!$M:$M,'01工程产值对比表'!$D:$D,Q30,'01工程产值对比表'!$C:$C,Q$2)</f>
        <v>0</v>
      </c>
      <c r="U30" s="1023"/>
      <c r="V30" s="1023"/>
      <c r="W30" s="1023"/>
      <c r="X30" s="1034"/>
      <c r="Y30" t="s">
        <v>276</v>
      </c>
      <c r="Z30" t="s">
        <v>76</v>
      </c>
      <c r="AA30">
        <v>220</v>
      </c>
      <c r="AB30" s="1023">
        <f>SUMIFS('01工程产值对比表'!$M:$M,'01工程产值对比表'!$D:$D,Y30,'01工程产值对比表'!$C:$C,Y$2)</f>
        <v>0</v>
      </c>
    </row>
    <row r="31" spans="1:28">
      <c r="A31" t="s">
        <v>277</v>
      </c>
      <c r="B31" s="681" t="s">
        <v>82</v>
      </c>
      <c r="C31">
        <v>2750</v>
      </c>
      <c r="D31" s="1023">
        <f>SUMIFS('01工程产值对比表'!$M:$M,'01工程产值对比表'!$D:$D,A31,'01工程产值对比表'!$C:$C,A$2)</f>
        <v>0</v>
      </c>
      <c r="F31" s="1024"/>
      <c r="H31" s="1023"/>
      <c r="I31" s="1035" t="s">
        <v>278</v>
      </c>
      <c r="J31" s="1031" t="s">
        <v>279</v>
      </c>
      <c r="K31" s="1036">
        <v>1200000</v>
      </c>
      <c r="L31" s="1032">
        <f>SUMIFS('01工程产值对比表'!$M:$M,'01工程产值对比表'!$D:$D,I31,'01工程产值对比表'!$C:$C,I$2)</f>
        <v>0</v>
      </c>
      <c r="M31" s="1033"/>
      <c r="N31" s="1033"/>
      <c r="O31" s="1033"/>
      <c r="P31" s="1037"/>
      <c r="Q31" t="s">
        <v>170</v>
      </c>
      <c r="R31" s="681" t="s">
        <v>72</v>
      </c>
      <c r="S31">
        <v>1.03</v>
      </c>
      <c r="T31" s="1023">
        <f>SUMIFS('01工程产值对比表'!$M:$M,'01工程产值对比表'!$D:$D,Q31,'01工程产值对比表'!$C:$C,Q$2)</f>
        <v>0</v>
      </c>
      <c r="U31" s="1023"/>
      <c r="V31" s="1023"/>
      <c r="W31" s="1023"/>
      <c r="X31" s="1034"/>
      <c r="Y31" t="s">
        <v>280</v>
      </c>
      <c r="Z31" t="s">
        <v>185</v>
      </c>
      <c r="AA31">
        <v>35</v>
      </c>
      <c r="AB31" s="1023">
        <f>SUMIFS('01工程产值对比表'!$M:$M,'01工程产值对比表'!$D:$D,Y31,'01工程产值对比表'!$C:$C,Y$2)</f>
        <v>0</v>
      </c>
    </row>
    <row r="32" spans="1:28">
      <c r="A32" s="873" t="s">
        <v>281</v>
      </c>
      <c r="B32" s="681" t="s">
        <v>72</v>
      </c>
      <c r="C32">
        <v>371.7</v>
      </c>
      <c r="D32" s="1023">
        <f>SUMIFS('01工程产值对比表'!$M:$M,'01工程产值对比表'!$D:$D,A32,'01工程产值对比表'!$C:$C,A$2)</f>
        <v>0</v>
      </c>
      <c r="F32" s="1024"/>
      <c r="H32" s="1023"/>
      <c r="I32" s="1035" t="s">
        <v>282</v>
      </c>
      <c r="J32" s="1031" t="s">
        <v>82</v>
      </c>
      <c r="K32" s="1036">
        <v>170.8</v>
      </c>
      <c r="L32" s="1032">
        <f>SUMIFS('01工程产值对比表'!$M:$M,'01工程产值对比表'!$D:$D,I32,'01工程产值对比表'!$C:$C,I$2)</f>
        <v>0</v>
      </c>
      <c r="M32" s="1033"/>
      <c r="N32" s="1033"/>
      <c r="O32" s="1033"/>
      <c r="P32" s="1034"/>
      <c r="Q32" t="s">
        <v>283</v>
      </c>
      <c r="R32" s="681" t="s">
        <v>284</v>
      </c>
      <c r="T32" s="1023">
        <f>SUMIFS('01工程产值对比表'!$M:$M,'01工程产值对比表'!$D:$D,Q32,'01工程产值对比表'!$C:$C,Q$2)</f>
        <v>0</v>
      </c>
      <c r="U32" s="1023"/>
      <c r="V32" s="1023"/>
      <c r="W32" s="1023"/>
      <c r="X32" s="1034"/>
      <c r="Y32" t="s">
        <v>285</v>
      </c>
      <c r="Z32" t="s">
        <v>195</v>
      </c>
      <c r="AA32">
        <v>30000</v>
      </c>
      <c r="AB32" s="1023">
        <f>SUMIFS('01工程产值对比表'!$M:$M,'01工程产值对比表'!$D:$D,Y32,'01工程产值对比表'!$C:$C,Y$2)</f>
        <v>0</v>
      </c>
    </row>
    <row r="33" spans="1:28">
      <c r="A33" t="s">
        <v>286</v>
      </c>
      <c r="B33" s="681" t="s">
        <v>72</v>
      </c>
      <c r="C33">
        <v>380.53</v>
      </c>
      <c r="D33" s="1023">
        <f>SUMIFS('01工程产值对比表'!$M:$M,'01工程产值对比表'!$D:$D,A33,'01工程产值对比表'!$C:$C,A$2)</f>
        <v>56.67195</v>
      </c>
      <c r="F33" s="1024"/>
      <c r="H33" s="1023"/>
      <c r="I33" s="1035" t="s">
        <v>287</v>
      </c>
      <c r="J33" s="1031" t="s">
        <v>82</v>
      </c>
      <c r="K33" s="1036">
        <v>681.416</v>
      </c>
      <c r="L33" s="1032">
        <f>SUMIFS('01工程产值对比表'!$M:$M,'01工程产值对比表'!$D:$D,I33,'01工程产值对比表'!$C:$C,I$2)</f>
        <v>0</v>
      </c>
      <c r="M33" s="1033"/>
      <c r="N33" s="1033"/>
      <c r="O33" s="1033"/>
      <c r="P33" s="1037"/>
      <c r="Q33" t="s">
        <v>288</v>
      </c>
      <c r="R33" s="681" t="s">
        <v>69</v>
      </c>
      <c r="S33">
        <v>55</v>
      </c>
      <c r="T33" s="1023">
        <f>SUMIFS('01工程产值对比表'!$M:$M,'01工程产值对比表'!$D:$D,Q33,'01工程产值对比表'!$C:$C,Q$2)</f>
        <v>0</v>
      </c>
      <c r="U33" s="1023"/>
      <c r="V33" s="1023"/>
      <c r="W33" s="1023"/>
      <c r="X33" s="1034"/>
      <c r="Y33" t="s">
        <v>289</v>
      </c>
      <c r="Z33" t="s">
        <v>169</v>
      </c>
      <c r="AA33">
        <v>5000</v>
      </c>
      <c r="AB33" s="1023">
        <f>SUMIFS('01工程产值对比表'!$M:$M,'01工程产值对比表'!$D:$D,Y33,'01工程产值对比表'!$C:$C,Y$2)</f>
        <v>0</v>
      </c>
    </row>
    <row r="34" ht="70" customHeight="1" spans="1:28">
      <c r="A34" s="873" t="s">
        <v>290</v>
      </c>
      <c r="B34" s="681" t="s">
        <v>69</v>
      </c>
      <c r="C34">
        <v>23</v>
      </c>
      <c r="D34" s="1023">
        <f>SUMIFS('01工程产值对比表'!$M:$M,'01工程产值对比表'!$D:$D,A34,'01工程产值对比表'!$C:$C,A$2)</f>
        <v>0</v>
      </c>
      <c r="F34" s="1024"/>
      <c r="H34" s="1023"/>
      <c r="I34" s="1035" t="s">
        <v>291</v>
      </c>
      <c r="J34" s="1031" t="s">
        <v>172</v>
      </c>
      <c r="K34" s="1036">
        <v>31000</v>
      </c>
      <c r="L34" s="1032">
        <f>SUMIFS('01工程产值对比表'!$M:$M,'01工程产值对比表'!$D:$D,I34,'01工程产值对比表'!$C:$C,I$2)</f>
        <v>0</v>
      </c>
      <c r="M34" s="1033"/>
      <c r="N34" s="1033"/>
      <c r="O34" s="1033"/>
      <c r="P34" s="1037"/>
      <c r="Q34" t="s">
        <v>292</v>
      </c>
      <c r="R34" s="681" t="s">
        <v>69</v>
      </c>
      <c r="S34">
        <v>2</v>
      </c>
      <c r="T34" s="1023">
        <f>SUMIFS('01工程产值对比表'!$M:$M,'01工程产值对比表'!$D:$D,Q34,'01工程产值对比表'!$C:$C,Q$2)</f>
        <v>0</v>
      </c>
      <c r="U34" s="1023"/>
      <c r="V34" s="1023"/>
      <c r="W34" s="1023"/>
      <c r="X34" s="1034"/>
      <c r="Y34" t="s">
        <v>293</v>
      </c>
      <c r="Z34" t="s">
        <v>69</v>
      </c>
      <c r="AA34">
        <v>35</v>
      </c>
      <c r="AB34" s="1023">
        <f>SUMIFS('01工程产值对比表'!$M:$M,'01工程产值对比表'!$D:$D,Y34,'01工程产值对比表'!$C:$C,Y$2)</f>
        <v>0</v>
      </c>
    </row>
    <row r="35" spans="1:28">
      <c r="A35" t="s">
        <v>294</v>
      </c>
      <c r="B35" s="681"/>
      <c r="C35">
        <v>261960</v>
      </c>
      <c r="D35" s="1023">
        <f>SUMIFS('01工程产值对比表'!$M:$M,'01工程产值对比表'!$D:$D,A35,'01工程产值对比表'!$C:$C,A$2)</f>
        <v>0</v>
      </c>
      <c r="F35" s="1024"/>
      <c r="H35" s="1023"/>
      <c r="I35" s="1035" t="s">
        <v>295</v>
      </c>
      <c r="J35" s="1031" t="s">
        <v>172</v>
      </c>
      <c r="K35" s="1036">
        <v>10000</v>
      </c>
      <c r="L35" s="1032">
        <f>SUMIFS('01工程产值对比表'!$M:$M,'01工程产值对比表'!$D:$D,I35,'01工程产值对比表'!$C:$C,I$2)</f>
        <v>0</v>
      </c>
      <c r="M35" s="1033"/>
      <c r="N35" s="1033"/>
      <c r="O35" s="1033"/>
      <c r="P35" s="1037"/>
      <c r="Q35" t="s">
        <v>296</v>
      </c>
      <c r="R35" s="681" t="s">
        <v>82</v>
      </c>
      <c r="S35">
        <v>700</v>
      </c>
      <c r="T35" s="1023">
        <f>SUMIFS('01工程产值对比表'!$M:$M,'01工程产值对比表'!$D:$D,Q35,'01工程产值对比表'!$C:$C,Q$2)</f>
        <v>5508.809745</v>
      </c>
      <c r="U35" s="1023"/>
      <c r="V35" s="1023"/>
      <c r="W35" s="1023"/>
      <c r="X35" s="1034"/>
      <c r="Y35" t="s">
        <v>297</v>
      </c>
      <c r="Z35" t="s">
        <v>69</v>
      </c>
      <c r="AA35">
        <v>35</v>
      </c>
      <c r="AB35" s="1023">
        <f>SUMIFS('01工程产值对比表'!$M:$M,'01工程产值对比表'!$D:$D,Y35,'01工程产值对比表'!$C:$C,Y$2)</f>
        <v>0</v>
      </c>
    </row>
    <row r="36" spans="1:28">
      <c r="A36" t="s">
        <v>298</v>
      </c>
      <c r="B36" s="681"/>
      <c r="C36">
        <v>28613</v>
      </c>
      <c r="D36" s="1023">
        <f>SUMIFS('01工程产值对比表'!$M:$M,'01工程产值对比表'!$D:$D,A36,'01工程产值对比表'!$C:$C,A$2)</f>
        <v>0</v>
      </c>
      <c r="F36" s="1024"/>
      <c r="H36" s="1023"/>
      <c r="I36" s="1035" t="s">
        <v>299</v>
      </c>
      <c r="J36" s="1031" t="s">
        <v>172</v>
      </c>
      <c r="K36" s="1036"/>
      <c r="L36" s="1032">
        <f>SUMIFS('01工程产值对比表'!$M:$M,'01工程产值对比表'!$D:$D,I36,'01工程产值对比表'!$C:$C,I$2)</f>
        <v>0</v>
      </c>
      <c r="M36" s="1033"/>
      <c r="N36" s="1033"/>
      <c r="O36" s="1033"/>
      <c r="P36" s="1034"/>
      <c r="Q36" t="s">
        <v>300</v>
      </c>
      <c r="R36" s="681" t="s">
        <v>69</v>
      </c>
      <c r="S36">
        <v>2</v>
      </c>
      <c r="T36" s="1023">
        <f>SUMIFS('01工程产值对比表'!$M:$M,'01工程产值对比表'!$D:$D,Q36,'01工程产值对比表'!$C:$C,Q$2)</f>
        <v>887.37</v>
      </c>
      <c r="U36" s="1023"/>
      <c r="V36" s="1023"/>
      <c r="W36" s="1023"/>
      <c r="X36" s="1034"/>
      <c r="Y36" t="s">
        <v>301</v>
      </c>
      <c r="Z36" t="s">
        <v>180</v>
      </c>
      <c r="AA36">
        <v>8000</v>
      </c>
      <c r="AB36" s="1023">
        <f>SUMIFS('01工程产值对比表'!$M:$M,'01工程产值对比表'!$D:$D,Y36,'01工程产值对比表'!$C:$C,Y$2)</f>
        <v>0</v>
      </c>
    </row>
    <row r="37" spans="1:28">
      <c r="A37" t="s">
        <v>302</v>
      </c>
      <c r="B37" s="681"/>
      <c r="C37">
        <v>38</v>
      </c>
      <c r="D37" s="1023">
        <f>SUMIFS('01工程产值对比表'!$M:$M,'01工程产值对比表'!$D:$D,A37,'01工程产值对比表'!$C:$C,A$2)</f>
        <v>0</v>
      </c>
      <c r="F37" s="1024"/>
      <c r="H37" s="1023"/>
      <c r="I37" s="1035" t="s">
        <v>303</v>
      </c>
      <c r="J37" s="1031" t="s">
        <v>172</v>
      </c>
      <c r="K37" s="1036">
        <v>60000</v>
      </c>
      <c r="L37" s="1032">
        <f>SUMIFS('01工程产值对比表'!$M:$M,'01工程产值对比表'!$D:$D,I37,'01工程产值对比表'!$C:$C,I$2)</f>
        <v>0</v>
      </c>
      <c r="M37" s="1033"/>
      <c r="N37" s="1033"/>
      <c r="O37" s="1033"/>
      <c r="P37" s="1037"/>
      <c r="Q37" t="s">
        <v>304</v>
      </c>
      <c r="R37" s="681" t="s">
        <v>72</v>
      </c>
      <c r="S37">
        <v>20</v>
      </c>
      <c r="T37" s="1023">
        <f>SUMIFS('01工程产值对比表'!$M:$M,'01工程产值对比表'!$D:$D,Q37,'01工程产值对比表'!$C:$C,Q$2)</f>
        <v>0</v>
      </c>
      <c r="U37" s="1023"/>
      <c r="V37" s="1023"/>
      <c r="W37" s="1023"/>
      <c r="X37" s="1034"/>
      <c r="Y37" t="s">
        <v>305</v>
      </c>
      <c r="Z37" t="s">
        <v>169</v>
      </c>
      <c r="AA37">
        <v>5000</v>
      </c>
      <c r="AB37" s="1023">
        <f>SUMIFS('01工程产值对比表'!$M:$M,'01工程产值对比表'!$D:$D,Y37,'01工程产值对比表'!$C:$C,Y$2)</f>
        <v>0</v>
      </c>
    </row>
    <row r="38" spans="1:28">
      <c r="A38" t="s">
        <v>306</v>
      </c>
      <c r="B38" s="681" t="s">
        <v>205</v>
      </c>
      <c r="C38">
        <v>0.58</v>
      </c>
      <c r="D38" s="1023">
        <f>SUMIFS('01工程产值对比表'!$M:$M,'01工程产值对比表'!$D:$D,A38,'01工程产值对比表'!$C:$C,A$2)</f>
        <v>0</v>
      </c>
      <c r="F38" s="1024"/>
      <c r="H38" s="1023"/>
      <c r="I38" s="1035" t="s">
        <v>307</v>
      </c>
      <c r="J38" s="1031" t="s">
        <v>180</v>
      </c>
      <c r="K38" s="1036">
        <v>12000</v>
      </c>
      <c r="L38" s="1032">
        <f>SUMIFS('01工程产值对比表'!$M:$M,'01工程产值对比表'!$D:$D,I38,'01工程产值对比表'!$C:$C,I$2)</f>
        <v>0</v>
      </c>
      <c r="M38" s="1033"/>
      <c r="N38" s="1033"/>
      <c r="O38" s="1033"/>
      <c r="P38" s="1037"/>
      <c r="Q38" t="s">
        <v>308</v>
      </c>
      <c r="R38" s="681" t="s">
        <v>82</v>
      </c>
      <c r="S38">
        <v>970</v>
      </c>
      <c r="T38" s="1023">
        <f>SUMIFS('01工程产值对比表'!$M:$M,'01工程产值对比表'!$D:$D,Q38,'01工程产值对比表'!$C:$C,Q$2)</f>
        <v>0</v>
      </c>
      <c r="U38" s="1023"/>
      <c r="V38" s="1023"/>
      <c r="W38" s="1023"/>
      <c r="X38" s="1034"/>
      <c r="Y38" t="s">
        <v>309</v>
      </c>
      <c r="Z38" t="s">
        <v>69</v>
      </c>
      <c r="AA38">
        <v>4000</v>
      </c>
      <c r="AB38" s="1023">
        <f>SUMIFS('01工程产值对比表'!$M:$M,'01工程产值对比表'!$D:$D,Y38,'01工程产值对比表'!$C:$C,Y$2)</f>
        <v>0</v>
      </c>
    </row>
    <row r="39" spans="1:28">
      <c r="A39" t="s">
        <v>310</v>
      </c>
      <c r="B39" s="681" t="s">
        <v>205</v>
      </c>
      <c r="C39">
        <v>0.82</v>
      </c>
      <c r="D39" s="1023">
        <f>SUMIFS('01工程产值对比表'!$M:$M,'01工程产值对比表'!$D:$D,A39,'01工程产值对比表'!$C:$C,A$2)</f>
        <v>0</v>
      </c>
      <c r="F39" s="1024"/>
      <c r="H39" s="1023"/>
      <c r="I39" s="1035" t="s">
        <v>311</v>
      </c>
      <c r="J39" s="1031" t="s">
        <v>180</v>
      </c>
      <c r="K39" s="1036">
        <v>6000</v>
      </c>
      <c r="L39" s="1032">
        <f>SUMIFS('01工程产值对比表'!$M:$M,'01工程产值对比表'!$D:$D,I39,'01工程产值对比表'!$C:$C,I$2)</f>
        <v>0</v>
      </c>
      <c r="M39" s="1033"/>
      <c r="N39" s="1033"/>
      <c r="O39" s="1033"/>
      <c r="P39" s="1034"/>
      <c r="Q39" t="s">
        <v>312</v>
      </c>
      <c r="R39" s="681" t="s">
        <v>72</v>
      </c>
      <c r="S39">
        <v>120</v>
      </c>
      <c r="T39" s="1023">
        <f>SUMIFS('01工程产值对比表'!$M:$M,'01工程产值对比表'!$D:$D,Q39,'01工程产值对比表'!$C:$C,Q$2)</f>
        <v>353.4</v>
      </c>
      <c r="U39" s="1023"/>
      <c r="V39" s="1023"/>
      <c r="W39" s="1023"/>
      <c r="X39" s="1034"/>
      <c r="Y39" t="s">
        <v>313</v>
      </c>
      <c r="Z39" t="s">
        <v>169</v>
      </c>
      <c r="AA39">
        <v>500</v>
      </c>
      <c r="AB39" s="1023">
        <f>SUMIFS('01工程产值对比表'!$M:$M,'01工程产值对比表'!$D:$D,Y39,'01工程产值对比表'!$C:$C,Y$2)</f>
        <v>0</v>
      </c>
    </row>
    <row r="40" spans="1:28">
      <c r="A40" t="s">
        <v>314</v>
      </c>
      <c r="B40" s="681" t="s">
        <v>315</v>
      </c>
      <c r="C40">
        <v>0.8</v>
      </c>
      <c r="D40" s="1023">
        <f>SUMIFS('01工程产值对比表'!$M:$M,'01工程产值对比表'!$D:$D,A40,'01工程产值对比表'!$C:$C,A$2)</f>
        <v>0</v>
      </c>
      <c r="F40" s="1024"/>
      <c r="H40" s="1023"/>
      <c r="I40" s="1035" t="s">
        <v>316</v>
      </c>
      <c r="J40" s="1031" t="s">
        <v>180</v>
      </c>
      <c r="K40" s="1036">
        <v>12000</v>
      </c>
      <c r="L40" s="1032">
        <f>SUMIFS('01工程产值对比表'!$M:$M,'01工程产值对比表'!$D:$D,I40,'01工程产值对比表'!$C:$C,I$2)</f>
        <v>0</v>
      </c>
      <c r="M40" s="1033"/>
      <c r="N40" s="1033"/>
      <c r="O40" s="1033"/>
      <c r="P40" s="1037"/>
      <c r="Q40" t="s">
        <v>317</v>
      </c>
      <c r="R40" s="681" t="s">
        <v>169</v>
      </c>
      <c r="S40">
        <v>100</v>
      </c>
      <c r="T40" s="1023">
        <f>SUMIFS('01工程产值对比表'!$M:$M,'01工程产值对比表'!$D:$D,Q40,'01工程产值对比表'!$C:$C,Q$2)</f>
        <v>0</v>
      </c>
      <c r="U40" s="1023"/>
      <c r="V40" s="1023"/>
      <c r="W40" s="1023"/>
      <c r="X40" s="1034"/>
      <c r="Y40" t="s">
        <v>318</v>
      </c>
      <c r="Z40" t="s">
        <v>69</v>
      </c>
      <c r="AA40">
        <v>15</v>
      </c>
      <c r="AB40" s="1023">
        <f>SUMIFS('01工程产值对比表'!$M:$M,'01工程产值对比表'!$D:$D,Y40,'01工程产值对比表'!$C:$C,Y$2)</f>
        <v>0</v>
      </c>
    </row>
    <row r="41" spans="1:28">
      <c r="A41" t="s">
        <v>319</v>
      </c>
      <c r="B41" s="681" t="s">
        <v>69</v>
      </c>
      <c r="C41">
        <v>60</v>
      </c>
      <c r="D41" s="1023">
        <f>SUMIFS('01工程产值对比表'!$M:$M,'01工程产值对比表'!$D:$D,A41,'01工程产值对比表'!$C:$C,A$2)</f>
        <v>0</v>
      </c>
      <c r="F41" s="1024"/>
      <c r="H41" s="1023"/>
      <c r="I41" s="1035" t="s">
        <v>320</v>
      </c>
      <c r="J41" s="1031" t="s">
        <v>180</v>
      </c>
      <c r="K41" s="1036">
        <v>12000</v>
      </c>
      <c r="L41" s="1032">
        <f>SUMIFS('01工程产值对比表'!$M:$M,'01工程产值对比表'!$D:$D,I41,'01工程产值对比表'!$C:$C,I$2)</f>
        <v>0</v>
      </c>
      <c r="M41" s="1033"/>
      <c r="N41" s="1033"/>
      <c r="O41" s="1033"/>
      <c r="P41" s="1037"/>
      <c r="Q41" t="s">
        <v>321</v>
      </c>
      <c r="R41" s="681" t="s">
        <v>69</v>
      </c>
      <c r="S41">
        <v>15</v>
      </c>
      <c r="T41" s="1023">
        <f>SUMIFS('01工程产值对比表'!$M:$M,'01工程产值对比表'!$D:$D,Q41,'01工程产值对比表'!$C:$C,Q$2)</f>
        <v>0</v>
      </c>
      <c r="U41" s="1023"/>
      <c r="V41" s="1023"/>
      <c r="W41" s="1023"/>
      <c r="X41" s="1034"/>
      <c r="Y41" t="s">
        <v>322</v>
      </c>
      <c r="Z41" t="s">
        <v>169</v>
      </c>
      <c r="AA41">
        <v>50</v>
      </c>
      <c r="AB41" s="1023">
        <f>SUMIFS('01工程产值对比表'!$M:$M,'01工程产值对比表'!$D:$D,Y41,'01工程产值对比表'!$C:$C,Y$2)</f>
        <v>0</v>
      </c>
    </row>
    <row r="42" spans="1:28">
      <c r="A42" t="s">
        <v>323</v>
      </c>
      <c r="B42" s="681" t="s">
        <v>69</v>
      </c>
      <c r="C42">
        <v>380</v>
      </c>
      <c r="D42" s="1023">
        <f>SUMIFS('01工程产值对比表'!$M:$M,'01工程产值对比表'!$D:$D,A42,'01工程产值对比表'!$C:$C,A$2)</f>
        <v>0</v>
      </c>
      <c r="F42" s="1024"/>
      <c r="H42" s="1023"/>
      <c r="I42" s="1035" t="s">
        <v>324</v>
      </c>
      <c r="J42" s="1031" t="s">
        <v>180</v>
      </c>
      <c r="K42" s="1036">
        <v>3000</v>
      </c>
      <c r="L42" s="1032">
        <f>SUMIFS('01工程产值对比表'!$M:$M,'01工程产值对比表'!$D:$D,I42,'01工程产值对比表'!$C:$C,I$2)</f>
        <v>0</v>
      </c>
      <c r="M42" s="1033"/>
      <c r="N42" s="1033"/>
      <c r="O42" s="1033"/>
      <c r="P42" s="1037"/>
      <c r="Q42" t="s">
        <v>325</v>
      </c>
      <c r="R42" s="681" t="s">
        <v>72</v>
      </c>
      <c r="S42">
        <v>50</v>
      </c>
      <c r="T42" s="1023">
        <f>SUMIFS('01工程产值对比表'!$M:$M,'01工程产值对比表'!$D:$D,Q42,'01工程产值对比表'!$C:$C,Q$2)</f>
        <v>5425.058</v>
      </c>
      <c r="U42" s="1023"/>
      <c r="V42" s="1023"/>
      <c r="W42" s="1023"/>
      <c r="X42" s="1034"/>
      <c r="Y42" t="s">
        <v>326</v>
      </c>
      <c r="Z42" t="s">
        <v>169</v>
      </c>
      <c r="AA42">
        <v>800</v>
      </c>
      <c r="AB42" s="1023">
        <f>SUMIFS('01工程产值对比表'!$M:$M,'01工程产值对比表'!$D:$D,Y42,'01工程产值对比表'!$C:$C,Y$2)</f>
        <v>0</v>
      </c>
    </row>
    <row r="43" spans="1:28">
      <c r="A43" t="s">
        <v>327</v>
      </c>
      <c r="B43" s="681" t="s">
        <v>82</v>
      </c>
      <c r="C43">
        <v>230</v>
      </c>
      <c r="D43" s="1023">
        <f>SUMIFS('01工程产值对比表'!$M:$M,'01工程产值对比表'!$D:$D,A43,'01工程产值对比表'!$C:$C,A$2)</f>
        <v>0</v>
      </c>
      <c r="F43" s="1024"/>
      <c r="H43" s="1023"/>
      <c r="I43" s="1035" t="s">
        <v>328</v>
      </c>
      <c r="J43" s="1031" t="s">
        <v>169</v>
      </c>
      <c r="K43" s="1036">
        <v>500000</v>
      </c>
      <c r="L43" s="1032">
        <f>SUMIFS('01工程产值对比表'!$M:$M,'01工程产值对比表'!$D:$D,I43,'01工程产值对比表'!$C:$C,I$2)</f>
        <v>0</v>
      </c>
      <c r="M43" s="1033"/>
      <c r="N43" s="1033"/>
      <c r="O43" s="1033"/>
      <c r="P43" s="1037"/>
      <c r="Q43" t="s">
        <v>329</v>
      </c>
      <c r="R43" s="681" t="s">
        <v>72</v>
      </c>
      <c r="S43">
        <v>120</v>
      </c>
      <c r="T43" s="1023">
        <f>SUMIFS('01工程产值对比表'!$M:$M,'01工程产值对比表'!$D:$D,Q43,'01工程产值对比表'!$C:$C,Q$2)</f>
        <v>0</v>
      </c>
      <c r="U43" s="1023"/>
      <c r="V43" s="1023"/>
      <c r="W43" s="1023"/>
      <c r="X43" s="1034"/>
      <c r="Y43" t="s">
        <v>330</v>
      </c>
      <c r="Z43" t="s">
        <v>76</v>
      </c>
      <c r="AA43">
        <v>20</v>
      </c>
      <c r="AB43" s="1023">
        <f>SUMIFS('01工程产值对比表'!$M:$M,'01工程产值对比表'!$D:$D,Y43,'01工程产值对比表'!$C:$C,Y$2)</f>
        <v>0</v>
      </c>
    </row>
    <row r="44" spans="1:28">
      <c r="A44" t="s">
        <v>331</v>
      </c>
      <c r="B44" s="681" t="s">
        <v>211</v>
      </c>
      <c r="C44">
        <v>5</v>
      </c>
      <c r="D44" s="1023">
        <f>SUMIFS('01工程产值对比表'!$M:$M,'01工程产值对比表'!$D:$D,A44,'01工程产值对比表'!$C:$C,A$2)</f>
        <v>0</v>
      </c>
      <c r="F44" s="1024"/>
      <c r="H44" s="1023"/>
      <c r="I44" s="1035" t="s">
        <v>332</v>
      </c>
      <c r="J44" s="1031" t="s">
        <v>15</v>
      </c>
      <c r="K44" s="1036">
        <v>1</v>
      </c>
      <c r="L44" s="1032">
        <f>SUMIFS('01工程产值对比表'!$M:$M,'01工程产值对比表'!$D:$D,I44,'01工程产值对比表'!$C:$C,I$2)</f>
        <v>0</v>
      </c>
      <c r="M44" s="1033"/>
      <c r="N44" s="1033"/>
      <c r="O44" s="1033"/>
      <c r="P44" s="1037"/>
      <c r="Q44" t="s">
        <v>333</v>
      </c>
      <c r="R44" s="681" t="s">
        <v>169</v>
      </c>
      <c r="S44">
        <v>100</v>
      </c>
      <c r="T44" s="1023">
        <f>SUMIFS('01工程产值对比表'!$M:$M,'01工程产值对比表'!$D:$D,Q44,'01工程产值对比表'!$C:$C,Q$2)</f>
        <v>0</v>
      </c>
      <c r="U44" s="1023"/>
      <c r="V44" s="1023"/>
      <c r="W44" s="1023"/>
      <c r="X44" s="1034"/>
      <c r="Y44" t="s">
        <v>334</v>
      </c>
      <c r="Z44" t="s">
        <v>76</v>
      </c>
      <c r="AA44">
        <v>1200</v>
      </c>
      <c r="AB44" s="1023">
        <f>SUMIFS('01工程产值对比表'!$M:$M,'01工程产值对比表'!$D:$D,Y44,'01工程产值对比表'!$C:$C,Y$2)</f>
        <v>0</v>
      </c>
    </row>
    <row r="45" spans="1:28">
      <c r="A45" t="s">
        <v>335</v>
      </c>
      <c r="B45" s="681" t="s">
        <v>211</v>
      </c>
      <c r="C45">
        <v>4.3</v>
      </c>
      <c r="D45" s="1023">
        <f>SUMIFS('01工程产值对比表'!$M:$M,'01工程产值对比表'!$D:$D,A45,'01工程产值对比表'!$C:$C,A$2)</f>
        <v>0</v>
      </c>
      <c r="F45" s="1024"/>
      <c r="H45" s="1023"/>
      <c r="I45" s="1035" t="s">
        <v>336</v>
      </c>
      <c r="J45" s="1031" t="s">
        <v>219</v>
      </c>
      <c r="K45" s="1036">
        <v>2000</v>
      </c>
      <c r="L45" s="1032">
        <f>SUMIFS('01工程产值对比表'!$M:$M,'01工程产值对比表'!$D:$D,I45,'01工程产值对比表'!$C:$C,I$2)</f>
        <v>0</v>
      </c>
      <c r="M45" s="1033"/>
      <c r="N45" s="1033"/>
      <c r="O45" s="1033"/>
      <c r="P45" s="1037"/>
      <c r="Q45" t="s">
        <v>337</v>
      </c>
      <c r="R45" s="681" t="s">
        <v>169</v>
      </c>
      <c r="S45">
        <v>100</v>
      </c>
      <c r="T45" s="1023">
        <f>SUMIFS('01工程产值对比表'!$M:$M,'01工程产值对比表'!$D:$D,Q45,'01工程产值对比表'!$C:$C,Q$2)</f>
        <v>0</v>
      </c>
      <c r="U45" s="1023"/>
      <c r="V45" s="1023"/>
      <c r="W45" s="1023"/>
      <c r="X45" s="1034"/>
      <c r="Y45" t="s">
        <v>338</v>
      </c>
      <c r="Z45" t="s">
        <v>69</v>
      </c>
      <c r="AA45">
        <v>55</v>
      </c>
      <c r="AB45" s="1023">
        <f>SUMIFS('01工程产值对比表'!$M:$M,'01工程产值对比表'!$D:$D,Y45,'01工程产值对比表'!$C:$C,Y$2)</f>
        <v>0</v>
      </c>
    </row>
    <row r="46" spans="1:28">
      <c r="A46" t="s">
        <v>339</v>
      </c>
      <c r="B46" s="681" t="s">
        <v>211</v>
      </c>
      <c r="C46">
        <v>25</v>
      </c>
      <c r="D46" s="1023">
        <f>SUMIFS('01工程产值对比表'!$M:$M,'01工程产值对比表'!$D:$D,A46,'01工程产值对比表'!$C:$C,A$2)</f>
        <v>0</v>
      </c>
      <c r="F46" s="1024"/>
      <c r="H46" s="1023"/>
      <c r="I46" s="1035" t="s">
        <v>340</v>
      </c>
      <c r="J46" s="1031" t="s">
        <v>72</v>
      </c>
      <c r="K46" s="1036">
        <v>6</v>
      </c>
      <c r="L46" s="1032">
        <f>SUMIFS('01工程产值对比表'!$M:$M,'01工程产值对比表'!$D:$D,I46,'01工程产值对比表'!$C:$C,I$2)</f>
        <v>0</v>
      </c>
      <c r="M46" s="1033"/>
      <c r="N46" s="1033"/>
      <c r="O46" s="1033"/>
      <c r="P46" s="1034"/>
      <c r="Q46" t="s">
        <v>341</v>
      </c>
      <c r="R46" s="681" t="s">
        <v>169</v>
      </c>
      <c r="S46">
        <v>100</v>
      </c>
      <c r="T46" s="1023">
        <f>SUMIFS('01工程产值对比表'!$M:$M,'01工程产值对比表'!$D:$D,Q46,'01工程产值对比表'!$C:$C,Q$2)</f>
        <v>0</v>
      </c>
      <c r="U46" s="1023"/>
      <c r="V46" s="1023"/>
      <c r="W46" s="1023"/>
      <c r="X46" s="1034"/>
      <c r="Y46" t="s">
        <v>342</v>
      </c>
      <c r="Z46" t="s">
        <v>69</v>
      </c>
      <c r="AA46">
        <v>45</v>
      </c>
      <c r="AB46" s="1023">
        <f>SUMIFS('01工程产值对比表'!$M:$M,'01工程产值对比表'!$D:$D,Y46,'01工程产值对比表'!$C:$C,Y$2)</f>
        <v>0</v>
      </c>
    </row>
    <row r="47" spans="1:28">
      <c r="A47" t="s">
        <v>343</v>
      </c>
      <c r="B47" s="681" t="s">
        <v>82</v>
      </c>
      <c r="C47"/>
      <c r="D47" s="1023">
        <f>SUMIFS('01工程产值对比表'!$M:$M,'01工程产值对比表'!$D:$D,A47,'01工程产值对比表'!$C:$C,A$2)</f>
        <v>0</v>
      </c>
      <c r="F47" s="1024"/>
      <c r="H47" s="1023"/>
      <c r="I47" s="1035" t="s">
        <v>344</v>
      </c>
      <c r="J47" s="1031" t="s">
        <v>72</v>
      </c>
      <c r="K47" s="1036">
        <v>5</v>
      </c>
      <c r="L47" s="1032">
        <f>SUMIFS('01工程产值对比表'!$M:$M,'01工程产值对比表'!$D:$D,I47,'01工程产值对比表'!$C:$C,I$2)</f>
        <v>5950.86</v>
      </c>
      <c r="M47" s="1033"/>
      <c r="N47" s="1033"/>
      <c r="O47" s="1033"/>
      <c r="Q47" t="s">
        <v>345</v>
      </c>
      <c r="R47" s="681" t="s">
        <v>82</v>
      </c>
      <c r="S47">
        <v>570</v>
      </c>
      <c r="T47" s="1023">
        <f>SUMIFS('01工程产值对比表'!$M:$M,'01工程产值对比表'!$D:$D,Q47,'01工程产值对比表'!$C:$C,Q$2)</f>
        <v>0</v>
      </c>
      <c r="U47" s="1023"/>
      <c r="V47" s="1023"/>
      <c r="W47" s="1023"/>
      <c r="X47" s="1034"/>
      <c r="Y47" t="s">
        <v>346</v>
      </c>
      <c r="Z47" t="s">
        <v>72</v>
      </c>
      <c r="AA47">
        <v>800</v>
      </c>
      <c r="AB47" s="1023">
        <f>SUMIFS('01工程产值对比表'!$M:$M,'01工程产值对比表'!$D:$D,Y47,'01工程产值对比表'!$C:$C,Y$2)</f>
        <v>0</v>
      </c>
    </row>
    <row r="48" spans="1:28">
      <c r="A48" t="s">
        <v>347</v>
      </c>
      <c r="B48" s="681" t="s">
        <v>72</v>
      </c>
      <c r="C48">
        <v>120</v>
      </c>
      <c r="D48" s="1023">
        <f>SUMIFS('01工程产值对比表'!$M:$M,'01工程产值对比表'!$D:$D,A48,'01工程产值对比表'!$C:$C,A$2)</f>
        <v>40.86478</v>
      </c>
      <c r="F48" s="1024"/>
      <c r="H48" s="1023"/>
      <c r="I48" s="1035" t="s">
        <v>348</v>
      </c>
      <c r="J48" s="1031" t="s">
        <v>72</v>
      </c>
      <c r="K48" s="1036">
        <v>1.6</v>
      </c>
      <c r="L48" s="1032">
        <f>SUMIFS('01工程产值对比表'!$M:$M,'01工程产值对比表'!$D:$D,I48,'01工程产值对比表'!$C:$C,I$2)</f>
        <v>11616</v>
      </c>
      <c r="M48" s="1033"/>
      <c r="N48" s="1033"/>
      <c r="O48" s="1033"/>
      <c r="P48" s="1034"/>
      <c r="Q48" t="s">
        <v>349</v>
      </c>
      <c r="R48" s="681" t="s">
        <v>190</v>
      </c>
      <c r="S48">
        <v>200</v>
      </c>
      <c r="T48" s="1023">
        <f>SUMIFS('01工程产值对比表'!$M:$M,'01工程产值对比表'!$D:$D,Q48,'01工程产值对比表'!$C:$C,Q$2)</f>
        <v>0</v>
      </c>
      <c r="U48" s="1023"/>
      <c r="V48" s="1023"/>
      <c r="W48" s="1023"/>
      <c r="X48" s="1034"/>
      <c r="Y48" t="s">
        <v>350</v>
      </c>
      <c r="Z48" t="s">
        <v>200</v>
      </c>
      <c r="AA48">
        <v>50000</v>
      </c>
      <c r="AB48" s="1023">
        <f>SUMIFS('01工程产值对比表'!$M:$M,'01工程产值对比表'!$D:$D,Y48,'01工程产值对比表'!$C:$C,Y$2)</f>
        <v>0</v>
      </c>
    </row>
    <row r="49" spans="1:28">
      <c r="A49" t="s">
        <v>351</v>
      </c>
      <c r="B49" s="681" t="s">
        <v>76</v>
      </c>
      <c r="C49"/>
      <c r="D49" s="1023">
        <f>SUMIFS('01工程产值对比表'!$M:$M,'01工程产值对比表'!$D:$D,A49,'01工程产值对比表'!$C:$C,A$2)</f>
        <v>0</v>
      </c>
      <c r="F49" s="1024"/>
      <c r="H49" s="1023"/>
      <c r="I49" s="1035" t="s">
        <v>352</v>
      </c>
      <c r="J49" s="1031" t="s">
        <v>72</v>
      </c>
      <c r="K49" s="1036">
        <v>8.5</v>
      </c>
      <c r="L49" s="1032">
        <f>SUMIFS('01工程产值对比表'!$M:$M,'01工程产值对比表'!$D:$D,I49,'01工程产值对比表'!$C:$C,I$2)</f>
        <v>0</v>
      </c>
      <c r="M49" s="1033"/>
      <c r="N49" s="1033"/>
      <c r="O49" s="1033"/>
      <c r="P49" s="1034"/>
      <c r="Q49" t="s">
        <v>353</v>
      </c>
      <c r="R49" s="681" t="s">
        <v>72</v>
      </c>
      <c r="S49">
        <v>100</v>
      </c>
      <c r="T49" s="1023">
        <f>SUMIFS('01工程产值对比表'!$M:$M,'01工程产值对比表'!$D:$D,Q49,'01工程产值对比表'!$C:$C,Q$2)</f>
        <v>0</v>
      </c>
      <c r="U49" s="1023"/>
      <c r="V49" s="1023"/>
      <c r="W49" s="1023"/>
      <c r="X49" s="1034"/>
      <c r="Y49" t="s">
        <v>354</v>
      </c>
      <c r="Z49" t="s">
        <v>76</v>
      </c>
      <c r="AA49">
        <v>200</v>
      </c>
      <c r="AB49" s="1023">
        <f>SUMIFS('01工程产值对比表'!$M:$M,'01工程产值对比表'!$D:$D,Y49,'01工程产值对比表'!$C:$C,Y$2)</f>
        <v>0</v>
      </c>
    </row>
    <row r="50" spans="1:28">
      <c r="A50" s="873" t="s">
        <v>355</v>
      </c>
      <c r="B50" s="681" t="s">
        <v>72</v>
      </c>
      <c r="C50"/>
      <c r="D50" s="1023">
        <f>SUMIFS('01工程产值对比表'!$M:$M,'01工程产值对比表'!$D:$D,A50,'01工程产值对比表'!$C:$C,A$2)</f>
        <v>0</v>
      </c>
      <c r="F50" s="1024"/>
      <c r="H50" s="1023"/>
      <c r="I50" s="1035" t="s">
        <v>356</v>
      </c>
      <c r="J50" s="1031" t="s">
        <v>72</v>
      </c>
      <c r="K50" s="1036">
        <v>4.5</v>
      </c>
      <c r="L50" s="1032">
        <f>SUMIFS('01工程产值对比表'!$M:$M,'01工程产值对比表'!$D:$D,I50,'01工程产值对比表'!$C:$C,I$2)</f>
        <v>0</v>
      </c>
      <c r="M50" s="1033"/>
      <c r="N50" s="1033"/>
      <c r="O50" s="1033"/>
      <c r="P50" s="1038"/>
      <c r="Q50" t="s">
        <v>357</v>
      </c>
      <c r="R50" s="681" t="s">
        <v>76</v>
      </c>
      <c r="S50">
        <v>65</v>
      </c>
      <c r="T50" s="1023">
        <f>SUMIFS('01工程产值对比表'!$M:$M,'01工程产值对比表'!$D:$D,Q50,'01工程产值对比表'!$C:$C,Q$2)</f>
        <v>0</v>
      </c>
      <c r="U50" s="1023"/>
      <c r="V50" s="1023"/>
      <c r="W50" s="1023"/>
      <c r="X50" s="1034"/>
      <c r="Y50" t="s">
        <v>358</v>
      </c>
      <c r="Z50" t="s">
        <v>76</v>
      </c>
      <c r="AA50">
        <v>200</v>
      </c>
      <c r="AB50" s="1023">
        <f>SUMIFS('01工程产值对比表'!$M:$M,'01工程产值对比表'!$D:$D,Y50,'01工程产值对比表'!$C:$C,Y$2)</f>
        <v>0</v>
      </c>
    </row>
    <row r="51" spans="1:28">
      <c r="A51" s="873" t="s">
        <v>359</v>
      </c>
      <c r="B51" s="681" t="s">
        <v>82</v>
      </c>
      <c r="C51"/>
      <c r="D51" s="1023">
        <f>SUMIFS('01工程产值对比表'!$M:$M,'01工程产值对比表'!$D:$D,A51,'01工程产值对比表'!$C:$C,A$2)</f>
        <v>0</v>
      </c>
      <c r="F51" s="1024"/>
      <c r="H51" s="1023"/>
      <c r="I51" s="1035" t="s">
        <v>360</v>
      </c>
      <c r="J51" s="1031" t="s">
        <v>361</v>
      </c>
      <c r="K51" s="1036">
        <v>3.88</v>
      </c>
      <c r="L51" s="1032">
        <f>SUMIFS('01工程产值对比表'!$M:$M,'01工程产值对比表'!$D:$D,I51,'01工程产值对比表'!$C:$C,I$2)</f>
        <v>0</v>
      </c>
      <c r="M51" s="1033"/>
      <c r="N51" s="1033"/>
      <c r="O51" s="1033"/>
      <c r="P51" s="1038"/>
      <c r="Q51" t="s">
        <v>362</v>
      </c>
      <c r="R51" s="681" t="s">
        <v>82</v>
      </c>
      <c r="S51">
        <v>620</v>
      </c>
      <c r="T51" s="1023">
        <f>SUMIFS('01工程产值对比表'!$M:$M,'01工程产值对比表'!$D:$D,Q51,'01工程产值对比表'!$C:$C,Q$2)</f>
        <v>0</v>
      </c>
      <c r="U51" s="1023"/>
      <c r="V51" s="1023"/>
      <c r="W51" s="1023"/>
      <c r="X51" s="1034"/>
      <c r="Y51" t="s">
        <v>363</v>
      </c>
      <c r="Z51" t="s">
        <v>185</v>
      </c>
      <c r="AA51">
        <v>55</v>
      </c>
      <c r="AB51" s="1023">
        <f>SUMIFS('01工程产值对比表'!$M:$M,'01工程产值对比表'!$D:$D,Y51,'01工程产值对比表'!$C:$C,Y$2)</f>
        <v>0</v>
      </c>
    </row>
    <row r="52" spans="1:28">
      <c r="A52" t="s">
        <v>364</v>
      </c>
      <c r="B52" s="681" t="s">
        <v>365</v>
      </c>
      <c r="C52"/>
      <c r="D52" s="1023">
        <f>SUMIFS('01工程产值对比表'!$M:$M,'01工程产值对比表'!$D:$D,A52,'01工程产值对比表'!$C:$C,A$2)</f>
        <v>0</v>
      </c>
      <c r="F52" s="1024"/>
      <c r="H52" s="1023"/>
      <c r="I52" s="1035" t="s">
        <v>366</v>
      </c>
      <c r="J52" s="1031" t="s">
        <v>72</v>
      </c>
      <c r="K52" s="1036">
        <v>3.45</v>
      </c>
      <c r="L52" s="1032">
        <f>SUMIFS('01工程产值对比表'!$M:$M,'01工程产值对比表'!$D:$D,I52,'01工程产值对比表'!$C:$C,I$2)</f>
        <v>33713.76</v>
      </c>
      <c r="M52" s="1033"/>
      <c r="N52" s="1033"/>
      <c r="O52" s="1033"/>
      <c r="P52" s="1038"/>
      <c r="Q52" t="s">
        <v>367</v>
      </c>
      <c r="R52" s="681" t="s">
        <v>72</v>
      </c>
      <c r="S52">
        <v>58</v>
      </c>
      <c r="T52" s="1023">
        <f>SUMIFS('01工程产值对比表'!$M:$M,'01工程产值对比表'!$D:$D,Q52,'01工程产值对比表'!$C:$C,Q$2)</f>
        <v>0</v>
      </c>
      <c r="U52" s="1023"/>
      <c r="V52" s="1023"/>
      <c r="W52" s="1023"/>
      <c r="X52" s="1034"/>
      <c r="Y52" t="s">
        <v>368</v>
      </c>
      <c r="Z52" t="s">
        <v>185</v>
      </c>
      <c r="AA52">
        <v>300</v>
      </c>
      <c r="AB52" s="1023">
        <f>SUMIFS('01工程产值对比表'!$M:$M,'01工程产值对比表'!$D:$D,Y52,'01工程产值对比表'!$C:$C,Y$2)</f>
        <v>0</v>
      </c>
    </row>
    <row r="53" ht="28.5" spans="1:28">
      <c r="A53" s="873" t="s">
        <v>369</v>
      </c>
      <c r="B53" s="681" t="s">
        <v>82</v>
      </c>
      <c r="C53"/>
      <c r="D53" s="1023">
        <f>SUMIFS('01工程产值对比表'!$M:$M,'01工程产值对比表'!$D:$D,A53,'01工程产值对比表'!$C:$C,A$2)</f>
        <v>0</v>
      </c>
      <c r="F53" s="1024"/>
      <c r="H53" s="1023"/>
      <c r="I53" s="1035" t="s">
        <v>370</v>
      </c>
      <c r="J53" s="1031" t="s">
        <v>72</v>
      </c>
      <c r="K53" s="1036">
        <v>23</v>
      </c>
      <c r="L53" s="1032">
        <f>SUMIFS('01工程产值对比表'!$M:$M,'01工程产值对比表'!$D:$D,I53,'01工程产值对比表'!$C:$C,I$2)</f>
        <v>0</v>
      </c>
      <c r="M53" s="1033"/>
      <c r="N53" s="1033"/>
      <c r="O53" s="1033"/>
      <c r="P53" s="1038"/>
      <c r="Q53" t="s">
        <v>371</v>
      </c>
      <c r="R53" s="681" t="s">
        <v>69</v>
      </c>
      <c r="S53">
        <v>1.5</v>
      </c>
      <c r="T53" s="1023">
        <f>SUMIFS('01工程产值对比表'!$M:$M,'01工程产值对比表'!$D:$D,Q53,'01工程产值对比表'!$C:$C,Q$2)</f>
        <v>0</v>
      </c>
      <c r="U53" s="1023"/>
      <c r="V53" s="1023"/>
      <c r="W53" s="1023"/>
      <c r="X53" s="1034"/>
      <c r="Y53" t="s">
        <v>372</v>
      </c>
      <c r="Z53" t="s">
        <v>82</v>
      </c>
      <c r="AA53">
        <v>35</v>
      </c>
      <c r="AB53" s="1023">
        <f>SUMIFS('01工程产值对比表'!$M:$M,'01工程产值对比表'!$D:$D,Y53,'01工程产值对比表'!$C:$C,Y$2)</f>
        <v>0</v>
      </c>
    </row>
    <row r="54" spans="1:28">
      <c r="A54" s="873" t="s">
        <v>373</v>
      </c>
      <c r="B54" s="681" t="s">
        <v>82</v>
      </c>
      <c r="C54"/>
      <c r="D54" s="1023">
        <f>SUMIFS('01工程产值对比表'!$M:$M,'01工程产值对比表'!$D:$D,A54,'01工程产值对比表'!$C:$C,A$2)</f>
        <v>0</v>
      </c>
      <c r="F54" s="1024"/>
      <c r="H54" s="1023"/>
      <c r="I54" s="1035" t="s">
        <v>374</v>
      </c>
      <c r="J54" s="1031" t="s">
        <v>72</v>
      </c>
      <c r="K54" s="1036">
        <v>6</v>
      </c>
      <c r="L54" s="1032">
        <f>SUMIFS('01工程产值对比表'!$M:$M,'01工程产值对比表'!$D:$D,I54,'01工程产值对比表'!$C:$C,I$2)</f>
        <v>0</v>
      </c>
      <c r="M54" s="1033"/>
      <c r="N54" s="1033"/>
      <c r="O54" s="1033"/>
      <c r="P54" s="1034"/>
      <c r="Q54" t="s">
        <v>375</v>
      </c>
      <c r="R54" s="681" t="s">
        <v>72</v>
      </c>
      <c r="S54">
        <v>10</v>
      </c>
      <c r="T54" s="1023">
        <f>SUMIFS('01工程产值对比表'!$M:$M,'01工程产值对比表'!$D:$D,Q54,'01工程产值对比表'!$C:$C,Q$2)</f>
        <v>0</v>
      </c>
      <c r="U54" s="1023"/>
      <c r="V54" s="1023"/>
      <c r="W54" s="1023"/>
      <c r="X54" s="1034"/>
      <c r="Y54" t="s">
        <v>376</v>
      </c>
      <c r="Z54" t="s">
        <v>76</v>
      </c>
      <c r="AA54">
        <v>500</v>
      </c>
      <c r="AB54" s="1023">
        <f>SUMIFS('01工程产值对比表'!$M:$M,'01工程产值对比表'!$D:$D,Y54,'01工程产值对比表'!$C:$C,Y$2)</f>
        <v>0</v>
      </c>
    </row>
    <row r="55" spans="1:28">
      <c r="A55" s="873" t="s">
        <v>377</v>
      </c>
      <c r="B55" s="681" t="s">
        <v>69</v>
      </c>
      <c r="C55"/>
      <c r="D55" s="1023">
        <f>SUMIFS('01工程产值对比表'!$M:$M,'01工程产值对比表'!$D:$D,A55,'01工程产值对比表'!$C:$C,A$2)</f>
        <v>37.111516</v>
      </c>
      <c r="F55" s="1024"/>
      <c r="H55" s="1023"/>
      <c r="I55" s="1035" t="s">
        <v>378</v>
      </c>
      <c r="J55" s="1031" t="s">
        <v>69</v>
      </c>
      <c r="K55" s="1036">
        <v>18</v>
      </c>
      <c r="L55" s="1032">
        <f>SUMIFS('01工程产值对比表'!$M:$M,'01工程产值对比表'!$D:$D,I55,'01工程产值对比表'!$C:$C,I$2)</f>
        <v>0</v>
      </c>
      <c r="M55" s="1033"/>
      <c r="N55" s="1033"/>
      <c r="O55" s="1033"/>
      <c r="P55" s="1034"/>
      <c r="Q55" t="s">
        <v>379</v>
      </c>
      <c r="R55" s="681" t="s">
        <v>76</v>
      </c>
      <c r="S55">
        <v>15</v>
      </c>
      <c r="T55" s="1023">
        <f>SUMIFS('01工程产值对比表'!$M:$M,'01工程产值对比表'!$D:$D,Q55,'01工程产值对比表'!$C:$C,Q$2)</f>
        <v>0</v>
      </c>
      <c r="U55" s="1023"/>
      <c r="V55" s="1023"/>
      <c r="W55" s="1023"/>
      <c r="X55" s="1034"/>
      <c r="Y55" t="s">
        <v>380</v>
      </c>
      <c r="Z55" t="s">
        <v>72</v>
      </c>
      <c r="AA55">
        <v>800</v>
      </c>
      <c r="AB55" s="1023">
        <f>SUMIFS('01工程产值对比表'!$M:$M,'01工程产值对比表'!$D:$D,Y55,'01工程产值对比表'!$C:$C,Y$2)</f>
        <v>0</v>
      </c>
    </row>
    <row r="56" spans="1:28">
      <c r="A56" t="s">
        <v>381</v>
      </c>
      <c r="B56" s="681" t="s">
        <v>76</v>
      </c>
      <c r="C56">
        <v>80</v>
      </c>
      <c r="D56" s="1023">
        <f>SUMIFS('01工程产值对比表'!$M:$M,'01工程产值对比表'!$D:$D,A56,'01工程产值对比表'!$C:$C,A$2)</f>
        <v>0</v>
      </c>
      <c r="F56" s="1024"/>
      <c r="H56" s="1023"/>
      <c r="I56" s="1035" t="s">
        <v>382</v>
      </c>
      <c r="J56" s="1031" t="s">
        <v>69</v>
      </c>
      <c r="K56" s="1036">
        <v>1.5</v>
      </c>
      <c r="L56" s="1032">
        <f>SUMIFS('01工程产值对比表'!$M:$M,'01工程产值对比表'!$D:$D,I56,'01工程产值对比表'!$C:$C,I$2)</f>
        <v>0</v>
      </c>
      <c r="M56" s="1033"/>
      <c r="N56" s="1033"/>
      <c r="O56" s="1033"/>
      <c r="P56" s="1034"/>
      <c r="Q56" t="s">
        <v>383</v>
      </c>
      <c r="R56" s="681" t="s">
        <v>76</v>
      </c>
      <c r="S56">
        <v>10</v>
      </c>
      <c r="T56" s="1023">
        <f>SUMIFS('01工程产值对比表'!$M:$M,'01工程产值对比表'!$D:$D,Q56,'01工程产值对比表'!$C:$C,Q$2)</f>
        <v>0</v>
      </c>
      <c r="U56" s="1023"/>
      <c r="V56" s="1023"/>
      <c r="W56" s="1023"/>
      <c r="X56" s="1034"/>
      <c r="Y56" t="s">
        <v>384</v>
      </c>
      <c r="Z56" t="s">
        <v>72</v>
      </c>
      <c r="AA56">
        <v>800</v>
      </c>
      <c r="AB56" s="1023">
        <f>SUMIFS('01工程产值对比表'!$M:$M,'01工程产值对比表'!$D:$D,Y56,'01工程产值对比表'!$C:$C,Y$2)</f>
        <v>0</v>
      </c>
    </row>
    <row r="57" ht="28.5" spans="1:28">
      <c r="A57" s="873" t="s">
        <v>385</v>
      </c>
      <c r="B57" s="681" t="s">
        <v>76</v>
      </c>
      <c r="C57"/>
      <c r="D57" s="1023">
        <f>SUMIFS('01工程产值对比表'!$M:$M,'01工程产值对比表'!$D:$D,A57,'01工程产值对比表'!$C:$C,A$2)</f>
        <v>0</v>
      </c>
      <c r="F57" s="1024"/>
      <c r="H57" s="1023"/>
      <c r="I57" s="1035" t="s">
        <v>386</v>
      </c>
      <c r="J57" s="1031" t="s">
        <v>69</v>
      </c>
      <c r="K57" s="1036">
        <v>1.27</v>
      </c>
      <c r="L57" s="1032">
        <f>SUMIFS('01工程产值对比表'!$M:$M,'01工程产值对比表'!$D:$D,I57,'01工程产值对比表'!$C:$C,I$2)</f>
        <v>0</v>
      </c>
      <c r="M57" s="1033"/>
      <c r="N57" s="1033"/>
      <c r="O57" s="1033"/>
      <c r="P57" s="1034"/>
      <c r="Q57" t="s">
        <v>387</v>
      </c>
      <c r="R57" s="681" t="s">
        <v>72</v>
      </c>
      <c r="S57">
        <v>164</v>
      </c>
      <c r="T57" s="1023">
        <f>SUMIFS('01工程产值对比表'!$M:$M,'01工程产值对比表'!$D:$D,Q57,'01工程产值对比表'!$C:$C,Q$2)</f>
        <v>0</v>
      </c>
      <c r="U57" s="1023"/>
      <c r="V57" s="1023"/>
      <c r="W57" s="1023"/>
      <c r="X57" s="1034"/>
      <c r="Y57" t="s">
        <v>388</v>
      </c>
      <c r="Z57" t="s">
        <v>69</v>
      </c>
      <c r="AA57">
        <v>150</v>
      </c>
      <c r="AB57" s="1023">
        <f>SUMIFS('01工程产值对比表'!$M:$M,'01工程产值对比表'!$D:$D,Y57,'01工程产值对比表'!$C:$C,Y$2)</f>
        <v>0</v>
      </c>
    </row>
    <row r="58" spans="1:28">
      <c r="A58" t="s">
        <v>389</v>
      </c>
      <c r="B58" s="681" t="s">
        <v>82</v>
      </c>
      <c r="C58">
        <v>5000</v>
      </c>
      <c r="D58" s="1023">
        <f>SUMIFS('01工程产值对比表'!$M:$M,'01工程产值对比表'!$D:$D,A58,'01工程产值对比表'!$C:$C,A$2)</f>
        <v>20.26731</v>
      </c>
      <c r="F58" s="1024"/>
      <c r="H58" s="1023"/>
      <c r="I58" s="1035" t="s">
        <v>390</v>
      </c>
      <c r="J58" s="1031" t="s">
        <v>72</v>
      </c>
      <c r="K58" s="1036">
        <v>11</v>
      </c>
      <c r="L58" s="1032">
        <f>SUMIFS('01工程产值对比表'!$M:$M,'01工程产值对比表'!$D:$D,I58,'01工程产值对比表'!$C:$C,I$2)</f>
        <v>0</v>
      </c>
      <c r="M58" s="1033"/>
      <c r="N58" s="1033"/>
      <c r="O58" s="1033"/>
      <c r="P58" s="1034"/>
      <c r="Q58" t="s">
        <v>391</v>
      </c>
      <c r="R58" s="681" t="s">
        <v>72</v>
      </c>
      <c r="S58">
        <v>24</v>
      </c>
      <c r="T58" s="1023">
        <f>SUMIFS('01工程产值对比表'!$M:$M,'01工程产值对比表'!$D:$D,Q58,'01工程产值对比表'!$C:$C,Q$2)</f>
        <v>0</v>
      </c>
      <c r="U58" s="1023"/>
      <c r="V58" s="1023"/>
      <c r="W58" s="1023"/>
      <c r="X58" s="1034"/>
      <c r="Y58" t="s">
        <v>392</v>
      </c>
      <c r="Z58" t="s">
        <v>169</v>
      </c>
      <c r="AA58">
        <v>200</v>
      </c>
      <c r="AB58" s="1023">
        <f>SUMIFS('01工程产值对比表'!$M:$M,'01工程产值对比表'!$D:$D,Y58,'01工程产值对比表'!$C:$C,Y$2)</f>
        <v>0</v>
      </c>
    </row>
    <row r="59" spans="1:28">
      <c r="A59" s="873" t="s">
        <v>393</v>
      </c>
      <c r="B59" s="681" t="s">
        <v>82</v>
      </c>
      <c r="C59"/>
      <c r="D59" s="1023">
        <f>SUMIFS('01工程产值对比表'!$M:$M,'01工程产值对比表'!$D:$D,A59,'01工程产值对比表'!$C:$C,A$2)</f>
        <v>0</v>
      </c>
      <c r="F59" s="1024"/>
      <c r="H59" s="1023"/>
      <c r="I59" s="1035" t="s">
        <v>394</v>
      </c>
      <c r="J59" s="1031" t="s">
        <v>72</v>
      </c>
      <c r="K59" s="1036">
        <v>4.5</v>
      </c>
      <c r="L59" s="1032">
        <f>SUMIFS('01工程产值对比表'!$M:$M,'01工程产值对比表'!$D:$D,I59,'01工程产值对比表'!$C:$C,I$2)</f>
        <v>0</v>
      </c>
      <c r="M59" s="1033"/>
      <c r="N59" s="1033"/>
      <c r="O59" s="1033"/>
      <c r="P59" s="1034"/>
      <c r="Q59" t="s">
        <v>395</v>
      </c>
      <c r="R59" s="681" t="s">
        <v>76</v>
      </c>
      <c r="S59">
        <v>65</v>
      </c>
      <c r="T59" s="1023">
        <f>SUMIFS('01工程产值对比表'!$M:$M,'01工程产值对比表'!$D:$D,Q59,'01工程产值对比表'!$C:$C,Q$2)</f>
        <v>0</v>
      </c>
      <c r="U59" s="1023"/>
      <c r="V59" s="1023"/>
      <c r="W59" s="1023"/>
      <c r="X59" s="1034"/>
      <c r="Y59" t="s">
        <v>396</v>
      </c>
      <c r="Z59" t="s">
        <v>76</v>
      </c>
      <c r="AA59">
        <v>55</v>
      </c>
      <c r="AB59" s="1023">
        <f>SUMIFS('01工程产值对比表'!$M:$M,'01工程产值对比表'!$D:$D,Y59,'01工程产值对比表'!$C:$C,Y$2)</f>
        <v>0</v>
      </c>
    </row>
    <row r="60" spans="1:28">
      <c r="A60" s="873" t="s">
        <v>397</v>
      </c>
      <c r="B60" s="681" t="s">
        <v>82</v>
      </c>
      <c r="C60">
        <v>4000</v>
      </c>
      <c r="D60" s="1023">
        <f>SUMIFS('01工程产值对比表'!$M:$M,'01工程产值对比表'!$D:$D,A60,'01工程产值对比表'!$C:$C,A$2)</f>
        <v>26.343</v>
      </c>
      <c r="F60" s="1024"/>
      <c r="H60" s="1023"/>
      <c r="I60" s="1035" t="s">
        <v>398</v>
      </c>
      <c r="J60" s="1031" t="s">
        <v>69</v>
      </c>
      <c r="K60" s="1036">
        <v>3.3</v>
      </c>
      <c r="L60" s="1032">
        <f>SUMIFS('01工程产值对比表'!$M:$M,'01工程产值对比表'!$D:$D,I60,'01工程产值对比表'!$C:$C,I$2)</f>
        <v>0</v>
      </c>
      <c r="M60" s="1033"/>
      <c r="N60" s="1033"/>
      <c r="O60" s="1033"/>
      <c r="P60" s="1034"/>
      <c r="Q60" t="s">
        <v>399</v>
      </c>
      <c r="R60" s="681" t="s">
        <v>69</v>
      </c>
      <c r="S60">
        <v>40</v>
      </c>
      <c r="T60" s="1023">
        <f>SUMIFS('01工程产值对比表'!$M:$M,'01工程产值对比表'!$D:$D,Q60,'01工程产值对比表'!$C:$C,Q$2)</f>
        <v>0</v>
      </c>
      <c r="U60" s="1023"/>
      <c r="V60" s="1023"/>
      <c r="W60" s="1023"/>
      <c r="X60" s="1034"/>
      <c r="Y60" t="s">
        <v>400</v>
      </c>
      <c r="Z60" t="s">
        <v>69</v>
      </c>
      <c r="AA60">
        <v>55</v>
      </c>
      <c r="AB60" s="1023">
        <f>SUMIFS('01工程产值对比表'!$M:$M,'01工程产值对比表'!$D:$D,Y60,'01工程产值对比表'!$C:$C,Y$2)</f>
        <v>0</v>
      </c>
    </row>
    <row r="61" spans="1:28">
      <c r="A61" s="873" t="s">
        <v>401</v>
      </c>
      <c r="B61" s="681" t="s">
        <v>82</v>
      </c>
      <c r="C61">
        <v>90</v>
      </c>
      <c r="D61" s="1023">
        <f>SUMIFS('01工程产值对比表'!$M:$M,'01工程产值对比表'!$D:$D,A61,'01工程产值对比表'!$C:$C,A$2)</f>
        <v>0</v>
      </c>
      <c r="F61" s="1024"/>
      <c r="H61" s="1023"/>
      <c r="I61" s="1035" t="s">
        <v>402</v>
      </c>
      <c r="J61" s="1031" t="s">
        <v>72</v>
      </c>
      <c r="K61" s="1036">
        <v>6</v>
      </c>
      <c r="L61" s="1032">
        <f>SUMIFS('01工程产值对比表'!$M:$M,'01工程产值对比表'!$D:$D,I61,'01工程产值对比表'!$C:$C,I$2)</f>
        <v>0</v>
      </c>
      <c r="M61" s="1033"/>
      <c r="N61" s="1033"/>
      <c r="O61" s="1033"/>
      <c r="P61" s="1034"/>
      <c r="Q61" t="s">
        <v>403</v>
      </c>
      <c r="R61" s="681" t="s">
        <v>72</v>
      </c>
      <c r="S61">
        <v>100</v>
      </c>
      <c r="T61" s="1023">
        <f>SUMIFS('01工程产值对比表'!$M:$M,'01工程产值对比表'!$D:$D,Q61,'01工程产值对比表'!$C:$C,Q$2)</f>
        <v>30.09975</v>
      </c>
      <c r="U61" s="1023"/>
      <c r="V61" s="1023"/>
      <c r="W61" s="1023"/>
      <c r="X61" s="1034"/>
      <c r="Y61" t="s">
        <v>404</v>
      </c>
      <c r="Z61" t="s">
        <v>82</v>
      </c>
      <c r="AA61">
        <v>7500</v>
      </c>
      <c r="AB61" s="1023">
        <f>SUMIFS('01工程产值对比表'!$M:$M,'01工程产值对比表'!$D:$D,Y61,'01工程产值对比表'!$C:$C,Y$2)</f>
        <v>0</v>
      </c>
    </row>
    <row r="62" ht="28.5" spans="1:28">
      <c r="A62" s="873" t="s">
        <v>405</v>
      </c>
      <c r="B62" s="681" t="s">
        <v>82</v>
      </c>
      <c r="C62"/>
      <c r="D62" s="1023">
        <f>SUMIFS('01工程产值对比表'!$M:$M,'01工程产值对比表'!$D:$D,A62,'01工程产值对比表'!$C:$C,A$2)</f>
        <v>0</v>
      </c>
      <c r="F62" s="1024"/>
      <c r="H62" s="1023"/>
      <c r="I62" s="1035" t="s">
        <v>406</v>
      </c>
      <c r="J62" s="1031" t="s">
        <v>72</v>
      </c>
      <c r="K62" s="1036">
        <v>14</v>
      </c>
      <c r="L62" s="1032">
        <f>SUMIFS('01工程产值对比表'!$M:$M,'01工程产值对比表'!$D:$D,I62,'01工程产值对比表'!$C:$C,I$2)</f>
        <v>0</v>
      </c>
      <c r="M62" s="1033"/>
      <c r="N62" s="1033"/>
      <c r="O62" s="1033"/>
      <c r="P62" s="1034"/>
      <c r="Q62" t="s">
        <v>407</v>
      </c>
      <c r="R62" s="681" t="s">
        <v>82</v>
      </c>
      <c r="S62">
        <v>570</v>
      </c>
      <c r="T62" s="1023">
        <f>SUMIFS('01工程产值对比表'!$M:$M,'01工程产值对比表'!$D:$D,Q62,'01工程产值对比表'!$C:$C,Q$2)</f>
        <v>0</v>
      </c>
      <c r="U62" s="1023"/>
      <c r="V62" s="1023"/>
      <c r="W62" s="1023"/>
      <c r="X62" s="1034"/>
      <c r="Y62" t="s">
        <v>408</v>
      </c>
      <c r="Z62" t="s">
        <v>169</v>
      </c>
      <c r="AA62">
        <v>35</v>
      </c>
      <c r="AB62" s="1023">
        <f>SUMIFS('01工程产值对比表'!$M:$M,'01工程产值对比表'!$D:$D,Y62,'01工程产值对比表'!$C:$C,Y$2)</f>
        <v>0</v>
      </c>
    </row>
    <row r="63" ht="42.75" spans="1:28">
      <c r="A63" s="873" t="s">
        <v>409</v>
      </c>
      <c r="B63" s="681" t="s">
        <v>69</v>
      </c>
      <c r="C63"/>
      <c r="D63" s="1023">
        <f>SUMIFS('01工程产值对比表'!$M:$M,'01工程产值对比表'!$D:$D,A63,'01工程产值对比表'!$C:$C,A$2)</f>
        <v>0</v>
      </c>
      <c r="F63" s="1024"/>
      <c r="H63" s="1023"/>
      <c r="I63" s="1035" t="s">
        <v>410</v>
      </c>
      <c r="J63" s="1031" t="s">
        <v>72</v>
      </c>
      <c r="K63" s="1036">
        <v>15</v>
      </c>
      <c r="L63" s="1032">
        <f>SUMIFS('01工程产值对比表'!$M:$M,'01工程产值对比表'!$D:$D,I63,'01工程产值对比表'!$C:$C,I$2)</f>
        <v>0</v>
      </c>
      <c r="M63" s="1033"/>
      <c r="N63" s="1033"/>
      <c r="O63" s="1033"/>
      <c r="P63" s="1034"/>
      <c r="Q63" t="s">
        <v>411</v>
      </c>
      <c r="R63" s="681" t="s">
        <v>69</v>
      </c>
      <c r="S63">
        <v>6</v>
      </c>
      <c r="T63" s="1023">
        <f>SUMIFS('01工程产值对比表'!$M:$M,'01工程产值对比表'!$D:$D,Q63,'01工程产值对比表'!$C:$C,Q$2)</f>
        <v>0</v>
      </c>
      <c r="U63" s="1023"/>
      <c r="V63" s="1023"/>
      <c r="W63" s="1023"/>
      <c r="X63" s="1034"/>
      <c r="Y63" t="s">
        <v>412</v>
      </c>
      <c r="Z63" t="s">
        <v>169</v>
      </c>
      <c r="AA63">
        <v>350</v>
      </c>
      <c r="AB63" s="1023">
        <f>SUMIFS('01工程产值对比表'!$M:$M,'01工程产值对比表'!$D:$D,Y63,'01工程产值对比表'!$C:$C,Y$2)</f>
        <v>0</v>
      </c>
    </row>
    <row r="64" spans="1:28">
      <c r="A64" s="873" t="s">
        <v>413</v>
      </c>
      <c r="B64" s="681" t="s">
        <v>76</v>
      </c>
      <c r="C64"/>
      <c r="D64" s="1023">
        <f>SUMIFS('01工程产值对比表'!$M:$M,'01工程产值对比表'!$D:$D,A64,'01工程产值对比表'!$C:$C,A$2)</f>
        <v>0</v>
      </c>
      <c r="F64" s="1024"/>
      <c r="H64" s="1023"/>
      <c r="I64" s="1035" t="s">
        <v>414</v>
      </c>
      <c r="J64" s="1031" t="s">
        <v>72</v>
      </c>
      <c r="K64" s="1036">
        <v>2.5</v>
      </c>
      <c r="L64" s="1032">
        <f>SUMIFS('01工程产值对比表'!$M:$M,'01工程产值对比表'!$D:$D,I64,'01工程产值对比表'!$C:$C,I$2)</f>
        <v>0</v>
      </c>
      <c r="M64" s="1033"/>
      <c r="N64" s="1033"/>
      <c r="O64" s="1033"/>
      <c r="P64" s="1034"/>
      <c r="Q64" t="s">
        <v>415</v>
      </c>
      <c r="R64" s="681" t="s">
        <v>82</v>
      </c>
      <c r="S64">
        <v>970</v>
      </c>
      <c r="T64" s="1023">
        <f>SUMIFS('01工程产值对比表'!$M:$M,'01工程产值对比表'!$D:$D,Q64,'01工程产值对比表'!$C:$C,Q$2)</f>
        <v>0</v>
      </c>
      <c r="U64" s="1023"/>
      <c r="V64" s="1023"/>
      <c r="W64" s="1023"/>
      <c r="X64" s="1034"/>
      <c r="Y64" t="s">
        <v>416</v>
      </c>
      <c r="Z64" t="s">
        <v>180</v>
      </c>
      <c r="AA64">
        <v>50</v>
      </c>
      <c r="AB64" s="1023">
        <f>SUMIFS('01工程产值对比表'!$M:$M,'01工程产值对比表'!$D:$D,Y64,'01工程产值对比表'!$C:$C,Y$2)</f>
        <v>0</v>
      </c>
    </row>
    <row r="65" spans="1:28">
      <c r="A65" s="873" t="s">
        <v>417</v>
      </c>
      <c r="B65" s="681" t="s">
        <v>82</v>
      </c>
      <c r="C65"/>
      <c r="D65" s="1023">
        <f>SUMIFS('01工程产值对比表'!$M:$M,'01工程产值对比表'!$D:$D,A65,'01工程产值对比表'!$C:$C,A$2)</f>
        <v>0</v>
      </c>
      <c r="F65" s="1024"/>
      <c r="H65" s="1023"/>
      <c r="I65" s="1035" t="s">
        <v>418</v>
      </c>
      <c r="J65" s="1031" t="s">
        <v>69</v>
      </c>
      <c r="K65" s="1036"/>
      <c r="L65" s="1032">
        <f>SUMIFS('01工程产值对比表'!$M:$M,'01工程产值对比表'!$D:$D,I65,'01工程产值对比表'!$C:$C,I$2)</f>
        <v>0</v>
      </c>
      <c r="M65" s="1033"/>
      <c r="N65" s="1033"/>
      <c r="O65" s="1033"/>
      <c r="P65" s="1034"/>
      <c r="Q65" t="s">
        <v>419</v>
      </c>
      <c r="R65" s="681" t="s">
        <v>82</v>
      </c>
      <c r="S65">
        <v>620</v>
      </c>
      <c r="T65" s="1023">
        <f>SUMIFS('01工程产值对比表'!$M:$M,'01工程产值对比表'!$D:$D,Q65,'01工程产值对比表'!$C:$C,Q$2)</f>
        <v>0</v>
      </c>
      <c r="U65" s="1023"/>
      <c r="V65" s="1023"/>
      <c r="W65" s="1023"/>
      <c r="X65" s="1034"/>
      <c r="Y65" t="s">
        <v>420</v>
      </c>
      <c r="Z65" t="s">
        <v>180</v>
      </c>
      <c r="AA65">
        <v>550</v>
      </c>
      <c r="AB65" s="1023">
        <f>SUMIFS('01工程产值对比表'!$M:$M,'01工程产值对比表'!$D:$D,Y65,'01工程产值对比表'!$C:$C,Y$2)</f>
        <v>0</v>
      </c>
    </row>
    <row r="66" spans="1:28">
      <c r="A66" s="873" t="s">
        <v>421</v>
      </c>
      <c r="B66" s="681" t="s">
        <v>185</v>
      </c>
      <c r="C66"/>
      <c r="D66" s="1023">
        <f>SUMIFS('01工程产值对比表'!$M:$M,'01工程产值对比表'!$D:$D,A66,'01工程产值对比表'!$C:$C,A$2)</f>
        <v>0</v>
      </c>
      <c r="F66" s="1024"/>
      <c r="H66" s="1023"/>
      <c r="I66" s="1035" t="s">
        <v>422</v>
      </c>
      <c r="J66" s="1031" t="s">
        <v>72</v>
      </c>
      <c r="K66" s="1036">
        <v>4.3</v>
      </c>
      <c r="L66" s="1032">
        <f>SUMIFS('01工程产值对比表'!$M:$M,'01工程产值对比表'!$D:$D,I66,'01工程产值对比表'!$C:$C,I$2)</f>
        <v>14487.14</v>
      </c>
      <c r="M66" s="1033"/>
      <c r="N66" s="1033"/>
      <c r="O66" s="1033"/>
      <c r="P66" s="1034"/>
      <c r="Q66" t="s">
        <v>423</v>
      </c>
      <c r="R66" s="681" t="s">
        <v>82</v>
      </c>
      <c r="S66">
        <v>920</v>
      </c>
      <c r="T66" s="1023">
        <f>SUMIFS('01工程产值对比表'!$M:$M,'01工程产值对比表'!$D:$D,Q66,'01工程产值对比表'!$C:$C,Q$2)</f>
        <v>0</v>
      </c>
      <c r="U66" s="1023"/>
      <c r="V66" s="1023"/>
      <c r="W66" s="1023"/>
      <c r="X66" s="1034"/>
      <c r="Y66" t="s">
        <v>424</v>
      </c>
      <c r="Z66" t="s">
        <v>180</v>
      </c>
      <c r="AA66">
        <v>350</v>
      </c>
      <c r="AB66" s="1023">
        <f>SUMIFS('01工程产值对比表'!$M:$M,'01工程产值对比表'!$D:$D,Y66,'01工程产值对比表'!$C:$C,Y$2)</f>
        <v>0</v>
      </c>
    </row>
    <row r="67" ht="42.75" spans="1:28">
      <c r="A67" s="873" t="s">
        <v>425</v>
      </c>
      <c r="B67" s="681" t="s">
        <v>185</v>
      </c>
      <c r="C67"/>
      <c r="D67" s="1023">
        <f>SUMIFS('01工程产值对比表'!$M:$M,'01工程产值对比表'!$D:$D,A67,'01工程产值对比表'!$C:$C,A$2)</f>
        <v>0</v>
      </c>
      <c r="F67" s="1024"/>
      <c r="H67" s="1023"/>
      <c r="I67" s="1035" t="s">
        <v>426</v>
      </c>
      <c r="J67" s="1031" t="s">
        <v>69</v>
      </c>
      <c r="K67" s="1036">
        <v>5.5</v>
      </c>
      <c r="L67" s="1032">
        <f>SUMIFS('01工程产值对比表'!$M:$M,'01工程产值对比表'!$D:$D,I67,'01工程产值对比表'!$C:$C,I$2)</f>
        <v>0</v>
      </c>
      <c r="M67" s="1033"/>
      <c r="N67" s="1033"/>
      <c r="O67" s="1033"/>
      <c r="P67" s="1034"/>
      <c r="Q67" t="s">
        <v>427</v>
      </c>
      <c r="R67" s="681" t="s">
        <v>76</v>
      </c>
      <c r="S67">
        <v>100</v>
      </c>
      <c r="T67" s="1023">
        <f>SUMIFS('01工程产值对比表'!$M:$M,'01工程产值对比表'!$D:$D,Q67,'01工程产值对比表'!$C:$C,Q$2)</f>
        <v>0</v>
      </c>
      <c r="U67" s="1023"/>
      <c r="V67" s="1023"/>
      <c r="W67" s="1023"/>
      <c r="X67" s="1034"/>
      <c r="Y67" t="s">
        <v>428</v>
      </c>
      <c r="Z67" t="s">
        <v>76</v>
      </c>
      <c r="AA67">
        <v>55</v>
      </c>
      <c r="AB67" s="1023">
        <f>SUMIFS('01工程产值对比表'!$M:$M,'01工程产值对比表'!$D:$D,Y67,'01工程产值对比表'!$C:$C,Y$2)</f>
        <v>0</v>
      </c>
    </row>
    <row r="68" spans="1:28">
      <c r="A68" t="s">
        <v>429</v>
      </c>
      <c r="B68" s="681" t="s">
        <v>185</v>
      </c>
      <c r="C68"/>
      <c r="D68" s="1023">
        <f>SUMIFS('01工程产值对比表'!$M:$M,'01工程产值对比表'!$D:$D,A68,'01工程产值对比表'!$C:$C,A$2)</f>
        <v>0</v>
      </c>
      <c r="F68" s="1024"/>
      <c r="H68" s="1023"/>
      <c r="I68" s="1035" t="s">
        <v>430</v>
      </c>
      <c r="J68" s="1031" t="s">
        <v>76</v>
      </c>
      <c r="K68" s="1036">
        <v>370</v>
      </c>
      <c r="L68" s="1032">
        <f>SUMIFS('01工程产值对比表'!$M:$M,'01工程产值对比表'!$D:$D,I68,'01工程产值对比表'!$C:$C,I$2)</f>
        <v>0</v>
      </c>
      <c r="M68" s="1033"/>
      <c r="N68" s="1033"/>
      <c r="O68" s="1033"/>
      <c r="P68" s="1034"/>
      <c r="Q68" t="s">
        <v>431</v>
      </c>
      <c r="R68" s="681" t="s">
        <v>82</v>
      </c>
      <c r="S68">
        <v>570</v>
      </c>
      <c r="T68" s="1023">
        <f>SUMIFS('01工程产值对比表'!$M:$M,'01工程产值对比表'!$D:$D,Q68,'01工程产值对比表'!$C:$C,Q$2)</f>
        <v>0</v>
      </c>
      <c r="U68" s="1023"/>
      <c r="V68" s="1023"/>
      <c r="W68" s="1023"/>
      <c r="X68" s="1034"/>
      <c r="Y68" t="s">
        <v>432</v>
      </c>
      <c r="Z68" t="s">
        <v>76</v>
      </c>
      <c r="AA68">
        <v>35</v>
      </c>
      <c r="AB68" s="1023">
        <f>SUMIFS('01工程产值对比表'!$M:$M,'01工程产值对比表'!$D:$D,Y68,'01工程产值对比表'!$C:$C,Y$2)</f>
        <v>0</v>
      </c>
    </row>
    <row r="69" ht="28.5" spans="1:28">
      <c r="A69" s="873" t="s">
        <v>433</v>
      </c>
      <c r="B69" s="681" t="s">
        <v>211</v>
      </c>
      <c r="C69"/>
      <c r="D69" s="1023">
        <f>SUMIFS('01工程产值对比表'!$M:$M,'01工程产值对比表'!$D:$D,A69,'01工程产值对比表'!$C:$C,A$2)</f>
        <v>0</v>
      </c>
      <c r="F69" s="1024"/>
      <c r="H69" s="1023"/>
      <c r="I69" s="1035" t="s">
        <v>434</v>
      </c>
      <c r="J69" s="1031" t="s">
        <v>69</v>
      </c>
      <c r="K69" s="1036">
        <v>4</v>
      </c>
      <c r="L69" s="1032">
        <f>SUMIFS('01工程产值对比表'!$M:$M,'01工程产值对比表'!$D:$D,I69,'01工程产值对比表'!$C:$C,I$2)</f>
        <v>0</v>
      </c>
      <c r="M69" s="1033"/>
      <c r="N69" s="1033"/>
      <c r="O69" s="1033"/>
      <c r="P69" s="1034"/>
      <c r="Q69" t="s">
        <v>435</v>
      </c>
      <c r="R69" s="681" t="s">
        <v>72</v>
      </c>
      <c r="S69">
        <v>150</v>
      </c>
      <c r="T69" s="1023">
        <f>SUMIFS('01工程产值对比表'!$M:$M,'01工程产值对比表'!$D:$D,Q69,'01工程产值对比表'!$C:$C,Q$2)</f>
        <v>0</v>
      </c>
      <c r="U69" s="1023"/>
      <c r="V69" s="1023"/>
      <c r="W69" s="1023"/>
      <c r="X69" s="1034"/>
      <c r="Y69" t="s">
        <v>436</v>
      </c>
      <c r="Z69" t="s">
        <v>69</v>
      </c>
      <c r="AA69">
        <v>95</v>
      </c>
      <c r="AB69" s="1023">
        <f>SUMIFS('01工程产值对比表'!$M:$M,'01工程产值对比表'!$D:$D,Y69,'01工程产值对比表'!$C:$C,Y$2)</f>
        <v>0</v>
      </c>
    </row>
    <row r="70" spans="1:28">
      <c r="A70" t="s">
        <v>437</v>
      </c>
      <c r="B70" s="681" t="s">
        <v>76</v>
      </c>
      <c r="C70"/>
      <c r="D70" s="1023">
        <f>SUMIFS('01工程产值对比表'!$M:$M,'01工程产值对比表'!$D:$D,A70,'01工程产值对比表'!$C:$C,A$2)</f>
        <v>0</v>
      </c>
      <c r="F70" s="1024"/>
      <c r="H70" s="1023"/>
      <c r="I70" s="1035" t="s">
        <v>438</v>
      </c>
      <c r="J70" s="1031" t="s">
        <v>72</v>
      </c>
      <c r="K70" s="1036">
        <v>1.5</v>
      </c>
      <c r="L70" s="1032">
        <f>SUMIFS('01工程产值对比表'!$M:$M,'01工程产值对比表'!$D:$D,I70,'01工程产值对比表'!$C:$C,I$2)</f>
        <v>0</v>
      </c>
      <c r="M70" s="1033"/>
      <c r="N70" s="1033"/>
      <c r="O70" s="1033"/>
      <c r="P70" s="1034"/>
      <c r="Q70" t="s">
        <v>439</v>
      </c>
      <c r="R70" s="681" t="s">
        <v>69</v>
      </c>
      <c r="S70">
        <v>2</v>
      </c>
      <c r="T70" s="1023">
        <f>SUMIFS('01工程产值对比表'!$M:$M,'01工程产值对比表'!$D:$D,Q70,'01工程产值对比表'!$C:$C,Q$2)</f>
        <v>0</v>
      </c>
      <c r="U70" s="1023"/>
      <c r="V70" s="1023"/>
      <c r="W70" s="1023"/>
      <c r="X70" s="1034"/>
      <c r="Y70" t="s">
        <v>440</v>
      </c>
      <c r="Z70" t="s">
        <v>69</v>
      </c>
      <c r="AA70">
        <v>45</v>
      </c>
      <c r="AB70" s="1023">
        <f>SUMIFS('01工程产值对比表'!$M:$M,'01工程产值对比表'!$D:$D,Y70,'01工程产值对比表'!$C:$C,Y$2)</f>
        <v>0</v>
      </c>
    </row>
    <row r="71" spans="1:28">
      <c r="A71" s="873" t="s">
        <v>441</v>
      </c>
      <c r="B71" s="681" t="s">
        <v>211</v>
      </c>
      <c r="C71"/>
      <c r="D71" s="1023">
        <f>SUMIFS('01工程产值对比表'!$M:$M,'01工程产值对比表'!$D:$D,A71,'01工程产值对比表'!$C:$C,A$2)</f>
        <v>0</v>
      </c>
      <c r="F71" s="1024"/>
      <c r="H71" s="1023"/>
      <c r="I71" s="1035" t="s">
        <v>442</v>
      </c>
      <c r="J71" s="1031" t="s">
        <v>72</v>
      </c>
      <c r="K71" s="1036">
        <v>2</v>
      </c>
      <c r="L71" s="1032">
        <f>SUMIFS('01工程产值对比表'!$M:$M,'01工程产值对比表'!$D:$D,I71,'01工程产值对比表'!$C:$C,I$2)</f>
        <v>0</v>
      </c>
      <c r="M71" s="1033"/>
      <c r="N71" s="1033"/>
      <c r="O71" s="1033"/>
      <c r="P71" s="1034"/>
      <c r="Q71" t="s">
        <v>443</v>
      </c>
      <c r="R71" s="681" t="s">
        <v>69</v>
      </c>
      <c r="S71">
        <v>55</v>
      </c>
      <c r="T71" s="1023">
        <f>SUMIFS('01工程产值对比表'!$M:$M,'01工程产值对比表'!$D:$D,Q71,'01工程产值对比表'!$C:$C,Q$2)</f>
        <v>0</v>
      </c>
      <c r="U71" s="1023"/>
      <c r="V71" s="1023"/>
      <c r="W71" s="1023"/>
      <c r="X71" s="1034"/>
      <c r="Y71" t="s">
        <v>444</v>
      </c>
      <c r="Z71" t="s">
        <v>69</v>
      </c>
      <c r="AA71">
        <v>45</v>
      </c>
      <c r="AB71" s="1023">
        <f>SUMIFS('01工程产值对比表'!$M:$M,'01工程产值对比表'!$D:$D,Y71,'01工程产值对比表'!$C:$C,Y$2)</f>
        <v>0</v>
      </c>
    </row>
    <row r="72" spans="1:28">
      <c r="A72" t="s">
        <v>445</v>
      </c>
      <c r="B72" s="681" t="s">
        <v>69</v>
      </c>
      <c r="C72"/>
      <c r="D72" s="1023">
        <f>SUMIFS('01工程产值对比表'!$M:$M,'01工程产值对比表'!$D:$D,A72,'01工程产值对比表'!$C:$C,A$2)</f>
        <v>0</v>
      </c>
      <c r="F72" s="1024"/>
      <c r="H72" s="1023"/>
      <c r="I72" s="1035" t="s">
        <v>446</v>
      </c>
      <c r="J72" s="1031" t="s">
        <v>72</v>
      </c>
      <c r="K72" s="1036">
        <v>3.5</v>
      </c>
      <c r="L72" s="1032">
        <f>SUMIFS('01工程产值对比表'!$M:$M,'01工程产值对比表'!$D:$D,I72,'01工程产值对比表'!$C:$C,I$2)</f>
        <v>0</v>
      </c>
      <c r="M72" s="1033"/>
      <c r="N72" s="1033"/>
      <c r="O72" s="1033"/>
      <c r="P72" s="1034"/>
      <c r="Q72" t="s">
        <v>447</v>
      </c>
      <c r="R72" s="681" t="s">
        <v>195</v>
      </c>
      <c r="S72">
        <v>35</v>
      </c>
      <c r="T72" s="1023">
        <f>SUMIFS('01工程产值对比表'!$M:$M,'01工程产值对比表'!$D:$D,Q72,'01工程产值对比表'!$C:$C,Q$2)</f>
        <v>0</v>
      </c>
      <c r="U72" s="1023"/>
      <c r="V72" s="1023"/>
      <c r="W72" s="1023"/>
      <c r="X72" s="1034"/>
      <c r="Y72" t="s">
        <v>448</v>
      </c>
      <c r="Z72" t="s">
        <v>180</v>
      </c>
      <c r="AA72">
        <v>800</v>
      </c>
      <c r="AB72" s="1023">
        <f>SUMIFS('01工程产值对比表'!$M:$M,'01工程产值对比表'!$D:$D,Y72,'01工程产值对比表'!$C:$C,Y$2)</f>
        <v>0</v>
      </c>
    </row>
    <row r="73" spans="1:28">
      <c r="A73" t="s">
        <v>449</v>
      </c>
      <c r="B73" s="681" t="s">
        <v>69</v>
      </c>
      <c r="C73"/>
      <c r="D73" s="1023">
        <f>SUMIFS('01工程产值对比表'!$M:$M,'01工程产值对比表'!$D:$D,A73,'01工程产值对比表'!$C:$C,A$2)</f>
        <v>0</v>
      </c>
      <c r="F73" s="1024"/>
      <c r="H73" s="1023"/>
      <c r="I73" s="1035" t="s">
        <v>450</v>
      </c>
      <c r="J73" s="1031" t="s">
        <v>72</v>
      </c>
      <c r="K73" s="1036">
        <v>4</v>
      </c>
      <c r="L73" s="1032">
        <f>SUMIFS('01工程产值对比表'!$M:$M,'01工程产值对比表'!$D:$D,I73,'01工程产值对比表'!$C:$C,I$2)</f>
        <v>0</v>
      </c>
      <c r="M73" s="1033"/>
      <c r="N73" s="1033"/>
      <c r="O73" s="1033"/>
      <c r="P73" s="1034"/>
      <c r="Q73" t="s">
        <v>451</v>
      </c>
      <c r="R73" s="681" t="s">
        <v>72</v>
      </c>
      <c r="S73">
        <v>300</v>
      </c>
      <c r="T73" s="1023">
        <f>SUMIFS('01工程产值对比表'!$M:$M,'01工程产值对比表'!$D:$D,Q73,'01工程产值对比表'!$C:$C,Q$2)</f>
        <v>0</v>
      </c>
      <c r="U73" s="1023"/>
      <c r="V73" s="1023"/>
      <c r="W73" s="1023"/>
      <c r="X73" s="1034"/>
      <c r="Y73" t="s">
        <v>452</v>
      </c>
      <c r="Z73" t="s">
        <v>76</v>
      </c>
      <c r="AA73">
        <v>150</v>
      </c>
      <c r="AB73" s="1023">
        <f>SUMIFS('01工程产值对比表'!$M:$M,'01工程产值对比表'!$D:$D,Y73,'01工程产值对比表'!$C:$C,Y$2)</f>
        <v>0</v>
      </c>
    </row>
    <row r="74" ht="57" spans="1:28">
      <c r="A74" s="873" t="s">
        <v>453</v>
      </c>
      <c r="B74" s="681" t="s">
        <v>72</v>
      </c>
      <c r="C74">
        <v>3000</v>
      </c>
      <c r="D74" s="1023">
        <f>SUMIFS('01工程产值对比表'!$M:$M,'01工程产值对比表'!$D:$D,A74,'01工程产值对比表'!$C:$C,A$2)</f>
        <v>0</v>
      </c>
      <c r="F74" s="1024"/>
      <c r="H74" s="1023"/>
      <c r="I74" s="1035" t="s">
        <v>454</v>
      </c>
      <c r="J74" s="1031" t="s">
        <v>72</v>
      </c>
      <c r="K74" s="1036">
        <v>6</v>
      </c>
      <c r="L74" s="1032">
        <f>SUMIFS('01工程产值对比表'!$M:$M,'01工程产值对比表'!$D:$D,I74,'01工程产值对比表'!$C:$C,I$2)</f>
        <v>0</v>
      </c>
      <c r="M74" s="1033"/>
      <c r="N74" s="1033"/>
      <c r="O74" s="1033"/>
      <c r="P74" s="1034"/>
      <c r="Q74" t="s">
        <v>455</v>
      </c>
      <c r="R74" s="681" t="s">
        <v>82</v>
      </c>
      <c r="S74">
        <v>970</v>
      </c>
      <c r="T74" s="1023">
        <f>SUMIFS('01工程产值对比表'!$M:$M,'01工程产值对比表'!$D:$D,Q74,'01工程产值对比表'!$C:$C,Q$2)</f>
        <v>0</v>
      </c>
      <c r="U74" s="1023"/>
      <c r="V74" s="1023"/>
      <c r="W74" s="1023"/>
      <c r="X74" s="1034"/>
      <c r="Y74" t="s">
        <v>456</v>
      </c>
      <c r="Z74" t="s">
        <v>76</v>
      </c>
      <c r="AA74">
        <v>500</v>
      </c>
      <c r="AB74" s="1023">
        <f>SUMIFS('01工程产值对比表'!$M:$M,'01工程产值对比表'!$D:$D,Y74,'01工程产值对比表'!$C:$C,Y$2)</f>
        <v>0</v>
      </c>
    </row>
    <row r="75" spans="1:28">
      <c r="A75" t="s">
        <v>457</v>
      </c>
      <c r="B75" s="681" t="s">
        <v>211</v>
      </c>
      <c r="C75"/>
      <c r="D75" s="1023">
        <f>SUMIFS('01工程产值对比表'!$M:$M,'01工程产值对比表'!$D:$D,A75,'01工程产值对比表'!$C:$C,A$2)</f>
        <v>0</v>
      </c>
      <c r="F75" s="1024"/>
      <c r="H75" s="1023"/>
      <c r="I75" s="1035" t="s">
        <v>458</v>
      </c>
      <c r="J75" s="1031" t="s">
        <v>72</v>
      </c>
      <c r="K75" s="1036">
        <v>3</v>
      </c>
      <c r="L75" s="1032">
        <f>SUMIFS('01工程产值对比表'!$M:$M,'01工程产值对比表'!$D:$D,I75,'01工程产值对比表'!$C:$C,I$2)</f>
        <v>0</v>
      </c>
      <c r="M75" s="1033"/>
      <c r="N75" s="1033"/>
      <c r="O75" s="1033"/>
      <c r="P75" s="1034"/>
      <c r="Q75" t="s">
        <v>459</v>
      </c>
      <c r="R75" s="681" t="s">
        <v>69</v>
      </c>
      <c r="S75">
        <v>2</v>
      </c>
      <c r="T75" s="1023">
        <f>SUMIFS('01工程产值对比表'!$M:$M,'01工程产值对比表'!$D:$D,Q75,'01工程产值对比表'!$C:$C,Q$2)</f>
        <v>0</v>
      </c>
      <c r="U75" s="1023"/>
      <c r="V75" s="1023"/>
      <c r="W75" s="1023"/>
      <c r="X75" s="1034"/>
      <c r="Y75" t="s">
        <v>460</v>
      </c>
      <c r="Z75" t="s">
        <v>185</v>
      </c>
      <c r="AA75">
        <v>350</v>
      </c>
      <c r="AB75" s="1023">
        <f>SUMIFS('01工程产值对比表'!$M:$M,'01工程产值对比表'!$D:$D,Y75,'01工程产值对比表'!$C:$C,Y$2)</f>
        <v>0</v>
      </c>
    </row>
    <row r="76" spans="1:28">
      <c r="A76" s="873"/>
      <c r="B76" s="681" t="s">
        <v>72</v>
      </c>
      <c r="C76">
        <v>450</v>
      </c>
      <c r="D76" s="1023">
        <f>SUMIFS('01工程产值对比表'!$M:$M,'01工程产值对比表'!$D:$D,A76,'01工程产值对比表'!$C:$C,A$2)</f>
        <v>0</v>
      </c>
      <c r="F76" s="1024"/>
      <c r="H76" s="1023"/>
      <c r="I76" s="1035" t="s">
        <v>461</v>
      </c>
      <c r="J76" s="1031" t="s">
        <v>72</v>
      </c>
      <c r="K76" s="1036">
        <v>95</v>
      </c>
      <c r="L76" s="1032">
        <f>SUMIFS('01工程产值对比表'!$M:$M,'01工程产值对比表'!$D:$D,I76,'01工程产值对比表'!$C:$C,I$2)</f>
        <v>0</v>
      </c>
      <c r="M76" s="1033"/>
      <c r="N76" s="1033"/>
      <c r="O76" s="1033"/>
      <c r="P76" s="1034"/>
      <c r="Q76" t="s">
        <v>462</v>
      </c>
      <c r="R76" s="681" t="s">
        <v>76</v>
      </c>
      <c r="S76">
        <v>53.38</v>
      </c>
      <c r="T76" s="1023">
        <f>SUMIFS('01工程产值对比表'!$M:$M,'01工程产值对比表'!$D:$D,Q76,'01工程产值对比表'!$C:$C,Q$2)</f>
        <v>0</v>
      </c>
      <c r="U76" s="1023"/>
      <c r="V76" s="1023"/>
      <c r="W76" s="1023"/>
      <c r="X76" s="1034"/>
      <c r="Y76" t="s">
        <v>463</v>
      </c>
      <c r="Z76" t="s">
        <v>72</v>
      </c>
      <c r="AA76">
        <v>800</v>
      </c>
      <c r="AB76" s="1023">
        <f>SUMIFS('01工程产值对比表'!$M:$M,'01工程产值对比表'!$D:$D,Y76,'01工程产值对比表'!$C:$C,Y$2)</f>
        <v>0</v>
      </c>
    </row>
    <row r="77" spans="1:28">
      <c r="A77" s="873" t="s">
        <v>464</v>
      </c>
      <c r="B77" s="681" t="s">
        <v>69</v>
      </c>
      <c r="C77"/>
      <c r="D77" s="1023">
        <f>SUMIFS('01工程产值对比表'!$M:$M,'01工程产值对比表'!$D:$D,A77,'01工程产值对比表'!$C:$C,A$2)</f>
        <v>0</v>
      </c>
      <c r="F77" s="1024"/>
      <c r="H77" s="1023"/>
      <c r="I77" s="1035" t="s">
        <v>465</v>
      </c>
      <c r="J77" s="1031" t="s">
        <v>72</v>
      </c>
      <c r="K77" s="1036">
        <v>3.33</v>
      </c>
      <c r="L77" s="1032">
        <f>SUMIFS('01工程产值对比表'!$M:$M,'01工程产值对比表'!$D:$D,I77,'01工程产值对比表'!$C:$C,I$2)</f>
        <v>0</v>
      </c>
      <c r="M77" s="1033"/>
      <c r="N77" s="1033"/>
      <c r="O77" s="1033"/>
      <c r="P77" s="1034"/>
      <c r="Q77" t="s">
        <v>466</v>
      </c>
      <c r="R77" s="681" t="s">
        <v>72</v>
      </c>
      <c r="S77">
        <v>59.11</v>
      </c>
      <c r="T77" s="1023">
        <f>SUMIFS('01工程产值对比表'!$M:$M,'01工程产值对比表'!$D:$D,Q77,'01工程产值对比表'!$C:$C,Q$2)</f>
        <v>0</v>
      </c>
      <c r="U77" s="1023"/>
      <c r="V77" s="1023"/>
      <c r="W77" s="1023"/>
      <c r="X77" s="1034"/>
      <c r="Y77" t="s">
        <v>467</v>
      </c>
      <c r="Z77" t="s">
        <v>169</v>
      </c>
      <c r="AA77">
        <v>800</v>
      </c>
      <c r="AB77" s="1023">
        <f>SUMIFS('01工程产值对比表'!$M:$M,'01工程产值对比表'!$D:$D,Y77,'01工程产值对比表'!$C:$C,Y$2)</f>
        <v>0</v>
      </c>
    </row>
    <row r="78" spans="1:28">
      <c r="A78" t="s">
        <v>468</v>
      </c>
      <c r="B78" s="681" t="s">
        <v>69</v>
      </c>
      <c r="C78"/>
      <c r="D78" s="1023">
        <f>SUMIFS('01工程产值对比表'!$M:$M,'01工程产值对比表'!$D:$D,A78,'01工程产值对比表'!$C:$C,A$2)</f>
        <v>0</v>
      </c>
      <c r="F78" s="1024"/>
      <c r="H78" s="1023"/>
      <c r="I78" s="1035" t="s">
        <v>469</v>
      </c>
      <c r="J78" s="1031" t="s">
        <v>72</v>
      </c>
      <c r="K78" s="1036">
        <v>1.6</v>
      </c>
      <c r="L78" s="1032">
        <f>SUMIFS('01工程产值对比表'!$M:$M,'01工程产值对比表'!$D:$D,I78,'01工程产值对比表'!$C:$C,I$2)</f>
        <v>0</v>
      </c>
      <c r="M78" s="1033"/>
      <c r="N78" s="1033"/>
      <c r="O78" s="1033"/>
      <c r="P78" s="1034"/>
      <c r="Q78" t="s">
        <v>470</v>
      </c>
      <c r="R78" s="681" t="s">
        <v>76</v>
      </c>
      <c r="S78">
        <v>2.61</v>
      </c>
      <c r="T78" s="1023">
        <f>SUMIFS('01工程产值对比表'!$M:$M,'01工程产值对比表'!$D:$D,Q78,'01工程产值对比表'!$C:$C,Q$2)</f>
        <v>0</v>
      </c>
      <c r="U78" s="1023"/>
      <c r="V78" s="1023"/>
      <c r="W78" s="1023"/>
      <c r="X78" s="1034"/>
      <c r="Y78" t="s">
        <v>471</v>
      </c>
      <c r="Z78" t="s">
        <v>69</v>
      </c>
      <c r="AA78">
        <v>85</v>
      </c>
      <c r="AB78" s="1023">
        <f>SUMIFS('01工程产值对比表'!$M:$M,'01工程产值对比表'!$D:$D,Y78,'01工程产值对比表'!$C:$C,Y$2)</f>
        <v>0</v>
      </c>
    </row>
    <row r="79" ht="28.5" spans="1:28">
      <c r="A79" s="873" t="s">
        <v>472</v>
      </c>
      <c r="B79" s="681" t="s">
        <v>76</v>
      </c>
      <c r="C79"/>
      <c r="D79" s="1023">
        <f>SUMIFS('01工程产值对比表'!$M:$M,'01工程产值对比表'!$D:$D,A79,'01工程产值对比表'!$C:$C,A$2)</f>
        <v>0</v>
      </c>
      <c r="F79" s="1024"/>
      <c r="H79" s="1023"/>
      <c r="I79" s="1035" t="s">
        <v>473</v>
      </c>
      <c r="J79" s="1031" t="s">
        <v>72</v>
      </c>
      <c r="K79" s="1036">
        <v>8</v>
      </c>
      <c r="L79" s="1032">
        <f>SUMIFS('01工程产值对比表'!$M:$M,'01工程产值对比表'!$D:$D,I79,'01工程产值对比表'!$C:$C,I$2)</f>
        <v>0</v>
      </c>
      <c r="M79" s="1033"/>
      <c r="N79" s="1033"/>
      <c r="O79" s="1033"/>
      <c r="P79" s="1034"/>
      <c r="Q79" t="s">
        <v>474</v>
      </c>
      <c r="R79" s="681" t="s">
        <v>76</v>
      </c>
      <c r="S79">
        <v>3.5</v>
      </c>
      <c r="T79" s="1023">
        <f>SUMIFS('01工程产值对比表'!$M:$M,'01工程产值对比表'!$D:$D,Q79,'01工程产值对比表'!$C:$C,Q$2)</f>
        <v>0</v>
      </c>
      <c r="U79" s="1023"/>
      <c r="V79" s="1023"/>
      <c r="W79" s="1023"/>
      <c r="X79" s="1034"/>
      <c r="Y79" t="s">
        <v>475</v>
      </c>
      <c r="Z79" t="s">
        <v>76</v>
      </c>
      <c r="AA79">
        <v>35</v>
      </c>
      <c r="AB79" s="1023">
        <f>SUMIFS('01工程产值对比表'!$M:$M,'01工程产值对比表'!$D:$D,Y79,'01工程产值对比表'!$C:$C,Y$2)</f>
        <v>0</v>
      </c>
    </row>
    <row r="80" spans="1:28">
      <c r="A80" t="s">
        <v>476</v>
      </c>
      <c r="B80" s="681" t="s">
        <v>72</v>
      </c>
      <c r="C80"/>
      <c r="D80" s="1023">
        <f>SUMIFS('01工程产值对比表'!$M:$M,'01工程产值对比表'!$D:$D,A80,'01工程产值对比表'!$C:$C,A$2)</f>
        <v>0</v>
      </c>
      <c r="F80" s="1024"/>
      <c r="H80" s="1023"/>
      <c r="I80" s="1035" t="s">
        <v>477</v>
      </c>
      <c r="J80" s="1031" t="s">
        <v>72</v>
      </c>
      <c r="K80" s="1036">
        <v>1.6</v>
      </c>
      <c r="L80" s="1032">
        <f>SUMIFS('01工程产值对比表'!$M:$M,'01工程产值对比表'!$D:$D,I80,'01工程产值对比表'!$C:$C,I$2)</f>
        <v>0</v>
      </c>
      <c r="M80" s="1033"/>
      <c r="N80" s="1033"/>
      <c r="O80" s="1033"/>
      <c r="P80" s="1034"/>
      <c r="Q80" t="s">
        <v>478</v>
      </c>
      <c r="R80" s="681" t="s">
        <v>69</v>
      </c>
      <c r="S80">
        <v>675.39</v>
      </c>
      <c r="T80" s="1023">
        <f>SUMIFS('01工程产值对比表'!$M:$M,'01工程产值对比表'!$D:$D,Q80,'01工程产值对比表'!$C:$C,Q$2)</f>
        <v>0</v>
      </c>
      <c r="U80" s="1023"/>
      <c r="V80" s="1023"/>
      <c r="W80" s="1023"/>
      <c r="X80" s="1034"/>
      <c r="Y80" t="s">
        <v>479</v>
      </c>
      <c r="Z80" t="s">
        <v>169</v>
      </c>
      <c r="AA80">
        <v>1200</v>
      </c>
      <c r="AB80" s="1023">
        <f>SUMIFS('01工程产值对比表'!$M:$M,'01工程产值对比表'!$D:$D,Y80,'01工程产值对比表'!$C:$C,Y$2)</f>
        <v>0</v>
      </c>
    </row>
    <row r="81" spans="1:28">
      <c r="A81" t="s">
        <v>480</v>
      </c>
      <c r="B81" s="681" t="s">
        <v>82</v>
      </c>
      <c r="C81">
        <v>4200</v>
      </c>
      <c r="D81" s="1023">
        <f>SUMIFS('01工程产值对比表'!$M:$M,'01工程产值对比表'!$D:$D,A81,'01工程产值对比表'!$C:$C,A$2)</f>
        <v>4463.445225</v>
      </c>
      <c r="F81" s="1024"/>
      <c r="H81" s="1023"/>
      <c r="I81" s="1035" t="s">
        <v>481</v>
      </c>
      <c r="J81" s="1031" t="s">
        <v>72</v>
      </c>
      <c r="K81" s="1036">
        <v>1.6</v>
      </c>
      <c r="L81" s="1032">
        <f>SUMIFS('01工程产值对比表'!$M:$M,'01工程产值对比表'!$D:$D,I81,'01工程产值对比表'!$C:$C,I$2)</f>
        <v>0</v>
      </c>
      <c r="M81" s="1033"/>
      <c r="N81" s="1033"/>
      <c r="O81" s="1033"/>
      <c r="P81" s="1034"/>
      <c r="Q81" t="s">
        <v>482</v>
      </c>
      <c r="R81" s="681" t="s">
        <v>72</v>
      </c>
      <c r="S81">
        <v>30.36</v>
      </c>
      <c r="T81" s="1023">
        <f>SUMIFS('01工程产值对比表'!$M:$M,'01工程产值对比表'!$D:$D,Q81,'01工程产值对比表'!$C:$C,Q$2)</f>
        <v>0</v>
      </c>
      <c r="U81" s="1023"/>
      <c r="V81" s="1023"/>
      <c r="W81" s="1023"/>
      <c r="X81" s="1034"/>
      <c r="Y81" t="s">
        <v>483</v>
      </c>
      <c r="Z81" t="s">
        <v>76</v>
      </c>
      <c r="AA81">
        <v>80</v>
      </c>
      <c r="AB81" s="1023">
        <f>SUMIFS('01工程产值对比表'!$M:$M,'01工程产值对比表'!$D:$D,Y81,'01工程产值对比表'!$C:$C,Y$2)</f>
        <v>0</v>
      </c>
    </row>
    <row r="82" ht="42.75" spans="1:28">
      <c r="A82" s="873" t="s">
        <v>484</v>
      </c>
      <c r="B82" s="681" t="s">
        <v>169</v>
      </c>
      <c r="C82"/>
      <c r="D82" s="1023">
        <f>SUMIFS('01工程产值对比表'!$M:$M,'01工程产值对比表'!$D:$D,A82,'01工程产值对比表'!$C:$C,A$2)</f>
        <v>0</v>
      </c>
      <c r="F82" s="1024"/>
      <c r="H82" s="1023"/>
      <c r="I82" s="1035" t="s">
        <v>485</v>
      </c>
      <c r="J82" s="1031" t="s">
        <v>72</v>
      </c>
      <c r="K82" s="1036">
        <v>100</v>
      </c>
      <c r="L82" s="1032">
        <f>SUMIFS('01工程产值对比表'!$M:$M,'01工程产值对比表'!$D:$D,I82,'01工程产值对比表'!$C:$C,I$2)</f>
        <v>0</v>
      </c>
      <c r="M82" s="1033"/>
      <c r="N82" s="1033"/>
      <c r="O82" s="1033"/>
      <c r="P82" s="1034"/>
      <c r="Q82" t="s">
        <v>486</v>
      </c>
      <c r="R82" s="681" t="s">
        <v>72</v>
      </c>
      <c r="S82">
        <v>200</v>
      </c>
      <c r="T82" s="1023">
        <f>SUMIFS('01工程产值对比表'!$M:$M,'01工程产值对比表'!$D:$D,Q82,'01工程产值对比表'!$C:$C,Q$2)</f>
        <v>0</v>
      </c>
      <c r="U82" s="1023"/>
      <c r="V82" s="1023"/>
      <c r="W82" s="1023"/>
      <c r="X82" s="1034"/>
      <c r="Y82" t="s">
        <v>487</v>
      </c>
      <c r="Z82" t="s">
        <v>169</v>
      </c>
      <c r="AA82">
        <v>1300</v>
      </c>
      <c r="AB82" s="1023">
        <f>SUMIFS('01工程产值对比表'!$M:$M,'01工程产值对比表'!$D:$D,Y82,'01工程产值对比表'!$C:$C,Y$2)</f>
        <v>0</v>
      </c>
    </row>
    <row r="83" spans="1:28">
      <c r="A83" t="s">
        <v>488</v>
      </c>
      <c r="B83" s="681" t="s">
        <v>72</v>
      </c>
      <c r="C83"/>
      <c r="D83" s="1023">
        <f>SUMIFS('01工程产值对比表'!$M:$M,'01工程产值对比表'!$D:$D,A83,'01工程产值对比表'!$C:$C,A$2)</f>
        <v>991.66</v>
      </c>
      <c r="F83" s="1024"/>
      <c r="H83" s="1023"/>
      <c r="I83" s="1035" t="s">
        <v>489</v>
      </c>
      <c r="J83" s="1031" t="s">
        <v>69</v>
      </c>
      <c r="K83" s="1036">
        <v>1</v>
      </c>
      <c r="L83" s="1032">
        <f>SUMIFS('01工程产值对比表'!$M:$M,'01工程产值对比表'!$D:$D,I83,'01工程产值对比表'!$C:$C,I$2)</f>
        <v>0</v>
      </c>
      <c r="M83" s="1033"/>
      <c r="N83" s="1033"/>
      <c r="O83" s="1033"/>
      <c r="P83" s="1034"/>
      <c r="Q83" t="s">
        <v>490</v>
      </c>
      <c r="R83" s="681" t="s">
        <v>72</v>
      </c>
      <c r="S83">
        <v>7.66</v>
      </c>
      <c r="T83" s="1023">
        <f>SUMIFS('01工程产值对比表'!$M:$M,'01工程产值对比表'!$D:$D,Q83,'01工程产值对比表'!$C:$C,Q$2)</f>
        <v>0</v>
      </c>
      <c r="U83" s="1023"/>
      <c r="V83" s="1023"/>
      <c r="W83" s="1023"/>
      <c r="X83" s="1034"/>
      <c r="Y83" t="s">
        <v>491</v>
      </c>
      <c r="Z83" t="s">
        <v>76</v>
      </c>
      <c r="AA83">
        <v>600</v>
      </c>
      <c r="AB83" s="1023">
        <f>SUMIFS('01工程产值对比表'!$M:$M,'01工程产值对比表'!$D:$D,Y83,'01工程产值对比表'!$C:$C,Y$2)</f>
        <v>0</v>
      </c>
    </row>
    <row r="84" spans="1:28">
      <c r="A84" s="873" t="s">
        <v>492</v>
      </c>
      <c r="B84" s="681" t="s">
        <v>72</v>
      </c>
      <c r="C84">
        <v>600</v>
      </c>
      <c r="D84" s="1023">
        <f>SUMIFS('01工程产值对比表'!$M:$M,'01工程产值对比表'!$D:$D,A84,'01工程产值对比表'!$C:$C,A$2)</f>
        <v>116.8</v>
      </c>
      <c r="F84" s="1024"/>
      <c r="H84" s="1023"/>
      <c r="I84" s="1035" t="s">
        <v>493</v>
      </c>
      <c r="J84" s="1031" t="s">
        <v>72</v>
      </c>
      <c r="K84" s="1036">
        <v>5</v>
      </c>
      <c r="L84" s="1032">
        <f>SUMIFS('01工程产值对比表'!$M:$M,'01工程产值对比表'!$D:$D,I84,'01工程产值对比表'!$C:$C,I$2)</f>
        <v>0</v>
      </c>
      <c r="M84" s="1033"/>
      <c r="N84" s="1033"/>
      <c r="O84" s="1033"/>
      <c r="P84" s="1034"/>
      <c r="Q84" t="s">
        <v>494</v>
      </c>
      <c r="R84" s="681" t="s">
        <v>72</v>
      </c>
      <c r="S84">
        <v>18.94</v>
      </c>
      <c r="T84" s="1023">
        <f>SUMIFS('01工程产值对比表'!$M:$M,'01工程产值对比表'!$D:$D,Q84,'01工程产值对比表'!$C:$C,Q$2)</f>
        <v>0</v>
      </c>
      <c r="U84" s="1023"/>
      <c r="V84" s="1023"/>
      <c r="W84" s="1023"/>
      <c r="X84" s="1034"/>
      <c r="Y84" t="s">
        <v>495</v>
      </c>
      <c r="Z84" t="s">
        <v>190</v>
      </c>
      <c r="AA84">
        <v>500</v>
      </c>
      <c r="AB84" s="1023">
        <f>SUMIFS('01工程产值对比表'!$M:$M,'01工程产值对比表'!$D:$D,Y84,'01工程产值对比表'!$C:$C,Y$2)</f>
        <v>0</v>
      </c>
    </row>
    <row r="85" spans="1:28">
      <c r="A85" s="873" t="s">
        <v>496</v>
      </c>
      <c r="B85" s="681" t="s">
        <v>72</v>
      </c>
      <c r="C85"/>
      <c r="D85" s="1023">
        <f>SUMIFS('01工程产值对比表'!$M:$M,'01工程产值对比表'!$D:$D,A85,'01工程产值对比表'!$C:$C,A$2)</f>
        <v>0</v>
      </c>
      <c r="F85" s="1024"/>
      <c r="H85" s="1023"/>
      <c r="I85" s="1035" t="s">
        <v>497</v>
      </c>
      <c r="J85" s="1031" t="s">
        <v>69</v>
      </c>
      <c r="K85" s="1036">
        <v>1</v>
      </c>
      <c r="L85" s="1032">
        <f>SUMIFS('01工程产值对比表'!$M:$M,'01工程产值对比表'!$D:$D,I85,'01工程产值对比表'!$C:$C,I$2)</f>
        <v>0</v>
      </c>
      <c r="M85" s="1033"/>
      <c r="N85" s="1033"/>
      <c r="O85" s="1033"/>
      <c r="P85" s="1034"/>
      <c r="Q85" t="s">
        <v>498</v>
      </c>
      <c r="R85" s="681" t="s">
        <v>72</v>
      </c>
      <c r="S85">
        <v>6.16</v>
      </c>
      <c r="T85" s="1023">
        <f>SUMIFS('01工程产值对比表'!$M:$M,'01工程产值对比表'!$D:$D,Q85,'01工程产值对比表'!$C:$C,Q$2)</f>
        <v>0</v>
      </c>
      <c r="U85" s="1023"/>
      <c r="V85" s="1023"/>
      <c r="W85" s="1023"/>
      <c r="X85" s="1034"/>
      <c r="Y85" t="s">
        <v>499</v>
      </c>
      <c r="Z85" t="s">
        <v>190</v>
      </c>
      <c r="AA85">
        <v>500</v>
      </c>
      <c r="AB85" s="1023">
        <f>SUMIFS('01工程产值对比表'!$M:$M,'01工程产值对比表'!$D:$D,Y85,'01工程产值对比表'!$C:$C,Y$2)</f>
        <v>0</v>
      </c>
    </row>
    <row r="86" spans="1:28">
      <c r="A86" s="873" t="s">
        <v>500</v>
      </c>
      <c r="B86" s="681" t="s">
        <v>72</v>
      </c>
      <c r="C86"/>
      <c r="D86" s="1023">
        <f>SUMIFS('01工程产值对比表'!$M:$M,'01工程产值对比表'!$D:$D,A86,'01工程产值对比表'!$C:$C,A$2)</f>
        <v>0</v>
      </c>
      <c r="F86" s="1024"/>
      <c r="H86" s="1023"/>
      <c r="I86" s="1035" t="s">
        <v>501</v>
      </c>
      <c r="J86" s="1031" t="s">
        <v>72</v>
      </c>
      <c r="K86" s="1036">
        <v>3.33</v>
      </c>
      <c r="L86" s="1032">
        <f>SUMIFS('01工程产值对比表'!$M:$M,'01工程产值对比表'!$D:$D,I86,'01工程产值对比表'!$C:$C,I$2)</f>
        <v>0</v>
      </c>
      <c r="M86" s="1033"/>
      <c r="N86" s="1033"/>
      <c r="O86" s="1033"/>
      <c r="P86" s="1034"/>
      <c r="Q86" t="s">
        <v>502</v>
      </c>
      <c r="R86" s="681" t="s">
        <v>72</v>
      </c>
      <c r="S86">
        <v>15.25</v>
      </c>
      <c r="T86" s="1023">
        <f>SUMIFS('01工程产值对比表'!$M:$M,'01工程产值对比表'!$D:$D,Q86,'01工程产值对比表'!$C:$C,Q$2)</f>
        <v>0</v>
      </c>
      <c r="U86" s="1023"/>
      <c r="V86" s="1023"/>
      <c r="W86" s="1023"/>
      <c r="X86" s="1034"/>
      <c r="Y86" t="s">
        <v>503</v>
      </c>
      <c r="Z86" t="s">
        <v>82</v>
      </c>
      <c r="AA86">
        <v>8000</v>
      </c>
      <c r="AB86" s="1023">
        <f>SUMIFS('01工程产值对比表'!$M:$M,'01工程产值对比表'!$D:$D,Y86,'01工程产值对比表'!$C:$C,Y$2)</f>
        <v>0</v>
      </c>
    </row>
    <row r="87" spans="1:28">
      <c r="A87" s="873" t="s">
        <v>504</v>
      </c>
      <c r="B87" s="681" t="s">
        <v>72</v>
      </c>
      <c r="D87" s="1023">
        <f>SUMIFS('01工程产值对比表'!$M:$M,'01工程产值对比表'!$D:$D,A87,'01工程产值对比表'!$C:$C,A$2)</f>
        <v>0</v>
      </c>
      <c r="F87" s="1024"/>
      <c r="H87" s="1023"/>
      <c r="I87" s="1035" t="s">
        <v>505</v>
      </c>
      <c r="J87" s="1031" t="s">
        <v>72</v>
      </c>
      <c r="K87" s="1036">
        <v>2.5</v>
      </c>
      <c r="L87" s="1032">
        <f>SUMIFS('01工程产值对比表'!$M:$M,'01工程产值对比表'!$D:$D,I87,'01工程产值对比表'!$C:$C,I$2)</f>
        <v>0</v>
      </c>
      <c r="M87" s="1033"/>
      <c r="N87" s="1033"/>
      <c r="O87" s="1033"/>
      <c r="P87" s="1034"/>
      <c r="Q87" t="s">
        <v>506</v>
      </c>
      <c r="R87" s="681" t="s">
        <v>72</v>
      </c>
      <c r="S87">
        <v>10</v>
      </c>
      <c r="T87" s="1023">
        <f>SUMIFS('01工程产值对比表'!$M:$M,'01工程产值对比表'!$D:$D,Q87,'01工程产值对比表'!$C:$C,Q$2)</f>
        <v>35.31</v>
      </c>
      <c r="U87" s="1023"/>
      <c r="V87" s="1023"/>
      <c r="W87" s="1023"/>
      <c r="X87" s="1034"/>
      <c r="Y87" t="s">
        <v>507</v>
      </c>
      <c r="Z87" t="s">
        <v>190</v>
      </c>
      <c r="AA87">
        <v>550</v>
      </c>
      <c r="AB87" s="1023">
        <f>SUMIFS('01工程产值对比表'!$M:$M,'01工程产值对比表'!$D:$D,Y87,'01工程产值对比表'!$C:$C,Y$2)</f>
        <v>0</v>
      </c>
    </row>
    <row r="88" ht="28.5" spans="1:28">
      <c r="A88" s="873" t="s">
        <v>508</v>
      </c>
      <c r="B88" s="681" t="s">
        <v>82</v>
      </c>
      <c r="C88">
        <v>430</v>
      </c>
      <c r="D88" s="1023">
        <f>SUMIFS('01工程产值对比表'!$M:$M,'01工程产值对比表'!$D:$D,A88,'01工程产值对比表'!$C:$C,A$2)</f>
        <v>0</v>
      </c>
      <c r="F88" s="1024"/>
      <c r="H88" s="1023"/>
      <c r="I88" s="1035" t="s">
        <v>509</v>
      </c>
      <c r="J88" s="1031" t="s">
        <v>72</v>
      </c>
      <c r="K88" s="1036">
        <v>27.5</v>
      </c>
      <c r="L88" s="1032">
        <f>SUMIFS('01工程产值对比表'!$M:$M,'01工程产值对比表'!$D:$D,I88,'01工程产值对比表'!$C:$C,I$2)</f>
        <v>0</v>
      </c>
      <c r="M88" s="1033"/>
      <c r="N88" s="1033"/>
      <c r="O88" s="1033"/>
      <c r="P88" s="1034"/>
      <c r="Q88" t="s">
        <v>510</v>
      </c>
      <c r="R88" s="681" t="s">
        <v>69</v>
      </c>
      <c r="S88">
        <v>15</v>
      </c>
      <c r="T88" s="1023">
        <f>SUMIFS('01工程产值对比表'!$M:$M,'01工程产值对比表'!$D:$D,Q88,'01工程产值对比表'!$C:$C,Q$2)</f>
        <v>0</v>
      </c>
      <c r="U88" s="1023"/>
      <c r="V88" s="1023"/>
      <c r="W88" s="1023"/>
      <c r="X88" s="1034"/>
      <c r="Y88" t="s">
        <v>511</v>
      </c>
      <c r="Z88" t="s">
        <v>69</v>
      </c>
      <c r="AA88">
        <v>85</v>
      </c>
      <c r="AB88" s="1023">
        <f>SUMIFS('01工程产值对比表'!$M:$M,'01工程产值对比表'!$D:$D,Y88,'01工程产值对比表'!$C:$C,Y$2)</f>
        <v>0</v>
      </c>
    </row>
    <row r="89" ht="42.75" spans="1:28">
      <c r="A89" s="873" t="s">
        <v>512</v>
      </c>
      <c r="B89" s="681" t="s">
        <v>82</v>
      </c>
      <c r="C89">
        <v>7000</v>
      </c>
      <c r="D89" s="1023">
        <f>SUMIFS('01工程产值对比表'!$M:$M,'01工程产值对比表'!$D:$D,A89,'01工程产值对比表'!$C:$C,A$2)</f>
        <v>0</v>
      </c>
      <c r="F89" s="1024"/>
      <c r="H89" s="1023"/>
      <c r="I89" s="1035" t="s">
        <v>513</v>
      </c>
      <c r="J89" s="1031" t="s">
        <v>72</v>
      </c>
      <c r="K89" s="1036">
        <v>14</v>
      </c>
      <c r="L89" s="1032">
        <f>SUMIFS('01工程产值对比表'!$M:$M,'01工程产值对比表'!$D:$D,I89,'01工程产值对比表'!$C:$C,I$2)</f>
        <v>0</v>
      </c>
      <c r="M89" s="1033"/>
      <c r="N89" s="1033"/>
      <c r="O89" s="1033"/>
      <c r="P89" s="1034"/>
      <c r="Q89" t="s">
        <v>514</v>
      </c>
      <c r="R89" s="681" t="s">
        <v>69</v>
      </c>
      <c r="S89">
        <v>1</v>
      </c>
      <c r="T89" s="1023">
        <f>SUMIFS('01工程产值对比表'!$M:$M,'01工程产值对比表'!$D:$D,Q89,'01工程产值对比表'!$C:$C,Q$2)</f>
        <v>0</v>
      </c>
      <c r="U89" s="1023"/>
      <c r="V89" s="1023"/>
      <c r="W89" s="1023"/>
      <c r="X89" s="1034"/>
      <c r="Y89" t="s">
        <v>515</v>
      </c>
      <c r="Z89" t="s">
        <v>190</v>
      </c>
      <c r="AA89">
        <v>300</v>
      </c>
      <c r="AB89" s="1023">
        <f>SUMIFS('01工程产值对比表'!$M:$M,'01工程产值对比表'!$D:$D,Y89,'01工程产值对比表'!$C:$C,Y$2)</f>
        <v>0</v>
      </c>
    </row>
    <row r="90" ht="28.5" spans="1:28">
      <c r="A90" s="873" t="s">
        <v>516</v>
      </c>
      <c r="B90" s="681" t="s">
        <v>72</v>
      </c>
      <c r="C90">
        <v>360</v>
      </c>
      <c r="D90" s="1023">
        <f>SUMIFS('01工程产值对比表'!$M:$M,'01工程产值对比表'!$D:$D,A90,'01工程产值对比表'!$C:$C,A$2)</f>
        <v>603</v>
      </c>
      <c r="F90" s="1024"/>
      <c r="H90" s="1023"/>
      <c r="I90" s="1035" t="s">
        <v>517</v>
      </c>
      <c r="J90" s="1031" t="s">
        <v>72</v>
      </c>
      <c r="K90" s="1036">
        <v>24</v>
      </c>
      <c r="L90" s="1032">
        <f>SUMIFS('01工程产值对比表'!$M:$M,'01工程产值对比表'!$D:$D,I90,'01工程产值对比表'!$C:$C,I$2)</f>
        <v>0</v>
      </c>
      <c r="M90" s="1033"/>
      <c r="N90" s="1033"/>
      <c r="O90" s="1033"/>
      <c r="P90" s="1034"/>
      <c r="Q90" t="s">
        <v>518</v>
      </c>
      <c r="R90" s="681" t="s">
        <v>72</v>
      </c>
      <c r="S90">
        <v>1.27</v>
      </c>
      <c r="T90" s="1023">
        <f>SUMIFS('01工程产值对比表'!$M:$M,'01工程产值对比表'!$D:$D,Q90,'01工程产值对比表'!$C:$C,Q$2)</f>
        <v>0</v>
      </c>
      <c r="U90" s="1023"/>
      <c r="V90" s="1023"/>
      <c r="W90" s="1023"/>
      <c r="X90" s="1034"/>
      <c r="Y90" t="s">
        <v>519</v>
      </c>
      <c r="Z90" t="s">
        <v>82</v>
      </c>
      <c r="AA90">
        <v>4500</v>
      </c>
      <c r="AB90" s="1023">
        <f>SUMIFS('01工程产值对比表'!$M:$M,'01工程产值对比表'!$D:$D,Y90,'01工程产值对比表'!$C:$C,Y$2)</f>
        <v>0</v>
      </c>
    </row>
    <row r="91" ht="28.5" spans="1:37">
      <c r="A91" s="873" t="s">
        <v>520</v>
      </c>
      <c r="B91" s="681" t="s">
        <v>72</v>
      </c>
      <c r="C91"/>
      <c r="D91" s="1023">
        <f>SUMIFS('01工程产值对比表'!$M:$M,'01工程产值对比表'!$D:$D,A91,'01工程产值对比表'!$C:$C,A$2)</f>
        <v>0</v>
      </c>
      <c r="F91" s="1024"/>
      <c r="H91" s="1023"/>
      <c r="I91" s="1035" t="s">
        <v>521</v>
      </c>
      <c r="J91" s="1031" t="s">
        <v>72</v>
      </c>
      <c r="K91" s="1036">
        <v>15</v>
      </c>
      <c r="L91" s="1032">
        <f>SUMIFS('01工程产值对比表'!$M:$M,'01工程产值对比表'!$D:$D,I91,'01工程产值对比表'!$C:$C,I$2)</f>
        <v>0</v>
      </c>
      <c r="M91" s="1033"/>
      <c r="N91" s="1033"/>
      <c r="O91" s="1033"/>
      <c r="Q91" t="s">
        <v>522</v>
      </c>
      <c r="R91" s="681" t="s">
        <v>72</v>
      </c>
      <c r="S91">
        <v>14.5</v>
      </c>
      <c r="T91" s="1023">
        <f>SUMIFS('01工程产值对比表'!$M:$M,'01工程产值对比表'!$D:$D,Q91,'01工程产值对比表'!$C:$C,Q$2)</f>
        <v>0</v>
      </c>
      <c r="U91" s="1023"/>
      <c r="V91" s="1023"/>
      <c r="W91" s="1023"/>
      <c r="X91" s="1034"/>
      <c r="Y91" t="s">
        <v>523</v>
      </c>
      <c r="Z91" t="s">
        <v>76</v>
      </c>
      <c r="AA91">
        <v>55</v>
      </c>
      <c r="AB91" s="1023">
        <f>SUMIFS('01工程产值对比表'!$M:$M,'01工程产值对比表'!$D:$D,Y91,'01工程产值对比表'!$C:$C,Y$2)</f>
        <v>0</v>
      </c>
      <c r="AK91" t="s">
        <v>524</v>
      </c>
    </row>
    <row r="92" spans="1:28">
      <c r="A92" t="s">
        <v>525</v>
      </c>
      <c r="B92" s="681" t="s">
        <v>82</v>
      </c>
      <c r="C92">
        <v>6000</v>
      </c>
      <c r="D92" s="1023">
        <f>SUMIFS('01工程产值对比表'!$M:$M,'01工程产值对比表'!$D:$D,A92,'01工程产值对比表'!$C:$C,A$2)</f>
        <v>0</v>
      </c>
      <c r="F92" s="1024"/>
      <c r="H92" s="1023"/>
      <c r="I92" s="1035" t="s">
        <v>526</v>
      </c>
      <c r="J92" s="1031" t="s">
        <v>72</v>
      </c>
      <c r="K92" s="1036">
        <v>3.5</v>
      </c>
      <c r="L92" s="1032">
        <f>SUMIFS('01工程产值对比表'!$M:$M,'01工程产值对比表'!$D:$D,I92,'01工程产值对比表'!$C:$C,I$2)</f>
        <v>0</v>
      </c>
      <c r="M92" s="1033"/>
      <c r="N92" s="1033"/>
      <c r="O92" s="1033"/>
      <c r="Q92" t="s">
        <v>527</v>
      </c>
      <c r="R92" s="681" t="s">
        <v>72</v>
      </c>
      <c r="T92" s="1023">
        <f>SUMIFS('01工程产值对比表'!$M:$M,'01工程产值对比表'!$D:$D,Q92,'01工程产值对比表'!$C:$C,Q$2)</f>
        <v>0</v>
      </c>
      <c r="U92" s="1023"/>
      <c r="V92" s="1023"/>
      <c r="W92" s="1023"/>
      <c r="X92" s="1034"/>
      <c r="Y92" t="s">
        <v>528</v>
      </c>
      <c r="Z92" t="s">
        <v>169</v>
      </c>
      <c r="AA92">
        <v>800</v>
      </c>
      <c r="AB92" s="1023">
        <f>SUMIFS('01工程产值对比表'!$M:$M,'01工程产值对比表'!$D:$D,Y92,'01工程产值对比表'!$C:$C,Y$2)</f>
        <v>0</v>
      </c>
    </row>
    <row r="93" spans="1:28">
      <c r="A93" t="s">
        <v>529</v>
      </c>
      <c r="B93" s="681" t="s">
        <v>69</v>
      </c>
      <c r="C93">
        <v>2.5</v>
      </c>
      <c r="D93" s="1023">
        <f>SUMIFS('01工程产值对比表'!$M:$M,'01工程产值对比表'!$D:$D,A93,'01工程产值对比表'!$C:$C,A$2)</f>
        <v>0</v>
      </c>
      <c r="F93" s="1024"/>
      <c r="H93" s="1023"/>
      <c r="I93" s="1035" t="s">
        <v>530</v>
      </c>
      <c r="J93" s="1031" t="s">
        <v>69</v>
      </c>
      <c r="K93" s="1036">
        <v>1.5</v>
      </c>
      <c r="L93" s="1032">
        <f>SUMIFS('01工程产值对比表'!$M:$M,'01工程产值对比表'!$D:$D,I93,'01工程产值对比表'!$C:$C,I$2)</f>
        <v>0</v>
      </c>
      <c r="M93" s="1033"/>
      <c r="N93" s="1033"/>
      <c r="O93" s="1033"/>
      <c r="Q93" t="s">
        <v>531</v>
      </c>
      <c r="R93" s="681" t="s">
        <v>82</v>
      </c>
      <c r="S93">
        <v>105.5</v>
      </c>
      <c r="T93" s="1023">
        <f>SUMIFS('01工程产值对比表'!$M:$M,'01工程产值对比表'!$D:$D,Q93,'01工程产值对比表'!$C:$C,Q$2)</f>
        <v>0</v>
      </c>
      <c r="U93" s="1023"/>
      <c r="V93" s="1023"/>
      <c r="W93" s="1023"/>
      <c r="Y93" t="s">
        <v>532</v>
      </c>
      <c r="Z93" t="s">
        <v>169</v>
      </c>
      <c r="AA93">
        <v>500</v>
      </c>
      <c r="AB93" s="1023">
        <f>SUMIFS('01工程产值对比表'!$M:$M,'01工程产值对比表'!$D:$D,Y93,'01工程产值对比表'!$C:$C,Y$2)</f>
        <v>0</v>
      </c>
    </row>
    <row r="94" spans="1:28">
      <c r="A94" t="s">
        <v>533</v>
      </c>
      <c r="B94" s="681" t="s">
        <v>72</v>
      </c>
      <c r="C94">
        <v>600</v>
      </c>
      <c r="D94" s="1023">
        <f>SUMIFS('01工程产值对比表'!$M:$M,'01工程产值对比表'!$D:$D,A94,'01工程产值对比表'!$C:$C,A$2)</f>
        <v>188.8397</v>
      </c>
      <c r="F94" s="1024"/>
      <c r="H94" s="1023"/>
      <c r="I94" s="1035" t="s">
        <v>534</v>
      </c>
      <c r="J94" s="1031" t="s">
        <v>72</v>
      </c>
      <c r="K94" s="1036">
        <v>100</v>
      </c>
      <c r="L94" s="1032">
        <f>SUMIFS('01工程产值对比表'!$M:$M,'01工程产值对比表'!$D:$D,I94,'01工程产值对比表'!$C:$C,I$2)</f>
        <v>0</v>
      </c>
      <c r="M94" s="1033"/>
      <c r="N94" s="1033"/>
      <c r="O94" s="1033"/>
      <c r="Q94" t="s">
        <v>535</v>
      </c>
      <c r="R94" s="681" t="s">
        <v>82</v>
      </c>
      <c r="S94">
        <v>43</v>
      </c>
      <c r="T94" s="1023">
        <f>SUMIFS('01工程产值对比表'!$M:$M,'01工程产值对比表'!$D:$D,Q94,'01工程产值对比表'!$C:$C,Q$2)</f>
        <v>0</v>
      </c>
      <c r="U94" s="1023"/>
      <c r="V94" s="1023"/>
      <c r="W94" s="1023"/>
      <c r="Y94" t="s">
        <v>536</v>
      </c>
      <c r="Z94" t="s">
        <v>72</v>
      </c>
      <c r="AA94">
        <v>850</v>
      </c>
      <c r="AB94" s="1023">
        <f>SUMIFS('01工程产值对比表'!$M:$M,'01工程产值对比表'!$D:$D,Y94,'01工程产值对比表'!$C:$C,Y$2)</f>
        <v>0</v>
      </c>
    </row>
    <row r="95" spans="1:28">
      <c r="A95" t="s">
        <v>537</v>
      </c>
      <c r="B95" s="681" t="s">
        <v>72</v>
      </c>
      <c r="C95">
        <v>2.3</v>
      </c>
      <c r="D95" s="1023">
        <f>SUMIFS('01工程产值对比表'!$M:$M,'01工程产值对比表'!$D:$D,A95,'01工程产值对比表'!$C:$C,A$2)</f>
        <v>0</v>
      </c>
      <c r="F95" s="1024"/>
      <c r="H95" s="1023"/>
      <c r="I95" s="1035" t="s">
        <v>538</v>
      </c>
      <c r="J95" s="1031" t="s">
        <v>72</v>
      </c>
      <c r="K95" s="1036">
        <v>94</v>
      </c>
      <c r="L95" s="1032">
        <f>SUMIFS('01工程产值对比表'!$M:$M,'01工程产值对比表'!$D:$D,I95,'01工程产值对比表'!$C:$C,I$2)</f>
        <v>0</v>
      </c>
      <c r="M95" s="1033"/>
      <c r="N95" s="1033"/>
      <c r="O95" s="1033"/>
      <c r="Q95" t="s">
        <v>539</v>
      </c>
      <c r="R95" s="681" t="s">
        <v>82</v>
      </c>
      <c r="T95" s="1023">
        <f>SUMIFS('01工程产值对比表'!$M:$M,'01工程产值对比表'!$D:$D,Q95,'01工程产值对比表'!$C:$C,Q$2)</f>
        <v>0</v>
      </c>
      <c r="U95" s="1023"/>
      <c r="V95" s="1023"/>
      <c r="W95" s="1023"/>
      <c r="Y95" t="s">
        <v>540</v>
      </c>
      <c r="Z95" t="s">
        <v>169</v>
      </c>
      <c r="AA95">
        <v>35</v>
      </c>
      <c r="AB95" s="1023">
        <f>SUMIFS('01工程产值对比表'!$M:$M,'01工程产值对比表'!$D:$D,Y95,'01工程产值对比表'!$C:$C,Y$2)</f>
        <v>0</v>
      </c>
    </row>
    <row r="96" spans="1:28">
      <c r="A96" t="s">
        <v>541</v>
      </c>
      <c r="B96" s="681" t="s">
        <v>542</v>
      </c>
      <c r="C96">
        <v>0.8</v>
      </c>
      <c r="D96" s="1023">
        <f>SUMIFS('01工程产值对比表'!$M:$M,'01工程产值对比表'!$D:$D,A96,'01工程产值对比表'!$C:$C,A$2)</f>
        <v>0</v>
      </c>
      <c r="F96" s="1024"/>
      <c r="H96" s="1023"/>
      <c r="I96" s="1035" t="s">
        <v>543</v>
      </c>
      <c r="J96" s="1031" t="s">
        <v>72</v>
      </c>
      <c r="K96" s="1036">
        <v>16</v>
      </c>
      <c r="L96" s="1032">
        <f>SUMIFS('01工程产值对比表'!$M:$M,'01工程产值对比表'!$D:$D,I96,'01工程产值对比表'!$C:$C,I$2)</f>
        <v>0</v>
      </c>
      <c r="M96" s="1033"/>
      <c r="N96" s="1033"/>
      <c r="O96" s="1033"/>
      <c r="Q96" t="s">
        <v>544</v>
      </c>
      <c r="R96" s="681" t="s">
        <v>69</v>
      </c>
      <c r="S96">
        <v>0.84</v>
      </c>
      <c r="T96" s="1023">
        <f>SUMIFS('01工程产值对比表'!$M:$M,'01工程产值对比表'!$D:$D,Q96,'01工程产值对比表'!$C:$C,Q$2)</f>
        <v>0</v>
      </c>
      <c r="U96" s="1023"/>
      <c r="V96" s="1023"/>
      <c r="W96" s="1023"/>
      <c r="Y96" t="s">
        <v>545</v>
      </c>
      <c r="Z96" t="s">
        <v>185</v>
      </c>
      <c r="AA96">
        <v>55</v>
      </c>
      <c r="AB96" s="1023">
        <f>SUMIFS('01工程产值对比表'!$M:$M,'01工程产值对比表'!$D:$D,Y96,'01工程产值对比表'!$C:$C,Y$2)</f>
        <v>0</v>
      </c>
    </row>
    <row r="97" spans="1:28">
      <c r="A97" t="s">
        <v>546</v>
      </c>
      <c r="B97" s="681" t="s">
        <v>72</v>
      </c>
      <c r="C97"/>
      <c r="D97" s="1023">
        <f>SUMIFS('01工程产值对比表'!$M:$M,'01工程产值对比表'!$D:$D,A97,'01工程产值对比表'!$C:$C,A$2)</f>
        <v>0</v>
      </c>
      <c r="F97" s="1024"/>
      <c r="H97" s="1023"/>
      <c r="I97" s="1035" t="s">
        <v>547</v>
      </c>
      <c r="J97" s="1031" t="s">
        <v>72</v>
      </c>
      <c r="K97" s="1036">
        <v>19</v>
      </c>
      <c r="L97" s="1032">
        <f>SUMIFS('01工程产值对比表'!$M:$M,'01工程产值对比表'!$D:$D,I97,'01工程产值对比表'!$C:$C,I$2)</f>
        <v>0</v>
      </c>
      <c r="M97" s="1033"/>
      <c r="N97" s="1033"/>
      <c r="O97" s="1033"/>
      <c r="Q97" t="s">
        <v>548</v>
      </c>
      <c r="R97" s="681" t="s">
        <v>69</v>
      </c>
      <c r="S97">
        <v>0.67</v>
      </c>
      <c r="T97" s="1023">
        <f>SUMIFS('01工程产值对比表'!$M:$M,'01工程产值对比表'!$D:$D,Q97,'01工程产值对比表'!$C:$C,Q$2)</f>
        <v>0</v>
      </c>
      <c r="U97" s="1023"/>
      <c r="V97" s="1023"/>
      <c r="W97" s="1023"/>
      <c r="Y97" t="s">
        <v>549</v>
      </c>
      <c r="Z97" t="s">
        <v>82</v>
      </c>
      <c r="AA97">
        <v>8000</v>
      </c>
      <c r="AB97" s="1023">
        <f>SUMIFS('01工程产值对比表'!$M:$M,'01工程产值对比表'!$D:$D,Y97,'01工程产值对比表'!$C:$C,Y$2)</f>
        <v>0</v>
      </c>
    </row>
    <row r="98" spans="1:28">
      <c r="A98" t="s">
        <v>550</v>
      </c>
      <c r="B98" s="681" t="s">
        <v>185</v>
      </c>
      <c r="C98">
        <v>2</v>
      </c>
      <c r="D98" s="1023">
        <f>SUMIFS('01工程产值对比表'!$M:$M,'01工程产值对比表'!$D:$D,A98,'01工程产值对比表'!$C:$C,A$2)</f>
        <v>0</v>
      </c>
      <c r="F98" s="1024"/>
      <c r="H98" s="1023"/>
      <c r="I98" s="1035" t="s">
        <v>551</v>
      </c>
      <c r="J98" s="1031" t="s">
        <v>72</v>
      </c>
      <c r="K98" s="1036">
        <v>18</v>
      </c>
      <c r="L98" s="1032">
        <f>SUMIFS('01工程产值对比表'!$M:$M,'01工程产值对比表'!$D:$D,I98,'01工程产值对比表'!$C:$C,I$2)</f>
        <v>0</v>
      </c>
      <c r="M98" s="1033"/>
      <c r="N98" s="1033"/>
      <c r="O98" s="1033"/>
      <c r="Q98" t="s">
        <v>552</v>
      </c>
      <c r="R98" s="681" t="s">
        <v>69</v>
      </c>
      <c r="S98">
        <v>0.5</v>
      </c>
      <c r="T98" s="1023">
        <f>SUMIFS('01工程产值对比表'!$M:$M,'01工程产值对比表'!$D:$D,Q98,'01工程产值对比表'!$C:$C,Q$2)</f>
        <v>0</v>
      </c>
      <c r="U98" s="1023"/>
      <c r="V98" s="1023"/>
      <c r="W98" s="1023"/>
      <c r="Y98" t="s">
        <v>553</v>
      </c>
      <c r="Z98" t="s">
        <v>169</v>
      </c>
      <c r="AA98">
        <v>5000</v>
      </c>
      <c r="AB98" s="1023">
        <f>SUMIFS('01工程产值对比表'!$M:$M,'01工程产值对比表'!$D:$D,Y98,'01工程产值对比表'!$C:$C,Y$2)</f>
        <v>0</v>
      </c>
    </row>
    <row r="99" spans="1:28">
      <c r="A99" s="873" t="s">
        <v>554</v>
      </c>
      <c r="B99" s="681" t="s">
        <v>72</v>
      </c>
      <c r="C99"/>
      <c r="D99" s="1023">
        <f>SUMIFS('01工程产值对比表'!$M:$M,'01工程产值对比表'!$D:$D,A99,'01工程产值对比表'!$C:$C,A$2)</f>
        <v>0</v>
      </c>
      <c r="F99" s="1024"/>
      <c r="H99" s="1023"/>
      <c r="I99" s="1035" t="s">
        <v>555</v>
      </c>
      <c r="J99" s="1031" t="s">
        <v>195</v>
      </c>
      <c r="K99" s="1036">
        <v>14760000</v>
      </c>
      <c r="L99" s="1032">
        <f>SUMIFS('01工程产值对比表'!$M:$M,'01工程产值对比表'!$D:$D,I99,'01工程产值对比表'!$C:$C,I$2)</f>
        <v>0</v>
      </c>
      <c r="M99" s="1033"/>
      <c r="N99" s="1033"/>
      <c r="O99" s="1033"/>
      <c r="Q99" t="s">
        <v>556</v>
      </c>
      <c r="R99" s="681" t="s">
        <v>69</v>
      </c>
      <c r="S99">
        <v>55</v>
      </c>
      <c r="T99" s="1023">
        <f>SUMIFS('01工程产值对比表'!$M:$M,'01工程产值对比表'!$D:$D,Q99,'01工程产值对比表'!$C:$C,Q$2)</f>
        <v>0</v>
      </c>
      <c r="U99" s="1023"/>
      <c r="V99" s="1023"/>
      <c r="W99" s="1023"/>
      <c r="Y99" t="s">
        <v>557</v>
      </c>
      <c r="Z99" t="s">
        <v>175</v>
      </c>
      <c r="AA99">
        <v>350000</v>
      </c>
      <c r="AB99" s="1023">
        <f>SUMIFS('01工程产值对比表'!$M:$M,'01工程产值对比表'!$D:$D,Y99,'01工程产值对比表'!$C:$C,Y$2)</f>
        <v>0</v>
      </c>
    </row>
    <row r="100" spans="1:28">
      <c r="A100" s="873" t="s">
        <v>558</v>
      </c>
      <c r="B100" s="681" t="s">
        <v>69</v>
      </c>
      <c r="C100"/>
      <c r="D100" s="1023">
        <f>SUMIFS('01工程产值对比表'!$M:$M,'01工程产值对比表'!$D:$D,A100,'01工程产值对比表'!$C:$C,A$2)</f>
        <v>0</v>
      </c>
      <c r="F100" s="1024"/>
      <c r="H100" s="1023"/>
      <c r="I100" s="1035" t="s">
        <v>559</v>
      </c>
      <c r="J100" s="1031" t="s">
        <v>69</v>
      </c>
      <c r="K100" s="1036">
        <v>3</v>
      </c>
      <c r="L100" s="1032">
        <f>SUMIFS('01工程产值对比表'!$M:$M,'01工程产值对比表'!$D:$D,I100,'01工程产值对比表'!$C:$C,I$2)</f>
        <v>0</v>
      </c>
      <c r="M100" s="1033"/>
      <c r="N100" s="1033"/>
      <c r="O100" s="1033"/>
      <c r="Q100" t="s">
        <v>560</v>
      </c>
      <c r="R100" s="681" t="s">
        <v>69</v>
      </c>
      <c r="S100">
        <v>45</v>
      </c>
      <c r="T100" s="1023">
        <f>SUMIFS('01工程产值对比表'!$M:$M,'01工程产值对比表'!$D:$D,Q100,'01工程产值对比表'!$C:$C,Q$2)</f>
        <v>0</v>
      </c>
      <c r="U100" s="1023"/>
      <c r="V100" s="1023"/>
      <c r="W100" s="1023"/>
      <c r="Y100" t="s">
        <v>561</v>
      </c>
      <c r="Z100" t="s">
        <v>76</v>
      </c>
      <c r="AA100">
        <v>85</v>
      </c>
      <c r="AB100" s="1023">
        <f>SUMIFS('01工程产值对比表'!$M:$M,'01工程产值对比表'!$D:$D,Y100,'01工程产值对比表'!$C:$C,Y$2)</f>
        <v>0</v>
      </c>
    </row>
    <row r="101" spans="1:28">
      <c r="A101" s="873" t="s">
        <v>562</v>
      </c>
      <c r="B101" s="681" t="s">
        <v>72</v>
      </c>
      <c r="C101"/>
      <c r="D101" s="1023">
        <f>SUMIFS('01工程产值对比表'!$M:$M,'01工程产值对比表'!$D:$D,A101,'01工程产值对比表'!$C:$C,A$2)</f>
        <v>187.12402</v>
      </c>
      <c r="F101" s="1024"/>
      <c r="H101" s="1023"/>
      <c r="I101" s="1035" t="s">
        <v>563</v>
      </c>
      <c r="J101" s="1031" t="s">
        <v>69</v>
      </c>
      <c r="K101" s="1036">
        <v>1.8</v>
      </c>
      <c r="L101" s="1032">
        <f>SUMIFS('01工程产值对比表'!$M:$M,'01工程产值对比表'!$D:$D,I101,'01工程产值对比表'!$C:$C,I$2)</f>
        <v>7260</v>
      </c>
      <c r="M101" s="1033"/>
      <c r="N101" s="1033"/>
      <c r="O101" s="1033"/>
      <c r="Q101" t="s">
        <v>564</v>
      </c>
      <c r="R101" s="681" t="s">
        <v>72</v>
      </c>
      <c r="S101">
        <v>700</v>
      </c>
      <c r="T101" s="1023">
        <f>SUMIFS('01工程产值对比表'!$M:$M,'01工程产值对比表'!$D:$D,Q101,'01工程产值对比表'!$C:$C,Q$2)</f>
        <v>33.3408</v>
      </c>
      <c r="U101" s="1023"/>
      <c r="V101" s="1023"/>
      <c r="W101" s="1023"/>
      <c r="Y101" t="s">
        <v>565</v>
      </c>
      <c r="Z101" t="s">
        <v>175</v>
      </c>
      <c r="AA101">
        <v>6000</v>
      </c>
      <c r="AB101" s="1023">
        <f>SUMIFS('01工程产值对比表'!$M:$M,'01工程产值对比表'!$D:$D,Y101,'01工程产值对比表'!$C:$C,Y$2)</f>
        <v>0</v>
      </c>
    </row>
    <row r="102" spans="1:28">
      <c r="A102" s="873" t="s">
        <v>566</v>
      </c>
      <c r="B102" s="681" t="s">
        <v>72</v>
      </c>
      <c r="C102"/>
      <c r="D102" s="1023">
        <f>SUMIFS('01工程产值对比表'!$M:$M,'01工程产值对比表'!$D:$D,A102,'01工程产值对比表'!$C:$C,A$2)</f>
        <v>0</v>
      </c>
      <c r="F102" s="1024"/>
      <c r="H102" s="1023"/>
      <c r="I102" s="1035" t="s">
        <v>567</v>
      </c>
      <c r="J102" s="1031" t="s">
        <v>72</v>
      </c>
      <c r="K102" s="1036">
        <v>800</v>
      </c>
      <c r="L102" s="1032">
        <f>SUMIFS('01工程产值对比表'!$M:$M,'01工程产值对比表'!$D:$D,I102,'01工程产值对比表'!$C:$C,I$2)</f>
        <v>0</v>
      </c>
      <c r="M102" s="1033"/>
      <c r="N102" s="1033"/>
      <c r="O102" s="1033"/>
      <c r="Q102" t="s">
        <v>568</v>
      </c>
      <c r="R102" s="681" t="s">
        <v>72</v>
      </c>
      <c r="S102">
        <v>0.8</v>
      </c>
      <c r="T102" s="1023">
        <f>SUMIFS('01工程产值对比表'!$M:$M,'01工程产值对比表'!$D:$D,Q102,'01工程产值对比表'!$C:$C,Q$2)</f>
        <v>0</v>
      </c>
      <c r="U102" s="1023"/>
      <c r="V102" s="1023"/>
      <c r="W102" s="1023"/>
      <c r="Y102" t="s">
        <v>569</v>
      </c>
      <c r="Z102" t="s">
        <v>15</v>
      </c>
      <c r="AA102">
        <v>1300000</v>
      </c>
      <c r="AB102" s="1023">
        <f>SUMIFS('01工程产值对比表'!$M:$M,'01工程产值对比表'!$D:$D,Y102,'01工程产值对比表'!$C:$C,Y$2)</f>
        <v>0</v>
      </c>
    </row>
    <row r="103" spans="1:28">
      <c r="A103" s="873" t="s">
        <v>570</v>
      </c>
      <c r="B103" s="681" t="s">
        <v>82</v>
      </c>
      <c r="C103">
        <v>4500</v>
      </c>
      <c r="D103" s="1023">
        <f>SUMIFS('01工程产值对比表'!$M:$M,'01工程产值对比表'!$D:$D,A103,'01工程产值对比表'!$C:$C,A$2)</f>
        <v>0</v>
      </c>
      <c r="F103" s="1024"/>
      <c r="H103" s="1023"/>
      <c r="I103" s="1035" t="s">
        <v>571</v>
      </c>
      <c r="J103" s="1031" t="s">
        <v>72</v>
      </c>
      <c r="K103" s="1036">
        <v>4</v>
      </c>
      <c r="L103" s="1032">
        <f>SUMIFS('01工程产值对比表'!$M:$M,'01工程产值对比表'!$D:$D,I103,'01工程产值对比表'!$C:$C,I$2)</f>
        <v>0</v>
      </c>
      <c r="M103" s="1033"/>
      <c r="N103" s="1033"/>
      <c r="O103" s="1033"/>
      <c r="Q103" t="s">
        <v>572</v>
      </c>
      <c r="R103" s="681" t="s">
        <v>72</v>
      </c>
      <c r="S103">
        <v>0.5</v>
      </c>
      <c r="T103" s="1023">
        <f>SUMIFS('01工程产值对比表'!$M:$M,'01工程产值对比表'!$D:$D,Q103,'01工程产值对比表'!$C:$C,Q$2)</f>
        <v>0</v>
      </c>
      <c r="U103" s="1023"/>
      <c r="V103" s="1023"/>
      <c r="W103" s="1023"/>
      <c r="Y103" t="s">
        <v>573</v>
      </c>
      <c r="Z103" t="s">
        <v>69</v>
      </c>
      <c r="AA103">
        <v>25</v>
      </c>
      <c r="AB103" s="1023">
        <f>SUMIFS('01工程产值对比表'!$M:$M,'01工程产值对比表'!$D:$D,Y103,'01工程产值对比表'!$C:$C,Y$2)</f>
        <v>0</v>
      </c>
    </row>
    <row r="104" ht="42.75" spans="1:28">
      <c r="A104" s="873" t="s">
        <v>574</v>
      </c>
      <c r="B104" s="681" t="s">
        <v>82</v>
      </c>
      <c r="C104">
        <v>200</v>
      </c>
      <c r="D104" s="1023">
        <f>SUMIFS('01工程产值对比表'!$M:$M,'01工程产值对比表'!$D:$D,A104,'01工程产值对比表'!$C:$C,A$2)</f>
        <v>0</v>
      </c>
      <c r="F104" s="1024"/>
      <c r="H104" s="1023"/>
      <c r="I104" s="1035" t="s">
        <v>575</v>
      </c>
      <c r="J104" s="1031" t="s">
        <v>72</v>
      </c>
      <c r="K104" s="1036">
        <v>3</v>
      </c>
      <c r="L104" s="1032">
        <f>SUMIFS('01工程产值对比表'!$M:$M,'01工程产值对比表'!$D:$D,I104,'01工程产值对比表'!$C:$C,I$2)</f>
        <v>0</v>
      </c>
      <c r="M104" s="1033"/>
      <c r="N104" s="1033"/>
      <c r="O104" s="1033"/>
      <c r="Q104" t="s">
        <v>576</v>
      </c>
      <c r="R104" s="681" t="s">
        <v>72</v>
      </c>
      <c r="S104">
        <v>1.5</v>
      </c>
      <c r="T104" s="1023">
        <f>SUMIFS('01工程产值对比表'!$M:$M,'01工程产值对比表'!$D:$D,Q104,'01工程产值对比表'!$C:$C,Q$2)</f>
        <v>0</v>
      </c>
      <c r="U104" s="1023"/>
      <c r="V104" s="1023"/>
      <c r="W104" s="1023"/>
      <c r="Y104" t="s">
        <v>577</v>
      </c>
      <c r="AA104">
        <v>1300000</v>
      </c>
      <c r="AB104" s="1023">
        <f>SUMIFS('01工程产值对比表'!$M:$M,'01工程产值对比表'!$D:$D,Y104,'01工程产值对比表'!$C:$C,Y$2)</f>
        <v>0</v>
      </c>
    </row>
    <row r="105" ht="28.5" spans="1:28">
      <c r="A105" s="873" t="s">
        <v>578</v>
      </c>
      <c r="B105" s="681" t="s">
        <v>76</v>
      </c>
      <c r="C105"/>
      <c r="D105" s="1023">
        <f>SUMIFS('01工程产值对比表'!$M:$M,'01工程产值对比表'!$D:$D,A105,'01工程产值对比表'!$C:$C,A$2)</f>
        <v>0</v>
      </c>
      <c r="F105" s="1024"/>
      <c r="H105" s="1023"/>
      <c r="I105" s="1035" t="s">
        <v>579</v>
      </c>
      <c r="J105" s="1031" t="s">
        <v>72</v>
      </c>
      <c r="K105" s="1036">
        <v>5</v>
      </c>
      <c r="L105" s="1032">
        <f>SUMIFS('01工程产值对比表'!$M:$M,'01工程产值对比表'!$D:$D,I105,'01工程产值对比表'!$C:$C,I$2)</f>
        <v>0</v>
      </c>
      <c r="M105" s="1033"/>
      <c r="N105" s="1033"/>
      <c r="O105" s="1033"/>
      <c r="Q105" t="s">
        <v>580</v>
      </c>
      <c r="R105" s="681" t="s">
        <v>72</v>
      </c>
      <c r="S105">
        <v>56.7</v>
      </c>
      <c r="T105" s="1023">
        <f>SUMIFS('01工程产值对比表'!$M:$M,'01工程产值对比表'!$D:$D,Q105,'01工程产值对比表'!$C:$C,Q$2)</f>
        <v>0</v>
      </c>
      <c r="U105" s="1023"/>
      <c r="V105" s="1023"/>
      <c r="W105" s="1023"/>
      <c r="Y105" t="s">
        <v>581</v>
      </c>
      <c r="Z105" t="s">
        <v>190</v>
      </c>
      <c r="AB105" s="1023">
        <f>SUMIFS('01工程产值对比表'!$M:$M,'01工程产值对比表'!$D:$D,Y105,'01工程产值对比表'!$C:$C,Y$2)</f>
        <v>0</v>
      </c>
    </row>
    <row r="106" ht="28.5" spans="1:28">
      <c r="A106" s="873" t="s">
        <v>582</v>
      </c>
      <c r="B106" s="681" t="s">
        <v>72</v>
      </c>
      <c r="C106"/>
      <c r="D106" s="1023">
        <f>SUMIFS('01工程产值对比表'!$M:$M,'01工程产值对比表'!$D:$D,A106,'01工程产值对比表'!$C:$C,A$2)</f>
        <v>0</v>
      </c>
      <c r="F106" s="1024"/>
      <c r="H106" s="1023"/>
      <c r="I106" s="1035" t="s">
        <v>583</v>
      </c>
      <c r="J106" s="1031" t="s">
        <v>72</v>
      </c>
      <c r="K106" s="1036">
        <v>3.33</v>
      </c>
      <c r="L106" s="1032">
        <f>SUMIFS('01工程产值对比表'!$M:$M,'01工程产值对比表'!$D:$D,I106,'01工程产值对比表'!$C:$C,I$2)</f>
        <v>0</v>
      </c>
      <c r="M106" s="1033"/>
      <c r="N106" s="1033"/>
      <c r="O106" s="1033"/>
      <c r="Q106" t="s">
        <v>584</v>
      </c>
      <c r="R106" s="681" t="s">
        <v>72</v>
      </c>
      <c r="S106">
        <v>65</v>
      </c>
      <c r="T106" s="1023">
        <f>SUMIFS('01工程产值对比表'!$M:$M,'01工程产值对比表'!$D:$D,Q106,'01工程产值对比表'!$C:$C,Q$2)</f>
        <v>0</v>
      </c>
      <c r="U106" s="1023"/>
      <c r="V106" s="1023"/>
      <c r="W106" s="1023"/>
      <c r="Y106" t="s">
        <v>585</v>
      </c>
      <c r="Z106" t="s">
        <v>69</v>
      </c>
      <c r="AB106" s="1023">
        <f>SUMIFS('01工程产值对比表'!$M:$M,'01工程产值对比表'!$D:$D,Y106,'01工程产值对比表'!$C:$C,Y$2)</f>
        <v>0</v>
      </c>
    </row>
    <row r="107" ht="28.5" spans="1:28">
      <c r="A107" s="873" t="s">
        <v>586</v>
      </c>
      <c r="B107" s="681" t="s">
        <v>76</v>
      </c>
      <c r="C107"/>
      <c r="D107" s="1023">
        <f>SUMIFS('01工程产值对比表'!$M:$M,'01工程产值对比表'!$D:$D,A107,'01工程产值对比表'!$C:$C,A$2)</f>
        <v>0</v>
      </c>
      <c r="F107" s="1024"/>
      <c r="H107" s="1023"/>
      <c r="I107" s="1035" t="s">
        <v>587</v>
      </c>
      <c r="J107" s="1031" t="s">
        <v>72</v>
      </c>
      <c r="K107" s="1036">
        <v>2.5</v>
      </c>
      <c r="L107" s="1032">
        <f>SUMIFS('01工程产值对比表'!$M:$M,'01工程产值对比表'!$D:$D,I107,'01工程产值对比表'!$C:$C,I$2)</f>
        <v>0</v>
      </c>
      <c r="M107" s="1033"/>
      <c r="N107" s="1033"/>
      <c r="O107" s="1033"/>
      <c r="Q107" t="s">
        <v>588</v>
      </c>
      <c r="R107" s="681" t="s">
        <v>72</v>
      </c>
      <c r="S107">
        <v>56.7</v>
      </c>
      <c r="T107" s="1023">
        <f>SUMIFS('01工程产值对比表'!$M:$M,'01工程产值对比表'!$D:$D,Q107,'01工程产值对比表'!$C:$C,Q$2)</f>
        <v>0</v>
      </c>
      <c r="U107" s="1023"/>
      <c r="V107" s="1023"/>
      <c r="W107" s="1023"/>
      <c r="Y107" t="s">
        <v>589</v>
      </c>
      <c r="Z107" t="s">
        <v>76</v>
      </c>
      <c r="AB107" s="1023">
        <f>SUMIFS('01工程产值对比表'!$M:$M,'01工程产值对比表'!$D:$D,Y107,'01工程产值对比表'!$C:$C,Y$2)</f>
        <v>0</v>
      </c>
    </row>
    <row r="108" spans="1:28">
      <c r="A108" s="873" t="s">
        <v>590</v>
      </c>
      <c r="B108" s="681" t="s">
        <v>76</v>
      </c>
      <c r="C108"/>
      <c r="D108" s="1023">
        <f>SUMIFS('01工程产值对比表'!$M:$M,'01工程产值对比表'!$D:$D,A108,'01工程产值对比表'!$C:$C,A$2)</f>
        <v>0</v>
      </c>
      <c r="F108" s="1024"/>
      <c r="H108" s="1023"/>
      <c r="I108" s="1035" t="s">
        <v>591</v>
      </c>
      <c r="J108" s="1031" t="s">
        <v>72</v>
      </c>
      <c r="K108" s="1036">
        <v>10</v>
      </c>
      <c r="L108" s="1032">
        <f>SUMIFS('01工程产值对比表'!$M:$M,'01工程产值对比表'!$D:$D,I108,'01工程产值对比表'!$C:$C,I$2)</f>
        <v>0</v>
      </c>
      <c r="M108" s="1033"/>
      <c r="N108" s="1033"/>
      <c r="O108" s="1033"/>
      <c r="Q108" t="s">
        <v>592</v>
      </c>
      <c r="R108" s="681" t="s">
        <v>72</v>
      </c>
      <c r="S108">
        <v>200</v>
      </c>
      <c r="T108" s="1023">
        <f>SUMIFS('01工程产值对比表'!$M:$M,'01工程产值对比表'!$D:$D,Q108,'01工程产值对比表'!$C:$C,Q$2)</f>
        <v>0</v>
      </c>
      <c r="U108" s="1023"/>
      <c r="V108" s="1023"/>
      <c r="W108" s="1023"/>
      <c r="Y108" t="s">
        <v>593</v>
      </c>
      <c r="Z108" t="s">
        <v>69</v>
      </c>
      <c r="AB108" s="1023">
        <f>SUMIFS('01工程产值对比表'!$M:$M,'01工程产值对比表'!$D:$D,Y108,'01工程产值对比表'!$C:$C,Y$2)</f>
        <v>0</v>
      </c>
    </row>
    <row r="109" ht="28.5" spans="1:28">
      <c r="A109" s="873" t="s">
        <v>594</v>
      </c>
      <c r="B109" s="681" t="s">
        <v>72</v>
      </c>
      <c r="C109">
        <v>400</v>
      </c>
      <c r="D109" s="1023">
        <f>SUMIFS('01工程产值对比表'!$M:$M,'01工程产值对比表'!$D:$D,A109,'01工程产值对比表'!$C:$C,A$2)</f>
        <v>0</v>
      </c>
      <c r="F109" s="1024"/>
      <c r="H109" s="1023"/>
      <c r="I109" s="1035" t="s">
        <v>595</v>
      </c>
      <c r="J109" s="1031" t="s">
        <v>72</v>
      </c>
      <c r="K109" s="1036">
        <v>5</v>
      </c>
      <c r="L109" s="1032">
        <f>SUMIFS('01工程产值对比表'!$M:$M,'01工程产值对比表'!$D:$D,I109,'01工程产值对比表'!$C:$C,I$2)</f>
        <v>0</v>
      </c>
      <c r="M109" s="1033"/>
      <c r="N109" s="1033"/>
      <c r="O109" s="1033"/>
      <c r="Q109" t="s">
        <v>596</v>
      </c>
      <c r="R109" s="681" t="s">
        <v>69</v>
      </c>
      <c r="S109">
        <v>34.5</v>
      </c>
      <c r="T109" s="1023">
        <f>SUMIFS('01工程产值对比表'!$M:$M,'01工程产值对比表'!$D:$D,Q109,'01工程产值对比表'!$C:$C,Q$2)</f>
        <v>0</v>
      </c>
      <c r="U109" s="1023"/>
      <c r="V109" s="1023"/>
      <c r="W109" s="1023"/>
      <c r="Y109" t="s">
        <v>597</v>
      </c>
      <c r="Z109" t="s">
        <v>69</v>
      </c>
      <c r="AB109" s="1023">
        <f>SUMIFS('01工程产值对比表'!$M:$M,'01工程产值对比表'!$D:$D,Y109,'01工程产值对比表'!$C:$C,Y$2)</f>
        <v>0</v>
      </c>
    </row>
    <row r="110" ht="28.5" spans="1:28">
      <c r="A110" s="873" t="s">
        <v>598</v>
      </c>
      <c r="B110" s="681" t="s">
        <v>599</v>
      </c>
      <c r="C110"/>
      <c r="D110" s="1023">
        <f>SUMIFS('01工程产值对比表'!$M:$M,'01工程产值对比表'!$D:$D,A110,'01工程产值对比表'!$C:$C,A$2)</f>
        <v>0</v>
      </c>
      <c r="F110" s="1024"/>
      <c r="H110" s="1023"/>
      <c r="I110" s="1035" t="s">
        <v>600</v>
      </c>
      <c r="J110" s="1031" t="s">
        <v>72</v>
      </c>
      <c r="K110" s="1036"/>
      <c r="L110" s="1032">
        <f>SUMIFS('01工程产值对比表'!$M:$M,'01工程产值对比表'!$D:$D,I110,'01工程产值对比表'!$C:$C,I$2)</f>
        <v>56920</v>
      </c>
      <c r="M110" s="1033"/>
      <c r="N110" s="1033"/>
      <c r="O110" s="1033"/>
      <c r="Q110" t="s">
        <v>601</v>
      </c>
      <c r="R110" s="681" t="s">
        <v>72</v>
      </c>
      <c r="S110">
        <v>2500</v>
      </c>
      <c r="T110" s="1023">
        <f>SUMIFS('01工程产值对比表'!$M:$M,'01工程产值对比表'!$D:$D,Q110,'01工程产值对比表'!$C:$C,Q$2)</f>
        <v>0</v>
      </c>
      <c r="U110" s="1023"/>
      <c r="V110" s="1023"/>
      <c r="W110" s="1023"/>
      <c r="Y110" t="s">
        <v>602</v>
      </c>
      <c r="Z110" t="s">
        <v>82</v>
      </c>
      <c r="AB110" s="1023">
        <f>SUMIFS('01工程产值对比表'!$M:$M,'01工程产值对比表'!$D:$D,Y110,'01工程产值对比表'!$C:$C,Y$2)</f>
        <v>0</v>
      </c>
    </row>
    <row r="111" ht="28.5" spans="1:28">
      <c r="A111" s="873" t="s">
        <v>603</v>
      </c>
      <c r="B111" s="681" t="s">
        <v>185</v>
      </c>
      <c r="C111"/>
      <c r="D111" s="1023">
        <f>SUMIFS('01工程产值对比表'!$M:$M,'01工程产值对比表'!$D:$D,A111,'01工程产值对比表'!$C:$C,A$2)</f>
        <v>0</v>
      </c>
      <c r="F111" s="1024"/>
      <c r="H111" s="1023"/>
      <c r="I111" s="1035" t="s">
        <v>604</v>
      </c>
      <c r="J111" s="1031" t="s">
        <v>72</v>
      </c>
      <c r="K111" s="1036">
        <v>5.26</v>
      </c>
      <c r="L111" s="1032">
        <f>SUMIFS('01工程产值对比表'!$M:$M,'01工程产值对比表'!$D:$D,I111,'01工程产值对比表'!$C:$C,I$2)</f>
        <v>0</v>
      </c>
      <c r="M111" s="1033"/>
      <c r="N111" s="1033"/>
      <c r="O111" s="1033"/>
      <c r="Q111" t="s">
        <v>605</v>
      </c>
      <c r="R111" s="681" t="s">
        <v>72</v>
      </c>
      <c r="S111">
        <v>420</v>
      </c>
      <c r="T111" s="1023">
        <f>SUMIFS('01工程产值对比表'!$M:$M,'01工程产值对比表'!$D:$D,Q111,'01工程产值对比表'!$C:$C,Q$2)</f>
        <v>0</v>
      </c>
      <c r="U111" s="1023"/>
      <c r="V111" s="1023"/>
      <c r="W111" s="1023"/>
      <c r="Y111" t="s">
        <v>606</v>
      </c>
      <c r="Z111" t="s">
        <v>82</v>
      </c>
      <c r="AB111" s="1023">
        <f>SUMIFS('01工程产值对比表'!$M:$M,'01工程产值对比表'!$D:$D,Y111,'01工程产值对比表'!$C:$C,Y$2)</f>
        <v>0</v>
      </c>
    </row>
    <row r="112" spans="1:28">
      <c r="A112" s="873" t="s">
        <v>607</v>
      </c>
      <c r="B112" s="681" t="s">
        <v>72</v>
      </c>
      <c r="C112"/>
      <c r="D112" s="1023">
        <f>SUMIFS('01工程产值对比表'!$M:$M,'01工程产值对比表'!$D:$D,A112,'01工程产值对比表'!$C:$C,A$2)</f>
        <v>0</v>
      </c>
      <c r="F112" s="1024"/>
      <c r="H112" s="1023"/>
      <c r="I112" s="1035" t="s">
        <v>608</v>
      </c>
      <c r="J112" s="1031" t="s">
        <v>72</v>
      </c>
      <c r="K112" s="1036">
        <v>5.71</v>
      </c>
      <c r="L112" s="1032">
        <f>SUMIFS('01工程产值对比表'!$M:$M,'01工程产值对比表'!$D:$D,I112,'01工程产值对比表'!$C:$C,I$2)</f>
        <v>0</v>
      </c>
      <c r="M112" s="1033"/>
      <c r="N112" s="1033"/>
      <c r="O112" s="1033"/>
      <c r="Q112" t="s">
        <v>609</v>
      </c>
      <c r="R112" s="681" t="s">
        <v>82</v>
      </c>
      <c r="S112">
        <v>20</v>
      </c>
      <c r="T112" s="1023">
        <f>SUMIFS('01工程产值对比表'!$M:$M,'01工程产值对比表'!$D:$D,Q112,'01工程产值对比表'!$C:$C,Q$2)</f>
        <v>0</v>
      </c>
      <c r="U112" s="1023"/>
      <c r="V112" s="1023"/>
      <c r="W112" s="1023"/>
      <c r="Y112" t="s">
        <v>610</v>
      </c>
      <c r="Z112" t="s">
        <v>82</v>
      </c>
      <c r="AB112" s="1023">
        <f>SUMIFS('01工程产值对比表'!$M:$M,'01工程产值对比表'!$D:$D,Y112,'01工程产值对比表'!$C:$C,Y$2)</f>
        <v>0</v>
      </c>
    </row>
    <row r="113" ht="28.5" spans="1:28">
      <c r="A113" s="873" t="s">
        <v>611</v>
      </c>
      <c r="B113" s="681" t="s">
        <v>69</v>
      </c>
      <c r="C113"/>
      <c r="D113" s="1023">
        <f>SUMIFS('01工程产值对比表'!$M:$M,'01工程产值对比表'!$D:$D,A113,'01工程产值对比表'!$C:$C,A$2)</f>
        <v>0</v>
      </c>
      <c r="F113" s="1024"/>
      <c r="H113" s="1023"/>
      <c r="I113" s="1035" t="s">
        <v>612</v>
      </c>
      <c r="J113" s="1031" t="s">
        <v>72</v>
      </c>
      <c r="K113" s="1036">
        <v>4.19</v>
      </c>
      <c r="L113" s="1032">
        <f>SUMIFS('01工程产值对比表'!$M:$M,'01工程产值对比表'!$D:$D,I113,'01工程产值对比表'!$C:$C,I$2)</f>
        <v>0</v>
      </c>
      <c r="M113" s="1033"/>
      <c r="N113" s="1033"/>
      <c r="O113" s="1033"/>
      <c r="Q113" t="s">
        <v>613</v>
      </c>
      <c r="R113" s="681" t="s">
        <v>82</v>
      </c>
      <c r="S113">
        <v>400000</v>
      </c>
      <c r="T113" s="1023">
        <f>SUMIFS('01工程产值对比表'!$M:$M,'01工程产值对比表'!$D:$D,Q113,'01工程产值对比表'!$C:$C,Q$2)</f>
        <v>0</v>
      </c>
      <c r="U113" s="1023"/>
      <c r="V113" s="1023"/>
      <c r="W113" s="1023"/>
      <c r="Y113" t="s">
        <v>614</v>
      </c>
      <c r="Z113" t="s">
        <v>169</v>
      </c>
      <c r="AB113" s="1023">
        <f>SUMIFS('01工程产值对比表'!$M:$M,'01工程产值对比表'!$D:$D,Y113,'01工程产值对比表'!$C:$C,Y$2)</f>
        <v>0</v>
      </c>
    </row>
    <row r="114" ht="28.5" spans="1:28">
      <c r="A114" s="873" t="s">
        <v>615</v>
      </c>
      <c r="B114" s="681" t="s">
        <v>185</v>
      </c>
      <c r="C114"/>
      <c r="D114" s="1023">
        <f>SUMIFS('01工程产值对比表'!$M:$M,'01工程产值对比表'!$D:$D,A114,'01工程产值对比表'!$C:$C,A$2)</f>
        <v>0</v>
      </c>
      <c r="F114" s="1024"/>
      <c r="H114" s="1023"/>
      <c r="I114" s="1035" t="s">
        <v>616</v>
      </c>
      <c r="J114" s="1031" t="s">
        <v>72</v>
      </c>
      <c r="K114" s="1036">
        <v>1.03</v>
      </c>
      <c r="L114" s="1032">
        <f>SUMIFS('01工程产值对比表'!$M:$M,'01工程产值对比表'!$D:$D,I114,'01工程产值对比表'!$C:$C,I$2)</f>
        <v>0</v>
      </c>
      <c r="M114" s="1033"/>
      <c r="N114" s="1033"/>
      <c r="O114" s="1033"/>
      <c r="Q114" t="s">
        <v>617</v>
      </c>
      <c r="R114" s="681" t="s">
        <v>82</v>
      </c>
      <c r="S114">
        <v>300000</v>
      </c>
      <c r="T114" s="1023">
        <f>SUMIFS('01工程产值对比表'!$M:$M,'01工程产值对比表'!$D:$D,Q114,'01工程产值对比表'!$C:$C,Q$2)</f>
        <v>0</v>
      </c>
      <c r="U114" s="1023"/>
      <c r="V114" s="1023"/>
      <c r="W114" s="1023"/>
      <c r="Y114" t="s">
        <v>618</v>
      </c>
      <c r="Z114" t="s">
        <v>76</v>
      </c>
      <c r="AB114" s="1023">
        <f>SUMIFS('01工程产值对比表'!$M:$M,'01工程产值对比表'!$D:$D,Y114,'01工程产值对比表'!$C:$C,Y$2)</f>
        <v>0</v>
      </c>
    </row>
    <row r="115" ht="28.5" spans="1:28">
      <c r="A115" s="873" t="s">
        <v>619</v>
      </c>
      <c r="B115" s="681" t="s">
        <v>185</v>
      </c>
      <c r="C115"/>
      <c r="D115" s="1023">
        <f>SUMIFS('01工程产值对比表'!$M:$M,'01工程产值对比表'!$D:$D,A115,'01工程产值对比表'!$C:$C,A$2)</f>
        <v>0</v>
      </c>
      <c r="F115" s="1024"/>
      <c r="H115" s="1023"/>
      <c r="I115" s="1035" t="s">
        <v>620</v>
      </c>
      <c r="J115" s="1031" t="s">
        <v>72</v>
      </c>
      <c r="K115" s="1036"/>
      <c r="L115" s="1032">
        <f>SUMIFS('01工程产值对比表'!$M:$M,'01工程产值对比表'!$D:$D,I115,'01工程产值对比表'!$C:$C,I$2)</f>
        <v>0</v>
      </c>
      <c r="M115" s="1033"/>
      <c r="N115" s="1033"/>
      <c r="O115" s="1033"/>
      <c r="Q115" t="s">
        <v>621</v>
      </c>
      <c r="R115" s="681" t="s">
        <v>82</v>
      </c>
      <c r="S115">
        <v>200</v>
      </c>
      <c r="T115" s="1023">
        <f>SUMIFS('01工程产值对比表'!$M:$M,'01工程产值对比表'!$D:$D,Q115,'01工程产值对比表'!$C:$C,Q$2)</f>
        <v>0</v>
      </c>
      <c r="U115" s="1023"/>
      <c r="V115" s="1023"/>
      <c r="W115" s="1023"/>
      <c r="Y115" t="s">
        <v>622</v>
      </c>
      <c r="Z115" t="s">
        <v>76</v>
      </c>
      <c r="AA115">
        <v>500</v>
      </c>
      <c r="AB115" s="1023">
        <f>SUMIFS('01工程产值对比表'!$M:$M,'01工程产值对比表'!$D:$D,Y115,'01工程产值对比表'!$C:$C,Y$2)</f>
        <v>1216.47</v>
      </c>
    </row>
    <row r="116" ht="28.5" spans="1:28">
      <c r="A116" s="873" t="s">
        <v>623</v>
      </c>
      <c r="B116" s="681" t="s">
        <v>72</v>
      </c>
      <c r="C116">
        <v>500</v>
      </c>
      <c r="D116" s="1023">
        <f>SUMIFS('01工程产值对比表'!$M:$M,'01工程产值对比表'!$D:$D,A116,'01工程产值对比表'!$C:$C,A$2)</f>
        <v>0</v>
      </c>
      <c r="F116" s="1024"/>
      <c r="H116" s="1023"/>
      <c r="I116" s="1035" t="s">
        <v>624</v>
      </c>
      <c r="J116" s="1031" t="s">
        <v>72</v>
      </c>
      <c r="K116" s="1036">
        <v>3.95</v>
      </c>
      <c r="L116" s="1032">
        <f>SUMIFS('01工程产值对比表'!$M:$M,'01工程产值对比表'!$D:$D,I116,'01工程产值对比表'!$C:$C,I$2)</f>
        <v>0</v>
      </c>
      <c r="M116" s="1033"/>
      <c r="N116" s="1033"/>
      <c r="O116" s="1033"/>
      <c r="Q116" t="s">
        <v>625</v>
      </c>
      <c r="R116" s="681" t="s">
        <v>69</v>
      </c>
      <c r="S116">
        <v>200</v>
      </c>
      <c r="T116" s="1023">
        <f>SUMIFS('01工程产值对比表'!$M:$M,'01工程产值对比表'!$D:$D,Q116,'01工程产值对比表'!$C:$C,Q$2)</f>
        <v>0</v>
      </c>
      <c r="U116" s="1023"/>
      <c r="V116" s="1023"/>
      <c r="W116" s="1023"/>
      <c r="Y116" t="s">
        <v>626</v>
      </c>
      <c r="Z116" t="s">
        <v>190</v>
      </c>
      <c r="AA116">
        <v>550</v>
      </c>
      <c r="AB116" s="1023">
        <f>SUMIFS('01工程产值对比表'!$M:$M,'01工程产值对比表'!$D:$D,Y116,'01工程产值对比表'!$C:$C,Y$2)</f>
        <v>0</v>
      </c>
    </row>
    <row r="117" ht="42.75" spans="1:28">
      <c r="A117" s="873" t="s">
        <v>627</v>
      </c>
      <c r="B117" s="681" t="s">
        <v>185</v>
      </c>
      <c r="C117"/>
      <c r="D117" s="1023">
        <f>SUMIFS('01工程产值对比表'!$M:$M,'01工程产值对比表'!$D:$D,A117,'01工程产值对比表'!$C:$C,A$2)</f>
        <v>0</v>
      </c>
      <c r="F117" s="1024"/>
      <c r="H117" s="1023"/>
      <c r="I117" s="1035" t="s">
        <v>628</v>
      </c>
      <c r="J117" s="1031" t="s">
        <v>72</v>
      </c>
      <c r="K117" s="1036">
        <v>0.9</v>
      </c>
      <c r="L117" s="1032">
        <f>SUMIFS('01工程产值对比表'!$M:$M,'01工程产值对比表'!$D:$D,I117,'01工程产值对比表'!$C:$C,I$2)</f>
        <v>249.5021</v>
      </c>
      <c r="M117" s="1033"/>
      <c r="N117" s="1033"/>
      <c r="O117" s="1033"/>
      <c r="Q117" t="s">
        <v>629</v>
      </c>
      <c r="R117" s="681" t="s">
        <v>72</v>
      </c>
      <c r="S117">
        <v>55</v>
      </c>
      <c r="T117" s="1023">
        <f>SUMIFS('01工程产值对比表'!$M:$M,'01工程产值对比表'!$D:$D,Q117,'01工程产值对比表'!$C:$C,Q$2)</f>
        <v>0</v>
      </c>
      <c r="U117" s="1023"/>
      <c r="V117" s="1023"/>
      <c r="W117" s="1023"/>
      <c r="Y117" t="s">
        <v>630</v>
      </c>
      <c r="Z117" t="s">
        <v>69</v>
      </c>
      <c r="AB117" s="1023">
        <f>SUMIFS('01工程产值对比表'!$M:$M,'01工程产值对比表'!$D:$D,Y117,'01工程产值对比表'!$C:$C,Y$2)</f>
        <v>0</v>
      </c>
    </row>
    <row r="118" spans="1:28">
      <c r="A118" s="873" t="s">
        <v>631</v>
      </c>
      <c r="B118" s="681" t="s">
        <v>72</v>
      </c>
      <c r="C118">
        <v>100</v>
      </c>
      <c r="D118" s="1023">
        <f>SUMIFS('01工程产值对比表'!$M:$M,'01工程产值对比表'!$D:$D,A118,'01工程产值对比表'!$C:$C,A$2)</f>
        <v>0</v>
      </c>
      <c r="F118" s="1024"/>
      <c r="H118" s="1023"/>
      <c r="I118" s="1035" t="s">
        <v>632</v>
      </c>
      <c r="J118" s="1031" t="s">
        <v>72</v>
      </c>
      <c r="K118" s="1036">
        <v>5</v>
      </c>
      <c r="L118" s="1032">
        <f>SUMIFS('01工程产值对比表'!$M:$M,'01工程产值对比表'!$D:$D,I118,'01工程产值对比表'!$C:$C,I$2)</f>
        <v>0</v>
      </c>
      <c r="M118" s="1033"/>
      <c r="N118" s="1033"/>
      <c r="O118" s="1033"/>
      <c r="Q118" t="s">
        <v>633</v>
      </c>
      <c r="R118" s="681" t="s">
        <v>69</v>
      </c>
      <c r="S118">
        <v>55</v>
      </c>
      <c r="T118" s="1023">
        <f>SUMIFS('01工程产值对比表'!$M:$M,'01工程产值对比表'!$D:$D,Q118,'01工程产值对比表'!$C:$C,Q$2)</f>
        <v>0</v>
      </c>
      <c r="U118" s="1023"/>
      <c r="V118" s="1023"/>
      <c r="W118" s="1023"/>
      <c r="Y118" t="s">
        <v>634</v>
      </c>
      <c r="Z118" t="s">
        <v>82</v>
      </c>
      <c r="AB118" s="1023">
        <f>SUMIFS('01工程产值对比表'!$M:$M,'01工程产值对比表'!$D:$D,Y118,'01工程产值对比表'!$C:$C,Y$2)</f>
        <v>0</v>
      </c>
    </row>
    <row r="119" spans="1:28">
      <c r="A119" s="873" t="s">
        <v>635</v>
      </c>
      <c r="B119" s="681" t="s">
        <v>69</v>
      </c>
      <c r="C119">
        <v>1200</v>
      </c>
      <c r="D119" s="1023">
        <f>SUMIFS('01工程产值对比表'!$M:$M,'01工程产值对比表'!$D:$D,A119,'01工程产值对比表'!$C:$C,A$2)</f>
        <v>0</v>
      </c>
      <c r="F119" s="1024"/>
      <c r="H119" s="1023"/>
      <c r="I119" s="1035" t="s">
        <v>636</v>
      </c>
      <c r="J119" s="1031" t="s">
        <v>72</v>
      </c>
      <c r="K119" s="1036">
        <v>7.39</v>
      </c>
      <c r="L119" s="1032">
        <f>SUMIFS('01工程产值对比表'!$M:$M,'01工程产值对比表'!$D:$D,I119,'01工程产值对比表'!$C:$C,I$2)</f>
        <v>0</v>
      </c>
      <c r="M119" s="1033"/>
      <c r="N119" s="1033"/>
      <c r="O119" s="1033"/>
      <c r="Q119" t="s">
        <v>637</v>
      </c>
      <c r="R119" s="681" t="s">
        <v>72</v>
      </c>
      <c r="S119">
        <v>55</v>
      </c>
      <c r="T119" s="1023">
        <f>SUMIFS('01工程产值对比表'!$M:$M,'01工程产值对比表'!$D:$D,Q119,'01工程产值对比表'!$C:$C,Q$2)</f>
        <v>0</v>
      </c>
      <c r="U119" s="1023"/>
      <c r="V119" s="1023"/>
      <c r="W119" s="1023"/>
      <c r="Y119" t="s">
        <v>638</v>
      </c>
      <c r="Z119" t="s">
        <v>82</v>
      </c>
      <c r="AB119" s="1023">
        <f>SUMIFS('01工程产值对比表'!$M:$M,'01工程产值对比表'!$D:$D,Y119,'01工程产值对比表'!$C:$C,Y$2)</f>
        <v>0</v>
      </c>
    </row>
    <row r="120" spans="1:28">
      <c r="A120" t="s">
        <v>639</v>
      </c>
      <c r="B120" s="681" t="s">
        <v>640</v>
      </c>
      <c r="C120"/>
      <c r="D120" s="1023">
        <f>SUMIFS('01工程产值对比表'!$M:$M,'01工程产值对比表'!$D:$D,A120,'01工程产值对比表'!$C:$C,A$2)</f>
        <v>0</v>
      </c>
      <c r="F120" s="1024"/>
      <c r="H120" s="1023"/>
      <c r="I120" s="1035" t="s">
        <v>641</v>
      </c>
      <c r="J120" s="1031" t="s">
        <v>72</v>
      </c>
      <c r="K120" s="1036">
        <v>1.24</v>
      </c>
      <c r="L120" s="1032">
        <f>SUMIFS('01工程产值对比表'!$M:$M,'01工程产值对比表'!$D:$D,I120,'01工程产值对比表'!$C:$C,I$2)</f>
        <v>0</v>
      </c>
      <c r="M120" s="1033"/>
      <c r="N120" s="1033"/>
      <c r="O120" s="1033"/>
      <c r="Q120" t="s">
        <v>642</v>
      </c>
      <c r="R120" s="681" t="s">
        <v>69</v>
      </c>
      <c r="S120">
        <v>45</v>
      </c>
      <c r="T120" s="1023">
        <f>SUMIFS('01工程产值对比表'!$M:$M,'01工程产值对比表'!$D:$D,Q120,'01工程产值对比表'!$C:$C,Q$2)</f>
        <v>0</v>
      </c>
      <c r="U120" s="1023"/>
      <c r="V120" s="1023"/>
      <c r="W120" s="1023"/>
      <c r="Y120" t="s">
        <v>643</v>
      </c>
      <c r="Z120" t="s">
        <v>82</v>
      </c>
      <c r="AB120" s="1023">
        <f>SUMIFS('01工程产值对比表'!$M:$M,'01工程产值对比表'!$D:$D,Y120,'01工程产值对比表'!$C:$C,Y$2)</f>
        <v>0</v>
      </c>
    </row>
    <row r="121" ht="42.75" spans="1:28">
      <c r="A121" s="873" t="s">
        <v>644</v>
      </c>
      <c r="B121" s="681" t="s">
        <v>185</v>
      </c>
      <c r="C121"/>
      <c r="D121" s="1023">
        <f>SUMIFS('01工程产值对比表'!$M:$M,'01工程产值对比表'!$D:$D,A121,'01工程产值对比表'!$C:$C,A$2)</f>
        <v>0</v>
      </c>
      <c r="F121" s="1024"/>
      <c r="H121" s="1023"/>
      <c r="I121" s="1035" t="s">
        <v>645</v>
      </c>
      <c r="J121" s="1031" t="s">
        <v>72</v>
      </c>
      <c r="K121" s="1036"/>
      <c r="L121" s="1032">
        <f>SUMIFS('01工程产值对比表'!$M:$M,'01工程产值对比表'!$D:$D,I121,'01工程产值对比表'!$C:$C,I$2)</f>
        <v>424.8279</v>
      </c>
      <c r="M121" s="1033"/>
      <c r="N121" s="1033"/>
      <c r="O121" s="1033"/>
      <c r="Q121" t="s">
        <v>646</v>
      </c>
      <c r="R121" s="681" t="s">
        <v>69</v>
      </c>
      <c r="S121">
        <v>15</v>
      </c>
      <c r="T121" s="1023">
        <f>SUMIFS('01工程产值对比表'!$M:$M,'01工程产值对比表'!$D:$D,Q121,'01工程产值对比表'!$C:$C,Q$2)</f>
        <v>0</v>
      </c>
      <c r="U121" s="1023"/>
      <c r="V121" s="1023"/>
      <c r="W121" s="1023"/>
      <c r="Y121" t="s">
        <v>647</v>
      </c>
      <c r="Z121" t="s">
        <v>82</v>
      </c>
      <c r="AB121" s="1023">
        <f>SUMIFS('01工程产值对比表'!$M:$M,'01工程产值对比表'!$D:$D,Y121,'01工程产值对比表'!$C:$C,Y$2)</f>
        <v>0</v>
      </c>
    </row>
    <row r="122" ht="42.75" spans="1:28">
      <c r="A122" s="873" t="s">
        <v>648</v>
      </c>
      <c r="B122" s="681" t="s">
        <v>185</v>
      </c>
      <c r="C122"/>
      <c r="D122" s="1023">
        <f>SUMIFS('01工程产值对比表'!$M:$M,'01工程产值对比表'!$D:$D,A122,'01工程产值对比表'!$C:$C,A$2)</f>
        <v>0</v>
      </c>
      <c r="F122" s="1024"/>
      <c r="H122" s="1023"/>
      <c r="I122" s="1035" t="s">
        <v>649</v>
      </c>
      <c r="J122" s="1031" t="s">
        <v>72</v>
      </c>
      <c r="K122" s="1036">
        <v>5.28</v>
      </c>
      <c r="L122" s="1032">
        <f>SUMIFS('01工程产值对比表'!$M:$M,'01工程产值对比表'!$D:$D,I122,'01工程产值对比表'!$C:$C,I$2)</f>
        <v>0</v>
      </c>
      <c r="M122" s="1033"/>
      <c r="N122" s="1033"/>
      <c r="O122" s="1033"/>
      <c r="Q122" t="s">
        <v>650</v>
      </c>
      <c r="R122" s="681" t="s">
        <v>69</v>
      </c>
      <c r="S122">
        <v>150</v>
      </c>
      <c r="T122" s="1023">
        <f>SUMIFS('01工程产值对比表'!$M:$M,'01工程产值对比表'!$D:$D,Q122,'01工程产值对比表'!$C:$C,Q$2)</f>
        <v>0</v>
      </c>
      <c r="U122" s="1023"/>
      <c r="V122" s="1023"/>
      <c r="W122" s="1023"/>
      <c r="Y122" t="s">
        <v>651</v>
      </c>
      <c r="Z122" t="s">
        <v>190</v>
      </c>
      <c r="AA122">
        <v>65</v>
      </c>
      <c r="AB122" s="1023">
        <f>SUMIFS('01工程产值对比表'!$M:$M,'01工程产值对比表'!$D:$D,Y122,'01工程产值对比表'!$C:$C,Y$2)</f>
        <v>167</v>
      </c>
    </row>
    <row r="123" ht="42.75" spans="1:28">
      <c r="A123" s="873" t="s">
        <v>652</v>
      </c>
      <c r="B123" s="681" t="s">
        <v>185</v>
      </c>
      <c r="C123"/>
      <c r="D123" s="1023">
        <f>SUMIFS('01工程产值对比表'!$M:$M,'01工程产值对比表'!$D:$D,A123,'01工程产值对比表'!$C:$C,A$2)</f>
        <v>0</v>
      </c>
      <c r="F123" s="1024"/>
      <c r="H123" s="1023"/>
      <c r="I123" s="1035" t="s">
        <v>653</v>
      </c>
      <c r="J123" s="1031" t="s">
        <v>72</v>
      </c>
      <c r="K123" s="1036"/>
      <c r="L123" s="1032">
        <f>SUMIFS('01工程产值对比表'!$M:$M,'01工程产值对比表'!$D:$D,I123,'01工程产值对比表'!$C:$C,I$2)</f>
        <v>0</v>
      </c>
      <c r="M123" s="1033"/>
      <c r="N123" s="1033"/>
      <c r="O123" s="1033"/>
      <c r="Q123" t="s">
        <v>654</v>
      </c>
      <c r="R123" s="681" t="s">
        <v>69</v>
      </c>
      <c r="S123">
        <v>15</v>
      </c>
      <c r="T123" s="1023">
        <f>SUMIFS('01工程产值对比表'!$M:$M,'01工程产值对比表'!$D:$D,Q123,'01工程产值对比表'!$C:$C,Q$2)</f>
        <v>0</v>
      </c>
      <c r="U123" s="1023"/>
      <c r="V123" s="1023"/>
      <c r="W123" s="1023"/>
      <c r="Y123" t="s">
        <v>655</v>
      </c>
      <c r="Z123" t="s">
        <v>190</v>
      </c>
      <c r="AA123">
        <v>750</v>
      </c>
      <c r="AB123" s="1023">
        <f>SUMIFS('01工程产值对比表'!$M:$M,'01工程产值对比表'!$D:$D,Y123,'01工程产值对比表'!$C:$C,Y$2)</f>
        <v>167</v>
      </c>
    </row>
    <row r="124" ht="42.75" spans="1:28">
      <c r="A124" s="873" t="s">
        <v>656</v>
      </c>
      <c r="B124" s="681" t="s">
        <v>185</v>
      </c>
      <c r="D124" s="1023">
        <f>SUMIFS('01工程产值对比表'!$M:$M,'01工程产值对比表'!$D:$D,A124,'01工程产值对比表'!$C:$C,A$2)</f>
        <v>0</v>
      </c>
      <c r="F124" s="1024"/>
      <c r="H124" s="1023"/>
      <c r="I124" s="1035" t="s">
        <v>657</v>
      </c>
      <c r="J124" s="1031" t="s">
        <v>72</v>
      </c>
      <c r="K124" s="1036">
        <v>6</v>
      </c>
      <c r="L124" s="1032">
        <f>SUMIFS('01工程产值对比表'!$M:$M,'01工程产值对比表'!$D:$D,I124,'01工程产值对比表'!$C:$C,I$2)</f>
        <v>1452</v>
      </c>
      <c r="M124" s="1033"/>
      <c r="N124" s="1033"/>
      <c r="O124" s="1033"/>
      <c r="Q124" t="s">
        <v>658</v>
      </c>
      <c r="R124" s="681" t="s">
        <v>72</v>
      </c>
      <c r="S124">
        <v>15</v>
      </c>
      <c r="T124" s="1023">
        <f>SUMIFS('01工程产值对比表'!$M:$M,'01工程产值对比表'!$D:$D,Q124,'01工程产值对比表'!$C:$C,Q$2)</f>
        <v>0</v>
      </c>
      <c r="U124" s="1023"/>
      <c r="V124" s="1023"/>
      <c r="W124" s="1023"/>
      <c r="Y124" t="s">
        <v>659</v>
      </c>
      <c r="Z124" t="s">
        <v>76</v>
      </c>
      <c r="AA124">
        <v>40</v>
      </c>
      <c r="AB124" s="1023">
        <f>SUMIFS('01工程产值对比表'!$M:$M,'01工程产值对比表'!$D:$D,Y124,'01工程产值对比表'!$C:$C,Y$2)</f>
        <v>99.9</v>
      </c>
    </row>
    <row r="125" spans="1:28">
      <c r="A125" s="873" t="s">
        <v>660</v>
      </c>
      <c r="B125" s="681" t="s">
        <v>185</v>
      </c>
      <c r="D125" s="1023">
        <f>SUMIFS('01工程产值对比表'!$M:$M,'01工程产值对比表'!$D:$D,A125,'01工程产值对比表'!$C:$C,A$2)</f>
        <v>0</v>
      </c>
      <c r="F125" s="1024"/>
      <c r="H125" s="1023"/>
      <c r="I125" s="1035" t="s">
        <v>661</v>
      </c>
      <c r="J125" s="1031" t="s">
        <v>72</v>
      </c>
      <c r="K125" s="1036">
        <v>5.12</v>
      </c>
      <c r="L125" s="1032">
        <f>SUMIFS('01工程产值对比表'!$M:$M,'01工程产值对比表'!$D:$D,I125,'01工程产值对比表'!$C:$C,I$2)</f>
        <v>0</v>
      </c>
      <c r="M125" s="1033"/>
      <c r="N125" s="1033"/>
      <c r="O125" s="1033"/>
      <c r="Q125" t="s">
        <v>662</v>
      </c>
      <c r="R125" s="681" t="s">
        <v>72</v>
      </c>
      <c r="S125">
        <v>2</v>
      </c>
      <c r="T125" s="1023">
        <f>SUMIFS('01工程产值对比表'!$M:$M,'01工程产值对比表'!$D:$D,Q125,'01工程产值对比表'!$C:$C,Q$2)</f>
        <v>155.71</v>
      </c>
      <c r="U125" s="1023"/>
      <c r="V125" s="1023"/>
      <c r="W125" s="1023"/>
      <c r="Y125" t="s">
        <v>663</v>
      </c>
      <c r="Z125" t="s">
        <v>69</v>
      </c>
      <c r="AA125">
        <v>45</v>
      </c>
      <c r="AB125" s="1023">
        <f>SUMIFS('01工程产值对比表'!$M:$M,'01工程产值对比表'!$D:$D,Y125,'01工程产值对比表'!$C:$C,Y$2)</f>
        <v>30191.67</v>
      </c>
    </row>
    <row r="126" spans="1:28">
      <c r="A126" s="873" t="s">
        <v>664</v>
      </c>
      <c r="B126" s="681" t="s">
        <v>72</v>
      </c>
      <c r="D126" s="1023">
        <f>SUMIFS('01工程产值对比表'!$M:$M,'01工程产值对比表'!$D:$D,A126,'01工程产值对比表'!$C:$C,A$2)</f>
        <v>0</v>
      </c>
      <c r="F126" s="1024"/>
      <c r="H126" s="1023"/>
      <c r="I126" s="1035" t="s">
        <v>665</v>
      </c>
      <c r="J126" s="1031" t="s">
        <v>72</v>
      </c>
      <c r="K126" s="1036">
        <v>4.52</v>
      </c>
      <c r="L126" s="1032">
        <f>SUMIFS('01工程产值对比表'!$M:$M,'01工程产值对比表'!$D:$D,I126,'01工程产值对比表'!$C:$C,I$2)</f>
        <v>0</v>
      </c>
      <c r="M126" s="1033"/>
      <c r="N126" s="1033"/>
      <c r="O126" s="1033"/>
      <c r="Q126" t="s">
        <v>666</v>
      </c>
      <c r="R126" s="681" t="s">
        <v>72</v>
      </c>
      <c r="S126">
        <v>250</v>
      </c>
      <c r="T126" s="1023">
        <f>SUMIFS('01工程产值对比表'!$M:$M,'01工程产值对比表'!$D:$D,Q126,'01工程产值对比表'!$C:$C,Q$2)</f>
        <v>0</v>
      </c>
      <c r="U126" s="1023"/>
      <c r="V126" s="1023"/>
      <c r="W126" s="1023"/>
      <c r="Y126" t="s">
        <v>667</v>
      </c>
      <c r="Z126" t="s">
        <v>69</v>
      </c>
      <c r="AA126">
        <v>20</v>
      </c>
      <c r="AB126" s="1023">
        <f>SUMIFS('01工程产值对比表'!$M:$M,'01工程产值对比表'!$D:$D,Y126,'01工程产值对比表'!$C:$C,Y$2)</f>
        <v>1868.4</v>
      </c>
    </row>
    <row r="127" ht="28.5" spans="1:28">
      <c r="A127" s="873" t="s">
        <v>668</v>
      </c>
      <c r="B127" s="681" t="s">
        <v>216</v>
      </c>
      <c r="D127" s="1023">
        <f>SUMIFS('01工程产值对比表'!$M:$M,'01工程产值对比表'!$D:$D,A127,'01工程产值对比表'!$C:$C,A$2)</f>
        <v>0</v>
      </c>
      <c r="F127" s="1024"/>
      <c r="H127" s="1023"/>
      <c r="I127" s="1035" t="s">
        <v>669</v>
      </c>
      <c r="J127" s="1031" t="s">
        <v>72</v>
      </c>
      <c r="K127" s="1036">
        <v>0.94</v>
      </c>
      <c r="L127" s="1032">
        <f>SUMIFS('01工程产值对比表'!$M:$M,'01工程产值对比表'!$D:$D,I127,'01工程产值对比表'!$C:$C,I$2)</f>
        <v>0</v>
      </c>
      <c r="M127" s="1033"/>
      <c r="N127" s="1033"/>
      <c r="O127" s="1033"/>
      <c r="Q127" t="s">
        <v>670</v>
      </c>
      <c r="R127" s="681" t="s">
        <v>76</v>
      </c>
      <c r="S127">
        <v>250</v>
      </c>
      <c r="T127" s="1023">
        <f>SUMIFS('01工程产值对比表'!$M:$M,'01工程产值对比表'!$D:$D,Q127,'01工程产值对比表'!$C:$C,Q$2)</f>
        <v>0</v>
      </c>
      <c r="U127" s="1023"/>
      <c r="V127" s="1023"/>
      <c r="W127" s="1023"/>
      <c r="Y127" t="s">
        <v>671</v>
      </c>
      <c r="Z127" t="s">
        <v>72</v>
      </c>
      <c r="AA127">
        <v>300</v>
      </c>
      <c r="AB127" s="1023">
        <f>SUMIFS('01工程产值对比表'!$M:$M,'01工程产值对比表'!$D:$D,Y127,'01工程产值对比表'!$C:$C,Y$2)</f>
        <v>0</v>
      </c>
    </row>
    <row r="128" ht="21" customHeight="1" spans="1:28">
      <c r="A128" s="873" t="s">
        <v>672</v>
      </c>
      <c r="B128" s="681" t="s">
        <v>216</v>
      </c>
      <c r="D128" s="1023">
        <f>SUMIFS('01工程产值对比表'!$M:$M,'01工程产值对比表'!$D:$D,A128,'01工程产值对比表'!$C:$C,A$2)</f>
        <v>0</v>
      </c>
      <c r="F128" s="1024"/>
      <c r="H128" s="1023"/>
      <c r="I128" s="1035" t="s">
        <v>673</v>
      </c>
      <c r="J128" s="1031" t="s">
        <v>72</v>
      </c>
      <c r="K128" s="1036"/>
      <c r="L128" s="1032">
        <f>SUMIFS('01工程产值对比表'!$M:$M,'01工程产值对比表'!$D:$D,I128,'01工程产值对比表'!$C:$C,I$2)</f>
        <v>0</v>
      </c>
      <c r="M128" s="1033"/>
      <c r="N128" s="1033"/>
      <c r="O128" s="1033"/>
      <c r="Q128" t="s">
        <v>674</v>
      </c>
      <c r="R128" s="681" t="s">
        <v>76</v>
      </c>
      <c r="S128">
        <v>56.7</v>
      </c>
      <c r="T128" s="1023">
        <f>SUMIFS('01工程产值对比表'!$M:$M,'01工程产值对比表'!$D:$D,Q128,'01工程产值对比表'!$C:$C,Q$2)</f>
        <v>0</v>
      </c>
      <c r="U128" s="1023"/>
      <c r="V128" s="1023"/>
      <c r="W128" s="1023"/>
      <c r="Y128" t="s">
        <v>675</v>
      </c>
      <c r="Z128" t="s">
        <v>72</v>
      </c>
      <c r="AB128" s="1023">
        <f>SUMIFS('01工程产值对比表'!$M:$M,'01工程产值对比表'!$D:$D,Y128,'01工程产值对比表'!$C:$C,Y$2)</f>
        <v>0</v>
      </c>
    </row>
    <row r="129" ht="57" spans="1:28">
      <c r="A129" s="873" t="s">
        <v>676</v>
      </c>
      <c r="B129" s="681" t="s">
        <v>216</v>
      </c>
      <c r="C129"/>
      <c r="D129" s="1023">
        <f>SUMIFS('01工程产值对比表'!$M:$M,'01工程产值对比表'!$D:$D,A129,'01工程产值对比表'!$C:$C,A$2)</f>
        <v>0</v>
      </c>
      <c r="F129" s="1024"/>
      <c r="H129" s="1023"/>
      <c r="I129" s="1035" t="s">
        <v>677</v>
      </c>
      <c r="J129" s="1031" t="s">
        <v>72</v>
      </c>
      <c r="K129" s="1036">
        <v>5.82</v>
      </c>
      <c r="L129" s="1032">
        <f>SUMIFS('01工程产值对比表'!$M:$M,'01工程产值对比表'!$D:$D,I129,'01工程产值对比表'!$C:$C,I$2)</f>
        <v>14487.14</v>
      </c>
      <c r="M129" s="1033"/>
      <c r="N129" s="1033"/>
      <c r="O129" s="1033"/>
      <c r="Q129" t="s">
        <v>678</v>
      </c>
      <c r="R129" s="681" t="s">
        <v>76</v>
      </c>
      <c r="S129">
        <v>800</v>
      </c>
      <c r="T129" s="1023">
        <f>SUMIFS('01工程产值对比表'!$M:$M,'01工程产值对比表'!$D:$D,Q129,'01工程产值对比表'!$C:$C,Q$2)</f>
        <v>0</v>
      </c>
      <c r="U129" s="1023"/>
      <c r="V129" s="1023"/>
      <c r="W129" s="1023"/>
      <c r="Y129" t="s">
        <v>679</v>
      </c>
      <c r="Z129" t="s">
        <v>15</v>
      </c>
      <c r="AA129">
        <v>1</v>
      </c>
      <c r="AB129" s="1023">
        <f>SUMIFS('01工程产值对比表'!$M:$M,'01工程产值对比表'!$D:$D,Y129,'01工程产值对比表'!$C:$C,Y$2)</f>
        <v>167207.436146789</v>
      </c>
    </row>
    <row r="130" ht="42.75" spans="1:28">
      <c r="A130" s="873" t="s">
        <v>680</v>
      </c>
      <c r="B130" s="681" t="s">
        <v>82</v>
      </c>
      <c r="D130" s="1023">
        <f>SUMIFS('01工程产值对比表'!$M:$M,'01工程产值对比表'!$D:$D,A130,'01工程产值对比表'!$C:$C,A$2)</f>
        <v>0</v>
      </c>
      <c r="F130" s="1024"/>
      <c r="H130" s="1023"/>
      <c r="I130" s="1035" t="s">
        <v>681</v>
      </c>
      <c r="J130" s="1031" t="s">
        <v>72</v>
      </c>
      <c r="K130" s="1036"/>
      <c r="L130" s="1032">
        <f>SUMIFS('01工程产值对比表'!$M:$M,'01工程产值对比表'!$D:$D,I130,'01工程产值对比表'!$C:$C,I$2)</f>
        <v>0</v>
      </c>
      <c r="M130" s="1033"/>
      <c r="N130" s="1033"/>
      <c r="O130" s="1033"/>
      <c r="Q130" t="s">
        <v>682</v>
      </c>
      <c r="R130" s="681" t="s">
        <v>76</v>
      </c>
      <c r="S130">
        <v>800</v>
      </c>
      <c r="T130" s="1023">
        <f>SUMIFS('01工程产值对比表'!$M:$M,'01工程产值对比表'!$D:$D,Q130,'01工程产值对比表'!$C:$C,Q$2)</f>
        <v>0</v>
      </c>
      <c r="U130" s="1023"/>
      <c r="V130" s="1023"/>
      <c r="W130" s="1023"/>
      <c r="Y130" t="s">
        <v>683</v>
      </c>
      <c r="Z130" t="s">
        <v>15</v>
      </c>
      <c r="AA130">
        <v>1</v>
      </c>
      <c r="AB130" s="1023">
        <f>SUMIFS('01工程产值对比表'!$M:$M,'01工程产值对比表'!$D:$D,Y130,'01工程产值对比表'!$C:$C,Y$2)</f>
        <v>930859.871834862</v>
      </c>
    </row>
    <row r="131" ht="28.5" spans="1:28">
      <c r="A131" s="873" t="s">
        <v>684</v>
      </c>
      <c r="B131" s="681" t="s">
        <v>76</v>
      </c>
      <c r="C131"/>
      <c r="D131" s="1023">
        <f>SUMIFS('01工程产值对比表'!$M:$M,'01工程产值对比表'!$D:$D,A131,'01工程产值对比表'!$C:$C,A$2)</f>
        <v>0</v>
      </c>
      <c r="F131" s="1024"/>
      <c r="H131" s="1023"/>
      <c r="I131" s="1035" t="s">
        <v>685</v>
      </c>
      <c r="J131" s="1031" t="s">
        <v>72</v>
      </c>
      <c r="K131" s="1036"/>
      <c r="L131" s="1032">
        <f>SUMIFS('01工程产值对比表'!$M:$M,'01工程产值对比表'!$D:$D,I131,'01工程产值对比表'!$C:$C,I$2)</f>
        <v>0</v>
      </c>
      <c r="M131" s="1033"/>
      <c r="N131" s="1033"/>
      <c r="O131" s="1033"/>
      <c r="Q131" t="s">
        <v>686</v>
      </c>
      <c r="S131">
        <v>120</v>
      </c>
      <c r="T131" s="1023">
        <f>SUMIFS('01工程产值对比表'!$M:$M,'01工程产值对比表'!$D:$D,Q131,'01工程产值对比表'!$C:$C,Q$2)</f>
        <v>0</v>
      </c>
      <c r="U131" s="1023"/>
      <c r="V131" s="1023"/>
      <c r="W131" s="1023"/>
      <c r="Y131" t="s">
        <v>687</v>
      </c>
      <c r="Z131" t="s">
        <v>688</v>
      </c>
      <c r="AA131">
        <v>390</v>
      </c>
      <c r="AB131" s="1023">
        <f>SUMIFS('01工程产值对比表'!$M:$M,'01工程产值对比表'!$D:$D,Y131,'01工程产值对比表'!$C:$C,Y$2)</f>
        <v>8029.6</v>
      </c>
    </row>
    <row r="132" spans="1:28">
      <c r="A132" t="s">
        <v>689</v>
      </c>
      <c r="B132" s="681" t="s">
        <v>82</v>
      </c>
      <c r="C132"/>
      <c r="D132" s="1023">
        <f>SUMIFS('01工程产值对比表'!$M:$M,'01工程产值对比表'!$D:$D,A132,'01工程产值对比表'!$C:$C,A$2)</f>
        <v>0</v>
      </c>
      <c r="F132" s="1024"/>
      <c r="H132" s="1023"/>
      <c r="I132" s="1035" t="s">
        <v>690</v>
      </c>
      <c r="J132" s="1031" t="s">
        <v>72</v>
      </c>
      <c r="K132" s="1036"/>
      <c r="L132" s="1032">
        <f>SUMIFS('01工程产值对比表'!$M:$M,'01工程产值对比表'!$D:$D,I132,'01工程产值对比表'!$C:$C,I$2)</f>
        <v>0</v>
      </c>
      <c r="M132" s="1033"/>
      <c r="N132" s="1033"/>
      <c r="O132" s="1033"/>
      <c r="Q132" t="s">
        <v>691</v>
      </c>
      <c r="R132" s="681" t="s">
        <v>69</v>
      </c>
      <c r="S132">
        <v>13</v>
      </c>
      <c r="T132" s="1023">
        <f>SUMIFS('01工程产值对比表'!$M:$M,'01工程产值对比表'!$D:$D,Q132,'01工程产值对比表'!$C:$C,Q$2)</f>
        <v>0</v>
      </c>
      <c r="U132" s="1023"/>
      <c r="V132" s="1023"/>
      <c r="W132" s="1023"/>
      <c r="Y132" t="s">
        <v>692</v>
      </c>
      <c r="Z132" t="s">
        <v>69</v>
      </c>
      <c r="AA132">
        <v>15</v>
      </c>
      <c r="AB132" s="1023">
        <f>SUMIFS('01工程产值对比表'!$M:$M,'01工程产值对比表'!$D:$D,Y132,'01工程产值对比表'!$C:$C,Y$2)</f>
        <v>279.5</v>
      </c>
    </row>
    <row r="133" ht="28.5" spans="1:28">
      <c r="A133" s="873" t="s">
        <v>693</v>
      </c>
      <c r="B133" s="681" t="s">
        <v>72</v>
      </c>
      <c r="C133"/>
      <c r="D133" s="1023">
        <f>SUMIFS('01工程产值对比表'!$M:$M,'01工程产值对比表'!$D:$D,A133,'01工程产值对比表'!$C:$C,A$2)</f>
        <v>0</v>
      </c>
      <c r="F133" s="1024"/>
      <c r="H133" s="1023"/>
      <c r="I133" s="1035" t="s">
        <v>694</v>
      </c>
      <c r="J133" s="1031" t="s">
        <v>72</v>
      </c>
      <c r="K133" s="1036">
        <v>5.93</v>
      </c>
      <c r="L133" s="1032">
        <f>SUMIFS('01工程产值对比表'!$M:$M,'01工程产值对比表'!$D:$D,I133,'01工程产值对比表'!$C:$C,I$2)</f>
        <v>0</v>
      </c>
      <c r="M133" s="1033"/>
      <c r="N133" s="1033"/>
      <c r="O133" s="1033"/>
      <c r="Q133" t="s">
        <v>695</v>
      </c>
      <c r="R133" s="681" t="s">
        <v>69</v>
      </c>
      <c r="S133">
        <v>100</v>
      </c>
      <c r="T133" s="1023">
        <f>SUMIFS('01工程产值对比表'!$M:$M,'01工程产值对比表'!$D:$D,Q133,'01工程产值对比表'!$C:$C,Q$2)</f>
        <v>0</v>
      </c>
      <c r="U133" s="1023"/>
      <c r="V133" s="1023"/>
      <c r="W133" s="1023"/>
      <c r="Y133" t="s">
        <v>696</v>
      </c>
      <c r="Z133" t="s">
        <v>195</v>
      </c>
      <c r="AA133">
        <v>420294.05</v>
      </c>
      <c r="AB133" s="1023">
        <f>SUMIFS('01工程产值对比表'!$M:$M,'01工程产值对比表'!$D:$D,Y133,'01工程产值对比表'!$C:$C,Y$2)</f>
        <v>1</v>
      </c>
    </row>
    <row r="134" ht="28.5" spans="1:28">
      <c r="A134" s="873" t="s">
        <v>697</v>
      </c>
      <c r="B134" s="681" t="s">
        <v>76</v>
      </c>
      <c r="C134">
        <v>600</v>
      </c>
      <c r="D134" s="1023">
        <f>SUMIFS('01工程产值对比表'!$M:$M,'01工程产值对比表'!$D:$D,A134,'01工程产值对比表'!$C:$C,A$2)</f>
        <v>0</v>
      </c>
      <c r="F134" s="1024"/>
      <c r="H134" s="1023"/>
      <c r="I134" s="1035" t="s">
        <v>698</v>
      </c>
      <c r="J134" s="1031" t="s">
        <v>72</v>
      </c>
      <c r="K134" s="1036">
        <v>7.05</v>
      </c>
      <c r="L134" s="1032">
        <f>SUMIFS('01工程产值对比表'!$M:$M,'01工程产值对比表'!$D:$D,I134,'01工程产值对比表'!$C:$C,I$2)</f>
        <v>0</v>
      </c>
      <c r="M134" s="1033"/>
      <c r="N134" s="1033"/>
      <c r="O134" s="1033"/>
      <c r="Q134" t="s">
        <v>699</v>
      </c>
      <c r="R134" s="681" t="s">
        <v>69</v>
      </c>
      <c r="S134">
        <v>600</v>
      </c>
      <c r="T134" s="1023">
        <f>SUMIFS('01工程产值对比表'!$M:$M,'01工程产值对比表'!$D:$D,Q134,'01工程产值对比表'!$C:$C,Q$2)</f>
        <v>0</v>
      </c>
      <c r="U134" s="1023"/>
      <c r="V134" s="1023"/>
      <c r="W134" s="1023"/>
      <c r="Y134" t="s">
        <v>700</v>
      </c>
      <c r="Z134" t="s">
        <v>195</v>
      </c>
      <c r="AA134">
        <v>25053.42</v>
      </c>
      <c r="AB134" s="1023">
        <f>SUMIFS('01工程产值对比表'!$M:$M,'01工程产值对比表'!$D:$D,Y134,'01工程产值对比表'!$C:$C,Y$2)</f>
        <v>1</v>
      </c>
    </row>
    <row r="135" spans="1:28">
      <c r="A135" t="s">
        <v>701</v>
      </c>
      <c r="B135" s="681" t="s">
        <v>82</v>
      </c>
      <c r="C135"/>
      <c r="D135" s="1023">
        <f>SUMIFS('01工程产值对比表'!$M:$M,'01工程产值对比表'!$D:$D,A135,'01工程产值对比表'!$C:$C,A$2)</f>
        <v>0</v>
      </c>
      <c r="F135" s="1024"/>
      <c r="H135" s="1023"/>
      <c r="I135" s="1035" t="s">
        <v>702</v>
      </c>
      <c r="J135" s="1031" t="s">
        <v>72</v>
      </c>
      <c r="K135" s="1036"/>
      <c r="L135" s="1032">
        <f>SUMIFS('01工程产值对比表'!$M:$M,'01工程产值对比表'!$D:$D,I135,'01工程产值对比表'!$C:$C,I$2)</f>
        <v>0</v>
      </c>
      <c r="M135" s="1033"/>
      <c r="N135" s="1033"/>
      <c r="O135" s="1033"/>
      <c r="Q135" t="s">
        <v>703</v>
      </c>
      <c r="R135" s="681" t="s">
        <v>69</v>
      </c>
      <c r="S135">
        <v>125</v>
      </c>
      <c r="T135" s="1023">
        <f>SUMIFS('01工程产值对比表'!$M:$M,'01工程产值对比表'!$D:$D,Q135,'01工程产值对比表'!$C:$C,Q$2)</f>
        <v>0</v>
      </c>
      <c r="U135" s="1023"/>
      <c r="V135" s="1023"/>
      <c r="W135" s="1023"/>
      <c r="Y135" t="s">
        <v>704</v>
      </c>
      <c r="Z135" t="s">
        <v>195</v>
      </c>
      <c r="AA135">
        <v>4500</v>
      </c>
      <c r="AB135" s="1023">
        <f>SUMIFS('01工程产值对比表'!$M:$M,'01工程产值对比表'!$D:$D,Y135,'01工程产值对比表'!$C:$C,Y$2)</f>
        <v>1</v>
      </c>
    </row>
    <row r="136" ht="28.5" spans="1:28">
      <c r="A136" s="873" t="s">
        <v>705</v>
      </c>
      <c r="B136" s="681" t="s">
        <v>82</v>
      </c>
      <c r="C136">
        <v>7000</v>
      </c>
      <c r="D136" s="1023">
        <f>SUMIFS('01工程产值对比表'!$M:$M,'01工程产值对比表'!$D:$D,A136,'01工程产值对比表'!$C:$C,A$2)</f>
        <v>0</v>
      </c>
      <c r="F136" s="1024"/>
      <c r="H136" s="1023"/>
      <c r="I136" s="1035" t="s">
        <v>706</v>
      </c>
      <c r="J136" s="1031" t="s">
        <v>72</v>
      </c>
      <c r="K136" s="1036">
        <v>19.32</v>
      </c>
      <c r="L136" s="1032">
        <f>SUMIFS('01工程产值对比表'!$M:$M,'01工程产值对比表'!$D:$D,I136,'01工程产值对比表'!$C:$C,I$2)</f>
        <v>0</v>
      </c>
      <c r="M136" s="1033"/>
      <c r="N136" s="1033"/>
      <c r="O136" s="1033"/>
      <c r="Q136" t="s">
        <v>707</v>
      </c>
      <c r="R136" s="681" t="s">
        <v>69</v>
      </c>
      <c r="S136">
        <v>35</v>
      </c>
      <c r="T136" s="1023">
        <f>SUMIFS('01工程产值对比表'!$M:$M,'01工程产值对比表'!$D:$D,Q136,'01工程产值对比表'!$C:$C,Q$2)</f>
        <v>0</v>
      </c>
      <c r="U136" s="1023"/>
      <c r="V136" s="1023"/>
      <c r="W136" s="1023"/>
      <c r="Y136" t="s">
        <v>708</v>
      </c>
      <c r="Z136" t="s">
        <v>76</v>
      </c>
      <c r="AA136">
        <v>300</v>
      </c>
      <c r="AB136" s="1023">
        <f>SUMIFS('01工程产值对比表'!$M:$M,'01工程产值对比表'!$D:$D,Y136,'01工程产值对比表'!$C:$C,Y$2)</f>
        <v>500</v>
      </c>
    </row>
    <row r="137" spans="1:28">
      <c r="A137" t="s">
        <v>709</v>
      </c>
      <c r="B137" s="681" t="s">
        <v>82</v>
      </c>
      <c r="C137">
        <v>5000</v>
      </c>
      <c r="D137" s="1023">
        <f>SUMIFS('01工程产值对比表'!$M:$M,'01工程产值对比表'!$D:$D,A137,'01工程产值对比表'!$C:$C,A$2)</f>
        <v>0</v>
      </c>
      <c r="F137" s="1024"/>
      <c r="H137" s="1023"/>
      <c r="I137" s="1035" t="s">
        <v>710</v>
      </c>
      <c r="J137" s="1031" t="s">
        <v>72</v>
      </c>
      <c r="K137" s="1036">
        <v>3.04</v>
      </c>
      <c r="L137" s="1032">
        <f>SUMIFS('01工程产值对比表'!$M:$M,'01工程产值对比表'!$D:$D,I137,'01工程产值对比表'!$C:$C,I$2)</f>
        <v>0</v>
      </c>
      <c r="M137" s="1033"/>
      <c r="N137" s="1033"/>
      <c r="O137" s="1033"/>
      <c r="Q137" t="s">
        <v>711</v>
      </c>
      <c r="R137" s="681" t="s">
        <v>72</v>
      </c>
      <c r="S137">
        <v>280</v>
      </c>
      <c r="T137" s="1023">
        <f>SUMIFS('01工程产值对比表'!$M:$M,'01工程产值对比表'!$D:$D,Q137,'01工程产值对比表'!$C:$C,Q$2)</f>
        <v>0</v>
      </c>
      <c r="U137" s="1023"/>
      <c r="V137" s="1023"/>
      <c r="W137" s="1023"/>
      <c r="Y137" t="s">
        <v>712</v>
      </c>
      <c r="Z137" t="s">
        <v>69</v>
      </c>
      <c r="AA137">
        <v>30</v>
      </c>
      <c r="AB137" s="1023">
        <f>SUMIFS('01工程产值对比表'!$M:$M,'01工程产值对比表'!$D:$D,Y137,'01工程产值对比表'!$C:$C,Y$2)</f>
        <v>39695</v>
      </c>
    </row>
    <row r="138" spans="1:28">
      <c r="A138" s="873" t="s">
        <v>713</v>
      </c>
      <c r="B138" s="681" t="s">
        <v>82</v>
      </c>
      <c r="D138" s="1023">
        <f>SUMIFS('01工程产值对比表'!$M:$M,'01工程产值对比表'!$D:$D,A138,'01工程产值对比表'!$C:$C,A$2)</f>
        <v>73.485</v>
      </c>
      <c r="F138" s="1024"/>
      <c r="H138" s="1023"/>
      <c r="I138" s="1035" t="s">
        <v>714</v>
      </c>
      <c r="J138" s="1031" t="s">
        <v>72</v>
      </c>
      <c r="K138" s="1036">
        <v>1.84</v>
      </c>
      <c r="L138" s="1032">
        <f>SUMIFS('01工程产值对比表'!$M:$M,'01工程产值对比表'!$D:$D,I138,'01工程产值对比表'!$C:$C,I$2)</f>
        <v>0</v>
      </c>
      <c r="M138" s="1033"/>
      <c r="N138" s="1033"/>
      <c r="O138" s="1033"/>
      <c r="Q138" t="s">
        <v>715</v>
      </c>
      <c r="R138" s="681" t="s">
        <v>69</v>
      </c>
      <c r="S138">
        <v>70</v>
      </c>
      <c r="T138" s="1023">
        <f>SUMIFS('01工程产值对比表'!$M:$M,'01工程产值对比表'!$D:$D,Q138,'01工程产值对比表'!$C:$C,Q$2)</f>
        <v>0</v>
      </c>
      <c r="U138" s="1023"/>
      <c r="V138" s="1023"/>
      <c r="W138" s="1023"/>
      <c r="Y138" t="s">
        <v>716</v>
      </c>
      <c r="Z138" t="s">
        <v>82</v>
      </c>
      <c r="AA138">
        <v>10</v>
      </c>
      <c r="AB138" s="1023">
        <f>SUMIFS('01工程产值对比表'!$M:$M,'01工程产值对比表'!$D:$D,Y138,'01工程产值对比表'!$C:$C,Y$2)</f>
        <v>19837</v>
      </c>
    </row>
    <row r="139" ht="28.5" spans="1:28">
      <c r="A139" s="873" t="s">
        <v>717</v>
      </c>
      <c r="B139" s="681" t="s">
        <v>211</v>
      </c>
      <c r="D139" s="1023">
        <f>SUMIFS('01工程产值对比表'!$M:$M,'01工程产值对比表'!$D:$D,A139,'01工程产值对比表'!$C:$C,A$2)</f>
        <v>0</v>
      </c>
      <c r="F139" s="1024"/>
      <c r="H139" s="1023"/>
      <c r="I139" s="1035" t="s">
        <v>718</v>
      </c>
      <c r="J139" s="1031" t="s">
        <v>72</v>
      </c>
      <c r="K139" s="1036"/>
      <c r="L139" s="1032">
        <f>SUMIFS('01工程产值对比表'!$M:$M,'01工程产值对比表'!$D:$D,I139,'01工程产值对比表'!$C:$C,I$2)</f>
        <v>0</v>
      </c>
      <c r="M139" s="1033"/>
      <c r="N139" s="1033"/>
      <c r="O139" s="1033"/>
      <c r="Q139" t="s">
        <v>618</v>
      </c>
      <c r="R139" s="681" t="s">
        <v>69</v>
      </c>
      <c r="S139">
        <v>280</v>
      </c>
      <c r="T139" s="1023">
        <f>SUMIFS('01工程产值对比表'!$M:$M,'01工程产值对比表'!$D:$D,Q139,'01工程产值对比表'!$C:$C,Q$2)</f>
        <v>0</v>
      </c>
      <c r="U139" s="1023"/>
      <c r="V139" s="1023"/>
      <c r="W139" s="1023"/>
      <c r="Y139" t="s">
        <v>719</v>
      </c>
      <c r="Z139" t="s">
        <v>195</v>
      </c>
      <c r="AA139">
        <v>555504.55</v>
      </c>
      <c r="AB139" s="1023">
        <f>SUMIFS('01工程产值对比表'!$M:$M,'01工程产值对比表'!$D:$D,Y139,'01工程产值对比表'!$C:$C,Y$2)</f>
        <v>1</v>
      </c>
    </row>
    <row r="140" ht="28.5" spans="1:28">
      <c r="A140" s="873" t="s">
        <v>720</v>
      </c>
      <c r="B140" s="681" t="s">
        <v>205</v>
      </c>
      <c r="D140" s="1023">
        <f>SUMIFS('01工程产值对比表'!$M:$M,'01工程产值对比表'!$D:$D,A140,'01工程产值对比表'!$C:$C,A$2)</f>
        <v>0</v>
      </c>
      <c r="F140" s="1024"/>
      <c r="H140" s="1023"/>
      <c r="I140" s="1035" t="s">
        <v>721</v>
      </c>
      <c r="J140" s="1031" t="s">
        <v>72</v>
      </c>
      <c r="K140" s="1036"/>
      <c r="L140" s="1032">
        <f>SUMIFS('01工程产值对比表'!$M:$M,'01工程产值对比表'!$D:$D,I140,'01工程产值对比表'!$C:$C,I$2)</f>
        <v>1452</v>
      </c>
      <c r="M140" s="1033"/>
      <c r="N140" s="1033"/>
      <c r="O140" s="1033"/>
      <c r="Q140" t="s">
        <v>722</v>
      </c>
      <c r="R140" s="681" t="s">
        <v>69</v>
      </c>
      <c r="S140">
        <v>10</v>
      </c>
      <c r="T140" s="1023">
        <f>SUMIFS('01工程产值对比表'!$M:$M,'01工程产值对比表'!$D:$D,Q140,'01工程产值对比表'!$C:$C,Q$2)</f>
        <v>0</v>
      </c>
      <c r="U140" s="1023"/>
      <c r="V140" s="1023"/>
      <c r="W140" s="1023"/>
      <c r="Y140" t="s">
        <v>723</v>
      </c>
      <c r="Z140" t="s">
        <v>195</v>
      </c>
      <c r="AA140">
        <v>46662.3</v>
      </c>
      <c r="AB140" s="1023">
        <f>SUMIFS('01工程产值对比表'!$M:$M,'01工程产值对比表'!$D:$D,Y140,'01工程产值对比表'!$C:$C,Y$2)</f>
        <v>1</v>
      </c>
    </row>
    <row r="141" spans="1:28">
      <c r="A141" s="873" t="s">
        <v>724</v>
      </c>
      <c r="B141" s="681" t="s">
        <v>76</v>
      </c>
      <c r="D141" s="1023">
        <f>SUMIFS('01工程产值对比表'!$M:$M,'01工程产值对比表'!$D:$D,A141,'01工程产值对比表'!$C:$C,A$2)</f>
        <v>0</v>
      </c>
      <c r="F141" s="1024"/>
      <c r="H141" s="1023"/>
      <c r="I141" s="1035" t="s">
        <v>725</v>
      </c>
      <c r="J141" s="1031" t="s">
        <v>72</v>
      </c>
      <c r="K141" s="1036">
        <v>35</v>
      </c>
      <c r="L141" s="1032">
        <f>SUMIFS('01工程产值对比表'!$M:$M,'01工程产值对比表'!$D:$D,I141,'01工程产值对比表'!$C:$C,I$2)</f>
        <v>0</v>
      </c>
      <c r="M141" s="1033"/>
      <c r="N141" s="1033"/>
      <c r="O141" s="1033"/>
      <c r="Q141" t="s">
        <v>726</v>
      </c>
      <c r="R141" s="681" t="s">
        <v>69</v>
      </c>
      <c r="S141">
        <v>55</v>
      </c>
      <c r="T141" s="1023">
        <f>SUMIFS('01工程产值对比表'!$M:$M,'01工程产值对比表'!$D:$D,Q141,'01工程产值对比表'!$C:$C,Q$2)</f>
        <v>0</v>
      </c>
      <c r="U141" s="1023"/>
      <c r="V141" s="1023"/>
      <c r="W141" s="1023"/>
      <c r="Y141" t="s">
        <v>727</v>
      </c>
      <c r="Z141" t="s">
        <v>195</v>
      </c>
      <c r="AA141">
        <v>4061.86</v>
      </c>
      <c r="AB141" s="1023">
        <f>SUMIFS('01工程产值对比表'!$M:$M,'01工程产值对比表'!$D:$D,Y141,'01工程产值对比表'!$C:$C,Y$2)</f>
        <v>1</v>
      </c>
    </row>
    <row r="142" spans="1:28">
      <c r="A142" t="s">
        <v>728</v>
      </c>
      <c r="B142" s="681" t="s">
        <v>211</v>
      </c>
      <c r="D142" s="1023">
        <f>SUMIFS('01工程产值对比表'!$M:$M,'01工程产值对比表'!$D:$D,A142,'01工程产值对比表'!$C:$C,A$2)</f>
        <v>0</v>
      </c>
      <c r="F142" s="1024"/>
      <c r="H142" s="1023"/>
      <c r="I142" s="1035" t="s">
        <v>729</v>
      </c>
      <c r="J142" s="1031" t="s">
        <v>72</v>
      </c>
      <c r="K142" s="1036">
        <v>5</v>
      </c>
      <c r="L142" s="1032">
        <f>SUMIFS('01工程产值对比表'!$M:$M,'01工程产值对比表'!$D:$D,I142,'01工程产值对比表'!$C:$C,I$2)</f>
        <v>33713.76</v>
      </c>
      <c r="M142" s="1033"/>
      <c r="N142" s="1033"/>
      <c r="O142" s="1033"/>
      <c r="Q142" t="s">
        <v>730</v>
      </c>
      <c r="R142" s="681" t="s">
        <v>69</v>
      </c>
      <c r="S142">
        <v>55</v>
      </c>
      <c r="T142" s="1023">
        <f>SUMIFS('01工程产值对比表'!$M:$M,'01工程产值对比表'!$D:$D,Q142,'01工程产值对比表'!$C:$C,Q$2)</f>
        <v>0</v>
      </c>
      <c r="U142" s="1023"/>
      <c r="V142" s="1023"/>
      <c r="W142" s="1023"/>
      <c r="Y142" t="s">
        <v>731</v>
      </c>
      <c r="Z142" t="s">
        <v>82</v>
      </c>
      <c r="AA142">
        <v>8800</v>
      </c>
      <c r="AB142" s="1023">
        <f>SUMIFS('01工程产值对比表'!$M:$M,'01工程产值对比表'!$D:$D,Y142,'01工程产值对比表'!$C:$C,Y$2)</f>
        <v>3506.35</v>
      </c>
    </row>
    <row r="143" ht="28.5" spans="1:28">
      <c r="A143" s="873" t="s">
        <v>732</v>
      </c>
      <c r="B143" s="681" t="s">
        <v>205</v>
      </c>
      <c r="D143" s="1023">
        <f>SUMIFS('01工程产值对比表'!$M:$M,'01工程产值对比表'!$D:$D,A143,'01工程产值对比表'!$C:$C,A$2)</f>
        <v>0</v>
      </c>
      <c r="F143" s="1024"/>
      <c r="H143" s="1023"/>
      <c r="I143" s="1035" t="s">
        <v>733</v>
      </c>
      <c r="J143" s="1031" t="s">
        <v>734</v>
      </c>
      <c r="K143" s="1036">
        <v>3.6</v>
      </c>
      <c r="L143" s="1032">
        <f>SUMIFS('01工程产值对比表'!$M:$M,'01工程产值对比表'!$D:$D,I143,'01工程产值对比表'!$C:$C,I$2)</f>
        <v>0</v>
      </c>
      <c r="M143" s="1033"/>
      <c r="N143" s="1033"/>
      <c r="O143" s="1033"/>
      <c r="Q143" t="s">
        <v>735</v>
      </c>
      <c r="R143" s="681" t="s">
        <v>69</v>
      </c>
      <c r="S143">
        <v>32.8</v>
      </c>
      <c r="T143" s="1023">
        <f>SUMIFS('01工程产值对比表'!$M:$M,'01工程产值对比表'!$D:$D,Q143,'01工程产值对比表'!$C:$C,Q$2)</f>
        <v>1001.5392</v>
      </c>
      <c r="U143" s="1023"/>
      <c r="V143" s="1023"/>
      <c r="W143" s="1023"/>
      <c r="Y143" t="s">
        <v>736</v>
      </c>
      <c r="Z143" t="s">
        <v>82</v>
      </c>
      <c r="AA143">
        <v>70000</v>
      </c>
      <c r="AB143" s="1023">
        <f>SUMIFS('01工程产值对比表'!$M:$M,'01工程产值对比表'!$D:$D,Y143,'01工程产值对比表'!$C:$C,Y$2)</f>
        <v>8.864</v>
      </c>
    </row>
    <row r="144" ht="28.5" spans="1:28">
      <c r="A144" s="873" t="s">
        <v>737</v>
      </c>
      <c r="B144" s="681" t="s">
        <v>738</v>
      </c>
      <c r="D144" s="1023">
        <f>SUMIFS('01工程产值对比表'!$M:$M,'01工程产值对比表'!$D:$D,A144,'01工程产值对比表'!$C:$C,A$2)</f>
        <v>0</v>
      </c>
      <c r="F144" s="1024"/>
      <c r="H144" s="1023"/>
      <c r="I144" s="1055" t="s">
        <v>739</v>
      </c>
      <c r="J144" s="1031" t="s">
        <v>734</v>
      </c>
      <c r="K144" s="1036">
        <v>3.32</v>
      </c>
      <c r="L144" s="1032">
        <f>SUMIFS('01工程产值对比表'!$M:$M,'01工程产值对比表'!$D:$D,I144,'01工程产值对比表'!$C:$C,I$2)</f>
        <v>0</v>
      </c>
      <c r="M144" s="1033"/>
      <c r="N144" s="1033"/>
      <c r="O144" s="1033"/>
      <c r="Q144" t="s">
        <v>740</v>
      </c>
      <c r="R144" s="681" t="s">
        <v>69</v>
      </c>
      <c r="S144">
        <v>65</v>
      </c>
      <c r="T144" s="1023">
        <f>SUMIFS('01工程产值对比表'!$M:$M,'01工程产值对比表'!$D:$D,Q144,'01工程产值对比表'!$C:$C,Q$2)</f>
        <v>0</v>
      </c>
      <c r="U144" s="1023"/>
      <c r="V144" s="1023"/>
      <c r="W144" s="1023"/>
      <c r="Y144" t="s">
        <v>741</v>
      </c>
      <c r="Z144" t="s">
        <v>82</v>
      </c>
      <c r="AA144">
        <v>8800</v>
      </c>
      <c r="AB144" s="1023">
        <f>SUMIFS('01工程产值对比表'!$M:$M,'01工程产值对比表'!$D:$D,Y144,'01工程产值对比表'!$C:$C,Y$2)</f>
        <v>35.076</v>
      </c>
    </row>
    <row r="145" spans="1:28">
      <c r="A145" t="s">
        <v>742</v>
      </c>
      <c r="B145" s="681" t="s">
        <v>185</v>
      </c>
      <c r="D145" s="1023">
        <f>SUMIFS('01工程产值对比表'!$M:$M,'01工程产值对比表'!$D:$D,A145,'01工程产值对比表'!$C:$C,A$2)</f>
        <v>0</v>
      </c>
      <c r="F145" s="1024"/>
      <c r="H145" s="1023"/>
      <c r="I145" s="1035" t="s">
        <v>743</v>
      </c>
      <c r="J145" s="1031" t="s">
        <v>734</v>
      </c>
      <c r="K145" s="1036">
        <v>3.32</v>
      </c>
      <c r="L145" s="1032">
        <f>SUMIFS('01工程产值对比表'!$M:$M,'01工程产值对比表'!$D:$D,I145,'01工程产值对比表'!$C:$C,I$2)</f>
        <v>0</v>
      </c>
      <c r="M145" s="1033"/>
      <c r="N145" s="1033"/>
      <c r="O145" s="1033"/>
      <c r="Q145" t="s">
        <v>744</v>
      </c>
      <c r="R145" s="681" t="s">
        <v>69</v>
      </c>
      <c r="S145">
        <v>2</v>
      </c>
      <c r="T145" s="1023">
        <f>SUMIFS('01工程产值对比表'!$M:$M,'01工程产值对比表'!$D:$D,Q145,'01工程产值对比表'!$C:$C,Q$2)</f>
        <v>5220</v>
      </c>
      <c r="U145" s="1023"/>
      <c r="V145" s="1023"/>
      <c r="W145" s="1023"/>
      <c r="Y145" t="s">
        <v>745</v>
      </c>
      <c r="Z145" t="s">
        <v>82</v>
      </c>
      <c r="AA145">
        <v>8000</v>
      </c>
      <c r="AB145" s="1023">
        <f>SUMIFS('01工程产值对比表'!$M:$M,'01工程产值对比表'!$D:$D,Y145,'01工程产值对比表'!$C:$C,Y$2)</f>
        <v>2126.678</v>
      </c>
    </row>
    <row r="146" spans="1:28">
      <c r="A146" t="s">
        <v>746</v>
      </c>
      <c r="B146" s="681" t="s">
        <v>72</v>
      </c>
      <c r="D146" s="1023">
        <f>SUMIFS('01工程产值对比表'!$M:$M,'01工程产值对比表'!$D:$D,A146,'01工程产值对比表'!$C:$C,A$2)</f>
        <v>0</v>
      </c>
      <c r="F146" s="1024"/>
      <c r="H146" s="1023"/>
      <c r="I146" s="1035" t="s">
        <v>747</v>
      </c>
      <c r="J146" s="1031" t="s">
        <v>734</v>
      </c>
      <c r="K146" s="1036">
        <v>3.64</v>
      </c>
      <c r="L146" s="1032">
        <f>SUMIFS('01工程产值对比表'!$M:$M,'01工程产值对比表'!$D:$D,I146,'01工程产值对比表'!$C:$C,I$2)</f>
        <v>0</v>
      </c>
      <c r="M146" s="1033"/>
      <c r="N146" s="1033"/>
      <c r="O146" s="1033"/>
      <c r="Q146" t="s">
        <v>748</v>
      </c>
      <c r="R146" s="681" t="s">
        <v>69</v>
      </c>
      <c r="S146">
        <v>120</v>
      </c>
      <c r="T146" s="1023">
        <f>SUMIFS('01工程产值对比表'!$M:$M,'01工程产值对比表'!$D:$D,Q146,'01工程产值对比表'!$C:$C,Q$2)</f>
        <v>0</v>
      </c>
      <c r="U146" s="1023"/>
      <c r="V146" s="1023"/>
      <c r="W146" s="1023"/>
      <c r="Y146" t="s">
        <v>749</v>
      </c>
      <c r="Z146" t="s">
        <v>82</v>
      </c>
      <c r="AA146">
        <v>8800</v>
      </c>
      <c r="AB146" s="1023">
        <f>SUMIFS('01工程产值对比表'!$M:$M,'01工程产值对比表'!$D:$D,Y146,'01工程产值对比表'!$C:$C,Y$2)</f>
        <v>16.189</v>
      </c>
    </row>
    <row r="147" spans="1:28">
      <c r="A147" t="s">
        <v>750</v>
      </c>
      <c r="B147" s="681" t="s">
        <v>211</v>
      </c>
      <c r="D147" s="1023">
        <f>SUMIFS('01工程产值对比表'!$M:$M,'01工程产值对比表'!$D:$D,A147,'01工程产值对比表'!$C:$C,A$2)</f>
        <v>0</v>
      </c>
      <c r="F147" s="1024"/>
      <c r="H147" s="1023"/>
      <c r="I147" s="1035" t="s">
        <v>751</v>
      </c>
      <c r="J147" s="1031" t="s">
        <v>734</v>
      </c>
      <c r="K147" s="1036">
        <v>2.25</v>
      </c>
      <c r="L147" s="1032">
        <f>SUMIFS('01工程产值对比表'!$M:$M,'01工程产值对比表'!$D:$D,I147,'01工程产值对比表'!$C:$C,I$2)</f>
        <v>0</v>
      </c>
      <c r="M147" s="1033"/>
      <c r="N147" s="1033"/>
      <c r="O147" s="1033"/>
      <c r="Q147" t="s">
        <v>752</v>
      </c>
      <c r="R147" s="681" t="s">
        <v>72</v>
      </c>
      <c r="S147">
        <v>30</v>
      </c>
      <c r="T147" s="1023">
        <f>SUMIFS('01工程产值对比表'!$M:$M,'01工程产值对比表'!$D:$D,Q147,'01工程产值对比表'!$C:$C,Q$2)</f>
        <v>13418.8625</v>
      </c>
      <c r="U147" s="1023"/>
      <c r="V147" s="1023"/>
      <c r="W147" s="1023"/>
      <c r="Y147" t="s">
        <v>753</v>
      </c>
      <c r="Z147" t="s">
        <v>82</v>
      </c>
      <c r="AA147">
        <v>8800</v>
      </c>
      <c r="AB147" s="1023">
        <f>SUMIFS('01工程产值对比表'!$M:$M,'01工程产值对比表'!$D:$D,Y147,'01工程产值对比表'!$C:$C,Y$2)</f>
        <v>68.239</v>
      </c>
    </row>
    <row r="148" spans="1:28">
      <c r="A148" t="s">
        <v>754</v>
      </c>
      <c r="B148" s="681" t="s">
        <v>82</v>
      </c>
      <c r="D148" s="1023">
        <f>SUMIFS('01工程产值对比表'!$M:$M,'01工程产值对比表'!$D:$D,A148,'01工程产值对比表'!$C:$C,A$2)</f>
        <v>21.83</v>
      </c>
      <c r="F148" s="1024"/>
      <c r="H148" s="1023"/>
      <c r="I148" s="1035" t="s">
        <v>755</v>
      </c>
      <c r="J148" s="1031" t="s">
        <v>734</v>
      </c>
      <c r="K148" s="1036">
        <v>2</v>
      </c>
      <c r="L148" s="1032">
        <f>SUMIFS('01工程产值对比表'!$M:$M,'01工程产值对比表'!$D:$D,I148,'01工程产值对比表'!$C:$C,I$2)</f>
        <v>0</v>
      </c>
      <c r="M148" s="1033"/>
      <c r="N148" s="1033"/>
      <c r="O148" s="1033"/>
      <c r="Q148" t="s">
        <v>756</v>
      </c>
      <c r="R148" s="681" t="s">
        <v>69</v>
      </c>
      <c r="S148">
        <v>35</v>
      </c>
      <c r="T148" s="1023">
        <f>SUMIFS('01工程产值对比表'!$M:$M,'01工程产值对比表'!$D:$D,Q148,'01工程产值对比表'!$C:$C,Q$2)</f>
        <v>0</v>
      </c>
      <c r="U148" s="1023"/>
      <c r="V148" s="1023"/>
      <c r="W148" s="1023"/>
      <c r="Y148" t="s">
        <v>757</v>
      </c>
      <c r="Z148" t="s">
        <v>82</v>
      </c>
      <c r="AA148">
        <v>8800</v>
      </c>
      <c r="AB148" s="1023">
        <f>SUMIFS('01工程产值对比表'!$M:$M,'01工程产值对比表'!$D:$D,Y148,'01工程产值对比表'!$C:$C,Y$2)</f>
        <v>81.397</v>
      </c>
    </row>
    <row r="149" spans="1:28">
      <c r="A149" t="s">
        <v>758</v>
      </c>
      <c r="B149" s="681" t="s">
        <v>211</v>
      </c>
      <c r="D149" s="1023">
        <f>SUMIFS('01工程产值对比表'!$M:$M,'01工程产值对比表'!$D:$D,A149,'01工程产值对比表'!$C:$C,A$2)</f>
        <v>0</v>
      </c>
      <c r="F149" s="1024"/>
      <c r="H149" s="1023"/>
      <c r="I149" s="1035" t="s">
        <v>759</v>
      </c>
      <c r="J149" s="1031" t="s">
        <v>734</v>
      </c>
      <c r="K149" s="1036">
        <v>2.5</v>
      </c>
      <c r="L149" s="1032">
        <f>SUMIFS('01工程产值对比表'!$M:$M,'01工程产值对比表'!$D:$D,I149,'01工程产值对比表'!$C:$C,I$2)</f>
        <v>0</v>
      </c>
      <c r="M149" s="1033"/>
      <c r="N149" s="1033"/>
      <c r="O149" s="1033"/>
      <c r="Q149" t="s">
        <v>760</v>
      </c>
      <c r="R149" s="681" t="s">
        <v>76</v>
      </c>
      <c r="S149">
        <v>400</v>
      </c>
      <c r="T149" s="1023">
        <f>SUMIFS('01工程产值对比表'!$M:$M,'01工程产值对比表'!$D:$D,Q149,'01工程产值对比表'!$C:$C,Q$2)</f>
        <v>0</v>
      </c>
      <c r="U149" s="1023"/>
      <c r="V149" s="1023"/>
      <c r="W149" s="1023"/>
      <c r="Y149" t="s">
        <v>761</v>
      </c>
      <c r="Z149" t="s">
        <v>82</v>
      </c>
      <c r="AA149">
        <v>8800</v>
      </c>
      <c r="AB149" s="1023">
        <f>SUMIFS('01工程产值对比表'!$M:$M,'01工程产值对比表'!$D:$D,Y149,'01工程产值对比表'!$C:$C,Y$2)</f>
        <v>22.78</v>
      </c>
    </row>
    <row r="150" spans="1:28">
      <c r="A150" s="873" t="s">
        <v>762</v>
      </c>
      <c r="B150" s="681" t="s">
        <v>76</v>
      </c>
      <c r="D150" s="1023">
        <f>SUMIFS('01工程产值对比表'!$M:$M,'01工程产值对比表'!$D:$D,A150,'01工程产值对比表'!$C:$C,A$2)</f>
        <v>0</v>
      </c>
      <c r="F150" s="1024"/>
      <c r="H150" s="1023"/>
      <c r="I150" s="1035" t="s">
        <v>763</v>
      </c>
      <c r="J150" s="1031" t="s">
        <v>734</v>
      </c>
      <c r="K150" s="1036">
        <v>1</v>
      </c>
      <c r="L150" s="1032">
        <f>SUMIFS('01工程产值对比表'!$M:$M,'01工程产值对比表'!$D:$D,I150,'01工程产值对比表'!$C:$C,I$2)</f>
        <v>0</v>
      </c>
      <c r="M150" s="1033"/>
      <c r="N150" s="1033"/>
      <c r="O150" s="1033"/>
      <c r="Q150" t="s">
        <v>764</v>
      </c>
      <c r="R150" s="681" t="s">
        <v>76</v>
      </c>
      <c r="S150">
        <v>3.5</v>
      </c>
      <c r="T150" s="1023">
        <f>SUMIFS('01工程产值对比表'!$M:$M,'01工程产值对比表'!$D:$D,Q150,'01工程产值对比表'!$C:$C,Q$2)</f>
        <v>0</v>
      </c>
      <c r="U150" s="1023"/>
      <c r="V150" s="1023"/>
      <c r="W150" s="1023"/>
      <c r="Y150" t="s">
        <v>765</v>
      </c>
      <c r="Z150" t="s">
        <v>82</v>
      </c>
      <c r="AA150">
        <v>8800</v>
      </c>
      <c r="AB150" s="1023">
        <f>SUMIFS('01工程产值对比表'!$M:$M,'01工程产值对比表'!$D:$D,Y150,'01工程产值对比表'!$C:$C,Y$2)</f>
        <v>234.797</v>
      </c>
    </row>
    <row r="151" spans="1:28">
      <c r="A151" t="s">
        <v>766</v>
      </c>
      <c r="B151" s="681" t="s">
        <v>688</v>
      </c>
      <c r="D151" s="1023">
        <f>SUMIFS('01工程产值对比表'!$M:$M,'01工程产值对比表'!$D:$D,A151,'01工程产值对比表'!$C:$C,A$2)</f>
        <v>0</v>
      </c>
      <c r="F151" s="1024"/>
      <c r="H151" s="1023"/>
      <c r="I151" s="1035" t="s">
        <v>767</v>
      </c>
      <c r="J151" s="1031" t="s">
        <v>734</v>
      </c>
      <c r="K151" s="1036"/>
      <c r="L151" s="1032">
        <f>SUMIFS('01工程产值对比表'!$M:$M,'01工程产值对比表'!$D:$D,I151,'01工程产值对比表'!$C:$C,I$2)</f>
        <v>0</v>
      </c>
      <c r="M151" s="1033"/>
      <c r="N151" s="1033"/>
      <c r="O151" s="1033"/>
      <c r="Q151" t="s">
        <v>768</v>
      </c>
      <c r="R151" s="681" t="s">
        <v>69</v>
      </c>
      <c r="S151">
        <v>25</v>
      </c>
      <c r="T151" s="1023">
        <f>SUMIFS('01工程产值对比表'!$M:$M,'01工程产值对比表'!$D:$D,Q151,'01工程产值对比表'!$C:$C,Q$2)</f>
        <v>0</v>
      </c>
      <c r="U151" s="1023"/>
      <c r="V151" s="1023"/>
      <c r="W151" s="1023"/>
      <c r="Y151" t="s">
        <v>769</v>
      </c>
      <c r="Z151" t="s">
        <v>76</v>
      </c>
      <c r="AA151">
        <v>500</v>
      </c>
      <c r="AB151" s="1023">
        <f>SUMIFS('01工程产值对比表'!$M:$M,'01工程产值对比表'!$D:$D,Y151,'01工程产值对比表'!$C:$C,Y$2)</f>
        <v>216</v>
      </c>
    </row>
    <row r="152" spans="1:28">
      <c r="A152" t="s">
        <v>770</v>
      </c>
      <c r="B152" s="681" t="s">
        <v>771</v>
      </c>
      <c r="D152" s="1023">
        <f>SUMIFS('01工程产值对比表'!$M:$M,'01工程产值对比表'!$D:$D,A152,'01工程产值对比表'!$C:$C,A$2)</f>
        <v>0</v>
      </c>
      <c r="F152" s="1024"/>
      <c r="H152" s="1023"/>
      <c r="I152" s="1035" t="s">
        <v>772</v>
      </c>
      <c r="J152" s="1031" t="s">
        <v>734</v>
      </c>
      <c r="K152" s="1036"/>
      <c r="L152" s="1032">
        <f>SUMIFS('01工程产值对比表'!$M:$M,'01工程产值对比表'!$D:$D,I152,'01工程产值对比表'!$C:$C,I$2)</f>
        <v>0</v>
      </c>
      <c r="M152" s="1033"/>
      <c r="N152" s="1033"/>
      <c r="O152" s="1033"/>
      <c r="Q152" t="s">
        <v>773</v>
      </c>
      <c r="R152" s="681" t="s">
        <v>69</v>
      </c>
      <c r="S152">
        <v>280</v>
      </c>
      <c r="T152" s="1023">
        <f>SUMIFS('01工程产值对比表'!$M:$M,'01工程产值对比表'!$D:$D,Q152,'01工程产值对比表'!$C:$C,Q$2)</f>
        <v>0</v>
      </c>
      <c r="U152" s="1023"/>
      <c r="V152" s="1023"/>
      <c r="W152" s="1023"/>
      <c r="Y152" t="s">
        <v>774</v>
      </c>
      <c r="Z152" t="s">
        <v>82</v>
      </c>
      <c r="AA152">
        <v>8800</v>
      </c>
      <c r="AB152" s="1023">
        <f>SUMIFS('01工程产值对比表'!$M:$M,'01工程产值对比表'!$D:$D,Y152,'01工程产值对比表'!$C:$C,Y$2)</f>
        <v>24.085</v>
      </c>
    </row>
    <row r="153" spans="1:28">
      <c r="A153" t="s">
        <v>775</v>
      </c>
      <c r="B153" s="681" t="s">
        <v>205</v>
      </c>
      <c r="D153" s="1023">
        <f>SUMIFS('01工程产值对比表'!$M:$M,'01工程产值对比表'!$D:$D,A153,'01工程产值对比表'!$C:$C,A$2)</f>
        <v>0</v>
      </c>
      <c r="F153" s="1024"/>
      <c r="H153" s="1023"/>
      <c r="I153" s="1035" t="s">
        <v>776</v>
      </c>
      <c r="J153" s="1031" t="s">
        <v>734</v>
      </c>
      <c r="K153" s="1036">
        <v>4.2</v>
      </c>
      <c r="L153" s="1032">
        <f>SUMIFS('01工程产值对比表'!$M:$M,'01工程产值对比表'!$D:$D,I153,'01工程产值对比表'!$C:$C,I$2)</f>
        <v>0</v>
      </c>
      <c r="M153" s="1033"/>
      <c r="N153" s="1033"/>
      <c r="O153" s="1033"/>
      <c r="Q153" t="s">
        <v>777</v>
      </c>
      <c r="R153" s="681" t="s">
        <v>69</v>
      </c>
      <c r="T153" s="1023">
        <f>SUMIFS('01工程产值对比表'!$M:$M,'01工程产值对比表'!$D:$D,Q153,'01工程产值对比表'!$C:$C,Q$2)</f>
        <v>0</v>
      </c>
      <c r="U153" s="1023"/>
      <c r="V153" s="1023"/>
      <c r="W153" s="1023"/>
      <c r="Y153" t="s">
        <v>778</v>
      </c>
      <c r="Z153" t="s">
        <v>82</v>
      </c>
      <c r="AA153">
        <v>8800</v>
      </c>
      <c r="AB153" s="1023">
        <f>SUMIFS('01工程产值对比表'!$M:$M,'01工程产值对比表'!$D:$D,Y153,'01工程产值对比表'!$C:$C,Y$2)</f>
        <v>62.92</v>
      </c>
    </row>
    <row r="154" spans="1:28">
      <c r="A154" s="873" t="s">
        <v>779</v>
      </c>
      <c r="B154" s="681" t="s">
        <v>780</v>
      </c>
      <c r="D154" s="1023">
        <f>SUMIFS('01工程产值对比表'!$M:$M,'01工程产值对比表'!$D:$D,A154,'01工程产值对比表'!$C:$C,A$2)</f>
        <v>30.011222</v>
      </c>
      <c r="F154" s="1024"/>
      <c r="H154" s="1023"/>
      <c r="I154" s="1035" t="s">
        <v>781</v>
      </c>
      <c r="J154" s="1031" t="s">
        <v>734</v>
      </c>
      <c r="K154" s="1036">
        <v>10</v>
      </c>
      <c r="L154" s="1032">
        <f>SUMIFS('01工程产值对比表'!$M:$M,'01工程产值对比表'!$D:$D,I154,'01工程产值对比表'!$C:$C,I$2)</f>
        <v>0</v>
      </c>
      <c r="M154" s="1033"/>
      <c r="N154" s="1033"/>
      <c r="O154" s="1033"/>
      <c r="Q154" t="s">
        <v>782</v>
      </c>
      <c r="R154" s="681" t="s">
        <v>72</v>
      </c>
      <c r="S154">
        <v>1</v>
      </c>
      <c r="T154" s="1023">
        <f>SUMIFS('01工程产值对比表'!$M:$M,'01工程产值对比表'!$D:$D,Q154,'01工程产值对比表'!$C:$C,Q$2)</f>
        <v>0</v>
      </c>
      <c r="U154" s="1023"/>
      <c r="V154" s="1023"/>
      <c r="W154" s="1023"/>
      <c r="Y154" t="s">
        <v>783</v>
      </c>
      <c r="Z154" t="s">
        <v>76</v>
      </c>
      <c r="AA154">
        <v>706.194690265487</v>
      </c>
      <c r="AB154" s="1023">
        <f>SUMIFS('01工程产值对比表'!$M:$M,'01工程产值对比表'!$D:$D,Y154,'01工程产值对比表'!$C:$C,Y$2)</f>
        <v>230</v>
      </c>
    </row>
    <row r="155" spans="1:28">
      <c r="A155" t="s">
        <v>784</v>
      </c>
      <c r="B155" s="681" t="s">
        <v>688</v>
      </c>
      <c r="C155">
        <v>400</v>
      </c>
      <c r="D155" s="1023">
        <f>SUMIFS('01工程产值对比表'!$M:$M,'01工程产值对比表'!$D:$D,A155,'01工程产值对比表'!$C:$C,A$2)</f>
        <v>4405.04275</v>
      </c>
      <c r="F155" s="1024"/>
      <c r="H155" s="1023"/>
      <c r="I155" s="1035" t="s">
        <v>785</v>
      </c>
      <c r="J155" s="1031" t="s">
        <v>734</v>
      </c>
      <c r="K155" s="1036"/>
      <c r="L155" s="1032">
        <f>SUMIFS('01工程产值对比表'!$M:$M,'01工程产值对比表'!$D:$D,I155,'01工程产值对比表'!$C:$C,I$2)</f>
        <v>0</v>
      </c>
      <c r="M155" s="1033"/>
      <c r="N155" s="1033"/>
      <c r="O155" s="1033"/>
      <c r="Q155" t="s">
        <v>786</v>
      </c>
      <c r="R155" s="681" t="s">
        <v>69</v>
      </c>
      <c r="S155">
        <v>2</v>
      </c>
      <c r="T155" s="1023">
        <f>SUMIFS('01工程产值对比表'!$M:$M,'01工程产值对比表'!$D:$D,Q155,'01工程产值对比表'!$C:$C,Q$2)</f>
        <v>0</v>
      </c>
      <c r="U155" s="1023"/>
      <c r="V155" s="1023"/>
      <c r="W155" s="1023"/>
      <c r="Y155" t="s">
        <v>787</v>
      </c>
      <c r="Z155" t="s">
        <v>69</v>
      </c>
      <c r="AA155">
        <v>70</v>
      </c>
      <c r="AB155" s="1023">
        <f>SUMIFS('01工程产值对比表'!$M:$M,'01工程产值对比表'!$D:$D,Y155,'01工程产值对比表'!$C:$C,Y$2)</f>
        <v>2221.3</v>
      </c>
    </row>
    <row r="156" spans="1:28">
      <c r="A156" s="873" t="s">
        <v>788</v>
      </c>
      <c r="B156" s="681" t="s">
        <v>82</v>
      </c>
      <c r="C156">
        <v>4000</v>
      </c>
      <c r="D156" s="1023">
        <f>SUMIFS('01工程产值对比表'!$M:$M,'01工程产值对比表'!$D:$D,A156,'01工程产值对比表'!$C:$C,A$2)</f>
        <v>588.50074</v>
      </c>
      <c r="F156" s="1024"/>
      <c r="H156" s="1023"/>
      <c r="I156" s="1035" t="s">
        <v>789</v>
      </c>
      <c r="J156" s="1031" t="s">
        <v>734</v>
      </c>
      <c r="K156" s="1036"/>
      <c r="L156" s="1032">
        <f>SUMIFS('01工程产值对比表'!$M:$M,'01工程产值对比表'!$D:$D,I156,'01工程产值对比表'!$C:$C,I$2)</f>
        <v>0</v>
      </c>
      <c r="M156" s="1033"/>
      <c r="N156" s="1033"/>
      <c r="O156" s="1033"/>
      <c r="Q156" t="s">
        <v>790</v>
      </c>
      <c r="R156" s="681" t="s">
        <v>69</v>
      </c>
      <c r="S156">
        <v>9</v>
      </c>
      <c r="T156" s="1023">
        <f>SUMIFS('01工程产值对比表'!$M:$M,'01工程产值对比表'!$D:$D,Q156,'01工程产值对比表'!$C:$C,Q$2)</f>
        <v>0</v>
      </c>
      <c r="U156" s="1023"/>
      <c r="V156" s="1023"/>
      <c r="W156" s="1023"/>
      <c r="Y156" t="s">
        <v>791</v>
      </c>
      <c r="Z156" t="s">
        <v>82</v>
      </c>
      <c r="AA156">
        <v>100</v>
      </c>
      <c r="AB156" s="1023">
        <f>SUMIFS('01工程产值对比表'!$M:$M,'01工程产值对比表'!$D:$D,Y156,'01工程产值对比表'!$C:$C,Y$2)</f>
        <v>2263.56</v>
      </c>
    </row>
    <row r="157" spans="1:28">
      <c r="A157" t="s">
        <v>792</v>
      </c>
      <c r="B157" s="681" t="s">
        <v>688</v>
      </c>
      <c r="C157">
        <v>450</v>
      </c>
      <c r="D157" s="1023">
        <f>SUMIFS('01工程产值对比表'!$M:$M,'01工程产值对比表'!$D:$D,A157,'01工程产值对比表'!$C:$C,A$2)</f>
        <v>6784.03415</v>
      </c>
      <c r="F157" s="1024"/>
      <c r="H157" s="1023"/>
      <c r="I157" s="1035" t="s">
        <v>793</v>
      </c>
      <c r="J157" s="1031" t="s">
        <v>734</v>
      </c>
      <c r="K157" s="1036">
        <v>15</v>
      </c>
      <c r="L157" s="1032">
        <f>SUMIFS('01工程产值对比表'!$M:$M,'01工程产值对比表'!$D:$D,I157,'01工程产值对比表'!$C:$C,I$2)</f>
        <v>0</v>
      </c>
      <c r="M157" s="1033"/>
      <c r="N157" s="1033"/>
      <c r="O157" s="1033"/>
      <c r="Q157" t="s">
        <v>794</v>
      </c>
      <c r="R157" s="681" t="s">
        <v>69</v>
      </c>
      <c r="S157">
        <v>0.5</v>
      </c>
      <c r="T157" s="1023">
        <f>SUMIFS('01工程产值对比表'!$M:$M,'01工程产值对比表'!$D:$D,Q157,'01工程产值对比表'!$C:$C,Q$2)</f>
        <v>0</v>
      </c>
      <c r="U157" s="1023"/>
      <c r="V157" s="1023"/>
      <c r="W157" s="1023"/>
      <c r="Y157" t="s">
        <v>795</v>
      </c>
      <c r="Z157" t="s">
        <v>82</v>
      </c>
      <c r="AA157">
        <v>8800</v>
      </c>
      <c r="AB157" s="1023">
        <f>SUMIFS('01工程产值对比表'!$M:$M,'01工程产值对比表'!$D:$D,Y157,'01工程产值对比表'!$C:$C,Y$2)</f>
        <v>160</v>
      </c>
    </row>
    <row r="158" spans="1:28">
      <c r="A158" t="s">
        <v>796</v>
      </c>
      <c r="B158" s="681" t="s">
        <v>688</v>
      </c>
      <c r="C158">
        <v>470</v>
      </c>
      <c r="D158" s="1023">
        <f>SUMIFS('01工程产值对比表'!$M:$M,'01工程产值对比表'!$D:$D,A158,'01工程产值对比表'!$C:$C,A$2)</f>
        <v>9757.63545</v>
      </c>
      <c r="F158" s="1024"/>
      <c r="H158" s="1023"/>
      <c r="I158" s="1035" t="s">
        <v>797</v>
      </c>
      <c r="J158" s="1031" t="s">
        <v>734</v>
      </c>
      <c r="K158" s="1036">
        <v>4.69</v>
      </c>
      <c r="L158" s="1032">
        <f>SUMIFS('01工程产值对比表'!$M:$M,'01工程产值对比表'!$D:$D,I158,'01工程产值对比表'!$C:$C,I$2)</f>
        <v>0</v>
      </c>
      <c r="M158" s="1033"/>
      <c r="N158" s="1033"/>
      <c r="O158" s="1033"/>
      <c r="Q158" t="s">
        <v>798</v>
      </c>
      <c r="R158" s="681" t="s">
        <v>82</v>
      </c>
      <c r="S158">
        <v>1.2</v>
      </c>
      <c r="T158" s="1023">
        <f>SUMIFS('01工程产值对比表'!$M:$M,'01工程产值对比表'!$D:$D,Q158,'01工程产值对比表'!$C:$C,Q$2)</f>
        <v>0</v>
      </c>
      <c r="U158" s="1023"/>
      <c r="V158" s="1023"/>
      <c r="W158" s="1023"/>
      <c r="Y158" t="s">
        <v>799</v>
      </c>
      <c r="Z158" t="s">
        <v>82</v>
      </c>
      <c r="AA158">
        <v>463.76</v>
      </c>
      <c r="AB158" s="1023">
        <f>SUMIFS('01工程产值对比表'!$M:$M,'01工程产值对比表'!$D:$D,Y158,'01工程产值对比表'!$C:$C,Y$2)</f>
        <v>3506.35</v>
      </c>
    </row>
    <row r="159" spans="1:28">
      <c r="A159" s="873" t="s">
        <v>800</v>
      </c>
      <c r="B159" s="681" t="s">
        <v>82</v>
      </c>
      <c r="C159">
        <v>7000</v>
      </c>
      <c r="D159" s="1023">
        <f>SUMIFS('01工程产值对比表'!$M:$M,'01工程产值对比表'!$D:$D,A159,'01工程产值对比表'!$C:$C,A$2)</f>
        <v>334.29518</v>
      </c>
      <c r="F159" s="1024"/>
      <c r="H159" s="1023"/>
      <c r="I159" s="1035" t="s">
        <v>801</v>
      </c>
      <c r="J159" s="1031" t="s">
        <v>72</v>
      </c>
      <c r="K159" s="1036">
        <v>5.91</v>
      </c>
      <c r="L159" s="1032">
        <f>SUMIFS('01工程产值对比表'!$M:$M,'01工程产值对比表'!$D:$D,I159,'01工程产值对比表'!$C:$C,I$2)</f>
        <v>98421.766</v>
      </c>
      <c r="M159" s="1033"/>
      <c r="N159" s="1033"/>
      <c r="O159" s="1033"/>
      <c r="Q159" t="s">
        <v>802</v>
      </c>
      <c r="R159" s="681" t="s">
        <v>72</v>
      </c>
      <c r="S159">
        <v>5</v>
      </c>
      <c r="T159" s="1023">
        <f>SUMIFS('01工程产值对比表'!$M:$M,'01工程产值对比表'!$D:$D,Q159,'01工程产值对比表'!$C:$C,Q$2)</f>
        <v>0</v>
      </c>
      <c r="U159" s="1023"/>
      <c r="V159" s="1023"/>
      <c r="W159" s="1023"/>
      <c r="Y159" t="s">
        <v>803</v>
      </c>
      <c r="Z159" t="s">
        <v>82</v>
      </c>
      <c r="AA159">
        <v>6000</v>
      </c>
      <c r="AB159" s="1023">
        <f>SUMIFS('01工程产值对比表'!$M:$M,'01工程产值对比表'!$D:$D,Y159,'01工程产值对比表'!$C:$C,Y$2)</f>
        <v>1.198</v>
      </c>
    </row>
    <row r="160" spans="1:28">
      <c r="A160" s="873" t="s">
        <v>804</v>
      </c>
      <c r="B160" s="681" t="s">
        <v>76</v>
      </c>
      <c r="C160">
        <v>20</v>
      </c>
      <c r="D160" s="1023">
        <f>SUMIFS('01工程产值对比表'!$M:$M,'01工程产值对比表'!$D:$D,A160,'01工程产值对比表'!$C:$C,A$2)</f>
        <v>8216.60064</v>
      </c>
      <c r="F160" s="1024"/>
      <c r="H160" s="1023"/>
      <c r="I160" s="1035" t="s">
        <v>805</v>
      </c>
      <c r="J160" s="1031" t="s">
        <v>72</v>
      </c>
      <c r="K160" s="1036">
        <v>9.05</v>
      </c>
      <c r="L160" s="1032">
        <f>SUMIFS('01工程产值对比表'!$M:$M,'01工程产值对比表'!$D:$D,I160,'01工程产值对比表'!$C:$C,I$2)</f>
        <v>0</v>
      </c>
      <c r="M160" s="1033"/>
      <c r="N160" s="1033"/>
      <c r="O160" s="1033"/>
      <c r="Q160" t="s">
        <v>806</v>
      </c>
      <c r="R160" s="681" t="s">
        <v>69</v>
      </c>
      <c r="S160">
        <v>10</v>
      </c>
      <c r="T160" s="1023">
        <f>SUMIFS('01工程产值对比表'!$M:$M,'01工程产值对比表'!$D:$D,Q160,'01工程产值对比表'!$C:$C,Q$2)</f>
        <v>0</v>
      </c>
      <c r="U160" s="1023"/>
      <c r="V160" s="1023"/>
      <c r="W160" s="1023"/>
      <c r="Y160" t="s">
        <v>807</v>
      </c>
      <c r="Z160" t="s">
        <v>82</v>
      </c>
      <c r="AA160">
        <v>8800</v>
      </c>
      <c r="AB160" s="1023">
        <f>SUMIFS('01工程产值对比表'!$M:$M,'01工程产值对比表'!$D:$D,Y160,'01工程产值对比表'!$C:$C,Y$2)</f>
        <v>4.154</v>
      </c>
    </row>
    <row r="161" spans="1:28">
      <c r="A161" t="s">
        <v>808</v>
      </c>
      <c r="B161" s="681" t="s">
        <v>169</v>
      </c>
      <c r="C161">
        <v>180</v>
      </c>
      <c r="D161" s="1023">
        <f>SUMIFS('01工程产值对比表'!$M:$M,'01工程产值对比表'!$D:$D,A161,'01工程产值对比表'!$C:$C,A$2)</f>
        <v>264</v>
      </c>
      <c r="F161" s="1024"/>
      <c r="H161" s="1023"/>
      <c r="I161" s="1035" t="s">
        <v>809</v>
      </c>
      <c r="J161" s="1031" t="s">
        <v>72</v>
      </c>
      <c r="K161" s="1036">
        <v>5.51</v>
      </c>
      <c r="L161" s="1032">
        <f>SUMIFS('01工程产值对比表'!$M:$M,'01工程产值对比表'!$D:$D,I161,'01工程产值对比表'!$C:$C,I$2)</f>
        <v>0</v>
      </c>
      <c r="M161" s="1033"/>
      <c r="N161" s="1033"/>
      <c r="O161" s="1033"/>
      <c r="Q161" t="s">
        <v>810</v>
      </c>
      <c r="R161" s="681" t="s">
        <v>76</v>
      </c>
      <c r="S161">
        <v>150000</v>
      </c>
      <c r="T161" s="1023">
        <f>SUMIFS('01工程产值对比表'!$M:$M,'01工程产值对比表'!$D:$D,Q161,'01工程产值对比表'!$C:$C,Q$2)</f>
        <v>0</v>
      </c>
      <c r="U161" s="1023"/>
      <c r="V161" s="1023"/>
      <c r="W161" s="1023"/>
      <c r="Y161" t="s">
        <v>811</v>
      </c>
      <c r="Z161" t="s">
        <v>69</v>
      </c>
      <c r="AA161">
        <v>25</v>
      </c>
      <c r="AB161" s="1023">
        <f>SUMIFS('01工程产值对比表'!$M:$M,'01工程产值对比表'!$D:$D,Y161,'01工程产值对比表'!$C:$C,Y$2)</f>
        <v>11857.2</v>
      </c>
    </row>
    <row r="162" spans="1:28">
      <c r="A162" t="s">
        <v>812</v>
      </c>
      <c r="B162" s="681" t="s">
        <v>688</v>
      </c>
      <c r="C162">
        <v>460</v>
      </c>
      <c r="D162" s="1023">
        <f>SUMIFS('01工程产值对比表'!$M:$M,'01工程产值对比表'!$D:$D,A162,'01工程产值对比表'!$C:$C,A$2)</f>
        <v>3729.8163</v>
      </c>
      <c r="F162" s="1024"/>
      <c r="H162" s="1023"/>
      <c r="I162" s="1035" t="s">
        <v>813</v>
      </c>
      <c r="J162" s="1031" t="s">
        <v>72</v>
      </c>
      <c r="K162" s="1036">
        <v>17</v>
      </c>
      <c r="L162" s="1032">
        <f>SUMIFS('01工程产值对比表'!$M:$M,'01工程产值对比表'!$D:$D,I162,'01工程产值对比表'!$C:$C,I$2)</f>
        <v>0</v>
      </c>
      <c r="M162" s="1033"/>
      <c r="N162" s="1033"/>
      <c r="O162" s="1033"/>
      <c r="Q162" t="s">
        <v>565</v>
      </c>
      <c r="R162" s="681" t="s">
        <v>175</v>
      </c>
      <c r="T162" s="1023">
        <f>SUMIFS('01工程产值对比表'!$M:$M,'01工程产值对比表'!$D:$D,Q162,'01工程产值对比表'!$C:$C,Q$2)</f>
        <v>0</v>
      </c>
      <c r="U162" s="1023"/>
      <c r="V162" s="1023"/>
      <c r="W162" s="1023"/>
      <c r="Y162" t="s">
        <v>814</v>
      </c>
      <c r="Z162" t="s">
        <v>82</v>
      </c>
      <c r="AA162">
        <v>8800</v>
      </c>
      <c r="AB162" s="1023">
        <f>SUMIFS('01工程产值对比表'!$M:$M,'01工程产值对比表'!$D:$D,Y162,'01工程产值对比表'!$C:$C,Y$2)</f>
        <v>12.14</v>
      </c>
    </row>
    <row r="163" spans="1:28">
      <c r="A163" t="s">
        <v>815</v>
      </c>
      <c r="B163" s="681" t="s">
        <v>76</v>
      </c>
      <c r="C163">
        <v>20</v>
      </c>
      <c r="D163" s="1023">
        <f>SUMIFS('01工程产值对比表'!$M:$M,'01工程产值对比表'!$D:$D,A163,'01工程产值对比表'!$C:$C,A$2)</f>
        <v>0</v>
      </c>
      <c r="F163" s="1024"/>
      <c r="H163" s="1023"/>
      <c r="I163" s="1035" t="s">
        <v>816</v>
      </c>
      <c r="J163" s="1031" t="s">
        <v>72</v>
      </c>
      <c r="K163" s="1036"/>
      <c r="L163" s="1032">
        <f>SUMIFS('01工程产值对比表'!$M:$M,'01工程产值对比表'!$D:$D,I163,'01工程产值对比表'!$C:$C,I$2)</f>
        <v>0</v>
      </c>
      <c r="M163" s="1033"/>
      <c r="N163" s="1033"/>
      <c r="O163" s="1033"/>
      <c r="Q163" t="s">
        <v>817</v>
      </c>
      <c r="R163" s="681" t="s">
        <v>72</v>
      </c>
      <c r="T163" s="1023">
        <f>SUMIFS('01工程产值对比表'!$M:$M,'01工程产值对比表'!$D:$D,Q163,'01工程产值对比表'!$C:$C,Q$2)</f>
        <v>0</v>
      </c>
      <c r="U163" s="1023"/>
      <c r="V163" s="1023"/>
      <c r="W163" s="1023"/>
      <c r="Y163" t="s">
        <v>818</v>
      </c>
      <c r="Z163" t="s">
        <v>771</v>
      </c>
      <c r="AA163">
        <v>43</v>
      </c>
      <c r="AB163" s="1023">
        <f>SUMIFS('01工程产值对比表'!$M:$M,'01工程产值对比表'!$D:$D,Y163,'01工程产值对比表'!$C:$C,Y$2)</f>
        <v>4000</v>
      </c>
    </row>
    <row r="164" spans="1:28">
      <c r="A164" t="s">
        <v>819</v>
      </c>
      <c r="B164" s="681" t="s">
        <v>169</v>
      </c>
      <c r="C164">
        <v>180</v>
      </c>
      <c r="D164" s="1023">
        <f>SUMIFS('01工程产值对比表'!$M:$M,'01工程产值对比表'!$D:$D,A164,'01工程产值对比表'!$C:$C,A$2)</f>
        <v>258</v>
      </c>
      <c r="F164" s="1024"/>
      <c r="H164" s="1023"/>
      <c r="I164" s="1035" t="s">
        <v>820</v>
      </c>
      <c r="J164" s="1031" t="s">
        <v>72</v>
      </c>
      <c r="K164" s="1036"/>
      <c r="L164" s="1032">
        <f>SUMIFS('01工程产值对比表'!$M:$M,'01工程产值对比表'!$D:$D,I164,'01工程产值对比表'!$C:$C,I$2)</f>
        <v>0</v>
      </c>
      <c r="M164" s="1033"/>
      <c r="N164" s="1033"/>
      <c r="O164" s="1033"/>
      <c r="Q164" t="s">
        <v>821</v>
      </c>
      <c r="R164" s="681" t="s">
        <v>169</v>
      </c>
      <c r="T164" s="1023">
        <f>SUMIFS('01工程产值对比表'!$M:$M,'01工程产值对比表'!$D:$D,Q164,'01工程产值对比表'!$C:$C,Q$2)</f>
        <v>0</v>
      </c>
      <c r="U164" s="1023"/>
      <c r="V164" s="1023"/>
      <c r="W164" s="1023"/>
      <c r="Y164" t="s">
        <v>822</v>
      </c>
      <c r="Z164" t="s">
        <v>76</v>
      </c>
      <c r="AA164">
        <v>550</v>
      </c>
      <c r="AB164" s="1023">
        <f>SUMIFS('01工程产值对比表'!$M:$M,'01工程产值对比表'!$D:$D,Y164,'01工程产值对比表'!$C:$C,Y$2)</f>
        <v>859.67</v>
      </c>
    </row>
    <row r="165" spans="1:28">
      <c r="A165" t="s">
        <v>823</v>
      </c>
      <c r="B165" s="681" t="s">
        <v>169</v>
      </c>
      <c r="C165">
        <v>180</v>
      </c>
      <c r="D165" s="1023">
        <f>SUMIFS('01工程产值对比表'!$M:$M,'01工程产值对比表'!$D:$D,A165,'01工程产值对比表'!$C:$C,A$2)</f>
        <v>0</v>
      </c>
      <c r="F165" s="1024"/>
      <c r="H165" s="1023"/>
      <c r="I165" s="1035" t="s">
        <v>824</v>
      </c>
      <c r="J165" s="1031" t="s">
        <v>72</v>
      </c>
      <c r="K165" s="1036"/>
      <c r="L165" s="1032">
        <f>SUMIFS('01工程产值对比表'!$M:$M,'01工程产值对比表'!$D:$D,I165,'01工程产值对比表'!$C:$C,I$2)</f>
        <v>0</v>
      </c>
      <c r="M165" s="1033"/>
      <c r="N165" s="1033"/>
      <c r="O165" s="1033"/>
      <c r="Q165" t="s">
        <v>825</v>
      </c>
      <c r="R165" s="681" t="s">
        <v>69</v>
      </c>
      <c r="S165">
        <v>100</v>
      </c>
      <c r="T165" s="1023">
        <f>SUMIFS('01工程产值对比表'!$M:$M,'01工程产值对比表'!$D:$D,Q165,'01工程产值对比表'!$C:$C,Q$2)</f>
        <v>0</v>
      </c>
      <c r="U165" s="1023"/>
      <c r="V165" s="1023"/>
      <c r="W165" s="1023"/>
      <c r="Y165" t="s">
        <v>826</v>
      </c>
      <c r="Z165" t="s">
        <v>82</v>
      </c>
      <c r="AA165">
        <v>9005</v>
      </c>
      <c r="AB165" s="1023">
        <f>SUMIFS('01工程产值对比表'!$M:$M,'01工程产值对比表'!$D:$D,Y165,'01工程产值对比表'!$C:$C,Y$2)</f>
        <v>10.649</v>
      </c>
    </row>
    <row r="166" spans="1:28">
      <c r="A166" t="s">
        <v>827</v>
      </c>
      <c r="B166" s="681" t="s">
        <v>69</v>
      </c>
      <c r="C166">
        <v>20</v>
      </c>
      <c r="D166" s="1023">
        <f>SUMIFS('01工程产值对比表'!$M:$M,'01工程产值对比表'!$D:$D,A166,'01工程产值对比表'!$C:$C,A$2)</f>
        <v>0</v>
      </c>
      <c r="F166" s="1024"/>
      <c r="H166" s="1023"/>
      <c r="I166" s="1035" t="s">
        <v>828</v>
      </c>
      <c r="J166" s="1031" t="s">
        <v>72</v>
      </c>
      <c r="K166" s="1036"/>
      <c r="L166" s="1032">
        <f>SUMIFS('01工程产值对比表'!$M:$M,'01工程产值对比表'!$D:$D,I166,'01工程产值对比表'!$C:$C,I$2)</f>
        <v>0</v>
      </c>
      <c r="M166" s="1033"/>
      <c r="N166" s="1033"/>
      <c r="O166" s="1033"/>
      <c r="Q166" t="s">
        <v>829</v>
      </c>
      <c r="R166" s="681" t="s">
        <v>72</v>
      </c>
      <c r="T166" s="1023">
        <f>SUMIFS('01工程产值对比表'!$M:$M,'01工程产值对比表'!$D:$D,Q166,'01工程产值对比表'!$C:$C,Q$2)</f>
        <v>0</v>
      </c>
      <c r="U166" s="1023"/>
      <c r="V166" s="1023"/>
      <c r="W166" s="1023"/>
      <c r="Y166" t="s">
        <v>830</v>
      </c>
      <c r="Z166" t="s">
        <v>72</v>
      </c>
      <c r="AA166">
        <v>2789</v>
      </c>
      <c r="AB166" s="1023">
        <f>SUMIFS('01工程产值对比表'!$M:$M,'01工程产值对比表'!$D:$D,Y166,'01工程产值对比表'!$C:$C,Y$2)</f>
        <v>2228.3</v>
      </c>
    </row>
    <row r="167" spans="1:23">
      <c r="A167" t="s">
        <v>831</v>
      </c>
      <c r="B167" s="681" t="s">
        <v>82</v>
      </c>
      <c r="C167">
        <v>6000</v>
      </c>
      <c r="D167" s="1023">
        <f>SUMIFS('01工程产值对比表'!$M:$M,'01工程产值对比表'!$D:$D,A167,'01工程产值对比表'!$C:$C,A$2)</f>
        <v>11.186</v>
      </c>
      <c r="F167" s="1024"/>
      <c r="H167" s="1023"/>
      <c r="I167" s="1035" t="s">
        <v>832</v>
      </c>
      <c r="J167" s="1031" t="s">
        <v>72</v>
      </c>
      <c r="K167" s="1036">
        <v>30</v>
      </c>
      <c r="L167" s="1032">
        <f>SUMIFS('01工程产值对比表'!$M:$M,'01工程产值对比表'!$D:$D,I167,'01工程产值对比表'!$C:$C,I$2)</f>
        <v>0</v>
      </c>
      <c r="M167" s="1033"/>
      <c r="N167" s="1033"/>
      <c r="O167" s="1033"/>
      <c r="Q167" t="s">
        <v>833</v>
      </c>
      <c r="R167" s="681" t="s">
        <v>72</v>
      </c>
      <c r="T167" s="1023">
        <f>SUMIFS('01工程产值对比表'!$M:$M,'01工程产值对比表'!$D:$D,Q167,'01工程产值对比表'!$C:$C,Q$2)</f>
        <v>0</v>
      </c>
      <c r="U167" s="1023"/>
      <c r="V167" s="1023"/>
      <c r="W167" s="1023"/>
    </row>
    <row r="168" spans="1:23">
      <c r="A168" t="s">
        <v>834</v>
      </c>
      <c r="B168" s="681" t="s">
        <v>688</v>
      </c>
      <c r="C168">
        <v>500</v>
      </c>
      <c r="D168" s="1023">
        <f>SUMIFS('01工程产值对比表'!$M:$M,'01工程产值对比表'!$D:$D,A168,'01工程产值对比表'!$C:$C,A$2)</f>
        <v>1344.52275</v>
      </c>
      <c r="F168" s="1024"/>
      <c r="H168" s="1023"/>
      <c r="I168" s="1035" t="s">
        <v>835</v>
      </c>
      <c r="J168" s="1031" t="s">
        <v>72</v>
      </c>
      <c r="K168" s="1036"/>
      <c r="L168" s="1032">
        <f>SUMIFS('01工程产值对比表'!$M:$M,'01工程产值对比表'!$D:$D,I168,'01工程产值对比表'!$C:$C,I$2)</f>
        <v>0</v>
      </c>
      <c r="M168" s="1033"/>
      <c r="N168" s="1033"/>
      <c r="O168" s="1033"/>
      <c r="Q168" t="s">
        <v>836</v>
      </c>
      <c r="R168" s="681" t="s">
        <v>76</v>
      </c>
      <c r="T168" s="1023">
        <f>SUMIFS('01工程产值对比表'!$M:$M,'01工程产值对比表'!$D:$D,Q168,'01工程产值对比表'!$C:$C,Q$2)</f>
        <v>0</v>
      </c>
      <c r="U168" s="1023"/>
      <c r="V168" s="1023"/>
      <c r="W168" s="1023"/>
    </row>
    <row r="169" spans="1:23">
      <c r="A169" t="s">
        <v>837</v>
      </c>
      <c r="B169" s="681" t="s">
        <v>69</v>
      </c>
      <c r="C169">
        <v>30</v>
      </c>
      <c r="D169" s="1023">
        <f>SUMIFS('01工程产值对比表'!$M:$M,'01工程产值对比表'!$D:$D,A169,'01工程产值对比表'!$C:$C,A$2)</f>
        <v>0</v>
      </c>
      <c r="F169" s="1024"/>
      <c r="H169" s="1023"/>
      <c r="I169" s="1035" t="s">
        <v>838</v>
      </c>
      <c r="J169" s="1031" t="s">
        <v>69</v>
      </c>
      <c r="K169" s="1036">
        <v>2.98</v>
      </c>
      <c r="L169" s="1032">
        <f>SUMIFS('01工程产值对比表'!$M:$M,'01工程产值对比表'!$D:$D,I169,'01工程产值对比表'!$C:$C,I$2)</f>
        <v>0</v>
      </c>
      <c r="M169" s="1033"/>
      <c r="N169" s="1033"/>
      <c r="O169" s="1033"/>
      <c r="Q169" t="s">
        <v>839</v>
      </c>
      <c r="R169" s="681" t="s">
        <v>76</v>
      </c>
      <c r="S169">
        <v>0.5</v>
      </c>
      <c r="T169" s="1023">
        <f>SUMIFS('01工程产值对比表'!$M:$M,'01工程产值对比表'!$D:$D,Q169,'01工程产值对比表'!$C:$C,Q$2)</f>
        <v>0</v>
      </c>
      <c r="U169" s="1023"/>
      <c r="V169" s="1023"/>
      <c r="W169" s="1023"/>
    </row>
    <row r="170" spans="1:23">
      <c r="A170" t="s">
        <v>840</v>
      </c>
      <c r="B170" s="681" t="s">
        <v>72</v>
      </c>
      <c r="C170">
        <v>1800</v>
      </c>
      <c r="D170" s="1023">
        <f>SUMIFS('01工程产值对比表'!$M:$M,'01工程产值对比表'!$D:$D,A170,'01工程产值对比表'!$C:$C,A$2)</f>
        <v>167.2201</v>
      </c>
      <c r="F170" s="1024"/>
      <c r="H170" s="1023"/>
      <c r="I170" s="1035" t="s">
        <v>841</v>
      </c>
      <c r="J170" s="1031" t="s">
        <v>69</v>
      </c>
      <c r="K170" s="1036">
        <v>4.56</v>
      </c>
      <c r="L170" s="1032">
        <f>SUMIFS('01工程产值对比表'!$M:$M,'01工程产值对比表'!$D:$D,I170,'01工程产值对比表'!$C:$C,I$2)</f>
        <v>0</v>
      </c>
      <c r="M170" s="1033"/>
      <c r="N170" s="1033"/>
      <c r="O170" s="1033"/>
      <c r="Q170" t="s">
        <v>842</v>
      </c>
      <c r="R170" s="681" t="s">
        <v>72</v>
      </c>
      <c r="T170" s="1023">
        <f>SUMIFS('01工程产值对比表'!$M:$M,'01工程产值对比表'!$D:$D,Q170,'01工程产值对比表'!$C:$C,Q$2)</f>
        <v>0</v>
      </c>
      <c r="U170" s="1023"/>
      <c r="V170" s="1023"/>
      <c r="W170" s="1023"/>
    </row>
    <row r="171" spans="1:23">
      <c r="A171" t="s">
        <v>843</v>
      </c>
      <c r="B171" s="681" t="s">
        <v>76</v>
      </c>
      <c r="C171">
        <v>500</v>
      </c>
      <c r="D171" s="1023">
        <f>SUMIFS('01工程产值对比表'!$M:$M,'01工程产值对比表'!$D:$D,A171,'01工程产值对比表'!$C:$C,A$2)</f>
        <v>0</v>
      </c>
      <c r="F171" s="1024"/>
      <c r="H171" s="1023"/>
      <c r="I171" s="1035" t="s">
        <v>844</v>
      </c>
      <c r="J171" s="1031" t="s">
        <v>72</v>
      </c>
      <c r="K171" s="1036">
        <v>6.31</v>
      </c>
      <c r="L171" s="1032">
        <f>SUMIFS('01工程产值对比表'!$M:$M,'01工程产值对比表'!$D:$D,I171,'01工程产值对比表'!$C:$C,I$2)</f>
        <v>0</v>
      </c>
      <c r="M171" s="1033"/>
      <c r="N171" s="1033"/>
      <c r="O171" s="1033"/>
      <c r="Q171" t="s">
        <v>845</v>
      </c>
      <c r="R171" s="681" t="s">
        <v>69</v>
      </c>
      <c r="T171" s="1023">
        <f>SUMIFS('01工程产值对比表'!$M:$M,'01工程产值对比表'!$D:$D,Q171,'01工程产值对比表'!$C:$C,Q$2)</f>
        <v>0</v>
      </c>
      <c r="U171" s="1023"/>
      <c r="V171" s="1023"/>
      <c r="W171" s="1023"/>
    </row>
    <row r="172" spans="1:23">
      <c r="A172" t="s">
        <v>846</v>
      </c>
      <c r="B172" s="681" t="s">
        <v>82</v>
      </c>
      <c r="C172">
        <v>4000</v>
      </c>
      <c r="D172" s="1023">
        <f>SUMIFS('01工程产值对比表'!$M:$M,'01工程产值对比表'!$D:$D,A172,'01工程产值对比表'!$C:$C,A$2)</f>
        <v>0</v>
      </c>
      <c r="F172" s="1024"/>
      <c r="H172" s="1023"/>
      <c r="I172" s="1035" t="s">
        <v>847</v>
      </c>
      <c r="J172" s="1031" t="s">
        <v>72</v>
      </c>
      <c r="K172" s="1036"/>
      <c r="L172" s="1032">
        <f>SUMIFS('01工程产值对比表'!$M:$M,'01工程产值对比表'!$D:$D,I172,'01工程产值对比表'!$C:$C,I$2)</f>
        <v>0</v>
      </c>
      <c r="M172" s="1033"/>
      <c r="N172" s="1033"/>
      <c r="O172" s="1033"/>
      <c r="Q172" t="s">
        <v>848</v>
      </c>
      <c r="R172" s="681" t="s">
        <v>69</v>
      </c>
      <c r="S172">
        <v>10</v>
      </c>
      <c r="T172" s="1023">
        <f>SUMIFS('01工程产值对比表'!$M:$M,'01工程产值对比表'!$D:$D,Q172,'01工程产值对比表'!$C:$C,Q$2)</f>
        <v>0</v>
      </c>
      <c r="U172" s="1023"/>
      <c r="V172" s="1023"/>
      <c r="W172" s="1023"/>
    </row>
    <row r="173" spans="1:23">
      <c r="A173" t="s">
        <v>849</v>
      </c>
      <c r="B173" s="681" t="s">
        <v>76</v>
      </c>
      <c r="C173">
        <v>200</v>
      </c>
      <c r="D173" s="1023">
        <f>SUMIFS('01工程产值对比表'!$M:$M,'01工程产值对比表'!$D:$D,A173,'01工程产值对比表'!$C:$C,A$2)</f>
        <v>0</v>
      </c>
      <c r="F173" s="1024"/>
      <c r="H173" s="1023"/>
      <c r="I173" s="1035" t="s">
        <v>850</v>
      </c>
      <c r="J173" s="1031" t="s">
        <v>72</v>
      </c>
      <c r="K173" s="1036">
        <v>146.42</v>
      </c>
      <c r="L173" s="1032">
        <f>SUMIFS('01工程产值对比表'!$M:$M,'01工程产值对比表'!$D:$D,I173,'01工程产值对比表'!$C:$C,I$2)</f>
        <v>0</v>
      </c>
      <c r="M173" s="1033"/>
      <c r="N173" s="1033"/>
      <c r="O173" s="1033"/>
      <c r="Q173" t="s">
        <v>851</v>
      </c>
      <c r="R173" s="681" t="s">
        <v>69</v>
      </c>
      <c r="T173" s="1023">
        <f>SUMIFS('01工程产值对比表'!$M:$M,'01工程产值对比表'!$D:$D,Q173,'01工程产值对比表'!$C:$C,Q$2)</f>
        <v>0</v>
      </c>
      <c r="U173" s="1023"/>
      <c r="V173" s="1023"/>
      <c r="W173" s="1023"/>
    </row>
    <row r="174" spans="1:23">
      <c r="A174" t="s">
        <v>852</v>
      </c>
      <c r="B174" s="681" t="s">
        <v>76</v>
      </c>
      <c r="C174">
        <v>44.71</v>
      </c>
      <c r="D174" s="1023">
        <f>SUMIFS('01工程产值对比表'!$M:$M,'01工程产值对比表'!$D:$D,A174,'01工程产值对比表'!$C:$C,A$2)</f>
        <v>257.04</v>
      </c>
      <c r="F174" s="1024"/>
      <c r="H174" s="1023"/>
      <c r="I174" s="1035" t="s">
        <v>853</v>
      </c>
      <c r="J174" s="1031" t="s">
        <v>72</v>
      </c>
      <c r="K174" s="1036">
        <v>295</v>
      </c>
      <c r="L174" s="1032">
        <f>SUMIFS('01工程产值对比表'!$M:$M,'01工程产值对比表'!$D:$D,I174,'01工程产值对比表'!$C:$C,I$2)</f>
        <v>0</v>
      </c>
      <c r="M174" s="1033"/>
      <c r="N174" s="1033"/>
      <c r="O174" s="1033"/>
      <c r="Q174" t="s">
        <v>854</v>
      </c>
      <c r="R174" s="681" t="s">
        <v>69</v>
      </c>
      <c r="T174" s="1023">
        <f>SUMIFS('01工程产值对比表'!$M:$M,'01工程产值对比表'!$D:$D,Q174,'01工程产值对比表'!$C:$C,Q$2)</f>
        <v>0</v>
      </c>
      <c r="U174" s="1023"/>
      <c r="V174" s="1023"/>
      <c r="W174" s="1023"/>
    </row>
    <row r="175" spans="1:23">
      <c r="A175" t="s">
        <v>855</v>
      </c>
      <c r="B175" s="681" t="s">
        <v>185</v>
      </c>
      <c r="C175">
        <v>22</v>
      </c>
      <c r="D175" s="1023">
        <f>SUMIFS('01工程产值对比表'!$M:$M,'01工程产值对比表'!$D:$D,A175,'01工程产值对比表'!$C:$C,A$2)</f>
        <v>0</v>
      </c>
      <c r="F175" s="1024"/>
      <c r="H175" s="1023"/>
      <c r="I175" s="1035" t="s">
        <v>856</v>
      </c>
      <c r="J175" s="1031" t="s">
        <v>72</v>
      </c>
      <c r="K175" s="1036">
        <v>109</v>
      </c>
      <c r="L175" s="1032">
        <f>SUMIFS('01工程产值对比表'!$M:$M,'01工程产值对比表'!$D:$D,I175,'01工程产值对比表'!$C:$C,I$2)</f>
        <v>0</v>
      </c>
      <c r="M175" s="1033"/>
      <c r="N175" s="1033"/>
      <c r="O175" s="1033"/>
      <c r="Q175" t="s">
        <v>857</v>
      </c>
      <c r="R175" s="681" t="s">
        <v>69</v>
      </c>
      <c r="T175" s="1023">
        <f>SUMIFS('01工程产值对比表'!$M:$M,'01工程产值对比表'!$D:$D,Q175,'01工程产值对比表'!$C:$C,Q$2)</f>
        <v>0</v>
      </c>
      <c r="U175" s="1023"/>
      <c r="V175" s="1023"/>
      <c r="W175" s="1023"/>
    </row>
    <row r="176" spans="1:23">
      <c r="A176" t="s">
        <v>858</v>
      </c>
      <c r="B176" s="681" t="s">
        <v>185</v>
      </c>
      <c r="C176">
        <v>9.38</v>
      </c>
      <c r="D176" s="1023">
        <f>SUMIFS('01工程产值对比表'!$M:$M,'01工程产值对比表'!$D:$D,A176,'01工程产值对比表'!$C:$C,A$2)</f>
        <v>0</v>
      </c>
      <c r="F176" s="1024"/>
      <c r="H176" s="1023"/>
      <c r="I176" s="1035" t="s">
        <v>859</v>
      </c>
      <c r="J176" s="1031" t="s">
        <v>76</v>
      </c>
      <c r="K176" s="1036">
        <v>400</v>
      </c>
      <c r="L176" s="1032">
        <f>SUMIFS('01工程产值对比表'!$M:$M,'01工程产值对比表'!$D:$D,I176,'01工程产值对比表'!$C:$C,I$2)</f>
        <v>0</v>
      </c>
      <c r="M176" s="1033"/>
      <c r="N176" s="1033"/>
      <c r="O176" s="1033"/>
      <c r="Q176" t="s">
        <v>860</v>
      </c>
      <c r="R176" s="681" t="s">
        <v>69</v>
      </c>
      <c r="T176" s="1023">
        <f>SUMIFS('01工程产值对比表'!$M:$M,'01工程产值对比表'!$D:$D,Q176,'01工程产值对比表'!$C:$C,Q$2)</f>
        <v>0</v>
      </c>
      <c r="U176" s="1023"/>
      <c r="V176" s="1023"/>
      <c r="W176" s="1023"/>
    </row>
    <row r="177" spans="1:23">
      <c r="A177" t="s">
        <v>861</v>
      </c>
      <c r="B177" s="681" t="s">
        <v>169</v>
      </c>
      <c r="C177">
        <v>120</v>
      </c>
      <c r="D177" s="1023">
        <f>SUMIFS('01工程产值对比表'!$M:$M,'01工程产值对比表'!$D:$D,A177,'01工程产值对比表'!$C:$C,A$2)</f>
        <v>0</v>
      </c>
      <c r="F177" s="1024"/>
      <c r="H177" s="1023"/>
      <c r="I177" s="1035" t="s">
        <v>862</v>
      </c>
      <c r="J177" s="1031" t="s">
        <v>76</v>
      </c>
      <c r="K177" s="1036">
        <v>400</v>
      </c>
      <c r="L177" s="1032">
        <f>SUMIFS('01工程产值对比表'!$M:$M,'01工程产值对比表'!$D:$D,I177,'01工程产值对比表'!$C:$C,I$2)</f>
        <v>0</v>
      </c>
      <c r="M177" s="1033"/>
      <c r="N177" s="1033"/>
      <c r="O177" s="1033"/>
      <c r="Q177" t="s">
        <v>863</v>
      </c>
      <c r="R177" s="681" t="s">
        <v>69</v>
      </c>
      <c r="T177" s="1023">
        <f>SUMIFS('01工程产值对比表'!$M:$M,'01工程产值对比表'!$D:$D,Q177,'01工程产值对比表'!$C:$C,Q$2)</f>
        <v>0</v>
      </c>
      <c r="U177" s="1023"/>
      <c r="V177" s="1023"/>
      <c r="W177" s="1023"/>
    </row>
    <row r="178" spans="1:23">
      <c r="A178" t="s">
        <v>864</v>
      </c>
      <c r="B178" s="681" t="s">
        <v>72</v>
      </c>
      <c r="C178">
        <v>330</v>
      </c>
      <c r="D178" s="1023">
        <f>SUMIFS('01工程产值对比表'!$M:$M,'01工程产值对比表'!$D:$D,A178,'01工程产值对比表'!$C:$C,A$2)</f>
        <v>0</v>
      </c>
      <c r="F178" s="1024"/>
      <c r="H178" s="1023"/>
      <c r="I178" s="1035" t="s">
        <v>865</v>
      </c>
      <c r="J178" s="1031" t="s">
        <v>76</v>
      </c>
      <c r="K178" s="1036">
        <v>200</v>
      </c>
      <c r="L178" s="1032">
        <f>SUMIFS('01工程产值对比表'!$M:$M,'01工程产值对比表'!$D:$D,I178,'01工程产值对比表'!$C:$C,I$2)</f>
        <v>0</v>
      </c>
      <c r="M178" s="1033"/>
      <c r="N178" s="1033"/>
      <c r="O178" s="1033"/>
      <c r="Q178" t="s">
        <v>866</v>
      </c>
      <c r="R178" s="681" t="s">
        <v>69</v>
      </c>
      <c r="T178" s="1023">
        <f>SUMIFS('01工程产值对比表'!$M:$M,'01工程产值对比表'!$D:$D,Q178,'01工程产值对比表'!$C:$C,Q$2)</f>
        <v>0</v>
      </c>
      <c r="U178" s="1023"/>
      <c r="V178" s="1023"/>
      <c r="W178" s="1023"/>
    </row>
    <row r="179" spans="1:23">
      <c r="A179" t="s">
        <v>867</v>
      </c>
      <c r="B179" s="681" t="s">
        <v>76</v>
      </c>
      <c r="C179">
        <v>24.65</v>
      </c>
      <c r="D179" s="1023">
        <f>SUMIFS('01工程产值对比表'!$M:$M,'01工程产值对比表'!$D:$D,A179,'01工程产值对比表'!$C:$C,A$2)</f>
        <v>3835.796</v>
      </c>
      <c r="F179" s="1024"/>
      <c r="H179" s="1023"/>
      <c r="I179" s="1035" t="s">
        <v>868</v>
      </c>
      <c r="J179" s="1031" t="s">
        <v>76</v>
      </c>
      <c r="K179" s="1036"/>
      <c r="L179" s="1032">
        <f>SUMIFS('01工程产值对比表'!$M:$M,'01工程产值对比表'!$D:$D,I179,'01工程产值对比表'!$C:$C,I$2)</f>
        <v>0</v>
      </c>
      <c r="M179" s="1033"/>
      <c r="N179" s="1033"/>
      <c r="O179" s="1033"/>
      <c r="Q179" t="s">
        <v>869</v>
      </c>
      <c r="R179" s="681" t="s">
        <v>72</v>
      </c>
      <c r="T179" s="1023">
        <f>SUMIFS('01工程产值对比表'!$M:$M,'01工程产值对比表'!$D:$D,Q179,'01工程产值对比表'!$C:$C,Q$2)</f>
        <v>0</v>
      </c>
      <c r="U179" s="1023"/>
      <c r="V179" s="1023"/>
      <c r="W179" s="1023"/>
    </row>
    <row r="180" spans="1:23">
      <c r="A180" t="s">
        <v>870</v>
      </c>
      <c r="B180" s="681" t="s">
        <v>72</v>
      </c>
      <c r="C180">
        <v>130</v>
      </c>
      <c r="D180" s="1023">
        <f>SUMIFS('01工程产值对比表'!$M:$M,'01工程产值对比表'!$D:$D,A180,'01工程产值对比表'!$C:$C,A$2)</f>
        <v>1770.158</v>
      </c>
      <c r="F180" s="1024"/>
      <c r="H180" s="1023"/>
      <c r="I180" s="1035" t="s">
        <v>871</v>
      </c>
      <c r="J180" s="1031" t="s">
        <v>76</v>
      </c>
      <c r="K180" s="1036"/>
      <c r="L180" s="1032">
        <f>SUMIFS('01工程产值对比表'!$M:$M,'01工程产值对比表'!$D:$D,I180,'01工程产值对比表'!$C:$C,I$2)</f>
        <v>0</v>
      </c>
      <c r="M180" s="1033"/>
      <c r="N180" s="1033"/>
      <c r="O180" s="1033"/>
      <c r="Q180" t="s">
        <v>872</v>
      </c>
      <c r="R180" s="681" t="s">
        <v>72</v>
      </c>
      <c r="T180" s="1023">
        <f>SUMIFS('01工程产值对比表'!$M:$M,'01工程产值对比表'!$D:$D,Q180,'01工程产值对比表'!$C:$C,Q$2)</f>
        <v>0</v>
      </c>
      <c r="U180" s="1023"/>
      <c r="V180" s="1023"/>
      <c r="W180" s="1023"/>
    </row>
    <row r="181" spans="1:23">
      <c r="A181" s="1" t="s">
        <v>873</v>
      </c>
      <c r="B181" s="681" t="s">
        <v>72</v>
      </c>
      <c r="C181">
        <v>300</v>
      </c>
      <c r="D181" s="1023">
        <f>SUMIFS('01工程产值对比表'!$M:$M,'01工程产值对比表'!$D:$D,A181,'01工程产值对比表'!$C:$C,A$2)</f>
        <v>196</v>
      </c>
      <c r="F181" s="1024"/>
      <c r="H181" s="1023"/>
      <c r="I181" s="1035" t="s">
        <v>874</v>
      </c>
      <c r="J181" s="1031" t="s">
        <v>76</v>
      </c>
      <c r="K181" s="1036">
        <v>12.5</v>
      </c>
      <c r="L181" s="1032">
        <f>SUMIFS('01工程产值对比表'!$M:$M,'01工程产值对比表'!$D:$D,I181,'01工程产值对比表'!$C:$C,I$2)</f>
        <v>0</v>
      </c>
      <c r="M181" s="1033"/>
      <c r="N181" s="1033"/>
      <c r="O181" s="1033"/>
      <c r="Q181" t="s">
        <v>875</v>
      </c>
      <c r="R181" s="681" t="s">
        <v>76</v>
      </c>
      <c r="T181" s="1023">
        <f>SUMIFS('01工程产值对比表'!$M:$M,'01工程产值对比表'!$D:$D,Q181,'01工程产值对比表'!$C:$C,Q$2)</f>
        <v>0</v>
      </c>
      <c r="U181" s="1023"/>
      <c r="V181" s="1023"/>
      <c r="W181" s="1023"/>
    </row>
    <row r="182" spans="1:23">
      <c r="A182" s="487" t="s">
        <v>876</v>
      </c>
      <c r="B182" s="681" t="s">
        <v>72</v>
      </c>
      <c r="C182">
        <v>330</v>
      </c>
      <c r="D182" s="1023">
        <f>SUMIFS('01工程产值对比表'!$M:$M,'01工程产值对比表'!$D:$D,A182,'01工程产值对比表'!$C:$C,A$2)</f>
        <v>1134</v>
      </c>
      <c r="F182" s="1024"/>
      <c r="H182" s="1023"/>
      <c r="I182" s="1035" t="s">
        <v>877</v>
      </c>
      <c r="J182" s="1031" t="s">
        <v>76</v>
      </c>
      <c r="K182" s="1036">
        <v>9.14</v>
      </c>
      <c r="L182" s="1032">
        <f>SUMIFS('01工程产值对比表'!$M:$M,'01工程产值对比表'!$D:$D,I182,'01工程产值对比表'!$C:$C,I$2)</f>
        <v>0</v>
      </c>
      <c r="M182" s="1033"/>
      <c r="N182" s="1033"/>
      <c r="O182" s="1033"/>
      <c r="Q182" t="s">
        <v>878</v>
      </c>
      <c r="R182" s="681" t="s">
        <v>76</v>
      </c>
      <c r="T182" s="1023">
        <f>SUMIFS('01工程产值对比表'!$M:$M,'01工程产值对比表'!$D:$D,Q182,'01工程产值对比表'!$C:$C,Q$2)</f>
        <v>0</v>
      </c>
      <c r="U182" s="1023"/>
      <c r="V182" s="1023"/>
      <c r="W182" s="1023"/>
    </row>
    <row r="183" spans="1:23">
      <c r="A183" t="s">
        <v>879</v>
      </c>
      <c r="B183" s="681" t="s">
        <v>69</v>
      </c>
      <c r="C183">
        <v>16</v>
      </c>
      <c r="D183" s="1023">
        <f>SUMIFS('01工程产值对比表'!$M:$M,'01工程产值对比表'!$D:$D,A183,'01工程产值对比表'!$C:$C,A$2)</f>
        <v>1245.22848</v>
      </c>
      <c r="F183" s="1024"/>
      <c r="H183" s="1023"/>
      <c r="I183" s="1035" t="s">
        <v>880</v>
      </c>
      <c r="J183" s="1031" t="s">
        <v>76</v>
      </c>
      <c r="K183" s="1036">
        <v>1</v>
      </c>
      <c r="L183" s="1032">
        <f>SUMIFS('01工程产值对比表'!$M:$M,'01工程产值对比表'!$D:$D,I183,'01工程产值对比表'!$C:$C,I$2)</f>
        <v>0</v>
      </c>
      <c r="M183" s="1033"/>
      <c r="N183" s="1033"/>
      <c r="O183" s="1033"/>
      <c r="Q183" t="s">
        <v>881</v>
      </c>
      <c r="R183" s="681" t="s">
        <v>76</v>
      </c>
      <c r="T183" s="1023">
        <f>SUMIFS('01工程产值对比表'!$M:$M,'01工程产值对比表'!$D:$D,Q183,'01工程产值对比表'!$C:$C,Q$2)</f>
        <v>0</v>
      </c>
      <c r="U183" s="1023"/>
      <c r="V183" s="1023"/>
      <c r="W183" s="1023"/>
    </row>
    <row r="184" spans="1:23">
      <c r="A184" t="s">
        <v>882</v>
      </c>
      <c r="B184" s="681" t="s">
        <v>69</v>
      </c>
      <c r="C184">
        <v>15</v>
      </c>
      <c r="D184" s="1023">
        <f>SUMIFS('01工程产值对比表'!$M:$M,'01工程产值对比表'!$D:$D,A184,'01工程产值对比表'!$C:$C,A$2)</f>
        <v>611</v>
      </c>
      <c r="F184" s="1024"/>
      <c r="H184" s="1023"/>
      <c r="I184" s="1035" t="s">
        <v>883</v>
      </c>
      <c r="J184" s="1031" t="s">
        <v>76</v>
      </c>
      <c r="K184" s="1036">
        <v>4.79</v>
      </c>
      <c r="L184" s="1032">
        <f>SUMIFS('01工程产值对比表'!$M:$M,'01工程产值对比表'!$D:$D,I184,'01工程产值对比表'!$C:$C,I$2)</f>
        <v>0</v>
      </c>
      <c r="M184" s="1033"/>
      <c r="N184" s="1033"/>
      <c r="O184" s="1033"/>
      <c r="Q184" t="s">
        <v>884</v>
      </c>
      <c r="R184" s="681" t="s">
        <v>72</v>
      </c>
      <c r="T184" s="1023">
        <f>SUMIFS('01工程产值对比表'!$M:$M,'01工程产值对比表'!$D:$D,Q184,'01工程产值对比表'!$C:$C,Q$2)</f>
        <v>0</v>
      </c>
      <c r="U184" s="1023"/>
      <c r="V184" s="1023"/>
      <c r="W184" s="1023"/>
    </row>
    <row r="185" spans="1:23">
      <c r="A185" t="s">
        <v>885</v>
      </c>
      <c r="B185" s="681" t="s">
        <v>69</v>
      </c>
      <c r="C185">
        <v>180</v>
      </c>
      <c r="D185" s="1023">
        <f>SUMIFS('01工程产值对比表'!$M:$M,'01工程产值对比表'!$D:$D,A185,'01工程产值对比表'!$C:$C,A$2)</f>
        <v>756</v>
      </c>
      <c r="F185" s="1024"/>
      <c r="H185" s="1023"/>
      <c r="I185" s="1035" t="s">
        <v>886</v>
      </c>
      <c r="J185" s="1031" t="s">
        <v>76</v>
      </c>
      <c r="K185" s="1036">
        <v>1</v>
      </c>
      <c r="L185" s="1032">
        <f>SUMIFS('01工程产值对比表'!$M:$M,'01工程产值对比表'!$D:$D,I185,'01工程产值对比表'!$C:$C,I$2)</f>
        <v>0</v>
      </c>
      <c r="M185" s="1033"/>
      <c r="N185" s="1033"/>
      <c r="O185" s="1033"/>
      <c r="Q185" t="s">
        <v>887</v>
      </c>
      <c r="R185" s="681" t="s">
        <v>72</v>
      </c>
      <c r="T185" s="1023">
        <f>SUMIFS('01工程产值对比表'!$M:$M,'01工程产值对比表'!$D:$D,Q185,'01工程产值对比表'!$C:$C,Q$2)</f>
        <v>0</v>
      </c>
      <c r="U185" s="1023"/>
      <c r="V185" s="1023"/>
      <c r="W185" s="1023"/>
    </row>
    <row r="186" spans="1:23">
      <c r="A186" t="s">
        <v>888</v>
      </c>
      <c r="B186" s="681" t="s">
        <v>72</v>
      </c>
      <c r="C186">
        <v>30</v>
      </c>
      <c r="D186" s="1023">
        <f>SUMIFS('01工程产值对比表'!$M:$M,'01工程产值对比表'!$D:$D,A186,'01工程产值对比表'!$C:$C,A$2)</f>
        <v>294.5565</v>
      </c>
      <c r="F186" s="1024"/>
      <c r="H186" s="1023"/>
      <c r="I186" s="1035" t="s">
        <v>889</v>
      </c>
      <c r="J186" s="1031" t="s">
        <v>76</v>
      </c>
      <c r="K186" s="1036">
        <v>4.8</v>
      </c>
      <c r="L186" s="1032">
        <f>SUMIFS('01工程产值对比表'!$M:$M,'01工程产值对比表'!$D:$D,I186,'01工程产值对比表'!$C:$C,I$2)</f>
        <v>0</v>
      </c>
      <c r="M186" s="1033"/>
      <c r="N186" s="1033"/>
      <c r="O186" s="1033"/>
      <c r="Q186" t="s">
        <v>890</v>
      </c>
      <c r="R186" s="681" t="s">
        <v>76</v>
      </c>
      <c r="S186"/>
      <c r="T186" s="1023">
        <f>SUMIFS('01工程产值对比表'!$M:$M,'01工程产值对比表'!$D:$D,Q186,'01工程产值对比表'!$C:$C,Q$2)</f>
        <v>48</v>
      </c>
      <c r="U186" s="1023"/>
      <c r="V186" s="1023"/>
      <c r="W186" s="1023"/>
    </row>
    <row r="187" spans="1:23">
      <c r="A187" t="s">
        <v>891</v>
      </c>
      <c r="B187" s="681" t="s">
        <v>185</v>
      </c>
      <c r="D187" s="1023">
        <f>SUMIFS('01工程产值对比表'!$M:$M,'01工程产值对比表'!$D:$D,A187,'01工程产值对比表'!$C:$C,A$2)</f>
        <v>0</v>
      </c>
      <c r="F187" s="1024"/>
      <c r="H187" s="1023"/>
      <c r="I187" s="1035" t="s">
        <v>892</v>
      </c>
      <c r="J187" s="1031" t="s">
        <v>76</v>
      </c>
      <c r="K187" s="1036">
        <v>4.65</v>
      </c>
      <c r="L187" s="1032">
        <f>SUMIFS('01工程产值对比表'!$M:$M,'01工程产值对比表'!$D:$D,I187,'01工程产值对比表'!$C:$C,I$2)</f>
        <v>0</v>
      </c>
      <c r="M187" s="1033"/>
      <c r="N187" s="1033"/>
      <c r="O187" s="1033"/>
      <c r="Q187" t="s">
        <v>893</v>
      </c>
      <c r="R187" s="681" t="s">
        <v>76</v>
      </c>
      <c r="T187" s="1023">
        <f>SUMIFS('01工程产值对比表'!$M:$M,'01工程产值对比表'!$D:$D,Q187,'01工程产值对比表'!$C:$C,Q$2)</f>
        <v>0</v>
      </c>
      <c r="U187" s="1023"/>
      <c r="V187" s="1023"/>
      <c r="W187" s="1023"/>
    </row>
    <row r="188" spans="1:23">
      <c r="A188" t="s">
        <v>894</v>
      </c>
      <c r="B188" s="681" t="s">
        <v>185</v>
      </c>
      <c r="D188" s="1023">
        <f>SUMIFS('01工程产值对比表'!$M:$M,'01工程产值对比表'!$D:$D,A188,'01工程产值对比表'!$C:$C,A$2)</f>
        <v>0</v>
      </c>
      <c r="F188" s="1024"/>
      <c r="H188" s="1023"/>
      <c r="I188" s="1035" t="s">
        <v>895</v>
      </c>
      <c r="J188" s="1031" t="s">
        <v>76</v>
      </c>
      <c r="K188" s="1036"/>
      <c r="L188" s="1032">
        <f>SUMIFS('01工程产值对比表'!$M:$M,'01工程产值对比表'!$D:$D,I188,'01工程产值对比表'!$C:$C,I$2)</f>
        <v>0</v>
      </c>
      <c r="M188" s="1033"/>
      <c r="N188" s="1033"/>
      <c r="O188" s="1033"/>
      <c r="Q188" t="s">
        <v>896</v>
      </c>
      <c r="R188" s="681" t="s">
        <v>76</v>
      </c>
      <c r="T188" s="1023">
        <f>SUMIFS('01工程产值对比表'!$M:$M,'01工程产值对比表'!$D:$D,Q188,'01工程产值对比表'!$C:$C,Q$2)</f>
        <v>0</v>
      </c>
      <c r="U188" s="1023"/>
      <c r="V188" s="1023"/>
      <c r="W188" s="1023"/>
    </row>
    <row r="189" spans="1:23">
      <c r="A189" t="s">
        <v>897</v>
      </c>
      <c r="B189" s="681" t="s">
        <v>72</v>
      </c>
      <c r="D189" s="1023">
        <f>SUMIFS('01工程产值对比表'!$M:$M,'01工程产值对比表'!$D:$D,A189,'01工程产值对比表'!$C:$C,A$2)</f>
        <v>0</v>
      </c>
      <c r="F189" s="1024"/>
      <c r="H189" s="1023"/>
      <c r="I189" s="1035" t="s">
        <v>898</v>
      </c>
      <c r="J189" s="1031" t="s">
        <v>76</v>
      </c>
      <c r="K189" s="1036">
        <v>39266.67</v>
      </c>
      <c r="L189" s="1032">
        <f>SUMIFS('01工程产值对比表'!$M:$M,'01工程产值对比表'!$D:$D,I189,'01工程产值对比表'!$C:$C,I$2)</f>
        <v>0</v>
      </c>
      <c r="M189" s="1033"/>
      <c r="N189" s="1033"/>
      <c r="O189" s="1033"/>
      <c r="Q189" t="s">
        <v>899</v>
      </c>
      <c r="R189" s="681" t="s">
        <v>190</v>
      </c>
      <c r="T189" s="1023">
        <f>SUMIFS('01工程产值对比表'!$M:$M,'01工程产值对比表'!$D:$D,Q189,'01工程产值对比表'!$C:$C,Q$2)</f>
        <v>0</v>
      </c>
      <c r="U189" s="1023"/>
      <c r="V189" s="1023"/>
      <c r="W189" s="1023"/>
    </row>
    <row r="190" spans="1:23">
      <c r="A190" t="s">
        <v>900</v>
      </c>
      <c r="B190" s="681" t="s">
        <v>72</v>
      </c>
      <c r="D190" s="1023">
        <f>SUMIFS('01工程产值对比表'!$M:$M,'01工程产值对比表'!$D:$D,A190,'01工程产值对比表'!$C:$C,A$2)</f>
        <v>0</v>
      </c>
      <c r="F190" s="1024"/>
      <c r="H190" s="1023"/>
      <c r="I190" s="1035" t="s">
        <v>45</v>
      </c>
      <c r="J190" s="1031" t="s">
        <v>72</v>
      </c>
      <c r="K190" s="1036"/>
      <c r="L190" s="1032">
        <f>SUMIFS('01工程产值对比表'!$M:$M,'01工程产值对比表'!$D:$D,I190,'01工程产值对比表'!$C:$C,I$2)</f>
        <v>0</v>
      </c>
      <c r="M190" s="1033"/>
      <c r="N190" s="1033"/>
      <c r="O190" s="1033"/>
      <c r="Q190" t="s">
        <v>901</v>
      </c>
      <c r="R190" s="681" t="s">
        <v>902</v>
      </c>
      <c r="T190" s="1023">
        <f>SUMIFS('01工程产值对比表'!$M:$M,'01工程产值对比表'!$D:$D,Q190,'01工程产值对比表'!$C:$C,Q$2)</f>
        <v>0</v>
      </c>
      <c r="U190" s="1023"/>
      <c r="V190" s="1023"/>
      <c r="W190" s="1023"/>
    </row>
    <row r="191" spans="1:23">
      <c r="A191" t="s">
        <v>903</v>
      </c>
      <c r="B191" s="681" t="s">
        <v>82</v>
      </c>
      <c r="D191" s="1023">
        <f>SUMIFS('01工程产值对比表'!$M:$M,'01工程产值对比表'!$D:$D,A191,'01工程产值对比表'!$C:$C,A$2)</f>
        <v>0</v>
      </c>
      <c r="F191" s="1024"/>
      <c r="H191" s="1023"/>
      <c r="I191" s="1035" t="s">
        <v>904</v>
      </c>
      <c r="J191" s="1031" t="s">
        <v>72</v>
      </c>
      <c r="K191" s="1036">
        <v>5.28</v>
      </c>
      <c r="L191" s="1032">
        <f>SUMIFS('01工程产值对比表'!$M:$M,'01工程产值对比表'!$D:$D,I191,'01工程产值对比表'!$C:$C,I$2)</f>
        <v>0</v>
      </c>
      <c r="M191" s="1033"/>
      <c r="N191" s="1033"/>
      <c r="O191" s="1033"/>
      <c r="Q191" t="s">
        <v>905</v>
      </c>
      <c r="R191" s="681" t="s">
        <v>902</v>
      </c>
      <c r="T191" s="1023">
        <f>SUMIFS('01工程产值对比表'!$M:$M,'01工程产值对比表'!$D:$D,Q191,'01工程产值对比表'!$C:$C,Q$2)</f>
        <v>0</v>
      </c>
      <c r="U191" s="1023"/>
      <c r="V191" s="1023"/>
      <c r="W191" s="1023"/>
    </row>
    <row r="192" spans="1:23">
      <c r="A192" t="s">
        <v>906</v>
      </c>
      <c r="B192" s="681" t="s">
        <v>185</v>
      </c>
      <c r="D192" s="1023">
        <f>SUMIFS('01工程产值对比表'!$M:$M,'01工程产值对比表'!$D:$D,A192,'01工程产值对比表'!$C:$C,A$2)</f>
        <v>0</v>
      </c>
      <c r="F192" s="1024"/>
      <c r="H192" s="1023"/>
      <c r="I192" s="1035" t="s">
        <v>907</v>
      </c>
      <c r="J192" s="1031" t="s">
        <v>72</v>
      </c>
      <c r="K192" s="1036">
        <v>4.52</v>
      </c>
      <c r="L192" s="1032">
        <f>SUMIFS('01工程产值对比表'!$M:$M,'01工程产值对比表'!$D:$D,I192,'01工程产值对比表'!$C:$C,I$2)</f>
        <v>0</v>
      </c>
      <c r="M192" s="1033"/>
      <c r="N192" s="1033"/>
      <c r="O192" s="1033"/>
      <c r="Q192" t="s">
        <v>908</v>
      </c>
      <c r="R192" s="681" t="s">
        <v>902</v>
      </c>
      <c r="T192" s="1023">
        <f>SUMIFS('01工程产值对比表'!$M:$M,'01工程产值对比表'!$D:$D,Q192,'01工程产值对比表'!$C:$C,Q$2)</f>
        <v>0</v>
      </c>
      <c r="U192" s="1023"/>
      <c r="V192" s="1023"/>
      <c r="W192" s="1023"/>
    </row>
    <row r="193" spans="1:23">
      <c r="A193" t="s">
        <v>909</v>
      </c>
      <c r="B193" s="681" t="s">
        <v>185</v>
      </c>
      <c r="D193" s="1023">
        <f>SUMIFS('01工程产值对比表'!$M:$M,'01工程产值对比表'!$D:$D,A193,'01工程产值对比表'!$C:$C,A$2)</f>
        <v>0</v>
      </c>
      <c r="F193" s="1024"/>
      <c r="H193" s="1023"/>
      <c r="I193" s="1035" t="s">
        <v>910</v>
      </c>
      <c r="J193" s="1031" t="s">
        <v>72</v>
      </c>
      <c r="K193" s="1036">
        <v>0.94</v>
      </c>
      <c r="L193" s="1032">
        <f>SUMIFS('01工程产值对比表'!$M:$M,'01工程产值对比表'!$D:$D,I193,'01工程产值对比表'!$C:$C,I$2)</f>
        <v>0</v>
      </c>
      <c r="M193" s="1033"/>
      <c r="N193" s="1033"/>
      <c r="O193" s="1033"/>
      <c r="Q193" t="s">
        <v>911</v>
      </c>
      <c r="R193" s="681" t="s">
        <v>902</v>
      </c>
      <c r="T193" s="1023">
        <f>SUMIFS('01工程产值对比表'!$M:$M,'01工程产值对比表'!$D:$D,Q193,'01工程产值对比表'!$C:$C,Q$2)</f>
        <v>0</v>
      </c>
      <c r="U193" s="1023"/>
      <c r="V193" s="1023"/>
      <c r="W193" s="1023"/>
    </row>
    <row r="194" spans="1:23">
      <c r="A194" t="s">
        <v>912</v>
      </c>
      <c r="B194" s="681" t="s">
        <v>72</v>
      </c>
      <c r="D194" s="1023">
        <f>SUMIFS('01工程产值对比表'!$M:$M,'01工程产值对比表'!$D:$D,A194,'01工程产值对比表'!$C:$C,A$2)</f>
        <v>0</v>
      </c>
      <c r="F194" s="1024"/>
      <c r="H194" s="1023"/>
      <c r="I194" s="1035" t="s">
        <v>913</v>
      </c>
      <c r="J194" s="1031" t="s">
        <v>72</v>
      </c>
      <c r="K194" s="1036"/>
      <c r="L194" s="1032">
        <f>SUMIFS('01工程产值对比表'!$M:$M,'01工程产值对比表'!$D:$D,I194,'01工程产值对比表'!$C:$C,I$2)</f>
        <v>0</v>
      </c>
      <c r="M194" s="1033"/>
      <c r="N194" s="1033"/>
      <c r="O194" s="1033"/>
      <c r="Q194" t="s">
        <v>914</v>
      </c>
      <c r="R194" s="681" t="s">
        <v>688</v>
      </c>
      <c r="T194" s="1023">
        <f>SUMIFS('01工程产值对比表'!$M:$M,'01工程产值对比表'!$D:$D,Q194,'01工程产值对比表'!$C:$C,Q$2)</f>
        <v>0</v>
      </c>
      <c r="U194" s="1023"/>
      <c r="V194" s="1023"/>
      <c r="W194" s="1023"/>
    </row>
    <row r="195" spans="1:23">
      <c r="A195" t="s">
        <v>915</v>
      </c>
      <c r="B195" s="681" t="s">
        <v>69</v>
      </c>
      <c r="C195">
        <v>150</v>
      </c>
      <c r="D195" s="1023">
        <f>SUMIFS('01工程产值对比表'!$M:$M,'01工程产值对比表'!$D:$D,A195,'01工程产值对比表'!$C:$C,A$2)</f>
        <v>0</v>
      </c>
      <c r="F195" s="1024"/>
      <c r="H195" s="1023"/>
      <c r="I195" s="1035" t="s">
        <v>916</v>
      </c>
      <c r="J195" s="1031" t="s">
        <v>72</v>
      </c>
      <c r="K195" s="1036">
        <v>5.82</v>
      </c>
      <c r="L195" s="1032">
        <f>SUMIFS('01工程产值对比表'!$M:$M,'01工程产值对比表'!$D:$D,I195,'01工程产值对比表'!$C:$C,I$2)</f>
        <v>35671.2</v>
      </c>
      <c r="M195" s="1033"/>
      <c r="N195" s="1033"/>
      <c r="O195" s="1033"/>
      <c r="Q195" t="s">
        <v>917</v>
      </c>
      <c r="R195" s="681" t="s">
        <v>688</v>
      </c>
      <c r="T195" s="1023">
        <f>SUMIFS('01工程产值对比表'!$M:$M,'01工程产值对比表'!$D:$D,Q195,'01工程产值对比表'!$C:$C,Q$2)</f>
        <v>0</v>
      </c>
      <c r="U195" s="1023"/>
      <c r="V195" s="1023"/>
      <c r="W195" s="1023"/>
    </row>
    <row r="196" spans="1:23">
      <c r="A196" t="s">
        <v>918</v>
      </c>
      <c r="B196" s="681" t="s">
        <v>640</v>
      </c>
      <c r="D196" s="1023">
        <f>SUMIFS('01工程产值对比表'!$M:$M,'01工程产值对比表'!$D:$D,A196,'01工程产值对比表'!$C:$C,A$2)</f>
        <v>0</v>
      </c>
      <c r="F196" s="1024"/>
      <c r="H196" s="1023"/>
      <c r="I196" s="1035" t="s">
        <v>919</v>
      </c>
      <c r="J196" s="1031" t="s">
        <v>72</v>
      </c>
      <c r="K196" s="1036"/>
      <c r="L196" s="1032">
        <f>SUMIFS('01工程产值对比表'!$M:$M,'01工程产值对比表'!$D:$D,I196,'01工程产值对比表'!$C:$C,I$2)</f>
        <v>0</v>
      </c>
      <c r="M196" s="1033"/>
      <c r="N196" s="1033"/>
      <c r="O196" s="1033"/>
      <c r="Q196" t="s">
        <v>920</v>
      </c>
      <c r="R196" s="681" t="s">
        <v>771</v>
      </c>
      <c r="T196" s="1023">
        <f>SUMIFS('01工程产值对比表'!$M:$M,'01工程产值对比表'!$D:$D,Q196,'01工程产值对比表'!$C:$C,Q$2)</f>
        <v>0</v>
      </c>
      <c r="U196" s="1023"/>
      <c r="V196" s="1023"/>
      <c r="W196" s="1023"/>
    </row>
    <row r="197" ht="28.5" spans="1:23">
      <c r="A197" s="873" t="s">
        <v>921</v>
      </c>
      <c r="B197" s="681" t="s">
        <v>185</v>
      </c>
      <c r="D197" s="1023">
        <f>SUMIFS('01工程产值对比表'!$M:$M,'01工程产值对比表'!$D:$D,A197,'01工程产值对比表'!$C:$C,A$2)</f>
        <v>0</v>
      </c>
      <c r="F197" s="1024"/>
      <c r="H197" s="1023"/>
      <c r="I197" s="1035" t="s">
        <v>922</v>
      </c>
      <c r="J197" s="1031" t="s">
        <v>72</v>
      </c>
      <c r="K197" s="1036"/>
      <c r="L197" s="1032">
        <f>SUMIFS('01工程产值对比表'!$M:$M,'01工程产值对比表'!$D:$D,I197,'01工程产值对比表'!$C:$C,I$2)</f>
        <v>0</v>
      </c>
      <c r="M197" s="1033"/>
      <c r="N197" s="1033"/>
      <c r="O197" s="1033"/>
      <c r="Q197" t="s">
        <v>923</v>
      </c>
      <c r="R197" s="681" t="s">
        <v>195</v>
      </c>
      <c r="T197" s="1023">
        <f>SUMIFS('01工程产值对比表'!$M:$M,'01工程产值对比表'!$D:$D,Q197,'01工程产值对比表'!$C:$C,Q$2)</f>
        <v>0</v>
      </c>
      <c r="U197" s="1023"/>
      <c r="V197" s="1023"/>
      <c r="W197" s="1023"/>
    </row>
    <row r="198" spans="1:23">
      <c r="A198" t="s">
        <v>924</v>
      </c>
      <c r="B198" s="681" t="s">
        <v>185</v>
      </c>
      <c r="D198" s="1023">
        <f>SUMIFS('01工程产值对比表'!$M:$M,'01工程产值对比表'!$D:$D,A198,'01工程产值对比表'!$C:$C,A$2)</f>
        <v>0</v>
      </c>
      <c r="F198" s="1024"/>
      <c r="H198" s="1023"/>
      <c r="I198" s="1035" t="s">
        <v>925</v>
      </c>
      <c r="J198" s="1031" t="s">
        <v>72</v>
      </c>
      <c r="K198" s="1036"/>
      <c r="L198" s="1032">
        <f>SUMIFS('01工程产值对比表'!$M:$M,'01工程产值对比表'!$D:$D,I198,'01工程产值对比表'!$C:$C,I$2)</f>
        <v>0</v>
      </c>
      <c r="M198" s="1033"/>
      <c r="N198" s="1033"/>
      <c r="O198" s="1033"/>
      <c r="Q198" t="s">
        <v>926</v>
      </c>
      <c r="R198" s="681" t="s">
        <v>927</v>
      </c>
      <c r="T198" s="1023">
        <f>SUMIFS('01工程产值对比表'!$M:$M,'01工程产值对比表'!$D:$D,Q198,'01工程产值对比表'!$C:$C,Q$2)</f>
        <v>0</v>
      </c>
      <c r="U198" s="1023"/>
      <c r="V198" s="1023"/>
      <c r="W198" s="1023"/>
    </row>
    <row r="199" spans="1:23">
      <c r="A199" t="s">
        <v>928</v>
      </c>
      <c r="B199" s="681" t="s">
        <v>185</v>
      </c>
      <c r="D199" s="1023">
        <f>SUMIFS('01工程产值对比表'!$M:$M,'01工程产值对比表'!$D:$D,A199,'01工程产值对比表'!$C:$C,A$2)</f>
        <v>0</v>
      </c>
      <c r="F199" s="1024"/>
      <c r="H199" s="1023"/>
      <c r="I199" s="1035" t="s">
        <v>929</v>
      </c>
      <c r="J199" s="1031" t="s">
        <v>72</v>
      </c>
      <c r="K199" s="1036">
        <v>5.93</v>
      </c>
      <c r="L199" s="1032">
        <f>SUMIFS('01工程产值对比表'!$M:$M,'01工程产值对比表'!$D:$D,I199,'01工程产值对比表'!$C:$C,I$2)</f>
        <v>0</v>
      </c>
      <c r="M199" s="1033"/>
      <c r="N199" s="1033"/>
      <c r="O199" s="1033"/>
      <c r="Q199" t="s">
        <v>930</v>
      </c>
      <c r="R199" s="681" t="s">
        <v>76</v>
      </c>
      <c r="T199" s="1023">
        <f>SUMIFS('01工程产值对比表'!$M:$M,'01工程产值对比表'!$D:$D,Q199,'01工程产值对比表'!$C:$C,Q$2)</f>
        <v>0</v>
      </c>
      <c r="U199" s="1023"/>
      <c r="V199" s="1023"/>
      <c r="W199" s="1023"/>
    </row>
    <row r="200" spans="1:23">
      <c r="A200" t="s">
        <v>931</v>
      </c>
      <c r="B200" s="681" t="s">
        <v>185</v>
      </c>
      <c r="D200" s="1023">
        <f>SUMIFS('01工程产值对比表'!$M:$M,'01工程产值对比表'!$D:$D,A200,'01工程产值对比表'!$C:$C,A$2)</f>
        <v>0</v>
      </c>
      <c r="F200" s="1024"/>
      <c r="H200" s="1023"/>
      <c r="I200" s="1035" t="s">
        <v>932</v>
      </c>
      <c r="J200" s="1031" t="s">
        <v>72</v>
      </c>
      <c r="K200" s="1036">
        <v>7.05</v>
      </c>
      <c r="L200" s="1032">
        <f>SUMIFS('01工程产值对比表'!$M:$M,'01工程产值对比表'!$D:$D,I200,'01工程产值对比表'!$C:$C,I$2)</f>
        <v>0</v>
      </c>
      <c r="M200" s="1033"/>
      <c r="N200" s="1033"/>
      <c r="O200" s="1033"/>
      <c r="Q200" t="s">
        <v>933</v>
      </c>
      <c r="R200" s="681" t="s">
        <v>688</v>
      </c>
      <c r="T200" s="1023">
        <f>SUMIFS('01工程产值对比表'!$M:$M,'01工程产值对比表'!$D:$D,Q200,'01工程产值对比表'!$C:$C,Q$2)</f>
        <v>0</v>
      </c>
      <c r="U200" s="1023"/>
      <c r="V200" s="1023"/>
      <c r="W200" s="1023"/>
    </row>
    <row r="201" spans="1:23">
      <c r="A201" t="s">
        <v>934</v>
      </c>
      <c r="B201" s="681" t="s">
        <v>72</v>
      </c>
      <c r="D201" s="1023">
        <f>SUMIFS('01工程产值对比表'!$M:$M,'01工程产值对比表'!$D:$D,A201,'01工程产值对比表'!$C:$C,A$2)</f>
        <v>0</v>
      </c>
      <c r="F201" s="1024"/>
      <c r="H201" s="1023"/>
      <c r="I201" s="1035" t="s">
        <v>935</v>
      </c>
      <c r="J201" s="1031" t="s">
        <v>72</v>
      </c>
      <c r="K201" s="1036"/>
      <c r="L201" s="1032">
        <f>SUMIFS('01工程产值对比表'!$M:$M,'01工程产值对比表'!$D:$D,I201,'01工程产值对比表'!$C:$C,I$2)</f>
        <v>0</v>
      </c>
      <c r="M201" s="1033"/>
      <c r="N201" s="1033"/>
      <c r="O201" s="1033"/>
      <c r="Q201" t="s">
        <v>936</v>
      </c>
      <c r="R201" s="681" t="s">
        <v>76</v>
      </c>
      <c r="T201" s="1023">
        <f>SUMIFS('01工程产值对比表'!$M:$M,'01工程产值对比表'!$D:$D,Q201,'01工程产值对比表'!$C:$C,Q$2)</f>
        <v>0</v>
      </c>
      <c r="U201" s="1023"/>
      <c r="V201" s="1023"/>
      <c r="W201" s="1023"/>
    </row>
    <row r="202" spans="1:23">
      <c r="A202" t="s">
        <v>937</v>
      </c>
      <c r="B202" s="681" t="s">
        <v>216</v>
      </c>
      <c r="D202" s="1023">
        <f>SUMIFS('01工程产值对比表'!$M:$M,'01工程产值对比表'!$D:$D,A202,'01工程产值对比表'!$C:$C,A$2)</f>
        <v>0</v>
      </c>
      <c r="F202" s="1024"/>
      <c r="H202" s="1023"/>
      <c r="I202" s="1035" t="s">
        <v>938</v>
      </c>
      <c r="J202" s="1031" t="s">
        <v>72</v>
      </c>
      <c r="K202" s="1036">
        <v>19.32</v>
      </c>
      <c r="L202" s="1032">
        <f>SUMIFS('01工程产值对比表'!$M:$M,'01工程产值对比表'!$D:$D,I202,'01工程产值对比表'!$C:$C,I$2)</f>
        <v>0</v>
      </c>
      <c r="M202" s="1033"/>
      <c r="N202" s="1033"/>
      <c r="O202" s="1033"/>
      <c r="Q202" t="s">
        <v>939</v>
      </c>
      <c r="R202" s="681" t="s">
        <v>76</v>
      </c>
      <c r="T202" s="1023">
        <f>SUMIFS('01工程产值对比表'!$M:$M,'01工程产值对比表'!$D:$D,Q202,'01工程产值对比表'!$C:$C,Q$2)</f>
        <v>0</v>
      </c>
      <c r="U202" s="1023"/>
      <c r="V202" s="1023"/>
      <c r="W202" s="1023"/>
    </row>
    <row r="203" spans="1:23">
      <c r="A203" t="s">
        <v>940</v>
      </c>
      <c r="B203" s="681" t="s">
        <v>216</v>
      </c>
      <c r="D203" s="1023">
        <f>SUMIFS('01工程产值对比表'!$M:$M,'01工程产值对比表'!$D:$D,A203,'01工程产值对比表'!$C:$C,A$2)</f>
        <v>0</v>
      </c>
      <c r="F203" s="1024"/>
      <c r="H203" s="1023"/>
      <c r="I203" s="1035" t="s">
        <v>941</v>
      </c>
      <c r="J203" s="1031" t="s">
        <v>72</v>
      </c>
      <c r="K203" s="1036">
        <v>3.04</v>
      </c>
      <c r="L203" s="1032">
        <f>SUMIFS('01工程产值对比表'!$M:$M,'01工程产值对比表'!$D:$D,I203,'01工程产值对比表'!$C:$C,I$2)</f>
        <v>0</v>
      </c>
      <c r="M203" s="1033"/>
      <c r="N203" s="1033"/>
      <c r="O203" s="1033"/>
      <c r="Q203" t="s">
        <v>942</v>
      </c>
      <c r="R203" s="681" t="s">
        <v>76</v>
      </c>
      <c r="T203" s="1023">
        <f>SUMIFS('01工程产值对比表'!$M:$M,'01工程产值对比表'!$D:$D,Q203,'01工程产值对比表'!$C:$C,Q$2)</f>
        <v>0</v>
      </c>
      <c r="U203" s="1023"/>
      <c r="V203" s="1023"/>
      <c r="W203" s="1023"/>
    </row>
    <row r="204" spans="1:23">
      <c r="A204" t="s">
        <v>943</v>
      </c>
      <c r="B204" s="681" t="s">
        <v>216</v>
      </c>
      <c r="D204" s="1023">
        <f>SUMIFS('01工程产值对比表'!$M:$M,'01工程产值对比表'!$D:$D,A204,'01工程产值对比表'!$C:$C,A$2)</f>
        <v>0</v>
      </c>
      <c r="F204" s="1024"/>
      <c r="H204" s="1023"/>
      <c r="I204" s="1035" t="s">
        <v>944</v>
      </c>
      <c r="J204" s="1031" t="s">
        <v>72</v>
      </c>
      <c r="K204" s="1036">
        <v>1.84</v>
      </c>
      <c r="L204" s="1032">
        <f>SUMIFS('01工程产值对比表'!$M:$M,'01工程产值对比表'!$D:$D,I204,'01工程产值对比表'!$C:$C,I$2)</f>
        <v>0</v>
      </c>
      <c r="M204" s="1033"/>
      <c r="N204" s="1033"/>
      <c r="O204" s="1033"/>
      <c r="Q204" t="s">
        <v>945</v>
      </c>
      <c r="R204" s="681" t="s">
        <v>76</v>
      </c>
      <c r="T204" s="1023">
        <f>SUMIFS('01工程产值对比表'!$M:$M,'01工程产值对比表'!$D:$D,Q204,'01工程产值对比表'!$C:$C,Q$2)</f>
        <v>0</v>
      </c>
      <c r="U204" s="1023"/>
      <c r="V204" s="1023"/>
      <c r="W204" s="1023"/>
    </row>
    <row r="205" spans="1:23">
      <c r="A205" t="s">
        <v>946</v>
      </c>
      <c r="B205" s="681" t="s">
        <v>72</v>
      </c>
      <c r="D205" s="1023">
        <f>SUMIFS('01工程产值对比表'!$M:$M,'01工程产值对比表'!$D:$D,A205,'01工程产值对比表'!$C:$C,A$2)</f>
        <v>0</v>
      </c>
      <c r="F205" s="1024"/>
      <c r="H205" s="1023"/>
      <c r="I205" s="1035" t="s">
        <v>947</v>
      </c>
      <c r="J205" s="1031" t="s">
        <v>72</v>
      </c>
      <c r="K205" s="1036"/>
      <c r="L205" s="1032">
        <f>SUMIFS('01工程产值对比表'!$M:$M,'01工程产值对比表'!$D:$D,I205,'01工程产值对比表'!$C:$C,I$2)</f>
        <v>0</v>
      </c>
      <c r="M205" s="1033"/>
      <c r="N205" s="1033"/>
      <c r="O205" s="1033"/>
      <c r="Q205" t="s">
        <v>948</v>
      </c>
      <c r="R205" s="681" t="s">
        <v>76</v>
      </c>
      <c r="T205" s="1023">
        <f>SUMIFS('01工程产值对比表'!$M:$M,'01工程产值对比表'!$D:$D,Q205,'01工程产值对比表'!$C:$C,Q$2)</f>
        <v>0</v>
      </c>
      <c r="U205" s="1023"/>
      <c r="V205" s="1023"/>
      <c r="W205" s="1023"/>
    </row>
    <row r="206" spans="1:23">
      <c r="A206" t="s">
        <v>949</v>
      </c>
      <c r="B206" s="681" t="s">
        <v>216</v>
      </c>
      <c r="D206" s="1023">
        <f>SUMIFS('01工程产值对比表'!$M:$M,'01工程产值对比表'!$D:$D,A206,'01工程产值对比表'!$C:$C,A$2)</f>
        <v>0</v>
      </c>
      <c r="F206" s="1024"/>
      <c r="H206" s="1023"/>
      <c r="I206" s="1035" t="s">
        <v>950</v>
      </c>
      <c r="J206" s="1031" t="s">
        <v>72</v>
      </c>
      <c r="K206" s="1036">
        <v>3.88</v>
      </c>
      <c r="L206" s="1032">
        <f>SUMIFS('01工程产值对比表'!$M:$M,'01工程产值对比表'!$D:$D,I206,'01工程产值对比表'!$C:$C,I$2)</f>
        <v>0</v>
      </c>
      <c r="M206" s="1033"/>
      <c r="N206" s="1033"/>
      <c r="O206" s="1033"/>
      <c r="Q206" t="s">
        <v>951</v>
      </c>
      <c r="R206" s="681" t="s">
        <v>195</v>
      </c>
      <c r="T206" s="1023">
        <f>SUMIFS('01工程产值对比表'!$M:$M,'01工程产值对比表'!$D:$D,Q206,'01工程产值对比表'!$C:$C,Q$2)</f>
        <v>0</v>
      </c>
      <c r="U206" s="1023"/>
      <c r="V206" s="1023"/>
      <c r="W206" s="1023"/>
    </row>
    <row r="207" spans="1:23">
      <c r="A207" t="s">
        <v>952</v>
      </c>
      <c r="B207" s="681" t="s">
        <v>216</v>
      </c>
      <c r="D207" s="1023">
        <f>SUMIFS('01工程产值对比表'!$M:$M,'01工程产值对比表'!$D:$D,A207,'01工程产值对比表'!$C:$C,A$2)</f>
        <v>0</v>
      </c>
      <c r="F207" s="1024"/>
      <c r="H207" s="1023"/>
      <c r="I207" s="1035" t="s">
        <v>953</v>
      </c>
      <c r="J207" s="1031" t="s">
        <v>72</v>
      </c>
      <c r="K207" s="1036"/>
      <c r="L207" s="1032">
        <f>SUMIFS('01工程产值对比表'!$M:$M,'01工程产值对比表'!$D:$D,I207,'01工程产值对比表'!$C:$C,I$2)</f>
        <v>0</v>
      </c>
      <c r="M207" s="1033"/>
      <c r="N207" s="1033"/>
      <c r="O207" s="1033"/>
      <c r="Q207" t="s">
        <v>954</v>
      </c>
      <c r="R207" s="681" t="s">
        <v>185</v>
      </c>
      <c r="T207" s="1023">
        <f>SUMIFS('01工程产值对比表'!$M:$M,'01工程产值对比表'!$D:$D,Q207,'01工程产值对比表'!$C:$C,Q$2)</f>
        <v>0</v>
      </c>
      <c r="U207" s="1023"/>
      <c r="V207" s="1023"/>
      <c r="W207" s="1023"/>
    </row>
    <row r="208" spans="1:23">
      <c r="A208" t="s">
        <v>955</v>
      </c>
      <c r="B208" s="681" t="s">
        <v>76</v>
      </c>
      <c r="D208" s="1023">
        <f>SUMIFS('01工程产值对比表'!$M:$M,'01工程产值对比表'!$D:$D,A208,'01工程产值对比表'!$C:$C,A$2)</f>
        <v>0</v>
      </c>
      <c r="F208" s="1024"/>
      <c r="H208" s="1023"/>
      <c r="I208" s="1035" t="s">
        <v>956</v>
      </c>
      <c r="J208" s="1031" t="s">
        <v>72</v>
      </c>
      <c r="K208" s="1036">
        <v>35</v>
      </c>
      <c r="L208" s="1032">
        <f>SUMIFS('01工程产值对比表'!$M:$M,'01工程产值对比表'!$D:$D,I208,'01工程产值对比表'!$C:$C,I$2)</f>
        <v>0</v>
      </c>
      <c r="M208" s="1033"/>
      <c r="N208" s="1033"/>
      <c r="O208" s="1033"/>
      <c r="Q208" t="s">
        <v>957</v>
      </c>
      <c r="R208" s="681" t="s">
        <v>76</v>
      </c>
      <c r="T208" s="1023">
        <f>SUMIFS('01工程产值对比表'!$M:$M,'01工程产值对比表'!$D:$D,Q208,'01工程产值对比表'!$C:$C,Q$2)</f>
        <v>0</v>
      </c>
      <c r="U208" s="1023"/>
      <c r="V208" s="1023"/>
      <c r="W208" s="1023"/>
    </row>
    <row r="209" spans="1:23">
      <c r="A209" t="s">
        <v>958</v>
      </c>
      <c r="B209" s="681" t="s">
        <v>72</v>
      </c>
      <c r="D209" s="1023">
        <f>SUMIFS('01工程产值对比表'!$M:$M,'01工程产值对比表'!$D:$D,A209,'01工程产值对比表'!$C:$C,A$2)</f>
        <v>0</v>
      </c>
      <c r="F209" s="1024"/>
      <c r="H209" s="1023"/>
      <c r="I209" s="1035" t="s">
        <v>959</v>
      </c>
      <c r="J209" s="1031" t="s">
        <v>72</v>
      </c>
      <c r="K209" s="1036">
        <v>5</v>
      </c>
      <c r="L209" s="1032">
        <f>SUMIFS('01工程产值对比表'!$M:$M,'01工程产值对比表'!$D:$D,I209,'01工程产值对比表'!$C:$C,I$2)</f>
        <v>0</v>
      </c>
      <c r="M209" s="1033"/>
      <c r="N209" s="1033"/>
      <c r="O209" s="1033"/>
      <c r="Q209" t="s">
        <v>960</v>
      </c>
      <c r="R209" s="681" t="s">
        <v>771</v>
      </c>
      <c r="T209" s="1023">
        <f>SUMIFS('01工程产值对比表'!$M:$M,'01工程产值对比表'!$D:$D,Q209,'01工程产值对比表'!$C:$C,Q$2)</f>
        <v>0</v>
      </c>
      <c r="U209" s="1023"/>
      <c r="V209" s="1023"/>
      <c r="W209" s="1023"/>
    </row>
    <row r="210" spans="1:23">
      <c r="A210" t="s">
        <v>961</v>
      </c>
      <c r="B210" s="681" t="s">
        <v>76</v>
      </c>
      <c r="D210" s="1023">
        <f>SUMIFS('01工程产值对比表'!$M:$M,'01工程产值对比表'!$D:$D,A210,'01工程产值对比表'!$C:$C,A$2)</f>
        <v>0</v>
      </c>
      <c r="F210" s="1024"/>
      <c r="H210" s="1023"/>
      <c r="I210" s="1035" t="s">
        <v>962</v>
      </c>
      <c r="J210" s="1031" t="s">
        <v>734</v>
      </c>
      <c r="K210" s="1036">
        <v>3.6</v>
      </c>
      <c r="L210" s="1032">
        <f>SUMIFS('01工程产值对比表'!$M:$M,'01工程产值对比表'!$D:$D,I210,'01工程产值对比表'!$C:$C,I$2)</f>
        <v>0</v>
      </c>
      <c r="M210" s="1033"/>
      <c r="N210" s="1033"/>
      <c r="O210" s="1033"/>
      <c r="Q210" t="s">
        <v>372</v>
      </c>
      <c r="R210" s="681" t="s">
        <v>211</v>
      </c>
      <c r="T210" s="1023">
        <f>SUMIFS('01工程产值对比表'!$M:$M,'01工程产值对比表'!$D:$D,Q210,'01工程产值对比表'!$C:$C,Q$2)</f>
        <v>0</v>
      </c>
      <c r="U210" s="1023"/>
      <c r="V210" s="1023"/>
      <c r="W210" s="1023"/>
    </row>
    <row r="211" ht="42.75" spans="1:23">
      <c r="A211" t="s">
        <v>963</v>
      </c>
      <c r="B211" s="681" t="s">
        <v>76</v>
      </c>
      <c r="D211" s="1023">
        <f>SUMIFS('01工程产值对比表'!$M:$M,'01工程产值对比表'!$D:$D,A211,'01工程产值对比表'!$C:$C,A$2)</f>
        <v>0</v>
      </c>
      <c r="F211" s="1024"/>
      <c r="H211" s="1023"/>
      <c r="I211" s="1055" t="s">
        <v>964</v>
      </c>
      <c r="J211" s="1031" t="s">
        <v>734</v>
      </c>
      <c r="K211" s="1036">
        <v>3.32</v>
      </c>
      <c r="L211" s="1032">
        <f>SUMIFS('01工程产值对比表'!$M:$M,'01工程产值对比表'!$D:$D,I211,'01工程产值对比表'!$C:$C,I$2)</f>
        <v>0</v>
      </c>
      <c r="M211" s="1033"/>
      <c r="N211" s="1033"/>
      <c r="O211" s="1033"/>
      <c r="Q211" t="s">
        <v>965</v>
      </c>
      <c r="R211" s="681" t="s">
        <v>211</v>
      </c>
      <c r="T211" s="1023">
        <f>SUMIFS('01工程产值对比表'!$M:$M,'01工程产值对比表'!$D:$D,Q211,'01工程产值对比表'!$C:$C,Q$2)</f>
        <v>0</v>
      </c>
      <c r="U211" s="1023"/>
      <c r="V211" s="1023"/>
      <c r="W211" s="1023"/>
    </row>
    <row r="212" spans="1:23">
      <c r="A212" t="s">
        <v>966</v>
      </c>
      <c r="B212" s="681" t="s">
        <v>82</v>
      </c>
      <c r="D212" s="1023">
        <f>SUMIFS('01工程产值对比表'!$M:$M,'01工程产值对比表'!$D:$D,A212,'01工程产值对比表'!$C:$C,A$2)</f>
        <v>0</v>
      </c>
      <c r="H212" s="1023"/>
      <c r="I212" s="1035" t="s">
        <v>967</v>
      </c>
      <c r="J212" s="1031" t="s">
        <v>734</v>
      </c>
      <c r="K212" s="1036">
        <v>3.32</v>
      </c>
      <c r="L212" s="1032">
        <f>SUMIFS('01工程产值对比表'!$M:$M,'01工程产值对比表'!$D:$D,I212,'01工程产值对比表'!$C:$C,I$2)</f>
        <v>0</v>
      </c>
      <c r="M212" s="1033"/>
      <c r="N212" s="1033"/>
      <c r="O212" s="1033"/>
      <c r="Q212" t="s">
        <v>968</v>
      </c>
      <c r="R212" s="681" t="s">
        <v>211</v>
      </c>
      <c r="T212" s="1023">
        <f>SUMIFS('01工程产值对比表'!$M:$M,'01工程产值对比表'!$D:$D,Q212,'01工程产值对比表'!$C:$C,Q$2)</f>
        <v>0</v>
      </c>
      <c r="U212" s="1023"/>
      <c r="V212" s="1023"/>
      <c r="W212" s="1023"/>
    </row>
    <row r="213" ht="28.5" spans="1:23">
      <c r="A213" t="s">
        <v>969</v>
      </c>
      <c r="B213" s="681" t="s">
        <v>82</v>
      </c>
      <c r="D213" s="1023">
        <f>SUMIFS('01工程产值对比表'!$M:$M,'01工程产值对比表'!$D:$D,A213,'01工程产值对比表'!$C:$C,A$2)</f>
        <v>0</v>
      </c>
      <c r="H213" s="1023"/>
      <c r="I213" s="1035" t="s">
        <v>970</v>
      </c>
      <c r="J213" s="1031" t="s">
        <v>734</v>
      </c>
      <c r="K213" s="1036">
        <v>3.64</v>
      </c>
      <c r="L213" s="1032">
        <f>SUMIFS('01工程产值对比表'!$M:$M,'01工程产值对比表'!$D:$D,I213,'01工程产值对比表'!$C:$C,I$2)</f>
        <v>0</v>
      </c>
      <c r="M213" s="1033"/>
      <c r="N213" s="1033"/>
      <c r="O213" s="1033"/>
      <c r="Q213" t="s">
        <v>971</v>
      </c>
      <c r="R213" s="1043" t="s">
        <v>972</v>
      </c>
      <c r="T213" s="1023">
        <f>SUMIFS('01工程产值对比表'!$M:$M,'01工程产值对比表'!$D:$D,Q213,'01工程产值对比表'!$C:$C,Q$2)</f>
        <v>0</v>
      </c>
      <c r="U213" s="1023"/>
      <c r="V213" s="1023"/>
      <c r="W213" s="1023"/>
    </row>
    <row r="214" ht="28.5" spans="1:21">
      <c r="A214" t="s">
        <v>401</v>
      </c>
      <c r="B214" s="681" t="s">
        <v>82</v>
      </c>
      <c r="C214">
        <v>90</v>
      </c>
      <c r="D214" s="1023">
        <f>SUMIFS('01工程产值对比表'!$M:$M,'01工程产值对比表'!$D:$D,A214,'01工程产值对比表'!$C:$C,A$2)</f>
        <v>0</v>
      </c>
      <c r="H214" s="1023"/>
      <c r="I214" s="1035" t="s">
        <v>973</v>
      </c>
      <c r="J214" s="1031" t="s">
        <v>734</v>
      </c>
      <c r="K214" s="1036">
        <v>2.25</v>
      </c>
      <c r="L214" s="1032">
        <f>SUMIFS('01工程产值对比表'!$M:$M,'01工程产值对比表'!$D:$D,I214,'01工程产值对比表'!$C:$C,I$2)</f>
        <v>0</v>
      </c>
      <c r="M214" s="1033"/>
      <c r="N214" s="1033"/>
      <c r="O214" s="1033"/>
      <c r="Q214" t="s">
        <v>974</v>
      </c>
      <c r="R214" s="1043" t="s">
        <v>972</v>
      </c>
      <c r="T214" s="1023">
        <f>SUMIFS('01工程产值对比表'!$M:$M,'01工程产值对比表'!$D:$D,Q214,'01工程产值对比表'!$C:$C,Q$2)</f>
        <v>0</v>
      </c>
      <c r="U214" s="1023"/>
    </row>
    <row r="215" ht="28.5" spans="1:21">
      <c r="A215" t="s">
        <v>975</v>
      </c>
      <c r="B215" s="681" t="s">
        <v>72</v>
      </c>
      <c r="D215">
        <f>SUMIFS('分项对比表(02表)'!$M:$M,'分项对比表(02表)'!$D:$D,A215,'分项对比表(02表)'!$C:$C,A$2)</f>
        <v>0</v>
      </c>
      <c r="H215" s="1023"/>
      <c r="I215" s="1035" t="s">
        <v>976</v>
      </c>
      <c r="J215" s="1031" t="s">
        <v>734</v>
      </c>
      <c r="K215" s="1036">
        <v>2</v>
      </c>
      <c r="L215" s="1032">
        <f>SUMIFS('01工程产值对比表'!$M:$M,'01工程产值对比表'!$D:$D,I215,'01工程产值对比表'!$C:$C,I$2)</f>
        <v>0</v>
      </c>
      <c r="M215" s="1033"/>
      <c r="N215" s="1033"/>
      <c r="O215" s="1033"/>
      <c r="Q215" t="s">
        <v>977</v>
      </c>
      <c r="R215" s="1043" t="s">
        <v>972</v>
      </c>
      <c r="T215" s="1023">
        <f>SUMIFS('01工程产值对比表'!$M:$M,'01工程产值对比表'!$D:$D,Q215,'01工程产值对比表'!$C:$C,Q$2)</f>
        <v>0</v>
      </c>
      <c r="U215" s="1023"/>
    </row>
    <row r="216" ht="28.5" spans="1:21">
      <c r="A216" t="s">
        <v>978</v>
      </c>
      <c r="B216" s="681" t="s">
        <v>82</v>
      </c>
      <c r="D216">
        <f>SUMIFS('分项对比表(02表)'!$M:$M,'分项对比表(02表)'!$D:$D,A216,'分项对比表(02表)'!$C:$C,A$2)</f>
        <v>0</v>
      </c>
      <c r="H216" s="1023"/>
      <c r="I216" s="1035" t="s">
        <v>979</v>
      </c>
      <c r="J216" s="1031" t="s">
        <v>734</v>
      </c>
      <c r="K216" s="1036">
        <v>2.5</v>
      </c>
      <c r="L216" s="1032">
        <f>SUMIFS('01工程产值对比表'!$M:$M,'01工程产值对比表'!$D:$D,I216,'01工程产值对比表'!$C:$C,I$2)</f>
        <v>0</v>
      </c>
      <c r="M216" s="1033"/>
      <c r="N216" s="1033"/>
      <c r="O216" s="1033"/>
      <c r="Q216" t="s">
        <v>980</v>
      </c>
      <c r="R216" s="1043" t="s">
        <v>972</v>
      </c>
      <c r="T216" s="1023">
        <f>SUMIFS('01工程产值对比表'!$M:$M,'01工程产值对比表'!$D:$D,Q216,'01工程产值对比表'!$C:$C,Q$2)</f>
        <v>0</v>
      </c>
      <c r="U216" s="1023"/>
    </row>
    <row r="217" ht="28.5" spans="1:21">
      <c r="A217" t="s">
        <v>981</v>
      </c>
      <c r="B217" s="681" t="s">
        <v>72</v>
      </c>
      <c r="D217">
        <f>SUMIFS('分项对比表(02表)'!$M:$M,'分项对比表(02表)'!$D:$D,A217,'分项对比表(02表)'!$C:$C,A$2)</f>
        <v>0</v>
      </c>
      <c r="H217" s="1023"/>
      <c r="I217" s="1035" t="s">
        <v>982</v>
      </c>
      <c r="J217" s="1031" t="s">
        <v>734</v>
      </c>
      <c r="K217" s="1036">
        <v>1</v>
      </c>
      <c r="L217" s="1032">
        <f>SUMIFS('01工程产值对比表'!$M:$M,'01工程产值对比表'!$D:$D,I217,'01工程产值对比表'!$C:$C,I$2)</f>
        <v>0</v>
      </c>
      <c r="M217" s="1033"/>
      <c r="N217" s="1033"/>
      <c r="O217" s="1033"/>
      <c r="Q217" t="s">
        <v>983</v>
      </c>
      <c r="R217" s="1043" t="s">
        <v>972</v>
      </c>
      <c r="T217" s="1023">
        <f>SUMIFS('01工程产值对比表'!$M:$M,'01工程产值对比表'!$D:$D,Q217,'01工程产值对比表'!$C:$C,Q$2)</f>
        <v>0</v>
      </c>
      <c r="U217" s="1023"/>
    </row>
    <row r="218" ht="28.5" spans="1:21">
      <c r="A218" t="s">
        <v>984</v>
      </c>
      <c r="B218" s="681" t="s">
        <v>82</v>
      </c>
      <c r="D218">
        <f>SUMIFS('分项对比表(02表)'!$M:$M,'分项对比表(02表)'!$D:$D,A218,'分项对比表(02表)'!$C:$C,A$2)</f>
        <v>0</v>
      </c>
      <c r="H218" s="1023"/>
      <c r="I218" s="1035" t="s">
        <v>985</v>
      </c>
      <c r="J218" s="1031" t="s">
        <v>734</v>
      </c>
      <c r="K218" s="1036">
        <v>1.5</v>
      </c>
      <c r="L218" s="1032">
        <f>SUMIFS('01工程产值对比表'!$M:$M,'01工程产值对比表'!$D:$D,I218,'01工程产值对比表'!$C:$C,I$2)</f>
        <v>0</v>
      </c>
      <c r="M218" s="1033"/>
      <c r="N218" s="1033"/>
      <c r="O218" s="1033"/>
      <c r="Q218" t="s">
        <v>986</v>
      </c>
      <c r="R218" s="1043" t="s">
        <v>972</v>
      </c>
      <c r="T218" s="1023">
        <f>SUMIFS('01工程产值对比表'!$M:$M,'01工程产值对比表'!$D:$D,Q218,'01工程产值对比表'!$C:$C,Q$2)</f>
        <v>0</v>
      </c>
      <c r="U218" s="1023"/>
    </row>
    <row r="219" ht="28.5" spans="1:21">
      <c r="A219" t="s">
        <v>987</v>
      </c>
      <c r="B219" s="681" t="s">
        <v>169</v>
      </c>
      <c r="D219">
        <f>SUMIFS('分项对比表(02表)'!$M:$M,'分项对比表(02表)'!$D:$D,A219,'分项对比表(02表)'!$C:$C,A$2)</f>
        <v>0</v>
      </c>
      <c r="H219" s="1023"/>
      <c r="I219" s="1035" t="s">
        <v>988</v>
      </c>
      <c r="J219" s="1031" t="s">
        <v>734</v>
      </c>
      <c r="K219" s="1036">
        <v>1.27</v>
      </c>
      <c r="L219" s="1032">
        <f>SUMIFS('01工程产值对比表'!$M:$M,'01工程产值对比表'!$D:$D,I219,'01工程产值对比表'!$C:$C,I$2)</f>
        <v>0</v>
      </c>
      <c r="M219" s="1033"/>
      <c r="N219" s="1033"/>
      <c r="O219" s="1033"/>
      <c r="Q219" t="s">
        <v>989</v>
      </c>
      <c r="R219" s="1043" t="s">
        <v>972</v>
      </c>
      <c r="T219" s="1023">
        <f>SUMIFS('01工程产值对比表'!$M:$M,'01工程产值对比表'!$D:$D,Q219,'01工程产值对比表'!$C:$C,Q$2)</f>
        <v>0</v>
      </c>
      <c r="U219" s="1023"/>
    </row>
    <row r="220" spans="1:21">
      <c r="A220" t="s">
        <v>990</v>
      </c>
      <c r="B220" s="681" t="s">
        <v>169</v>
      </c>
      <c r="D220">
        <f>SUMIFS('分项对比表(02表)'!$M:$M,'分项对比表(02表)'!$D:$D,A220,'分项对比表(02表)'!$C:$C,A$2)</f>
        <v>0</v>
      </c>
      <c r="H220" s="1023"/>
      <c r="I220" s="1035" t="s">
        <v>991</v>
      </c>
      <c r="J220" s="1031" t="s">
        <v>734</v>
      </c>
      <c r="K220" s="1036"/>
      <c r="L220" s="1032">
        <f>SUMIFS('01工程产值对比表'!$M:$M,'01工程产值对比表'!$D:$D,I220,'01工程产值对比表'!$C:$C,I$2)</f>
        <v>0</v>
      </c>
      <c r="M220" s="1033"/>
      <c r="N220" s="1033"/>
      <c r="O220" s="1033"/>
      <c r="Q220" t="s">
        <v>992</v>
      </c>
      <c r="R220" s="681" t="s">
        <v>688</v>
      </c>
      <c r="T220" s="1023">
        <f>SUMIFS('01工程产值对比表'!$M:$M,'01工程产值对比表'!$D:$D,Q220,'01工程产值对比表'!$C:$C,Q$2)</f>
        <v>0</v>
      </c>
      <c r="U220" s="1023"/>
    </row>
    <row r="221" spans="1:21">
      <c r="A221" t="s">
        <v>993</v>
      </c>
      <c r="B221" s="681" t="s">
        <v>169</v>
      </c>
      <c r="D221">
        <f>SUMIFS('分项对比表(02表)'!$M:$M,'分项对比表(02表)'!$D:$D,A221,'分项对比表(02表)'!$C:$C,A$2)</f>
        <v>0</v>
      </c>
      <c r="H221" s="1023"/>
      <c r="I221" s="1035" t="s">
        <v>994</v>
      </c>
      <c r="J221" s="1031" t="s">
        <v>734</v>
      </c>
      <c r="K221" s="1036"/>
      <c r="L221" s="1032">
        <f>SUMIFS('01工程产值对比表'!$M:$M,'01工程产值对比表'!$D:$D,I221,'01工程产值对比表'!$C:$C,I$2)</f>
        <v>0</v>
      </c>
      <c r="M221" s="1033"/>
      <c r="N221" s="1033"/>
      <c r="O221" s="1033"/>
      <c r="Q221" t="s">
        <v>995</v>
      </c>
      <c r="R221" s="681" t="s">
        <v>688</v>
      </c>
      <c r="T221" s="1023">
        <f>SUMIFS('01工程产值对比表'!$M:$M,'01工程产值对比表'!$D:$D,Q221,'01工程产值对比表'!$C:$C,Q$2)</f>
        <v>0</v>
      </c>
      <c r="U221" s="1023"/>
    </row>
    <row r="222" spans="1:21">
      <c r="A222" t="s">
        <v>996</v>
      </c>
      <c r="B222" s="681" t="s">
        <v>169</v>
      </c>
      <c r="D222">
        <f>SUMIFS('分项对比表(02表)'!$M:$M,'分项对比表(02表)'!$D:$D,A222,'分项对比表(02表)'!$C:$C,A$2)</f>
        <v>0</v>
      </c>
      <c r="H222" s="1023"/>
      <c r="I222" s="1035" t="s">
        <v>997</v>
      </c>
      <c r="J222" s="1031" t="s">
        <v>734</v>
      </c>
      <c r="K222" s="1036">
        <v>4.2</v>
      </c>
      <c r="L222" s="1032">
        <f>SUMIFS('01工程产值对比表'!$M:$M,'01工程产值对比表'!$D:$D,I222,'01工程产值对比表'!$C:$C,I$2)</f>
        <v>0</v>
      </c>
      <c r="M222" s="1033"/>
      <c r="N222" s="1033"/>
      <c r="O222" s="1033"/>
      <c r="Q222" t="s">
        <v>998</v>
      </c>
      <c r="R222" s="681" t="s">
        <v>76</v>
      </c>
      <c r="T222" s="1023">
        <f>SUMIFS('01工程产值对比表'!$M:$M,'01工程产值对比表'!$D:$D,Q222,'01工程产值对比表'!$C:$C,Q$2)</f>
        <v>0</v>
      </c>
      <c r="U222" s="1023"/>
    </row>
    <row r="223" spans="1:21">
      <c r="A223" t="s">
        <v>999</v>
      </c>
      <c r="B223" s="681" t="s">
        <v>169</v>
      </c>
      <c r="D223">
        <f>SUMIFS('分项对比表(02表)'!$M:$M,'分项对比表(02表)'!$D:$D,A223,'分项对比表(02表)'!$C:$C,A$2)</f>
        <v>0</v>
      </c>
      <c r="H223" s="1023"/>
      <c r="I223" s="1035" t="s">
        <v>1000</v>
      </c>
      <c r="J223" s="1031" t="s">
        <v>734</v>
      </c>
      <c r="K223" s="1036">
        <v>10</v>
      </c>
      <c r="L223" s="1032">
        <f>SUMIFS('01工程产值对比表'!$M:$M,'01工程产值对比表'!$D:$D,I223,'01工程产值对比表'!$C:$C,I$2)</f>
        <v>0</v>
      </c>
      <c r="M223" s="1033"/>
      <c r="N223" s="1033"/>
      <c r="O223" s="1033"/>
      <c r="Q223" t="s">
        <v>1001</v>
      </c>
      <c r="R223" s="681" t="s">
        <v>82</v>
      </c>
      <c r="T223" s="1023">
        <f>SUMIFS('01工程产值对比表'!$M:$M,'01工程产值对比表'!$D:$D,Q223,'01工程产值对比表'!$C:$C,Q$2)</f>
        <v>0</v>
      </c>
      <c r="U223" s="1023"/>
    </row>
    <row r="224" spans="1:21">
      <c r="A224" t="s">
        <v>1002</v>
      </c>
      <c r="B224" s="681" t="s">
        <v>76</v>
      </c>
      <c r="D224">
        <f>SUMIFS('分项对比表(02表)'!$M:$M,'分项对比表(02表)'!$D:$D,A224,'分项对比表(02表)'!$C:$C,A$2)</f>
        <v>0</v>
      </c>
      <c r="H224" s="1023"/>
      <c r="I224" s="1035" t="s">
        <v>1003</v>
      </c>
      <c r="J224" s="1031" t="s">
        <v>734</v>
      </c>
      <c r="K224" s="1036"/>
      <c r="L224" s="1032">
        <f>SUMIFS('01工程产值对比表'!$M:$M,'01工程产值对比表'!$D:$D,I224,'01工程产值对比表'!$C:$C,I$2)</f>
        <v>0</v>
      </c>
      <c r="M224" s="1033"/>
      <c r="N224" s="1033"/>
      <c r="O224" s="1033"/>
      <c r="Q224" t="s">
        <v>1004</v>
      </c>
      <c r="R224" s="681" t="s">
        <v>688</v>
      </c>
      <c r="T224" s="1023">
        <f>SUMIFS('01工程产值对比表'!$M:$M,'01工程产值对比表'!$D:$D,Q224,'01工程产值对比表'!$C:$C,Q$2)</f>
        <v>0</v>
      </c>
      <c r="U224" s="1023"/>
    </row>
    <row r="225" spans="1:21">
      <c r="A225" t="s">
        <v>1005</v>
      </c>
      <c r="B225" s="681" t="s">
        <v>76</v>
      </c>
      <c r="D225">
        <f>SUMIFS('分项对比表(02表)'!$M:$M,'分项对比表(02表)'!$D:$D,A225,'分项对比表(02表)'!$C:$C,A$2)</f>
        <v>0</v>
      </c>
      <c r="H225" s="1023"/>
      <c r="I225" s="1035" t="s">
        <v>1006</v>
      </c>
      <c r="J225" s="1031" t="s">
        <v>734</v>
      </c>
      <c r="K225" s="1036"/>
      <c r="L225" s="1032">
        <f>SUMIFS('01工程产值对比表'!$M:$M,'01工程产值对比表'!$D:$D,I225,'01工程产值对比表'!$C:$C,I$2)</f>
        <v>0</v>
      </c>
      <c r="M225" s="1033"/>
      <c r="N225" s="1033"/>
      <c r="O225" s="1033"/>
      <c r="Q225" t="s">
        <v>1007</v>
      </c>
      <c r="R225" s="681" t="s">
        <v>76</v>
      </c>
      <c r="T225" s="1023">
        <f>SUMIFS('01工程产值对比表'!$M:$M,'01工程产值对比表'!$D:$D,Q225,'01工程产值对比表'!$C:$C,Q$2)</f>
        <v>0</v>
      </c>
      <c r="U225" s="1023"/>
    </row>
    <row r="226" spans="1:21">
      <c r="A226" t="s">
        <v>1008</v>
      </c>
      <c r="B226" s="681" t="s">
        <v>169</v>
      </c>
      <c r="D226">
        <f>SUMIFS('分项对比表(02表)'!$M:$M,'分项对比表(02表)'!$D:$D,A226,'分项对比表(02表)'!$C:$C,A$2)</f>
        <v>0</v>
      </c>
      <c r="H226" s="1023"/>
      <c r="I226" s="1035" t="s">
        <v>1009</v>
      </c>
      <c r="J226" s="1031" t="s">
        <v>734</v>
      </c>
      <c r="K226" s="1036"/>
      <c r="L226" s="1032">
        <f>SUMIFS('01工程产值对比表'!$M:$M,'01工程产值对比表'!$D:$D,I226,'01工程产值对比表'!$C:$C,I$2)</f>
        <v>0</v>
      </c>
      <c r="M226" s="1033"/>
      <c r="N226" s="1033"/>
      <c r="O226" s="1033"/>
      <c r="Q226" t="s">
        <v>1010</v>
      </c>
      <c r="R226" s="681" t="s">
        <v>771</v>
      </c>
      <c r="T226" s="1023">
        <f>SUMIFS('01工程产值对比表'!$M:$M,'01工程产值对比表'!$D:$D,Q226,'01工程产值对比表'!$C:$C,Q$2)</f>
        <v>0</v>
      </c>
      <c r="U226" s="1023"/>
    </row>
    <row r="227" spans="1:21">
      <c r="A227" t="s">
        <v>1011</v>
      </c>
      <c r="B227" s="681" t="s">
        <v>69</v>
      </c>
      <c r="D227">
        <f>SUMIFS('分项对比表(02表)'!$M:$M,'分项对比表(02表)'!$D:$D,A227,'分项对比表(02表)'!$C:$C,A$2)</f>
        <v>0</v>
      </c>
      <c r="H227" s="1023"/>
      <c r="I227" s="1035" t="s">
        <v>1012</v>
      </c>
      <c r="J227" s="1031" t="s">
        <v>734</v>
      </c>
      <c r="K227" s="1036">
        <v>15</v>
      </c>
      <c r="L227" s="1032">
        <f>SUMIFS('01工程产值对比表'!$M:$M,'01工程产值对比表'!$D:$D,I227,'01工程产值对比表'!$C:$C,I$2)</f>
        <v>0</v>
      </c>
      <c r="M227" s="1033"/>
      <c r="N227" s="1033"/>
      <c r="O227" s="1033"/>
      <c r="Q227" t="s">
        <v>1013</v>
      </c>
      <c r="R227" s="681" t="s">
        <v>771</v>
      </c>
      <c r="T227" s="1023">
        <f>SUMIFS('01工程产值对比表'!$M:$M,'01工程产值对比表'!$D:$D,Q227,'01工程产值对比表'!$C:$C,Q$2)</f>
        <v>0</v>
      </c>
      <c r="U227" s="1023"/>
    </row>
    <row r="228" spans="1:21">
      <c r="A228" t="s">
        <v>1014</v>
      </c>
      <c r="B228" s="681" t="s">
        <v>72</v>
      </c>
      <c r="D228">
        <f>SUMIFS('分项对比表(02表)'!$M:$M,'分项对比表(02表)'!$D:$D,A228,'分项对比表(02表)'!$C:$C,A$2)</f>
        <v>0</v>
      </c>
      <c r="H228" s="1023"/>
      <c r="I228" s="1035" t="s">
        <v>1015</v>
      </c>
      <c r="J228" s="1031" t="s">
        <v>734</v>
      </c>
      <c r="K228" s="1036">
        <v>4.69</v>
      </c>
      <c r="L228" s="1032">
        <f>SUMIFS('01工程产值对比表'!$M:$M,'01工程产值对比表'!$D:$D,I228,'01工程产值对比表'!$C:$C,I$2)</f>
        <v>0</v>
      </c>
      <c r="M228" s="1033"/>
      <c r="N228" s="1033"/>
      <c r="O228" s="1033"/>
      <c r="Q228" t="s">
        <v>1016</v>
      </c>
      <c r="R228" s="681" t="s">
        <v>82</v>
      </c>
      <c r="T228" s="1023">
        <f>SUMIFS('01工程产值对比表'!$M:$M,'01工程产值对比表'!$D:$D,Q228,'01工程产值对比表'!$C:$C,Q$2)</f>
        <v>0</v>
      </c>
      <c r="U228" s="1023"/>
    </row>
    <row r="229" spans="1:21">
      <c r="A229" t="s">
        <v>1017</v>
      </c>
      <c r="B229" s="681" t="s">
        <v>72</v>
      </c>
      <c r="D229">
        <f>SUMIFS('分项对比表(02表)'!$M:$M,'分项对比表(02表)'!$D:$D,A229,'分项对比表(02表)'!$C:$C,A$2)</f>
        <v>0</v>
      </c>
      <c r="H229" s="1023"/>
      <c r="I229" s="1035" t="s">
        <v>1018</v>
      </c>
      <c r="J229" s="1031" t="s">
        <v>72</v>
      </c>
      <c r="K229" s="1036">
        <v>9.05</v>
      </c>
      <c r="L229" s="1032">
        <f>SUMIFS('01工程产值对比表'!$M:$M,'01工程产值对比表'!$D:$D,I229,'01工程产值对比表'!$C:$C,I$2)</f>
        <v>0</v>
      </c>
      <c r="M229" s="1033"/>
      <c r="N229" s="1033"/>
      <c r="O229" s="1033"/>
      <c r="Q229" t="s">
        <v>1019</v>
      </c>
      <c r="R229" s="681" t="s">
        <v>771</v>
      </c>
      <c r="T229" s="1023">
        <f>SUMIFS('01工程产值对比表'!$M:$M,'01工程产值对比表'!$D:$D,Q229,'01工程产值对比表'!$C:$C,Q$2)</f>
        <v>0</v>
      </c>
      <c r="U229" s="1023"/>
    </row>
    <row r="230" spans="1:21">
      <c r="A230" t="s">
        <v>1020</v>
      </c>
      <c r="B230" s="681" t="s">
        <v>72</v>
      </c>
      <c r="D230">
        <f>SUMIFS('分项对比表(02表)'!$M:$M,'分项对比表(02表)'!$D:$D,A230,'分项对比表(02表)'!$C:$C,A$2)</f>
        <v>0</v>
      </c>
      <c r="H230" s="1023"/>
      <c r="I230" s="1035" t="s">
        <v>1021</v>
      </c>
      <c r="J230" s="1031" t="s">
        <v>72</v>
      </c>
      <c r="K230" s="1036">
        <v>5.51</v>
      </c>
      <c r="L230" s="1032">
        <f>SUMIFS('01工程产值对比表'!$M:$M,'01工程产值对比表'!$D:$D,I230,'01工程产值对比表'!$C:$C,I$2)</f>
        <v>0</v>
      </c>
      <c r="M230" s="1033"/>
      <c r="N230" s="1033"/>
      <c r="O230" s="1033"/>
      <c r="Q230" t="s">
        <v>1022</v>
      </c>
      <c r="R230" s="681" t="s">
        <v>76</v>
      </c>
      <c r="T230" s="1023">
        <f>SUMIFS('01工程产值对比表'!$M:$M,'01工程产值对比表'!$D:$D,Q230,'01工程产值对比表'!$C:$C,Q$2)</f>
        <v>0</v>
      </c>
      <c r="U230" s="1023"/>
    </row>
    <row r="231" spans="1:21">
      <c r="A231" t="s">
        <v>1023</v>
      </c>
      <c r="B231" s="681" t="s">
        <v>76</v>
      </c>
      <c r="D231">
        <f>SUMIFS('分项对比表(02表)'!$M:$M,'分项对比表(02表)'!$D:$D,A231,'分项对比表(02表)'!$C:$C,A$2)</f>
        <v>0</v>
      </c>
      <c r="H231" s="1023"/>
      <c r="I231" s="1035" t="s">
        <v>1024</v>
      </c>
      <c r="J231" s="1031" t="s">
        <v>72</v>
      </c>
      <c r="K231" s="1036">
        <v>17</v>
      </c>
      <c r="L231" s="1032">
        <f>SUMIFS('01工程产值对比表'!$M:$M,'01工程产值对比表'!$D:$D,I231,'01工程产值对比表'!$C:$C,I$2)</f>
        <v>0</v>
      </c>
      <c r="M231" s="1033"/>
      <c r="N231" s="1033"/>
      <c r="O231" s="1033"/>
      <c r="Q231" t="s">
        <v>1025</v>
      </c>
      <c r="R231" s="681" t="s">
        <v>72</v>
      </c>
      <c r="S231">
        <v>1.5</v>
      </c>
      <c r="T231" s="1023">
        <f>SUMIFS('01工程产值对比表'!$M:$M,'01工程产值对比表'!$D:$D,Q231,'01工程产值对比表'!$C:$C,Q$2)</f>
        <v>1336.81305</v>
      </c>
      <c r="U231" s="1023"/>
    </row>
    <row r="232" spans="1:21">
      <c r="A232" t="s">
        <v>1026</v>
      </c>
      <c r="B232" s="681" t="s">
        <v>169</v>
      </c>
      <c r="D232">
        <f>SUMIFS('分项对比表(02表)'!$M:$M,'分项对比表(02表)'!$D:$D,A232,'分项对比表(02表)'!$C:$C,A$2)</f>
        <v>0</v>
      </c>
      <c r="H232" s="1023"/>
      <c r="I232" s="1035" t="s">
        <v>1027</v>
      </c>
      <c r="J232" s="1031" t="s">
        <v>72</v>
      </c>
      <c r="K232" s="1036">
        <v>18</v>
      </c>
      <c r="L232" s="1032">
        <f>SUMIFS('01工程产值对比表'!$M:$M,'01工程产值对比表'!$D:$D,I232,'01工程产值对比表'!$C:$C,I$2)</f>
        <v>0</v>
      </c>
      <c r="M232" s="1033"/>
      <c r="N232" s="1033"/>
      <c r="O232" s="1033"/>
      <c r="Q232" t="s">
        <v>1028</v>
      </c>
      <c r="R232" s="681" t="s">
        <v>72</v>
      </c>
      <c r="S232">
        <v>60</v>
      </c>
      <c r="T232" s="1023">
        <f>SUMIFS('01工程产值对比表'!$M:$M,'01工程产值对比表'!$D:$D,Q232,'01工程产值对比表'!$C:$C,Q$2)</f>
        <v>312.68175</v>
      </c>
      <c r="U232" s="1023"/>
    </row>
    <row r="233" spans="1:21">
      <c r="A233" t="s">
        <v>1029</v>
      </c>
      <c r="B233" s="681" t="s">
        <v>169</v>
      </c>
      <c r="D233">
        <f>SUMIFS('分项对比表(02表)'!$M:$M,'分项对比表(02表)'!$D:$D,A233,'分项对比表(02表)'!$C:$C,A$2)</f>
        <v>0</v>
      </c>
      <c r="H233" s="1023"/>
      <c r="I233" s="1035" t="s">
        <v>1030</v>
      </c>
      <c r="J233" s="1031" t="s">
        <v>72</v>
      </c>
      <c r="K233" s="1036"/>
      <c r="L233" s="1032">
        <f>SUMIFS('01工程产值对比表'!$M:$M,'01工程产值对比表'!$D:$D,I233,'01工程产值对比表'!$C:$C,I$2)</f>
        <v>0</v>
      </c>
      <c r="M233" s="1033"/>
      <c r="N233" s="1033"/>
      <c r="O233" s="1033"/>
      <c r="Q233" t="s">
        <v>1031</v>
      </c>
      <c r="R233" s="681" t="s">
        <v>76</v>
      </c>
      <c r="S233"/>
      <c r="T233" s="1023">
        <f>SUMIFS('01工程产值对比表'!$M:$M,'01工程产值对比表'!$D:$D,Q233,'01工程产值对比表'!$C:$C,Q$2)</f>
        <v>176.52</v>
      </c>
      <c r="U233" s="1023"/>
    </row>
    <row r="234" spans="1:21">
      <c r="A234" t="s">
        <v>1032</v>
      </c>
      <c r="B234" s="681" t="s">
        <v>169</v>
      </c>
      <c r="D234">
        <f>SUMIFS('分项对比表(02表)'!$M:$M,'分项对比表(02表)'!$D:$D,A234,'分项对比表(02表)'!$C:$C,A$2)</f>
        <v>0</v>
      </c>
      <c r="H234" s="1023"/>
      <c r="I234" s="1035" t="s">
        <v>1033</v>
      </c>
      <c r="J234" s="1031" t="s">
        <v>72</v>
      </c>
      <c r="K234" s="1036"/>
      <c r="L234" s="1032">
        <f>SUMIFS('01工程产值对比表'!$M:$M,'01工程产值对比表'!$D:$D,I234,'01工程产值对比表'!$C:$C,I$2)</f>
        <v>0</v>
      </c>
      <c r="M234" s="1033"/>
      <c r="N234" s="1033"/>
      <c r="O234" s="1033"/>
      <c r="Q234" t="s">
        <v>1034</v>
      </c>
      <c r="R234" s="681" t="s">
        <v>169</v>
      </c>
      <c r="S234"/>
      <c r="T234" s="1023">
        <f>SUMIFS('01工程产值对比表'!$M:$M,'01工程产值对比表'!$D:$D,Q234,'01工程产值对比表'!$C:$C,Q$2)</f>
        <v>106</v>
      </c>
      <c r="U234" s="1023"/>
    </row>
    <row r="235" spans="1:21">
      <c r="A235" t="s">
        <v>1035</v>
      </c>
      <c r="B235" s="681" t="s">
        <v>169</v>
      </c>
      <c r="D235">
        <f>SUMIFS('分项对比表(02表)'!$M:$M,'分项对比表(02表)'!$D:$D,A235,'分项对比表(02表)'!$C:$C,A$2)</f>
        <v>0</v>
      </c>
      <c r="H235" s="1023"/>
      <c r="I235" s="1035" t="s">
        <v>1036</v>
      </c>
      <c r="J235" s="1031" t="s">
        <v>72</v>
      </c>
      <c r="K235" s="1036"/>
      <c r="L235" s="1032">
        <f>SUMIFS('01工程产值对比表'!$M:$M,'01工程产值对比表'!$D:$D,I235,'01工程产值对比表'!$C:$C,I$2)</f>
        <v>0</v>
      </c>
      <c r="M235" s="1033"/>
      <c r="N235" s="1033"/>
      <c r="O235" s="1033"/>
      <c r="Q235" t="s">
        <v>1037</v>
      </c>
      <c r="R235" s="681" t="s">
        <v>76</v>
      </c>
      <c r="S235">
        <v>12</v>
      </c>
      <c r="T235" s="1023">
        <f>SUMIFS('01工程产值对比表'!$M:$M,'01工程产值对比表'!$D:$D,Q235,'01工程产值对比表'!$C:$C,Q$2)</f>
        <v>3753.18</v>
      </c>
      <c r="U235" s="1023"/>
    </row>
    <row r="236" spans="1:21">
      <c r="A236" t="s">
        <v>1038</v>
      </c>
      <c r="B236" s="681" t="s">
        <v>169</v>
      </c>
      <c r="D236">
        <f>SUMIFS('分项对比表(02表)'!$M:$M,'分项对比表(02表)'!$D:$D,A236,'分项对比表(02表)'!$C:$C,A$2)</f>
        <v>0</v>
      </c>
      <c r="H236" s="1023"/>
      <c r="I236" s="1035" t="s">
        <v>1039</v>
      </c>
      <c r="J236" s="1031" t="s">
        <v>72</v>
      </c>
      <c r="K236" s="1036"/>
      <c r="L236" s="1032">
        <f>SUMIFS('01工程产值对比表'!$M:$M,'01工程产值对比表'!$D:$D,I236,'01工程产值对比表'!$C:$C,I$2)</f>
        <v>0</v>
      </c>
      <c r="M236" s="1033"/>
      <c r="N236" s="1033"/>
      <c r="O236" s="1033"/>
      <c r="Q236" t="s">
        <v>1040</v>
      </c>
      <c r="R236" s="681" t="s">
        <v>82</v>
      </c>
      <c r="S236">
        <v>650</v>
      </c>
      <c r="T236" s="1023">
        <f>SUMIFS('01工程产值对比表'!$M:$M,'01工程产值对比表'!$D:$D,Q236,'01工程产值对比表'!$C:$C,Q$2)</f>
        <v>258.35074</v>
      </c>
      <c r="U236" s="1023"/>
    </row>
    <row r="237" spans="1:21">
      <c r="A237" t="s">
        <v>1041</v>
      </c>
      <c r="B237" s="681" t="s">
        <v>76</v>
      </c>
      <c r="D237">
        <f>SUMIFS('分项对比表(02表)'!$M:$M,'分项对比表(02表)'!$D:$D,A237,'分项对比表(02表)'!$C:$C,A$2)</f>
        <v>0</v>
      </c>
      <c r="H237" s="1023"/>
      <c r="I237" s="1035" t="s">
        <v>1042</v>
      </c>
      <c r="J237" s="1031" t="s">
        <v>72</v>
      </c>
      <c r="K237" s="1036">
        <v>30</v>
      </c>
      <c r="L237" s="1032">
        <f>SUMIFS('01工程产值对比表'!$M:$M,'01工程产值对比表'!$D:$D,I237,'01工程产值对比表'!$C:$C,I$2)</f>
        <v>0</v>
      </c>
      <c r="M237" s="1033"/>
      <c r="N237" s="1033"/>
      <c r="O237" s="1033"/>
      <c r="Q237" t="s">
        <v>1043</v>
      </c>
      <c r="R237" s="681" t="s">
        <v>72</v>
      </c>
      <c r="S237">
        <v>890</v>
      </c>
      <c r="T237" s="1023">
        <f>SUMIFS('01工程产值对比表'!$M:$M,'01工程产值对比表'!$D:$D,Q237,'01工程产值对比表'!$C:$C,Q$2)</f>
        <v>8271.4</v>
      </c>
      <c r="U237" s="1023"/>
    </row>
    <row r="238" spans="1:21">
      <c r="A238" t="s">
        <v>1044</v>
      </c>
      <c r="B238" s="681" t="s">
        <v>72</v>
      </c>
      <c r="D238">
        <f>SUMIFS('分项对比表(02表)'!$M:$M,'分项对比表(02表)'!$D:$D,A238,'分项对比表(02表)'!$C:$C,A$2)</f>
        <v>0</v>
      </c>
      <c r="H238" s="1023"/>
      <c r="I238" s="1035" t="s">
        <v>1045</v>
      </c>
      <c r="J238" s="1031" t="s">
        <v>72</v>
      </c>
      <c r="K238" s="1036"/>
      <c r="L238" s="1032">
        <f>SUMIFS('01工程产值对比表'!$M:$M,'01工程产值对比表'!$D:$D,I238,'01工程产值对比表'!$C:$C,I$2)</f>
        <v>0</v>
      </c>
      <c r="M238" s="1033"/>
      <c r="N238" s="1033"/>
      <c r="O238" s="1033"/>
      <c r="Q238" t="s">
        <v>1046</v>
      </c>
      <c r="R238" s="681" t="s">
        <v>76</v>
      </c>
      <c r="S238">
        <v>30</v>
      </c>
      <c r="T238" s="1023">
        <f>SUMIFS('01工程产值对比表'!$M:$M,'01工程产值对比表'!$D:$D,Q238,'01工程产值对比表'!$C:$C,Q$2)</f>
        <v>368</v>
      </c>
      <c r="U238" s="1023"/>
    </row>
    <row r="239" spans="1:21">
      <c r="A239" t="s">
        <v>1047</v>
      </c>
      <c r="B239" s="681" t="s">
        <v>72</v>
      </c>
      <c r="D239">
        <f>SUMIFS('分项对比表(02表)'!$M:$M,'分项对比表(02表)'!$D:$D,A239,'分项对比表(02表)'!$C:$C,A$2)</f>
        <v>0</v>
      </c>
      <c r="H239" s="1023"/>
      <c r="I239" s="1035" t="s">
        <v>1048</v>
      </c>
      <c r="J239" s="1031" t="s">
        <v>69</v>
      </c>
      <c r="K239" s="1036">
        <v>2.98</v>
      </c>
      <c r="L239" s="1032">
        <f>SUMIFS('01工程产值对比表'!$M:$M,'01工程产值对比表'!$D:$D,I239,'01工程产值对比表'!$C:$C,I$2)</f>
        <v>0</v>
      </c>
      <c r="M239" s="1033"/>
      <c r="N239" s="1033"/>
      <c r="O239" s="1033"/>
      <c r="Q239" t="s">
        <v>1049</v>
      </c>
      <c r="R239" s="681" t="s">
        <v>76</v>
      </c>
      <c r="S239">
        <v>30</v>
      </c>
      <c r="T239" s="1023">
        <f>SUMIFS('01工程产值对比表'!$M:$M,'01工程产值对比表'!$D:$D,Q239,'01工程产值对比表'!$C:$C,Q$2)</f>
        <v>167.15</v>
      </c>
      <c r="U239" s="1023"/>
    </row>
    <row r="240" spans="1:21">
      <c r="A240" t="s">
        <v>1050</v>
      </c>
      <c r="B240" s="681" t="s">
        <v>72</v>
      </c>
      <c r="D240">
        <f>SUMIFS('分项对比表(02表)'!$M:$M,'分项对比表(02表)'!$D:$D,A240,'分项对比表(02表)'!$C:$C,A$2)</f>
        <v>0</v>
      </c>
      <c r="H240" s="1023"/>
      <c r="I240" s="1035" t="s">
        <v>1051</v>
      </c>
      <c r="J240" s="1031" t="s">
        <v>69</v>
      </c>
      <c r="K240" s="1036">
        <v>4.56</v>
      </c>
      <c r="L240" s="1032">
        <f>SUMIFS('01工程产值对比表'!$M:$M,'01工程产值对比表'!$D:$D,I240,'01工程产值对比表'!$C:$C,I$2)</f>
        <v>0</v>
      </c>
      <c r="M240" s="1033"/>
      <c r="N240" s="1033"/>
      <c r="O240" s="1033"/>
      <c r="Q240" t="s">
        <v>1052</v>
      </c>
      <c r="R240" s="681" t="s">
        <v>82</v>
      </c>
      <c r="S240">
        <v>3000</v>
      </c>
      <c r="T240" s="1023">
        <f>SUMIFS('01工程产值对比表'!$M:$M,'01工程产值对比表'!$D:$D,Q240,'01工程产值对比表'!$C:$C,Q$2)</f>
        <v>11.186</v>
      </c>
      <c r="U240" s="1023"/>
    </row>
    <row r="241" spans="1:21">
      <c r="A241" t="s">
        <v>1053</v>
      </c>
      <c r="B241" s="681" t="s">
        <v>72</v>
      </c>
      <c r="D241">
        <f>SUMIFS('分项对比表(02表)'!$M:$M,'分项对比表(02表)'!$D:$D,A241,'分项对比表(02表)'!$C:$C,A$2)</f>
        <v>0</v>
      </c>
      <c r="H241" s="1023"/>
      <c r="I241" s="1035" t="s">
        <v>1054</v>
      </c>
      <c r="J241" s="1031" t="s">
        <v>76</v>
      </c>
      <c r="K241" s="1036"/>
      <c r="L241" s="1032">
        <f>SUMIFS('01工程产值对比表'!$M:$M,'01工程产值对比表'!$D:$D,I241,'01工程产值对比表'!$C:$C,I$2)</f>
        <v>0</v>
      </c>
      <c r="M241" s="1033"/>
      <c r="N241" s="1033"/>
      <c r="O241" s="1033"/>
      <c r="Q241" t="s">
        <v>1055</v>
      </c>
      <c r="R241" s="681" t="s">
        <v>190</v>
      </c>
      <c r="S241">
        <v>180</v>
      </c>
      <c r="T241" s="1023">
        <f>SUMIFS('01工程产值对比表'!$M:$M,'01工程产值对比表'!$D:$D,Q241,'01工程产值对比表'!$C:$C,Q$2)</f>
        <v>196</v>
      </c>
      <c r="U241" s="1023"/>
    </row>
    <row r="242" spans="1:21">
      <c r="A242" t="s">
        <v>1056</v>
      </c>
      <c r="B242" s="681" t="s">
        <v>72</v>
      </c>
      <c r="D242">
        <f>SUMIFS('分项对比表(02表)'!$M:$M,'分项对比表(02表)'!$D:$D,A242,'分项对比表(02表)'!$C:$C,A$2)</f>
        <v>0</v>
      </c>
      <c r="H242" s="1023"/>
      <c r="I242" s="1035" t="s">
        <v>1057</v>
      </c>
      <c r="J242" s="1031" t="s">
        <v>76</v>
      </c>
      <c r="K242" s="1036"/>
      <c r="L242" s="1032">
        <f>SUMIFS('01工程产值对比表'!$M:$M,'01工程产值对比表'!$D:$D,I242,'01工程产值对比表'!$C:$C,I$2)</f>
        <v>0</v>
      </c>
      <c r="M242" s="1033"/>
      <c r="N242" s="1033"/>
      <c r="O242" s="1033"/>
      <c r="Q242" t="s">
        <v>1058</v>
      </c>
      <c r="R242" s="681" t="s">
        <v>284</v>
      </c>
      <c r="S242">
        <v>1576</v>
      </c>
      <c r="T242" s="1023">
        <f>SUMIFS('01工程产值对比表'!$M:$M,'01工程产值对比表'!$D:$D,Q242,'01工程产值对比表'!$C:$C,Q$2)</f>
        <v>309.7612</v>
      </c>
      <c r="U242" s="1023"/>
    </row>
    <row r="243" spans="1:21">
      <c r="A243" t="s">
        <v>1059</v>
      </c>
      <c r="B243" s="681" t="s">
        <v>72</v>
      </c>
      <c r="D243">
        <f>SUMIFS('分项对比表(02表)'!$M:$M,'分项对比表(02表)'!$D:$D,A243,'分项对比表(02表)'!$C:$C,A$2)</f>
        <v>0</v>
      </c>
      <c r="H243" s="1023"/>
      <c r="I243" s="1035" t="s">
        <v>1060</v>
      </c>
      <c r="J243" s="1031" t="s">
        <v>76</v>
      </c>
      <c r="K243" s="1036"/>
      <c r="L243" s="1032">
        <f>SUMIFS('01工程产值对比表'!$M:$M,'01工程产值对比表'!$D:$D,I243,'01工程产值对比表'!$C:$C,I$2)</f>
        <v>0</v>
      </c>
      <c r="M243" s="1033"/>
      <c r="N243" s="1033"/>
      <c r="O243" s="1033"/>
      <c r="Q243" t="s">
        <v>1061</v>
      </c>
      <c r="R243" s="681" t="s">
        <v>190</v>
      </c>
      <c r="S243">
        <v>200</v>
      </c>
      <c r="T243" s="1023">
        <f>SUMIFS('01工程产值对比表'!$M:$M,'01工程产值对比表'!$D:$D,Q243,'01工程产值对比表'!$C:$C,Q$2)</f>
        <v>190</v>
      </c>
      <c r="U243" s="1023"/>
    </row>
    <row r="244" spans="1:21">
      <c r="A244" t="s">
        <v>1062</v>
      </c>
      <c r="B244" s="681" t="s">
        <v>72</v>
      </c>
      <c r="D244">
        <f>SUMIFS('分项对比表(02表)'!$M:$M,'分项对比表(02表)'!$D:$D,A244,'分项对比表(02表)'!$C:$C,A$2)</f>
        <v>0</v>
      </c>
      <c r="I244" s="1035" t="s">
        <v>1063</v>
      </c>
      <c r="J244" s="1031" t="s">
        <v>76</v>
      </c>
      <c r="K244" s="1036"/>
      <c r="L244" s="1032">
        <f>SUMIFS('01工程产值对比表'!$M:$M,'01工程产值对比表'!$D:$D,I244,'01工程产值对比表'!$C:$C,I$2)</f>
        <v>0</v>
      </c>
      <c r="M244" s="1033"/>
      <c r="N244" s="1033"/>
      <c r="O244" s="1033"/>
      <c r="Q244" t="s">
        <v>1064</v>
      </c>
      <c r="R244" s="681" t="s">
        <v>69</v>
      </c>
      <c r="S244">
        <v>10</v>
      </c>
      <c r="T244" s="1023">
        <f>SUMIFS('01工程产值对比表'!$M:$M,'01工程产值对比表'!$D:$D,Q244,'01工程产值对比表'!$C:$C,Q$2)</f>
        <v>11479.1243</v>
      </c>
      <c r="U244" s="1023"/>
    </row>
    <row r="245" spans="1:21">
      <c r="A245" t="s">
        <v>1065</v>
      </c>
      <c r="B245" s="681" t="s">
        <v>82</v>
      </c>
      <c r="D245">
        <f>SUMIFS('分项对比表(02表)'!$M:$M,'分项对比表(02表)'!$D:$D,A245,'分项对比表(02表)'!$C:$C,A$2)</f>
        <v>0</v>
      </c>
      <c r="I245" s="1035" t="s">
        <v>1066</v>
      </c>
      <c r="J245" s="1031" t="s">
        <v>76</v>
      </c>
      <c r="K245" s="1036"/>
      <c r="L245" s="1032">
        <f>SUMIFS('01工程产值对比表'!$M:$M,'01工程产值对比表'!$D:$D,I245,'01工程产值对比表'!$C:$C,I$2)</f>
        <v>0</v>
      </c>
      <c r="M245" s="1033"/>
      <c r="N245" s="1033"/>
      <c r="O245" s="1033"/>
      <c r="Q245" t="s">
        <v>1067</v>
      </c>
      <c r="R245" s="681" t="s">
        <v>69</v>
      </c>
      <c r="S245">
        <v>25</v>
      </c>
      <c r="T245" s="1023">
        <f>SUMIFS('01工程产值对比表'!$M:$M,'01工程产值对比表'!$D:$D,Q245,'01工程产值对比表'!$C:$C,Q$2)</f>
        <v>45.13925</v>
      </c>
      <c r="U245" s="1023"/>
    </row>
    <row r="246" spans="1:21">
      <c r="A246" t="s">
        <v>1068</v>
      </c>
      <c r="B246" s="681" t="s">
        <v>82</v>
      </c>
      <c r="D246">
        <f>SUMIFS('分项对比表(02表)'!$M:$M,'分项对比表(02表)'!$D:$D,A246,'分项对比表(02表)'!$C:$C,A$2)</f>
        <v>0</v>
      </c>
      <c r="I246" s="1035" t="s">
        <v>1069</v>
      </c>
      <c r="J246" s="1031" t="s">
        <v>76</v>
      </c>
      <c r="K246" s="1036"/>
      <c r="L246" s="1032">
        <f>SUMIFS('01工程产值对比表'!$M:$M,'01工程产值对比表'!$D:$D,I246,'01工程产值对比表'!$C:$C,I$2)</f>
        <v>0</v>
      </c>
      <c r="M246" s="1033"/>
      <c r="N246" s="1033"/>
      <c r="O246" s="1033"/>
      <c r="Q246" t="s">
        <v>1070</v>
      </c>
      <c r="R246" s="681" t="s">
        <v>175</v>
      </c>
      <c r="S246">
        <v>1000</v>
      </c>
      <c r="T246" s="1023">
        <f>SUMIFS('01工程产值对比表'!$M:$M,'01工程产值对比表'!$D:$D,Q246,'01工程产值对比表'!$C:$C,Q$2)</f>
        <v>1</v>
      </c>
      <c r="U246" s="1023"/>
    </row>
    <row r="247" spans="1:21">
      <c r="A247" t="s">
        <v>1071</v>
      </c>
      <c r="B247" s="681" t="s">
        <v>69</v>
      </c>
      <c r="D247">
        <f>SUMIFS('分项对比表(02表)'!$M:$M,'分项对比表(02表)'!$D:$D,A247,'分项对比表(02表)'!$C:$C,A$2)</f>
        <v>0</v>
      </c>
      <c r="I247" s="1035" t="s">
        <v>1072</v>
      </c>
      <c r="J247" s="1031" t="s">
        <v>76</v>
      </c>
      <c r="K247" s="1036"/>
      <c r="L247" s="1032">
        <f>SUMIFS('01工程产值对比表'!$M:$M,'01工程产值对比表'!$D:$D,I247,'01工程产值对比表'!$C:$C,I$2)</f>
        <v>0</v>
      </c>
      <c r="M247" s="1033"/>
      <c r="N247" s="1033"/>
      <c r="O247" s="1033"/>
      <c r="Q247" t="s">
        <v>1073</v>
      </c>
      <c r="R247" s="681" t="s">
        <v>175</v>
      </c>
      <c r="S247">
        <v>1000</v>
      </c>
      <c r="T247" s="1023">
        <f>SUMIFS('01工程产值对比表'!$M:$M,'01工程产值对比表'!$D:$D,Q247,'01工程产值对比表'!$C:$C,Q$2)</f>
        <v>1</v>
      </c>
      <c r="U247" s="1023"/>
    </row>
    <row r="248" spans="1:21">
      <c r="A248" t="s">
        <v>1074</v>
      </c>
      <c r="B248" s="681" t="s">
        <v>69</v>
      </c>
      <c r="D248">
        <f>SUMIFS('分项对比表(02表)'!$M:$M,'分项对比表(02表)'!$D:$D,A248,'分项对比表(02表)'!$C:$C,A$2)</f>
        <v>0</v>
      </c>
      <c r="I248" s="1035" t="s">
        <v>1075</v>
      </c>
      <c r="J248" s="1031" t="s">
        <v>76</v>
      </c>
      <c r="K248" s="1036"/>
      <c r="L248" s="1032">
        <f>SUMIFS('01工程产值对比表'!$M:$M,'01工程产值对比表'!$D:$D,I248,'01工程产值对比表'!$C:$C,I$2)</f>
        <v>0</v>
      </c>
      <c r="M248" s="1033"/>
      <c r="N248" s="1033"/>
      <c r="O248" s="1033"/>
      <c r="Q248" t="s">
        <v>1076</v>
      </c>
      <c r="R248" s="681" t="s">
        <v>175</v>
      </c>
      <c r="S248">
        <v>1000</v>
      </c>
      <c r="T248" s="1023">
        <f>SUMIFS('01工程产值对比表'!$M:$M,'01工程产值对比表'!$D:$D,Q248,'01工程产值对比表'!$C:$C,Q$2)</f>
        <v>1</v>
      </c>
      <c r="U248" s="1023"/>
    </row>
    <row r="249" spans="1:21">
      <c r="A249" t="s">
        <v>1077</v>
      </c>
      <c r="B249" s="681" t="s">
        <v>72</v>
      </c>
      <c r="D249">
        <f>SUMIFS('分项对比表(02表)'!$M:$M,'分项对比表(02表)'!$D:$D,A249,'分项对比表(02表)'!$C:$C,A$2)</f>
        <v>0</v>
      </c>
      <c r="I249" s="1035" t="s">
        <v>1078</v>
      </c>
      <c r="J249" s="1031" t="s">
        <v>76</v>
      </c>
      <c r="K249" s="1036"/>
      <c r="L249" s="1032">
        <f>SUMIFS('01工程产值对比表'!$M:$M,'01工程产值对比表'!$D:$D,I249,'01工程产值对比表'!$C:$C,I$2)</f>
        <v>0</v>
      </c>
      <c r="M249" s="1033"/>
      <c r="N249" s="1033"/>
      <c r="O249" s="1033"/>
      <c r="Q249" t="s">
        <v>1079</v>
      </c>
      <c r="R249" s="681" t="s">
        <v>175</v>
      </c>
      <c r="S249">
        <v>250</v>
      </c>
      <c r="T249" s="1023">
        <f>SUMIFS('01工程产值对比表'!$M:$M,'01工程产值对比表'!$D:$D,Q249,'01工程产值对比表'!$C:$C,Q$2)</f>
        <v>8</v>
      </c>
      <c r="U249" s="1023"/>
    </row>
    <row r="250" spans="1:21">
      <c r="A250" t="s">
        <v>1080</v>
      </c>
      <c r="B250" s="681" t="s">
        <v>72</v>
      </c>
      <c r="D250">
        <f>SUMIFS('分项对比表(02表)'!$M:$M,'分项对比表(02表)'!$D:$D,A250,'分项对比表(02表)'!$C:$C,A$2)</f>
        <v>0</v>
      </c>
      <c r="I250" s="1035" t="s">
        <v>1081</v>
      </c>
      <c r="J250" s="1031" t="s">
        <v>76</v>
      </c>
      <c r="K250" s="1036"/>
      <c r="L250" s="1032">
        <f>SUMIFS('01工程产值对比表'!$M:$M,'01工程产值对比表'!$D:$D,I250,'01工程产值对比表'!$C:$C,I$2)</f>
        <v>0</v>
      </c>
      <c r="M250" s="1033"/>
      <c r="N250" s="1033"/>
      <c r="O250" s="1033"/>
      <c r="Q250" t="s">
        <v>1082</v>
      </c>
      <c r="R250" s="681" t="s">
        <v>76</v>
      </c>
      <c r="S250">
        <v>40</v>
      </c>
      <c r="T250" s="1023">
        <f>SUMIFS('01工程产值对比表'!$M:$M,'01工程产值对比表'!$D:$D,Q250,'01工程产值对比表'!$C:$C,Q$2)</f>
        <v>28.078</v>
      </c>
      <c r="U250" s="1023"/>
    </row>
    <row r="251" spans="1:21">
      <c r="A251" t="s">
        <v>1083</v>
      </c>
      <c r="B251" s="681" t="s">
        <v>69</v>
      </c>
      <c r="D251">
        <f>SUMIFS('分项对比表(02表)'!$M:$M,'分项对比表(02表)'!$D:$D,A251,'分项对比表(02表)'!$C:$C,A$2)</f>
        <v>0</v>
      </c>
      <c r="I251" s="1035" t="s">
        <v>1084</v>
      </c>
      <c r="J251" s="1031" t="s">
        <v>76</v>
      </c>
      <c r="K251" s="1036"/>
      <c r="L251" s="1032">
        <f>SUMIFS('01工程产值对比表'!$M:$M,'01工程产值对比表'!$D:$D,I251,'01工程产值对比表'!$C:$C,I$2)</f>
        <v>0</v>
      </c>
      <c r="M251" s="1033"/>
      <c r="N251" s="1033"/>
      <c r="O251" s="1033"/>
      <c r="Q251" t="s">
        <v>1085</v>
      </c>
      <c r="R251" s="681" t="s">
        <v>76</v>
      </c>
      <c r="S251">
        <v>40</v>
      </c>
      <c r="T251" s="1023">
        <f>SUMIFS('01工程产值对比表'!$M:$M,'01工程产值对比表'!$D:$D,Q251,'01工程产值对比表'!$C:$C,Q$2)</f>
        <v>141.4</v>
      </c>
      <c r="U251" s="1023"/>
    </row>
    <row r="252" spans="1:21">
      <c r="A252" t="s">
        <v>1086</v>
      </c>
      <c r="B252" s="681" t="s">
        <v>72</v>
      </c>
      <c r="D252">
        <f>SUMIFS('分项对比表(02表)'!$M:$M,'分项对比表(02表)'!$D:$D,A252,'分项对比表(02表)'!$C:$C,A$2)</f>
        <v>0</v>
      </c>
      <c r="I252" s="1035" t="s">
        <v>1087</v>
      </c>
      <c r="J252" s="1031" t="s">
        <v>76</v>
      </c>
      <c r="K252" s="1036"/>
      <c r="L252" s="1032">
        <f>SUMIFS('01工程产值对比表'!$M:$M,'01工程产值对比表'!$D:$D,I252,'01工程产值对比表'!$C:$C,I$2)</f>
        <v>0</v>
      </c>
      <c r="M252" s="1033"/>
      <c r="N252" s="1033"/>
      <c r="O252" s="1033"/>
      <c r="Q252" t="s">
        <v>1088</v>
      </c>
      <c r="R252" s="681" t="s">
        <v>76</v>
      </c>
      <c r="S252">
        <v>40</v>
      </c>
      <c r="T252" s="1023">
        <f>SUMIFS('01工程产值对比表'!$M:$M,'01工程产值对比表'!$D:$D,Q252,'01工程产值对比表'!$C:$C,Q$2)</f>
        <v>60.6</v>
      </c>
      <c r="U252" s="1023"/>
    </row>
    <row r="253" spans="1:21">
      <c r="A253" t="s">
        <v>1089</v>
      </c>
      <c r="B253" s="681" t="s">
        <v>69</v>
      </c>
      <c r="D253">
        <f>SUMIFS('分项对比表(02表)'!$M:$M,'分项对比表(02表)'!$D:$D,A253,'分项对比表(02表)'!$C:$C,A$2)</f>
        <v>0</v>
      </c>
      <c r="I253" s="1035" t="s">
        <v>1090</v>
      </c>
      <c r="J253" s="1031" t="s">
        <v>76</v>
      </c>
      <c r="K253" s="1036"/>
      <c r="L253" s="1032">
        <f>SUMIFS('01工程产值对比表'!$M:$M,'01工程产值对比表'!$D:$D,I253,'01工程产值对比表'!$C:$C,I$2)</f>
        <v>0</v>
      </c>
      <c r="M253" s="1033"/>
      <c r="N253" s="1033"/>
      <c r="O253" s="1033"/>
      <c r="Q253" t="s">
        <v>1091</v>
      </c>
      <c r="R253" s="681" t="s">
        <v>175</v>
      </c>
      <c r="S253">
        <v>400</v>
      </c>
      <c r="T253" s="1023">
        <f>SUMIFS('01工程产值对比表'!$M:$M,'01工程产值对比表'!$D:$D,Q253,'01工程产值对比表'!$C:$C,Q$2)</f>
        <v>1</v>
      </c>
      <c r="U253" s="1023"/>
    </row>
    <row r="254" spans="1:21">
      <c r="A254" t="s">
        <v>1092</v>
      </c>
      <c r="B254" s="681" t="s">
        <v>69</v>
      </c>
      <c r="D254">
        <f>SUMIFS('分项对比表(02表)'!$M:$M,'分项对比表(02表)'!$D:$D,A254,'分项对比表(02表)'!$C:$C,A$2)</f>
        <v>0</v>
      </c>
      <c r="I254" s="1035" t="s">
        <v>1093</v>
      </c>
      <c r="J254" s="1031" t="s">
        <v>76</v>
      </c>
      <c r="K254" s="1036"/>
      <c r="L254" s="1032">
        <f>SUMIFS('01工程产值对比表'!$M:$M,'01工程产值对比表'!$D:$D,I254,'01工程产值对比表'!$C:$C,I$2)</f>
        <v>0</v>
      </c>
      <c r="M254" s="1033"/>
      <c r="N254" s="1033"/>
      <c r="O254" s="1033"/>
      <c r="Q254" t="s">
        <v>1094</v>
      </c>
      <c r="R254" s="681" t="s">
        <v>72</v>
      </c>
      <c r="S254">
        <v>266.6</v>
      </c>
      <c r="T254" s="1023">
        <f>SUMIFS('01工程产值对比表'!$M:$M,'01工程产值对比表'!$D:$D,Q254,'01工程产值对比表'!$C:$C,Q$2)</f>
        <v>59.136</v>
      </c>
      <c r="U254" s="1023"/>
    </row>
    <row r="255" spans="1:21">
      <c r="A255" t="s">
        <v>1095</v>
      </c>
      <c r="B255" s="681" t="s">
        <v>76</v>
      </c>
      <c r="D255">
        <f>SUMIFS('分项对比表(02表)'!$M:$M,'分项对比表(02表)'!$D:$D,A255,'分项对比表(02表)'!$C:$C,A$2)</f>
        <v>0</v>
      </c>
      <c r="I255" s="1035" t="s">
        <v>1096</v>
      </c>
      <c r="J255" s="1031" t="s">
        <v>76</v>
      </c>
      <c r="K255" s="1036"/>
      <c r="L255" s="1032">
        <f>SUMIFS('01工程产值对比表'!$M:$M,'01工程产值对比表'!$D:$D,I255,'01工程产值对比表'!$C:$C,I$2)</f>
        <v>0</v>
      </c>
      <c r="M255" s="1033"/>
      <c r="N255" s="1033"/>
      <c r="O255" s="1033"/>
      <c r="Q255" t="s">
        <v>1097</v>
      </c>
      <c r="R255" s="681" t="s">
        <v>69</v>
      </c>
      <c r="S255">
        <v>18</v>
      </c>
      <c r="T255" s="1023">
        <f>SUMIFS('01工程产值对比表'!$M:$M,'01工程产值对比表'!$D:$D,Q255,'01工程产值对比表'!$C:$C,Q$2)</f>
        <v>759.392</v>
      </c>
      <c r="U255" s="1023"/>
    </row>
    <row r="256" spans="1:21">
      <c r="A256" t="s">
        <v>1098</v>
      </c>
      <c r="B256" s="681" t="s">
        <v>76</v>
      </c>
      <c r="D256">
        <f>SUMIFS('分项对比表(02表)'!$M:$M,'分项对比表(02表)'!$D:$D,A256,'分项对比表(02表)'!$C:$C,A$2)</f>
        <v>0</v>
      </c>
      <c r="I256" s="1035" t="s">
        <v>1099</v>
      </c>
      <c r="J256" s="1031" t="s">
        <v>76</v>
      </c>
      <c r="K256" s="1036"/>
      <c r="L256" s="1032">
        <f>SUMIFS('01工程产值对比表'!$M:$M,'01工程产值对比表'!$D:$D,I256,'01工程产值对比表'!$C:$C,I$2)</f>
        <v>0</v>
      </c>
      <c r="M256" s="1033"/>
      <c r="N256" s="1033"/>
      <c r="O256" s="1033"/>
      <c r="Q256" t="s">
        <v>1100</v>
      </c>
      <c r="R256" s="681" t="s">
        <v>69</v>
      </c>
      <c r="S256">
        <v>43</v>
      </c>
      <c r="T256" s="1023">
        <f>SUMIFS('01工程产值对比表'!$M:$M,'01工程产值对比表'!$D:$D,Q256,'01工程产值对比表'!$C:$C,Q$2)</f>
        <v>48.09</v>
      </c>
      <c r="U256" s="1023"/>
    </row>
    <row r="257" spans="1:21">
      <c r="A257" t="s">
        <v>1101</v>
      </c>
      <c r="B257" s="681" t="s">
        <v>72</v>
      </c>
      <c r="D257">
        <f>SUMIFS('分项对比表(02表)'!$M:$M,'分项对比表(02表)'!$D:$D,A257,'分项对比表(02表)'!$C:$C,A$2)</f>
        <v>0</v>
      </c>
      <c r="I257" s="1035" t="s">
        <v>1102</v>
      </c>
      <c r="J257" s="1031" t="s">
        <v>76</v>
      </c>
      <c r="K257" s="1036"/>
      <c r="L257" s="1032">
        <f>SUMIFS('01工程产值对比表'!$M:$M,'01工程产值对比表'!$D:$D,I257,'01工程产值对比表'!$C:$C,I$2)</f>
        <v>0</v>
      </c>
      <c r="M257" s="1033"/>
      <c r="N257" s="1033"/>
      <c r="O257" s="1033"/>
      <c r="Q257" t="s">
        <v>1103</v>
      </c>
      <c r="R257" s="681" t="s">
        <v>69</v>
      </c>
      <c r="S257">
        <v>15</v>
      </c>
      <c r="T257" s="1023">
        <f>SUMIFS('01工程产值对比表'!$M:$M,'01工程产值对比表'!$D:$D,Q257,'01工程产值对比表'!$C:$C,Q$2)</f>
        <v>114</v>
      </c>
      <c r="U257" s="1023"/>
    </row>
    <row r="258" spans="1:21">
      <c r="A258" t="s">
        <v>1104</v>
      </c>
      <c r="B258" s="681" t="s">
        <v>82</v>
      </c>
      <c r="D258">
        <f>SUMIFS('分项对比表(02表)'!$M:$M,'分项对比表(02表)'!$D:$D,A258,'分项对比表(02表)'!$C:$C,A$2)</f>
        <v>0</v>
      </c>
      <c r="I258" s="1035" t="s">
        <v>1105</v>
      </c>
      <c r="J258" s="1031" t="s">
        <v>76</v>
      </c>
      <c r="K258" s="1036"/>
      <c r="L258" s="1032">
        <f>SUMIFS('01工程产值对比表'!$M:$M,'01工程产值对比表'!$D:$D,I258,'01工程产值对比表'!$C:$C,I$2)</f>
        <v>0</v>
      </c>
      <c r="M258" s="1033"/>
      <c r="N258" s="1033"/>
      <c r="O258" s="1033"/>
      <c r="Q258" t="s">
        <v>1106</v>
      </c>
      <c r="R258" s="681" t="s">
        <v>175</v>
      </c>
      <c r="S258">
        <v>600</v>
      </c>
      <c r="T258" s="1023">
        <f>SUMIFS('01工程产值对比表'!$M:$M,'01工程产值对比表'!$D:$D,Q258,'01工程产值对比表'!$C:$C,Q$2)</f>
        <v>2</v>
      </c>
      <c r="U258" s="1023"/>
    </row>
    <row r="259" spans="1:21">
      <c r="A259" t="s">
        <v>1107</v>
      </c>
      <c r="B259" s="681" t="s">
        <v>76</v>
      </c>
      <c r="D259">
        <f>SUMIFS('分项对比表(02表)'!$M:$M,'分项对比表(02表)'!$D:$D,A259,'分项对比表(02表)'!$C:$C,A$2)</f>
        <v>0</v>
      </c>
      <c r="I259" s="1035" t="s">
        <v>1108</v>
      </c>
      <c r="J259" s="1031" t="s">
        <v>76</v>
      </c>
      <c r="K259" s="1036"/>
      <c r="L259" s="1032">
        <f>SUMIFS('01工程产值对比表'!$M:$M,'01工程产值对比表'!$D:$D,I259,'01工程产值对比表'!$C:$C,I$2)</f>
        <v>0</v>
      </c>
      <c r="M259" s="1033"/>
      <c r="N259" s="1033"/>
      <c r="O259" s="1033"/>
      <c r="Q259" t="s">
        <v>1109</v>
      </c>
      <c r="R259" s="681" t="s">
        <v>69</v>
      </c>
      <c r="S259">
        <v>60</v>
      </c>
      <c r="T259" s="1023">
        <f>SUMIFS('01工程产值对比表'!$M:$M,'01工程产值对比表'!$D:$D,Q259,'01工程产值对比表'!$C:$C,Q$2)</f>
        <v>1877.629592</v>
      </c>
      <c r="U259" s="1023"/>
    </row>
    <row r="260" spans="1:21">
      <c r="A260" t="s">
        <v>1110</v>
      </c>
      <c r="B260" s="681" t="s">
        <v>169</v>
      </c>
      <c r="D260">
        <f>SUMIFS('分项对比表(02表)'!$M:$M,'分项对比表(02表)'!$D:$D,A260,'分项对比表(02表)'!$C:$C,A$2)</f>
        <v>0</v>
      </c>
      <c r="I260" s="1035" t="s">
        <v>1111</v>
      </c>
      <c r="J260" s="1031" t="s">
        <v>76</v>
      </c>
      <c r="K260" s="1036"/>
      <c r="L260" s="1032">
        <f>SUMIFS('01工程产值对比表'!$M:$M,'01工程产值对比表'!$D:$D,I260,'01工程产值对比表'!$C:$C,I$2)</f>
        <v>0</v>
      </c>
      <c r="M260" s="1033"/>
      <c r="N260" s="1033"/>
      <c r="O260" s="1033"/>
      <c r="Q260" t="s">
        <v>1112</v>
      </c>
      <c r="R260" s="681" t="s">
        <v>688</v>
      </c>
      <c r="S260">
        <v>185</v>
      </c>
      <c r="T260" s="1023">
        <f>SUMIFS('01工程产值对比表'!$M:$M,'01工程产值对比表'!$D:$D,Q260,'01工程产值对比表'!$C:$C,Q$2)</f>
        <v>224.4297</v>
      </c>
      <c r="U260" s="1023"/>
    </row>
    <row r="261" spans="1:21">
      <c r="A261" t="s">
        <v>1113</v>
      </c>
      <c r="B261" s="681" t="s">
        <v>72</v>
      </c>
      <c r="D261">
        <f>SUMIFS('分项对比表(02表)'!$M:$M,'分项对比表(02表)'!$D:$D,A261,'分项对比表(02表)'!$C:$C,A$2)</f>
        <v>0</v>
      </c>
      <c r="I261" s="1035" t="s">
        <v>1114</v>
      </c>
      <c r="J261" s="1031" t="s">
        <v>76</v>
      </c>
      <c r="K261" s="1036"/>
      <c r="L261" s="1032">
        <f>SUMIFS('01工程产值对比表'!$M:$M,'01工程产值对比表'!$D:$D,I261,'01工程产值对比表'!$C:$C,I$2)</f>
        <v>0</v>
      </c>
      <c r="M261" s="1033"/>
      <c r="N261" s="1033"/>
      <c r="O261" s="1033"/>
      <c r="Q261" t="s">
        <v>1115</v>
      </c>
      <c r="R261" s="681" t="s">
        <v>688</v>
      </c>
      <c r="S261">
        <v>90</v>
      </c>
      <c r="T261" s="1023">
        <f>SUMIFS('01工程产值对比表'!$M:$M,'01工程产值对比表'!$D:$D,Q261,'01工程产值对比表'!$C:$C,Q$2)</f>
        <v>40.5414</v>
      </c>
      <c r="U261" s="1023"/>
    </row>
    <row r="262" spans="1:20">
      <c r="A262" t="s">
        <v>1116</v>
      </c>
      <c r="B262" s="681" t="s">
        <v>72</v>
      </c>
      <c r="D262">
        <f>SUMIFS('分项对比表(02表)'!$M:$M,'分项对比表(02表)'!$D:$D,A262,'分项对比表(02表)'!$C:$C,A$2)</f>
        <v>0</v>
      </c>
      <c r="I262" s="1035" t="s">
        <v>1117</v>
      </c>
      <c r="J262" s="1031" t="s">
        <v>76</v>
      </c>
      <c r="K262" s="1036">
        <v>16150</v>
      </c>
      <c r="L262" s="1032">
        <f>SUMIFS('01工程产值对比表'!$M:$M,'01工程产值对比表'!$D:$D,I262,'01工程产值对比表'!$C:$C,I$2)</f>
        <v>0</v>
      </c>
      <c r="M262" s="1033"/>
      <c r="N262" s="1033"/>
      <c r="O262" s="1033"/>
      <c r="Q262" t="s">
        <v>1118</v>
      </c>
      <c r="R262" s="681" t="s">
        <v>72</v>
      </c>
      <c r="S262">
        <v>270</v>
      </c>
      <c r="T262" s="1023">
        <f>SUMIFS('01工程产值对比表'!$M:$M,'01工程产值对比表'!$D:$D,Q262,'01工程产值对比表'!$C:$C,Q$2)</f>
        <v>1252.19</v>
      </c>
    </row>
    <row r="263" spans="1:20">
      <c r="A263" t="s">
        <v>1119</v>
      </c>
      <c r="B263" s="681" t="s">
        <v>169</v>
      </c>
      <c r="D263">
        <f>SUMIFS('分项对比表(02表)'!$M:$M,'分项对比表(02表)'!$D:$D,A263,'分项对比表(02表)'!$C:$C,A$2)</f>
        <v>0</v>
      </c>
      <c r="I263" s="1035" t="s">
        <v>1120</v>
      </c>
      <c r="J263" s="1031" t="s">
        <v>76</v>
      </c>
      <c r="K263" s="1036">
        <v>31333.33</v>
      </c>
      <c r="L263" s="1032">
        <f>SUMIFS('01工程产值对比表'!$M:$M,'01工程产值对比表'!$D:$D,I263,'01工程产值对比表'!$C:$C,I$2)</f>
        <v>0</v>
      </c>
      <c r="M263" s="1033"/>
      <c r="N263" s="1033"/>
      <c r="O263" s="1033"/>
      <c r="Q263" t="s">
        <v>1121</v>
      </c>
      <c r="R263" s="681" t="s">
        <v>185</v>
      </c>
      <c r="S263">
        <v>10</v>
      </c>
      <c r="T263" s="1023">
        <f>SUMIFS('01工程产值对比表'!$M:$M,'01工程产值对比表'!$D:$D,Q263,'01工程产值对比表'!$C:$C,Q$2)</f>
        <v>404</v>
      </c>
    </row>
    <row r="264" spans="1:20">
      <c r="A264" t="s">
        <v>1122</v>
      </c>
      <c r="B264" s="681" t="s">
        <v>76</v>
      </c>
      <c r="D264">
        <f>SUMIFS('分项对比表(02表)'!$M:$M,'分项对比表(02表)'!$D:$D,A264,'分项对比表(02表)'!$C:$C,A$2)</f>
        <v>0</v>
      </c>
      <c r="I264" s="1035" t="s">
        <v>1123</v>
      </c>
      <c r="J264" s="1031" t="s">
        <v>76</v>
      </c>
      <c r="K264" s="1036"/>
      <c r="L264" s="1032">
        <f>SUMIFS('01工程产值对比表'!$M:$M,'01工程产值对比表'!$D:$D,I264,'01工程产值对比表'!$C:$C,I$2)</f>
        <v>0</v>
      </c>
      <c r="M264" s="1033"/>
      <c r="N264" s="1033"/>
      <c r="O264" s="1033"/>
      <c r="Q264" t="s">
        <v>1124</v>
      </c>
      <c r="R264" s="681" t="s">
        <v>72</v>
      </c>
      <c r="S264">
        <v>180</v>
      </c>
      <c r="T264" s="1023">
        <f>SUMIFS('01工程产值对比表'!$M:$M,'01工程产值对比表'!$D:$D,Q264,'01工程产值对比表'!$C:$C,Q$2)</f>
        <v>15.572</v>
      </c>
    </row>
    <row r="265" spans="1:20">
      <c r="A265" t="s">
        <v>1125</v>
      </c>
      <c r="B265" s="681" t="s">
        <v>72</v>
      </c>
      <c r="D265">
        <f>SUMIFS('分项对比表(02表)'!$M:$M,'分项对比表(02表)'!$D:$D,A265,'分项对比表(02表)'!$C:$C,A$2)</f>
        <v>0</v>
      </c>
      <c r="I265" s="1035" t="s">
        <v>1126</v>
      </c>
      <c r="J265" s="1031" t="s">
        <v>76</v>
      </c>
      <c r="K265" s="1036">
        <v>16000</v>
      </c>
      <c r="L265" s="1032">
        <f>SUMIFS('01工程产值对比表'!$M:$M,'01工程产值对比表'!$D:$D,I265,'01工程产值对比表'!$C:$C,I$2)</f>
        <v>0</v>
      </c>
      <c r="M265" s="1033"/>
      <c r="N265" s="1033"/>
      <c r="O265" s="1033"/>
      <c r="Q265" t="s">
        <v>1127</v>
      </c>
      <c r="R265" s="681" t="s">
        <v>72</v>
      </c>
      <c r="S265">
        <v>160</v>
      </c>
      <c r="T265" s="1023">
        <f>SUMIFS('01工程产值对比表'!$M:$M,'01工程产值对比表'!$D:$D,Q265,'01工程产值对比表'!$C:$C,Q$2)</f>
        <v>2228.3</v>
      </c>
    </row>
    <row r="266" spans="1:20">
      <c r="A266" t="s">
        <v>1128</v>
      </c>
      <c r="B266" s="681" t="s">
        <v>72</v>
      </c>
      <c r="D266">
        <f>SUMIFS('分项对比表(02表)'!$M:$M,'分项对比表(02表)'!$D:$D,A266,'分项对比表(02表)'!$C:$C,A$2)</f>
        <v>0</v>
      </c>
      <c r="I266" s="1035" t="s">
        <v>1129</v>
      </c>
      <c r="J266" s="1031" t="s">
        <v>76</v>
      </c>
      <c r="K266" s="1036">
        <v>27900</v>
      </c>
      <c r="L266" s="1032">
        <f>SUMIFS('01工程产值对比表'!$M:$M,'01工程产值对比表'!$D:$D,I266,'01工程产值对比表'!$C:$C,I$2)</f>
        <v>0</v>
      </c>
      <c r="M266" s="1033"/>
      <c r="N266" s="1033"/>
      <c r="O266" s="1033"/>
      <c r="Q266" t="s">
        <v>1130</v>
      </c>
      <c r="R266" s="681" t="s">
        <v>76</v>
      </c>
      <c r="S266">
        <v>5</v>
      </c>
      <c r="T266" s="1023">
        <f>SUMIFS('01工程产值对比表'!$M:$M,'01工程产值对比表'!$D:$D,Q266,'01工程产值对比表'!$C:$C,Q$2)</f>
        <v>11081.78</v>
      </c>
    </row>
    <row r="267" spans="1:35">
      <c r="A267" t="s">
        <v>1131</v>
      </c>
      <c r="B267" s="681" t="s">
        <v>76</v>
      </c>
      <c r="D267">
        <f>SUMIFS('分项对比表(02表)'!$M:$M,'分项对比表(02表)'!$D:$D,A267,'分项对比表(02表)'!$C:$C,A$2)</f>
        <v>0</v>
      </c>
      <c r="I267" s="1035" t="s">
        <v>1132</v>
      </c>
      <c r="J267" s="1031" t="s">
        <v>76</v>
      </c>
      <c r="K267" s="1036">
        <v>14750</v>
      </c>
      <c r="L267" s="1032">
        <f>SUMIFS('01工程产值对比表'!$M:$M,'01工程产值对比表'!$D:$D,I267,'01工程产值对比表'!$C:$C,I$2)</f>
        <v>0</v>
      </c>
      <c r="M267" s="1033"/>
      <c r="N267" s="1033"/>
      <c r="O267" s="1033"/>
      <c r="Q267" t="s">
        <v>1133</v>
      </c>
      <c r="R267" s="681" t="s">
        <v>76</v>
      </c>
      <c r="S267">
        <v>6</v>
      </c>
      <c r="T267" s="1023">
        <f>SUMIFS('01工程产值对比表'!$M:$M,'01工程产值对比表'!$D:$D,Q267,'01工程产值对比表'!$C:$C,Q$2)</f>
        <v>3311.44</v>
      </c>
      <c r="AI267" s="748"/>
    </row>
    <row r="268" spans="1:35">
      <c r="A268" t="s">
        <v>1134</v>
      </c>
      <c r="B268" s="681" t="s">
        <v>169</v>
      </c>
      <c r="D268">
        <f>SUMIFS('分项对比表(02表)'!$M:$M,'分项对比表(02表)'!$D:$D,A268,'分项对比表(02表)'!$C:$C,A$2)</f>
        <v>0</v>
      </c>
      <c r="I268" s="1035" t="s">
        <v>1135</v>
      </c>
      <c r="J268" s="1031" t="s">
        <v>76</v>
      </c>
      <c r="K268" s="1036"/>
      <c r="L268" s="1032">
        <f>SUMIFS('01工程产值对比表'!$M:$M,'01工程产值对比表'!$D:$D,I268,'01工程产值对比表'!$C:$C,I$2)</f>
        <v>0</v>
      </c>
      <c r="M268" s="1033"/>
      <c r="N268" s="1033"/>
      <c r="O268" s="1033"/>
      <c r="Q268" t="s">
        <v>1136</v>
      </c>
      <c r="R268" s="681" t="s">
        <v>72</v>
      </c>
      <c r="S268">
        <v>300</v>
      </c>
      <c r="T268" s="1023">
        <f>SUMIFS('01工程产值对比表'!$M:$M,'01工程产值对比表'!$D:$D,Q268,'01工程产值对比表'!$C:$C,Q$2)</f>
        <v>0</v>
      </c>
      <c r="AI268" s="748"/>
    </row>
    <row r="269" spans="1:35">
      <c r="A269" t="s">
        <v>1137</v>
      </c>
      <c r="B269" s="681" t="s">
        <v>169</v>
      </c>
      <c r="D269">
        <f>SUMIFS('分项对比表(02表)'!$M:$M,'分项对比表(02表)'!$D:$D,A269,'分项对比表(02表)'!$C:$C,A$2)</f>
        <v>0</v>
      </c>
      <c r="I269" s="1035" t="s">
        <v>1138</v>
      </c>
      <c r="J269" s="1031" t="s">
        <v>76</v>
      </c>
      <c r="K269" s="1036"/>
      <c r="L269" s="1032">
        <f>SUMIFS('01工程产值对比表'!$M:$M,'01工程产值对比表'!$D:$D,I269,'01工程产值对比表'!$C:$C,I$2)</f>
        <v>0</v>
      </c>
      <c r="M269" s="1033"/>
      <c r="N269" s="1033"/>
      <c r="O269" s="1033"/>
      <c r="Q269" t="s">
        <v>1139</v>
      </c>
      <c r="R269" s="681" t="s">
        <v>72</v>
      </c>
      <c r="T269" s="1023">
        <f>SUMIFS('01工程产值对比表'!$M:$M,'01工程产值对比表'!$D:$D,Q269,'01工程产值对比表'!$C:$C,Q$2)</f>
        <v>0</v>
      </c>
      <c r="AI269" s="748"/>
    </row>
    <row r="270" spans="1:35">
      <c r="A270" t="s">
        <v>1140</v>
      </c>
      <c r="B270" s="681" t="s">
        <v>76</v>
      </c>
      <c r="D270">
        <f>SUMIFS('分项对比表(02表)'!$M:$M,'分项对比表(02表)'!$D:$D,A270,'分项对比表(02表)'!$C:$C,A$2)</f>
        <v>0</v>
      </c>
      <c r="I270" s="1035" t="s">
        <v>1141</v>
      </c>
      <c r="J270" s="1031" t="s">
        <v>76</v>
      </c>
      <c r="K270" s="1036">
        <v>475</v>
      </c>
      <c r="L270" s="1032">
        <f>SUMIFS('01工程产值对比表'!$M:$M,'01工程产值对比表'!$D:$D,I270,'01工程产值对比表'!$C:$C,I$2)</f>
        <v>0</v>
      </c>
      <c r="M270" s="1033"/>
      <c r="N270" s="1033"/>
      <c r="O270" s="1033"/>
      <c r="Q270" t="s">
        <v>1142</v>
      </c>
      <c r="R270" s="681" t="s">
        <v>69</v>
      </c>
      <c r="T270" s="1023">
        <f>SUMIFS('01工程产值对比表'!$M:$M,'01工程产值对比表'!$D:$D,Q270,'01工程产值对比表'!$C:$C,Q$2)</f>
        <v>0</v>
      </c>
      <c r="AI270" s="748"/>
    </row>
    <row r="271" spans="1:35">
      <c r="A271" t="s">
        <v>1143</v>
      </c>
      <c r="B271" s="681" t="s">
        <v>169</v>
      </c>
      <c r="D271">
        <f>SUMIFS('分项对比表(02表)'!$M:$M,'分项对比表(02表)'!$D:$D,A271,'分项对比表(02表)'!$C:$C,A$2)</f>
        <v>0</v>
      </c>
      <c r="I271" s="1035" t="s">
        <v>1144</v>
      </c>
      <c r="J271" s="1031" t="s">
        <v>76</v>
      </c>
      <c r="K271" s="1036"/>
      <c r="L271" s="1032">
        <f>SUMIFS('01工程产值对比表'!$M:$M,'01工程产值对比表'!$D:$D,I271,'01工程产值对比表'!$C:$C,I$2)</f>
        <v>0</v>
      </c>
      <c r="M271" s="1033"/>
      <c r="N271" s="1033"/>
      <c r="O271" s="1033"/>
      <c r="Q271" t="s">
        <v>1145</v>
      </c>
      <c r="R271" s="681" t="s">
        <v>82</v>
      </c>
      <c r="T271" s="1023">
        <f>SUMIFS('01工程产值对比表'!$M:$M,'01工程产值对比表'!$D:$D,Q271,'01工程产值对比表'!$C:$C,Q$2)</f>
        <v>0</v>
      </c>
      <c r="AI271" s="748"/>
    </row>
    <row r="272" spans="1:35">
      <c r="A272" t="s">
        <v>1146</v>
      </c>
      <c r="B272" s="681" t="s">
        <v>76</v>
      </c>
      <c r="D272">
        <f>SUMIFS('分项对比表(02表)'!$M:$M,'分项对比表(02表)'!$D:$D,A272,'分项对比表(02表)'!$C:$C,A$2)</f>
        <v>0</v>
      </c>
      <c r="I272" s="1035" t="s">
        <v>1147</v>
      </c>
      <c r="J272" s="1031" t="s">
        <v>76</v>
      </c>
      <c r="K272" s="1036"/>
      <c r="L272" s="1032">
        <f>SUMIFS('01工程产值对比表'!$M:$M,'01工程产值对比表'!$D:$D,I272,'01工程产值对比表'!$C:$C,I$2)</f>
        <v>0</v>
      </c>
      <c r="M272" s="1033"/>
      <c r="N272" s="1033"/>
      <c r="O272" s="1033"/>
      <c r="Q272" t="s">
        <v>1148</v>
      </c>
      <c r="R272" s="681" t="s">
        <v>69</v>
      </c>
      <c r="S272">
        <v>35</v>
      </c>
      <c r="T272" s="1023">
        <f>SUMIFS('01工程产值对比表'!$M:$M,'01工程产值对比表'!$D:$D,Q272,'01工程产值对比表'!$C:$C,Q$2)</f>
        <v>0</v>
      </c>
      <c r="AI272" s="748"/>
    </row>
    <row r="273" spans="1:35">
      <c r="A273" t="s">
        <v>1149</v>
      </c>
      <c r="B273" s="681" t="s">
        <v>169</v>
      </c>
      <c r="D273">
        <f>SUMIFS('分项对比表(02表)'!$M:$M,'分项对比表(02表)'!$D:$D,A273,'分项对比表(02表)'!$C:$C,A$2)</f>
        <v>0</v>
      </c>
      <c r="I273" s="1035" t="s">
        <v>1150</v>
      </c>
      <c r="J273" s="1031" t="s">
        <v>76</v>
      </c>
      <c r="K273" s="1036"/>
      <c r="L273" s="1032">
        <f>SUMIFS('01工程产值对比表'!$M:$M,'01工程产值对比表'!$D:$D,I273,'01工程产值对比表'!$C:$C,I$2)</f>
        <v>0</v>
      </c>
      <c r="M273" s="1033"/>
      <c r="N273" s="1033"/>
      <c r="O273" s="1033"/>
      <c r="Q273" t="s">
        <v>1151</v>
      </c>
      <c r="R273" s="681" t="s">
        <v>69</v>
      </c>
      <c r="T273" s="1023">
        <f>SUMIFS('01工程产值对比表'!$M:$M,'01工程产值对比表'!$D:$D,Q273,'01工程产值对比表'!$C:$C,Q$2)</f>
        <v>0</v>
      </c>
      <c r="AI273" s="748"/>
    </row>
    <row r="274" spans="1:35">
      <c r="A274" t="s">
        <v>1152</v>
      </c>
      <c r="B274" s="681" t="s">
        <v>169</v>
      </c>
      <c r="D274">
        <f>SUMIFS('分项对比表(02表)'!$M:$M,'分项对比表(02表)'!$D:$D,A274,'分项对比表(02表)'!$C:$C,A$2)</f>
        <v>0</v>
      </c>
      <c r="I274" s="1035" t="s">
        <v>1153</v>
      </c>
      <c r="J274" s="1031" t="s">
        <v>72</v>
      </c>
      <c r="K274" s="1036"/>
      <c r="L274" s="1032">
        <f>SUMIFS('01工程产值对比表'!$M:$M,'01工程产值对比表'!$D:$D,I274,'01工程产值对比表'!$C:$C,I$2)</f>
        <v>0</v>
      </c>
      <c r="M274" s="1033"/>
      <c r="N274" s="1033"/>
      <c r="O274" s="1033"/>
      <c r="Q274" t="s">
        <v>1154</v>
      </c>
      <c r="R274" s="681" t="s">
        <v>72</v>
      </c>
      <c r="T274" s="1023">
        <f>SUMIFS('01工程产值对比表'!$M:$M,'01工程产值对比表'!$D:$D,Q274,'01工程产值对比表'!$C:$C,Q$2)</f>
        <v>0</v>
      </c>
      <c r="AI274" s="748"/>
    </row>
    <row r="275" spans="1:35">
      <c r="A275" t="s">
        <v>1155</v>
      </c>
      <c r="B275" s="681" t="s">
        <v>76</v>
      </c>
      <c r="D275">
        <f>SUMIFS('分项对比表(02表)'!$M:$M,'分项对比表(02表)'!$D:$D,A275,'分项对比表(02表)'!$C:$C,A$2)</f>
        <v>0</v>
      </c>
      <c r="I275" s="1035" t="s">
        <v>1156</v>
      </c>
      <c r="J275" s="1031" t="s">
        <v>72</v>
      </c>
      <c r="K275" s="1036">
        <v>154</v>
      </c>
      <c r="L275" s="1032">
        <f>SUMIFS('01工程产值对比表'!$M:$M,'01工程产值对比表'!$D:$D,I275,'01工程产值对比表'!$C:$C,I$2)</f>
        <v>0</v>
      </c>
      <c r="M275" s="1033"/>
      <c r="N275" s="1033"/>
      <c r="O275" s="1033"/>
      <c r="Q275" t="s">
        <v>675</v>
      </c>
      <c r="R275" s="681" t="s">
        <v>688</v>
      </c>
      <c r="T275" s="1023">
        <f>SUMIFS('01工程产值对比表'!$M:$M,'01工程产值对比表'!$D:$D,Q275,'01工程产值对比表'!$C:$C,Q$2)</f>
        <v>0</v>
      </c>
      <c r="AI275" s="748"/>
    </row>
    <row r="276" spans="1:35">
      <c r="A276" t="s">
        <v>1157</v>
      </c>
      <c r="B276" s="681" t="s">
        <v>72</v>
      </c>
      <c r="D276">
        <f>SUMIFS('分项对比表(02表)'!$M:$M,'分项对比表(02表)'!$D:$D,A276,'分项对比表(02表)'!$C:$C,A$2)</f>
        <v>0</v>
      </c>
      <c r="I276" s="1035" t="s">
        <v>1158</v>
      </c>
      <c r="J276" s="1031" t="s">
        <v>72</v>
      </c>
      <c r="K276" s="1036"/>
      <c r="L276" s="1032">
        <f>SUMIFS('01工程产值对比表'!$M:$M,'01工程产值对比表'!$D:$D,I276,'01工程产值对比表'!$C:$C,I$2)</f>
        <v>0</v>
      </c>
      <c r="M276" s="1033"/>
      <c r="N276" s="1033"/>
      <c r="O276" s="1033"/>
      <c r="Q276" t="s">
        <v>1159</v>
      </c>
      <c r="R276" s="681" t="s">
        <v>169</v>
      </c>
      <c r="T276" s="1023">
        <f>SUMIFS('01工程产值对比表'!$M:$M,'01工程产值对比表'!$D:$D,Q276,'01工程产值对比表'!$C:$C,Q$2)</f>
        <v>0</v>
      </c>
      <c r="AI276" s="748"/>
    </row>
    <row r="277" spans="1:35">
      <c r="A277" t="s">
        <v>1160</v>
      </c>
      <c r="B277" s="681" t="s">
        <v>72</v>
      </c>
      <c r="D277">
        <f>SUMIFS('分项对比表(02表)'!$M:$M,'分项对比表(02表)'!$D:$D,A277,'分项对比表(02表)'!$C:$C,A$2)</f>
        <v>0</v>
      </c>
      <c r="I277" s="1035" t="s">
        <v>1161</v>
      </c>
      <c r="J277" s="1031" t="s">
        <v>72</v>
      </c>
      <c r="K277" s="1036">
        <v>270</v>
      </c>
      <c r="L277" s="1032">
        <f>SUMIFS('01工程产值对比表'!$M:$M,'01工程产值对比表'!$D:$D,I277,'01工程产值对比表'!$C:$C,I$2)</f>
        <v>0</v>
      </c>
      <c r="M277" s="1033"/>
      <c r="N277" s="1033"/>
      <c r="O277" s="1033"/>
      <c r="Q277" t="s">
        <v>1162</v>
      </c>
      <c r="R277" s="681" t="s">
        <v>688</v>
      </c>
      <c r="T277" s="1023">
        <f>SUMIFS('01工程产值对比表'!$M:$M,'01工程产值对比表'!$D:$D,Q277,'01工程产值对比表'!$C:$C,Q$2)</f>
        <v>0</v>
      </c>
      <c r="AI277" s="748"/>
    </row>
    <row r="278" spans="1:35">
      <c r="A278" t="s">
        <v>1163</v>
      </c>
      <c r="B278" s="681" t="s">
        <v>190</v>
      </c>
      <c r="D278">
        <f>SUMIFS('分项对比表(02表)'!$M:$M,'分项对比表(02表)'!$D:$D,A278,'分项对比表(02表)'!$C:$C,A$2)</f>
        <v>0</v>
      </c>
      <c r="I278" s="1035" t="s">
        <v>1164</v>
      </c>
      <c r="J278" s="1031" t="s">
        <v>72</v>
      </c>
      <c r="K278" s="1036"/>
      <c r="L278" s="1032">
        <f>SUMIFS('01工程产值对比表'!$M:$M,'01工程产值对比表'!$D:$D,I278,'01工程产值对比表'!$C:$C,I$2)</f>
        <v>0</v>
      </c>
      <c r="M278" s="1033"/>
      <c r="N278" s="1033"/>
      <c r="O278" s="1033"/>
      <c r="Q278" t="s">
        <v>1165</v>
      </c>
      <c r="R278" s="681" t="s">
        <v>76</v>
      </c>
      <c r="T278" s="1023">
        <f>SUMIFS('01工程产值对比表'!$M:$M,'01工程产值对比表'!$D:$D,Q278,'01工程产值对比表'!$C:$C,Q$2)</f>
        <v>0</v>
      </c>
      <c r="AI278" s="748"/>
    </row>
    <row r="279" spans="1:35">
      <c r="A279" t="s">
        <v>1166</v>
      </c>
      <c r="B279" s="681" t="s">
        <v>82</v>
      </c>
      <c r="D279">
        <f>SUMIFS('分项对比表(02表)'!$M:$M,'分项对比表(02表)'!$D:$D,A279,'分项对比表(02表)'!$C:$C,A$2)</f>
        <v>0</v>
      </c>
      <c r="I279" s="1035" t="s">
        <v>1167</v>
      </c>
      <c r="J279" s="1031" t="s">
        <v>72</v>
      </c>
      <c r="K279" s="1036">
        <v>275</v>
      </c>
      <c r="L279" s="1032">
        <f>SUMIFS('01工程产值对比表'!$M:$M,'01工程产值对比表'!$D:$D,I279,'01工程产值对比表'!$C:$C,I$2)</f>
        <v>0</v>
      </c>
      <c r="M279" s="1033"/>
      <c r="N279" s="1033"/>
      <c r="O279" s="1033"/>
      <c r="Q279" t="s">
        <v>1168</v>
      </c>
      <c r="R279" s="681" t="s">
        <v>688</v>
      </c>
      <c r="T279" s="1023">
        <f>SUMIFS('01工程产值对比表'!$M:$M,'01工程产值对比表'!$D:$D,Q279,'01工程产值对比表'!$C:$C,Q$2)</f>
        <v>0</v>
      </c>
      <c r="AI279" s="748"/>
    </row>
    <row r="280" spans="1:35">
      <c r="A280" t="s">
        <v>1169</v>
      </c>
      <c r="B280" s="681" t="s">
        <v>82</v>
      </c>
      <c r="D280">
        <f>SUMIFS('分项对比表(02表)'!$M:$M,'分项对比表(02表)'!$D:$D,A280,'分项对比表(02表)'!$C:$C,A$2)</f>
        <v>0</v>
      </c>
      <c r="I280" s="1035" t="s">
        <v>1170</v>
      </c>
      <c r="J280" s="1031" t="s">
        <v>72</v>
      </c>
      <c r="K280" s="1036">
        <v>280</v>
      </c>
      <c r="L280" s="1032">
        <f>SUMIFS('01工程产值对比表'!$M:$M,'01工程产值对比表'!$D:$D,I280,'01工程产值对比表'!$C:$C,I$2)</f>
        <v>0</v>
      </c>
      <c r="M280" s="1033"/>
      <c r="N280" s="1033"/>
      <c r="O280" s="1033"/>
      <c r="Q280" t="s">
        <v>1171</v>
      </c>
      <c r="R280" s="681" t="s">
        <v>69</v>
      </c>
      <c r="S280">
        <v>6</v>
      </c>
      <c r="T280" s="1023">
        <f>SUMIFS('01工程产值对比表'!$M:$M,'01工程产值对比表'!$D:$D,Q280,'01工程产值对比表'!$C:$C,Q$2)</f>
        <v>0</v>
      </c>
      <c r="AI280" s="748"/>
    </row>
    <row r="281" spans="1:35">
      <c r="A281" t="s">
        <v>1172</v>
      </c>
      <c r="B281" s="681" t="s">
        <v>82</v>
      </c>
      <c r="D281">
        <f>SUMIFS('分项对比表(02表)'!$M:$M,'分项对比表(02表)'!$D:$D,A281,'分项对比表(02表)'!$C:$C,A$2)</f>
        <v>0</v>
      </c>
      <c r="I281" s="1035" t="s">
        <v>1173</v>
      </c>
      <c r="J281" s="1031" t="s">
        <v>72</v>
      </c>
      <c r="K281" s="1036"/>
      <c r="L281" s="1032">
        <f>SUMIFS('01工程产值对比表'!$M:$M,'01工程产值对比表'!$D:$D,I281,'01工程产值对比表'!$C:$C,I$2)</f>
        <v>0</v>
      </c>
      <c r="M281" s="1033"/>
      <c r="N281" s="1033"/>
      <c r="O281" s="1033"/>
      <c r="AI281" s="748"/>
    </row>
    <row r="282" spans="1:35">
      <c r="A282" t="s">
        <v>1174</v>
      </c>
      <c r="B282" s="681" t="s">
        <v>82</v>
      </c>
      <c r="D282">
        <f>SUMIFS('分项对比表(02表)'!$M:$M,'分项对比表(02表)'!$D:$D,A282,'分项对比表(02表)'!$C:$C,A$2)</f>
        <v>0</v>
      </c>
      <c r="I282" s="1035" t="s">
        <v>1175</v>
      </c>
      <c r="J282" s="1031" t="s">
        <v>72</v>
      </c>
      <c r="K282" s="1036"/>
      <c r="L282" s="1032">
        <f>SUMIFS('01工程产值对比表'!$M:$M,'01工程产值对比表'!$D:$D,I282,'01工程产值对比表'!$C:$C,I$2)</f>
        <v>0</v>
      </c>
      <c r="M282" s="1033"/>
      <c r="N282" s="1033"/>
      <c r="O282" s="1033"/>
      <c r="AI282" s="748"/>
    </row>
    <row r="283" spans="9:35">
      <c r="I283" s="1035" t="s">
        <v>1176</v>
      </c>
      <c r="J283" s="1031" t="s">
        <v>69</v>
      </c>
      <c r="K283" s="1036"/>
      <c r="L283" s="1032">
        <f>SUMIFS('01工程产值对比表'!$M:$M,'01工程产值对比表'!$D:$D,I283,'01工程产值对比表'!$C:$C,I$2)</f>
        <v>0</v>
      </c>
      <c r="M283" s="1033"/>
      <c r="N283" s="1033"/>
      <c r="O283" s="1033"/>
      <c r="AI283" s="748"/>
    </row>
    <row r="284" spans="9:15">
      <c r="I284" s="1035" t="s">
        <v>1177</v>
      </c>
      <c r="J284" s="1031" t="s">
        <v>82</v>
      </c>
      <c r="K284" s="1036"/>
      <c r="L284" s="1032">
        <f>SUMIFS('01工程产值对比表'!$M:$M,'01工程产值对比表'!$D:$D,I284,'01工程产值对比表'!$C:$C,I$2)</f>
        <v>0</v>
      </c>
      <c r="M284" s="1033"/>
      <c r="N284" s="1033"/>
      <c r="O284" s="1033"/>
    </row>
    <row r="285" spans="9:15">
      <c r="I285" s="1035" t="s">
        <v>1178</v>
      </c>
      <c r="J285" s="1031" t="s">
        <v>82</v>
      </c>
      <c r="K285" s="1036"/>
      <c r="L285" s="1032">
        <f>SUMIFS('01工程产值对比表'!$M:$M,'01工程产值对比表'!$D:$D,I285,'01工程产值对比表'!$C:$C,I$2)</f>
        <v>0</v>
      </c>
      <c r="M285" s="1033"/>
      <c r="N285" s="1033"/>
      <c r="O285" s="1033"/>
    </row>
    <row r="286" spans="9:15">
      <c r="I286" s="1035" t="s">
        <v>1179</v>
      </c>
      <c r="J286" s="1031" t="s">
        <v>82</v>
      </c>
      <c r="K286" s="1036"/>
      <c r="L286" s="1032">
        <f>SUMIFS('01工程产值对比表'!$M:$M,'01工程产值对比表'!$D:$D,I286,'01工程产值对比表'!$C:$C,I$2)</f>
        <v>0</v>
      </c>
      <c r="M286" s="1033"/>
      <c r="N286" s="1033"/>
      <c r="O286" s="1033"/>
    </row>
    <row r="287" spans="9:15">
      <c r="I287" s="1035" t="s">
        <v>1180</v>
      </c>
      <c r="J287" s="1031" t="s">
        <v>69</v>
      </c>
      <c r="K287" s="1036"/>
      <c r="L287" s="1032">
        <f>SUMIFS('01工程产值对比表'!$M:$M,'01工程产值对比表'!$D:$D,I287,'01工程产值对比表'!$C:$C,I$2)</f>
        <v>0</v>
      </c>
      <c r="M287" s="1033"/>
      <c r="N287" s="1033"/>
      <c r="O287" s="1033"/>
    </row>
    <row r="288" spans="9:15">
      <c r="I288" s="1035" t="s">
        <v>1181</v>
      </c>
      <c r="J288" s="1031" t="s">
        <v>69</v>
      </c>
      <c r="K288" s="1036"/>
      <c r="L288" s="1032">
        <f>SUMIFS('01工程产值对比表'!$M:$M,'01工程产值对比表'!$D:$D,I288,'01工程产值对比表'!$C:$C,I$2)</f>
        <v>0</v>
      </c>
      <c r="M288" s="1033"/>
      <c r="N288" s="1033"/>
      <c r="O288" s="1033"/>
    </row>
    <row r="289" spans="9:15">
      <c r="I289" s="1035" t="s">
        <v>1182</v>
      </c>
      <c r="J289" s="1031" t="s">
        <v>69</v>
      </c>
      <c r="K289" s="1036">
        <v>8</v>
      </c>
      <c r="L289" s="1032">
        <f>SUMIFS('01工程产值对比表'!$M:$M,'01工程产值对比表'!$D:$D,I289,'01工程产值对比表'!$C:$C,I$2)</f>
        <v>31796.9959181724</v>
      </c>
      <c r="M289" s="1033"/>
      <c r="N289" s="1033"/>
      <c r="O289" s="1033"/>
    </row>
    <row r="290" spans="9:15">
      <c r="I290" s="1035" t="s">
        <v>1183</v>
      </c>
      <c r="J290" s="1031" t="s">
        <v>69</v>
      </c>
      <c r="K290" s="1036"/>
      <c r="L290" s="1032">
        <f>SUMIFS('01工程产值对比表'!$M:$M,'01工程产值对比表'!$D:$D,I290,'01工程产值对比表'!$C:$C,I$2)</f>
        <v>1744.92</v>
      </c>
      <c r="M290" s="1033"/>
      <c r="N290" s="1033"/>
      <c r="O290" s="1033"/>
    </row>
    <row r="291" spans="9:15">
      <c r="I291" s="1035" t="s">
        <v>1184</v>
      </c>
      <c r="J291" s="1031" t="s">
        <v>69</v>
      </c>
      <c r="K291" s="1036"/>
      <c r="L291" s="1032">
        <f>SUMIFS('01工程产值对比表'!$M:$M,'01工程产值对比表'!$D:$D,I291,'01工程产值对比表'!$C:$C,I$2)</f>
        <v>0</v>
      </c>
      <c r="M291" s="1033"/>
      <c r="N291" s="1033"/>
      <c r="O291" s="1033"/>
    </row>
    <row r="292" spans="9:15">
      <c r="I292" s="1035" t="s">
        <v>1185</v>
      </c>
      <c r="J292" s="1031" t="s">
        <v>69</v>
      </c>
      <c r="K292" s="1036"/>
      <c r="L292" s="1032">
        <f>SUMIFS('01工程产值对比表'!$M:$M,'01工程产值对比表'!$D:$D,I292,'01工程产值对比表'!$C:$C,I$2)</f>
        <v>1744.92</v>
      </c>
      <c r="M292" s="1033"/>
      <c r="N292" s="1033"/>
      <c r="O292" s="1033"/>
    </row>
    <row r="293" spans="9:15">
      <c r="I293" s="1035" t="s">
        <v>1186</v>
      </c>
      <c r="J293" s="1031" t="s">
        <v>69</v>
      </c>
      <c r="K293" s="1036">
        <v>2</v>
      </c>
      <c r="L293" s="1032">
        <f>SUMIFS('01工程产值对比表'!$M:$M,'01工程产值对比表'!$D:$D,I293,'01工程产值对比表'!$C:$C,I$2)</f>
        <v>26052.0759181724</v>
      </c>
      <c r="M293" s="1033"/>
      <c r="N293" s="1033"/>
      <c r="O293" s="1033"/>
    </row>
    <row r="294" spans="9:15">
      <c r="I294" s="1035" t="s">
        <v>1187</v>
      </c>
      <c r="J294" s="1031" t="s">
        <v>69</v>
      </c>
      <c r="K294" s="1036"/>
      <c r="L294" s="1032">
        <f>SUMIFS('01工程产值对比表'!$M:$M,'01工程产值对比表'!$D:$D,I294,'01工程产值对比表'!$C:$C,I$2)</f>
        <v>1744.92</v>
      </c>
      <c r="M294" s="1033"/>
      <c r="N294" s="1033"/>
      <c r="O294" s="1033"/>
    </row>
    <row r="295" spans="9:15">
      <c r="I295" s="1035" t="s">
        <v>1188</v>
      </c>
      <c r="J295" s="1031" t="s">
        <v>180</v>
      </c>
      <c r="K295" s="1036"/>
      <c r="L295" s="1032">
        <f>SUMIFS('01工程产值对比表'!$M:$M,'01工程产值对比表'!$D:$D,I295,'01工程产值对比表'!$C:$C,I$2)</f>
        <v>0</v>
      </c>
      <c r="M295" s="1033"/>
      <c r="N295" s="1033"/>
      <c r="O295" s="1033"/>
    </row>
    <row r="296" spans="9:15">
      <c r="I296" s="1035" t="s">
        <v>687</v>
      </c>
      <c r="J296" s="1031" t="s">
        <v>72</v>
      </c>
      <c r="K296" s="1036">
        <v>265.35</v>
      </c>
      <c r="L296" s="1032">
        <f>SUMIFS('01工程产值对比表'!$M:$M,'01工程产值对比表'!$D:$D,I296,'01工程产值对比表'!$C:$C,I$2)</f>
        <v>0</v>
      </c>
      <c r="M296" s="1033"/>
      <c r="N296" s="1033"/>
      <c r="O296" s="1033"/>
    </row>
    <row r="297" spans="9:15">
      <c r="I297" s="1035" t="s">
        <v>1189</v>
      </c>
      <c r="J297" s="1031" t="s">
        <v>72</v>
      </c>
      <c r="K297" s="1036">
        <v>170</v>
      </c>
      <c r="L297" s="1032">
        <f>SUMIFS('01工程产值对比表'!$M:$M,'01工程产值对比表'!$D:$D,I297,'01工程产值对比表'!$C:$C,I$2)</f>
        <v>2228.3</v>
      </c>
      <c r="M297" s="1033"/>
      <c r="N297" s="1033"/>
      <c r="O297" s="1033"/>
    </row>
    <row r="298" spans="9:15">
      <c r="I298" s="1035" t="s">
        <v>1190</v>
      </c>
      <c r="J298" s="1031" t="s">
        <v>72</v>
      </c>
      <c r="K298" s="1036"/>
      <c r="L298" s="1032">
        <f>SUMIFS('01工程产值对比表'!$M:$M,'01工程产值对比表'!$D:$D,I298,'01工程产值对比表'!$C:$C,I$2)</f>
        <v>2228.3</v>
      </c>
      <c r="M298" s="1033"/>
      <c r="N298" s="1033"/>
      <c r="O298" s="1033"/>
    </row>
    <row r="299" spans="9:15">
      <c r="I299" t="s">
        <v>1191</v>
      </c>
      <c r="J299" s="681" t="s">
        <v>72</v>
      </c>
      <c r="L299" s="1032">
        <f>SUMIFS('01工程产值对比表'!$M:$M,'01工程产值对比表'!$D:$D,I299,'01工程产值对比表'!$C:$C,I$2)</f>
        <v>0</v>
      </c>
      <c r="M299" s="1033"/>
      <c r="N299" s="1033"/>
      <c r="O299" s="1033"/>
    </row>
    <row r="300" spans="9:15">
      <c r="I300" t="s">
        <v>1192</v>
      </c>
      <c r="J300" s="681" t="s">
        <v>72</v>
      </c>
      <c r="K300">
        <v>36.61</v>
      </c>
      <c r="L300" s="1032">
        <f>SUMIFS('01工程产值对比表'!$M:$M,'01工程产值对比表'!$D:$D,I300,'01工程产值对比表'!$C:$C,I$2)</f>
        <v>0</v>
      </c>
      <c r="M300" s="1033"/>
      <c r="N300" s="1033"/>
      <c r="O300" s="1033"/>
    </row>
    <row r="301" spans="9:15">
      <c r="I301" t="s">
        <v>1193</v>
      </c>
      <c r="J301" s="681" t="s">
        <v>180</v>
      </c>
      <c r="L301" s="1032">
        <f>SUMIFS('01工程产值对比表'!$M:$M,'01工程产值对比表'!$D:$D,I301,'01工程产值对比表'!$C:$C,I$2)</f>
        <v>0</v>
      </c>
      <c r="M301" s="1033"/>
      <c r="N301" s="1033"/>
      <c r="O301" s="1033"/>
    </row>
    <row r="302" ht="28.5" spans="9:15">
      <c r="I302" s="873" t="s">
        <v>1194</v>
      </c>
      <c r="J302" s="681" t="s">
        <v>1195</v>
      </c>
      <c r="L302" s="1032">
        <f>SUMIFS('01工程产值对比表'!$M:$M,'01工程产值对比表'!$D:$D,I302,'01工程产值对比表'!$C:$C,I$2)</f>
        <v>0</v>
      </c>
      <c r="M302" s="1033"/>
      <c r="N302" s="1033"/>
      <c r="O302" s="1033"/>
    </row>
    <row r="303" spans="9:15">
      <c r="I303" t="s">
        <v>1196</v>
      </c>
      <c r="J303" s="681" t="s">
        <v>180</v>
      </c>
      <c r="L303" s="1032">
        <f>SUMIFS('01工程产值对比表'!$M:$M,'01工程产值对比表'!$D:$D,I303,'01工程产值对比表'!$C:$C,I$2)</f>
        <v>0</v>
      </c>
      <c r="M303" s="1033"/>
      <c r="N303" s="1033"/>
      <c r="O303" s="1033"/>
    </row>
    <row r="304" spans="9:15">
      <c r="I304" t="s">
        <v>1197</v>
      </c>
      <c r="J304" s="681" t="s">
        <v>180</v>
      </c>
      <c r="L304" s="1032">
        <f>SUMIFS('01工程产值对比表'!$M:$M,'01工程产值对比表'!$D:$D,I304,'01工程产值对比表'!$C:$C,I$2)</f>
        <v>0</v>
      </c>
      <c r="M304" s="1033"/>
      <c r="N304" s="1033"/>
      <c r="O304" s="1033"/>
    </row>
    <row r="305" spans="9:15">
      <c r="I305" t="s">
        <v>1198</v>
      </c>
      <c r="J305" s="681" t="s">
        <v>180</v>
      </c>
      <c r="L305" s="1032">
        <f>SUMIFS('01工程产值对比表'!$M:$M,'01工程产值对比表'!$D:$D,I305,'01工程产值对比表'!$C:$C,I$2)</f>
        <v>0</v>
      </c>
      <c r="M305" s="1033"/>
      <c r="N305" s="1033"/>
      <c r="O305" s="1033"/>
    </row>
    <row r="306" spans="9:15">
      <c r="I306" t="s">
        <v>1199</v>
      </c>
      <c r="J306" s="681" t="s">
        <v>72</v>
      </c>
      <c r="K306">
        <v>18</v>
      </c>
      <c r="L306" s="1032">
        <f>SUMIFS('01工程产值对比表'!$M:$M,'01工程产值对比表'!$D:$D,I306,'01工程产值对比表'!$C:$C,I$2)</f>
        <v>1048.7</v>
      </c>
      <c r="M306" s="1033"/>
      <c r="N306" s="1033"/>
      <c r="O306" s="1033"/>
    </row>
    <row r="307" spans="9:15">
      <c r="I307" t="s">
        <v>1200</v>
      </c>
      <c r="J307" s="681" t="s">
        <v>76</v>
      </c>
      <c r="K307">
        <v>35</v>
      </c>
      <c r="L307" s="1032">
        <f>SUMIFS('01工程产值对比表'!$M:$M,'01工程产值对比表'!$D:$D,I307,'01工程产值对比表'!$C:$C,I$2)</f>
        <v>3257.5</v>
      </c>
      <c r="M307" s="1033"/>
      <c r="N307" s="1033"/>
      <c r="O307" s="1033"/>
    </row>
    <row r="308" spans="9:15">
      <c r="I308" t="s">
        <v>1201</v>
      </c>
      <c r="J308" s="681" t="s">
        <v>69</v>
      </c>
      <c r="K308">
        <v>65</v>
      </c>
      <c r="L308" s="1032">
        <f>SUMIFS('01工程产值对比表'!$M:$M,'01工程产值对比表'!$D:$D,I308,'01工程产值对比表'!$C:$C,I$2)</f>
        <v>7122.8</v>
      </c>
      <c r="M308" s="1033"/>
      <c r="N308" s="1033"/>
      <c r="O308" s="1033"/>
    </row>
    <row r="309" spans="9:15">
      <c r="I309" t="s">
        <v>1202</v>
      </c>
      <c r="J309" s="681" t="s">
        <v>72</v>
      </c>
      <c r="K309">
        <v>7.5</v>
      </c>
      <c r="L309" s="1032">
        <f>SUMIFS('01工程产值对比表'!$M:$M,'01工程产值对比表'!$D:$D,I309,'01工程产值对比表'!$C:$C,I$2)</f>
        <v>35012</v>
      </c>
      <c r="M309" s="1033"/>
      <c r="N309" s="1033"/>
      <c r="O309" s="1033"/>
    </row>
    <row r="310" spans="9:15">
      <c r="I310" t="s">
        <v>1203</v>
      </c>
      <c r="J310" s="681" t="s">
        <v>72</v>
      </c>
      <c r="K310">
        <v>32.3</v>
      </c>
      <c r="L310" s="1032">
        <f>SUMIFS('01工程产值对比表'!$M:$M,'01工程产值对比表'!$D:$D,I310,'01工程产值对比表'!$C:$C,I$2)</f>
        <v>912.8</v>
      </c>
      <c r="M310" s="1033"/>
      <c r="N310" s="1033"/>
      <c r="O310" s="1033"/>
    </row>
    <row r="311" spans="9:15">
      <c r="I311" t="s">
        <v>1204</v>
      </c>
      <c r="J311" s="681" t="s">
        <v>76</v>
      </c>
      <c r="K311">
        <v>3</v>
      </c>
      <c r="L311" s="1032">
        <f>SUMIFS('01工程产值对比表'!$M:$M,'01工程产值对比表'!$D:$D,I311,'01工程产值对比表'!$C:$C,I$2)</f>
        <v>90</v>
      </c>
      <c r="M311" s="1033"/>
      <c r="N311" s="1033"/>
      <c r="O311" s="1033"/>
    </row>
    <row r="312" spans="9:15">
      <c r="I312" t="s">
        <v>1205</v>
      </c>
      <c r="J312" s="681" t="s">
        <v>69</v>
      </c>
      <c r="K312">
        <v>10</v>
      </c>
      <c r="L312" s="1032">
        <f>SUMIFS('01工程产值对比表'!$M:$M,'01工程产值对比表'!$D:$D,I312,'01工程产值对比表'!$C:$C,I$2)</f>
        <v>212.5</v>
      </c>
      <c r="M312" s="1033"/>
      <c r="N312" s="1033"/>
      <c r="O312" s="1033"/>
    </row>
    <row r="313" spans="9:15">
      <c r="I313" t="s">
        <v>1206</v>
      </c>
      <c r="J313" s="681" t="s">
        <v>72</v>
      </c>
      <c r="K313">
        <v>28</v>
      </c>
      <c r="L313" s="1032">
        <f>SUMIFS('01工程产值对比表'!$M:$M,'01工程产值对比表'!$D:$D,I313,'01工程产值对比表'!$C:$C,I$2)</f>
        <v>497.1204</v>
      </c>
      <c r="M313" s="1033"/>
      <c r="N313" s="1033"/>
      <c r="O313" s="1033"/>
    </row>
    <row r="314" spans="9:15">
      <c r="I314" t="s">
        <v>1207</v>
      </c>
      <c r="J314" s="681" t="s">
        <v>69</v>
      </c>
      <c r="K314">
        <v>2</v>
      </c>
      <c r="L314" s="1032">
        <f>SUMIFS('01工程产值对比表'!$M:$M,'01工程产值对比表'!$D:$D,I314,'01工程产值对比表'!$C:$C,I$2)</f>
        <v>2616.19</v>
      </c>
      <c r="M314" s="1033"/>
      <c r="N314" s="1033"/>
      <c r="O314" s="1033"/>
    </row>
    <row r="315" spans="9:15">
      <c r="I315" t="s">
        <v>1208</v>
      </c>
      <c r="J315" s="681" t="s">
        <v>69</v>
      </c>
      <c r="K315">
        <v>3.5</v>
      </c>
      <c r="L315" s="1032">
        <f>SUMIFS('01工程产值对比表'!$M:$M,'01工程产值对比表'!$D:$D,I315,'01工程产值对比表'!$C:$C,I$2)</f>
        <v>1828.2088</v>
      </c>
      <c r="M315" s="1033"/>
      <c r="N315" s="1033"/>
      <c r="O315" s="1033"/>
    </row>
    <row r="316" spans="9:15">
      <c r="I316" t="s">
        <v>1209</v>
      </c>
      <c r="J316" s="681" t="s">
        <v>69</v>
      </c>
      <c r="K316">
        <v>4.5</v>
      </c>
      <c r="L316" s="1032">
        <f>SUMIFS('01工程产值对比表'!$M:$M,'01工程产值对比表'!$D:$D,I316,'01工程产值对比表'!$C:$C,I$2)</f>
        <v>3339.8</v>
      </c>
      <c r="M316" s="1033"/>
      <c r="N316" s="1033"/>
      <c r="O316" s="1033"/>
    </row>
    <row r="317" spans="9:15">
      <c r="I317" t="s">
        <v>1210</v>
      </c>
      <c r="J317" s="681" t="s">
        <v>72</v>
      </c>
      <c r="K317">
        <v>24.3</v>
      </c>
      <c r="L317" s="1032">
        <f>SUMIFS('01工程产值对比表'!$M:$M,'01工程产值对比表'!$D:$D,I317,'01工程产值对比表'!$C:$C,I$2)</f>
        <v>68.6596</v>
      </c>
      <c r="M317" s="1033"/>
      <c r="N317" s="1033"/>
      <c r="O317" s="1033"/>
    </row>
    <row r="318" spans="9:15">
      <c r="I318" t="s">
        <v>1211</v>
      </c>
      <c r="J318" s="681" t="s">
        <v>72</v>
      </c>
      <c r="K318">
        <v>24.3</v>
      </c>
      <c r="L318" s="1032">
        <f>SUMIFS('01工程产值对比表'!$M:$M,'01工程产值对比表'!$D:$D,I318,'01工程产值对比表'!$C:$C,I$2)</f>
        <v>279.5</v>
      </c>
      <c r="M318" s="1033"/>
      <c r="N318" s="1033"/>
      <c r="O318" s="1033"/>
    </row>
    <row r="319" spans="9:15">
      <c r="I319" t="s">
        <v>1212</v>
      </c>
      <c r="J319" s="681" t="s">
        <v>72</v>
      </c>
      <c r="K319">
        <v>24.3</v>
      </c>
      <c r="L319" s="1032">
        <f>SUMIFS('01工程产值对比表'!$M:$M,'01工程产值对比表'!$D:$D,I319,'01工程产值对比表'!$C:$C,I$2)</f>
        <v>181.78</v>
      </c>
      <c r="M319" s="1033"/>
      <c r="N319" s="1033"/>
      <c r="O319" s="1033"/>
    </row>
    <row r="320" spans="9:15">
      <c r="I320" t="s">
        <v>1213</v>
      </c>
      <c r="J320" s="681" t="s">
        <v>72</v>
      </c>
      <c r="K320">
        <v>3</v>
      </c>
      <c r="L320" s="1032">
        <f>SUMIFS('01工程产值对比表'!$M:$M,'01工程产值对比表'!$D:$D,I320,'01工程产值对比表'!$C:$C,I$2)</f>
        <v>181.78</v>
      </c>
      <c r="M320" s="1033"/>
      <c r="N320" s="1033"/>
      <c r="O320" s="1033"/>
    </row>
    <row r="321" spans="9:15">
      <c r="I321" t="s">
        <v>1214</v>
      </c>
      <c r="J321" s="681" t="s">
        <v>82</v>
      </c>
      <c r="K321">
        <v>2378</v>
      </c>
      <c r="L321" s="1032">
        <f>SUMIFS('01工程产值对比表'!$M:$M,'01工程产值对比表'!$D:$D,I321,'01工程产值对比表'!$C:$C,I$2)</f>
        <v>0</v>
      </c>
      <c r="M321" s="1033"/>
      <c r="N321" s="1033"/>
      <c r="O321" s="1033"/>
    </row>
    <row r="322" spans="9:15">
      <c r="I322" t="s">
        <v>1215</v>
      </c>
      <c r="J322" s="681" t="s">
        <v>76</v>
      </c>
      <c r="K322">
        <v>2.184</v>
      </c>
      <c r="L322" s="1032">
        <f>SUMIFS('01工程产值对比表'!$M:$M,'01工程产值对比表'!$D:$D,I322,'01工程产值对比表'!$C:$C,I$2)</f>
        <v>4731.6</v>
      </c>
      <c r="M322" s="1033"/>
      <c r="N322" s="1033"/>
      <c r="O322" s="1033"/>
    </row>
    <row r="323" spans="9:15">
      <c r="I323" t="s">
        <v>1216</v>
      </c>
      <c r="J323" s="681" t="s">
        <v>72</v>
      </c>
      <c r="K323">
        <v>13.5</v>
      </c>
      <c r="L323" s="1032">
        <f>SUMIFS('01工程产值对比表'!$M:$M,'01工程产值对比表'!$D:$D,I323,'01工程产值对比表'!$C:$C,I$2)</f>
        <v>56920</v>
      </c>
      <c r="M323" s="1033"/>
      <c r="N323" s="1033"/>
      <c r="O323" s="1033"/>
    </row>
    <row r="324" spans="9:15">
      <c r="I324" t="s">
        <v>1217</v>
      </c>
      <c r="J324" s="681" t="s">
        <v>76</v>
      </c>
      <c r="K324">
        <v>17.63</v>
      </c>
      <c r="L324" s="1032">
        <f>SUMIFS('01工程产值对比表'!$M:$M,'01工程产值对比表'!$D:$D,I324,'01工程产值对比表'!$C:$C,I$2)</f>
        <v>18643.5</v>
      </c>
      <c r="M324" s="1033"/>
      <c r="N324" s="1033"/>
      <c r="O324" s="1033"/>
    </row>
    <row r="325" spans="9:15">
      <c r="I325" t="s">
        <v>1218</v>
      </c>
      <c r="J325" s="681" t="s">
        <v>76</v>
      </c>
      <c r="K325">
        <v>1.72</v>
      </c>
      <c r="L325" s="1032">
        <f>SUMIFS('01工程产值对比表'!$M:$M,'01工程产值对比表'!$D:$D,I325,'01工程产值对比表'!$C:$C,I$2)</f>
        <v>0</v>
      </c>
      <c r="M325" s="1033"/>
      <c r="N325" s="1033"/>
      <c r="O325" s="1033"/>
    </row>
    <row r="326" spans="9:15">
      <c r="I326" t="s">
        <v>1219</v>
      </c>
      <c r="J326" s="681" t="s">
        <v>76</v>
      </c>
      <c r="K326">
        <v>17.5</v>
      </c>
      <c r="L326" s="1032">
        <f>SUMIFS('01工程产值对比表'!$M:$M,'01工程产值对比表'!$D:$D,I326,'01工程产值对比表'!$C:$C,I$2)</f>
        <v>0</v>
      </c>
      <c r="M326" s="1033"/>
      <c r="N326" s="1033"/>
      <c r="O326" s="1033"/>
    </row>
    <row r="327" spans="9:15">
      <c r="I327" t="s">
        <v>1220</v>
      </c>
      <c r="J327" s="681" t="s">
        <v>76</v>
      </c>
      <c r="K327">
        <v>10.89</v>
      </c>
      <c r="L327" s="1032">
        <f>SUMIFS('01工程产值对比表'!$M:$M,'01工程产值对比表'!$D:$D,I327,'01工程产值对比表'!$C:$C,I$2)</f>
        <v>0</v>
      </c>
      <c r="M327" s="1033"/>
      <c r="N327" s="1033"/>
      <c r="O327" s="1033"/>
    </row>
    <row r="328" spans="9:15">
      <c r="I328" t="s">
        <v>1221</v>
      </c>
      <c r="J328" s="681" t="s">
        <v>76</v>
      </c>
      <c r="L328" s="1032">
        <f>SUMIFS('01工程产值对比表'!$M:$M,'01工程产值对比表'!$D:$D,I328,'01工程产值对比表'!$C:$C,I$2)</f>
        <v>0</v>
      </c>
      <c r="M328" s="1033"/>
      <c r="N328" s="1033"/>
      <c r="O328" s="1033"/>
    </row>
    <row r="329" spans="9:15">
      <c r="I329" t="s">
        <v>1222</v>
      </c>
      <c r="J329" s="681" t="s">
        <v>76</v>
      </c>
      <c r="L329" s="1032">
        <f>SUMIFS('01工程产值对比表'!$M:$M,'01工程产值对比表'!$D:$D,I329,'01工程产值对比表'!$C:$C,I$2)</f>
        <v>0</v>
      </c>
      <c r="M329" s="1033"/>
      <c r="N329" s="1033"/>
      <c r="O329" s="1033"/>
    </row>
    <row r="330" spans="9:13">
      <c r="I330" t="s">
        <v>1223</v>
      </c>
      <c r="J330" s="681" t="s">
        <v>76</v>
      </c>
      <c r="L330" s="1032">
        <f>SUMIFS('01工程产值对比表'!$M:$M,'01工程产值对比表'!$D:$D,I330,'01工程产值对比表'!$C:$C,I$2)</f>
        <v>0</v>
      </c>
      <c r="M330" s="1033"/>
    </row>
    <row r="331" spans="9:13">
      <c r="I331" t="s">
        <v>1224</v>
      </c>
      <c r="J331" s="681" t="s">
        <v>76</v>
      </c>
      <c r="L331" s="1032">
        <f>SUMIFS('01工程产值对比表'!$M:$M,'01工程产值对比表'!$D:$D,I331,'01工程产值对比表'!$C:$C,I$2)</f>
        <v>0</v>
      </c>
      <c r="M331" s="1033"/>
    </row>
    <row r="332" spans="9:13">
      <c r="I332" t="s">
        <v>1225</v>
      </c>
      <c r="J332" s="681" t="s">
        <v>76</v>
      </c>
      <c r="K332">
        <v>16150</v>
      </c>
      <c r="L332" s="1032">
        <f>SUMIFS('01工程产值对比表'!$M:$M,'01工程产值对比表'!$D:$D,I332,'01工程产值对比表'!$C:$C,I$2)</f>
        <v>0</v>
      </c>
      <c r="M332" s="1033"/>
    </row>
    <row r="333" spans="9:13">
      <c r="I333" t="s">
        <v>1226</v>
      </c>
      <c r="J333" s="681" t="s">
        <v>76</v>
      </c>
      <c r="K333">
        <v>31333.33</v>
      </c>
      <c r="L333" s="1032">
        <f>SUMIFS('01工程产值对比表'!$M:$M,'01工程产值对比表'!$D:$D,I333,'01工程产值对比表'!$C:$C,I$2)</f>
        <v>0</v>
      </c>
      <c r="M333" s="1033"/>
    </row>
    <row r="334" spans="9:13">
      <c r="I334" t="s">
        <v>1227</v>
      </c>
      <c r="J334" s="681" t="s">
        <v>76</v>
      </c>
      <c r="L334" s="1032">
        <f>SUMIFS('01工程产值对比表'!$M:$M,'01工程产值对比表'!$D:$D,I334,'01工程产值对比表'!$C:$C,I$2)</f>
        <v>0</v>
      </c>
      <c r="M334" s="1033"/>
    </row>
    <row r="335" spans="9:13">
      <c r="I335" t="s">
        <v>1228</v>
      </c>
      <c r="J335" s="681" t="s">
        <v>76</v>
      </c>
      <c r="K335">
        <v>16000</v>
      </c>
      <c r="L335" s="1032">
        <f>SUMIFS('01工程产值对比表'!$M:$M,'01工程产值对比表'!$D:$D,I335,'01工程产值对比表'!$C:$C,I$2)</f>
        <v>0</v>
      </c>
      <c r="M335" s="1033"/>
    </row>
    <row r="336" spans="9:13">
      <c r="I336" t="s">
        <v>1229</v>
      </c>
      <c r="J336" s="681" t="s">
        <v>76</v>
      </c>
      <c r="K336">
        <v>27900</v>
      </c>
      <c r="L336" s="1032">
        <f>SUMIFS('01工程产值对比表'!$M:$M,'01工程产值对比表'!$D:$D,I336,'01工程产值对比表'!$C:$C,I$2)</f>
        <v>0</v>
      </c>
      <c r="M336" s="1033"/>
    </row>
    <row r="337" spans="9:13">
      <c r="I337" t="s">
        <v>1230</v>
      </c>
      <c r="J337" s="681" t="s">
        <v>76</v>
      </c>
      <c r="K337">
        <v>14750</v>
      </c>
      <c r="L337" s="1032">
        <f>SUMIFS('01工程产值对比表'!$M:$M,'01工程产值对比表'!$D:$D,I337,'01工程产值对比表'!$C:$C,I$2)</f>
        <v>0</v>
      </c>
      <c r="M337" s="1033"/>
    </row>
    <row r="338" spans="9:12">
      <c r="I338" t="s">
        <v>1231</v>
      </c>
      <c r="J338" s="681" t="s">
        <v>76</v>
      </c>
      <c r="L338" s="1032">
        <f>SUMIFS('01工程产值对比表'!$M:$M,'01工程产值对比表'!$D:$D,I338,'01工程产值对比表'!$C:$C,I$2)</f>
        <v>0</v>
      </c>
    </row>
    <row r="339" spans="9:12">
      <c r="I339" t="s">
        <v>1232</v>
      </c>
      <c r="J339" s="681" t="s">
        <v>76</v>
      </c>
      <c r="L339" s="1032">
        <f>SUMIFS('01工程产值对比表'!$M:$M,'01工程产值对比表'!$D:$D,I339,'01工程产值对比表'!$C:$C,I$2)</f>
        <v>0</v>
      </c>
    </row>
    <row r="340" spans="9:12">
      <c r="I340" t="s">
        <v>1233</v>
      </c>
      <c r="J340" s="681" t="s">
        <v>76</v>
      </c>
      <c r="K340">
        <v>475</v>
      </c>
      <c r="L340" s="1032">
        <f>SUMIFS('01工程产值对比表'!$M:$M,'01工程产值对比表'!$D:$D,I340,'01工程产值对比表'!$C:$C,I$2)</f>
        <v>0</v>
      </c>
    </row>
    <row r="341" spans="9:12">
      <c r="I341" t="s">
        <v>1234</v>
      </c>
      <c r="J341" s="681" t="s">
        <v>76</v>
      </c>
      <c r="L341" s="1032">
        <f>SUMIFS('01工程产值对比表'!$M:$M,'01工程产值对比表'!$D:$D,I341,'01工程产值对比表'!$C:$C,I$2)</f>
        <v>0</v>
      </c>
    </row>
    <row r="342" spans="9:12">
      <c r="I342" t="s">
        <v>1235</v>
      </c>
      <c r="J342" s="681" t="s">
        <v>76</v>
      </c>
      <c r="L342" s="1032">
        <f>SUMIFS('01工程产值对比表'!$M:$M,'01工程产值对比表'!$D:$D,I342,'01工程产值对比表'!$C:$C,I$2)</f>
        <v>0</v>
      </c>
    </row>
    <row r="343" spans="9:12">
      <c r="I343" t="s">
        <v>1236</v>
      </c>
      <c r="J343" s="681" t="s">
        <v>76</v>
      </c>
      <c r="L343" s="1032">
        <f>SUMIFS('01工程产值对比表'!$M:$M,'01工程产值对比表'!$D:$D,I343,'01工程产值对比表'!$C:$C,I$2)</f>
        <v>0</v>
      </c>
    </row>
    <row r="344" spans="9:12">
      <c r="I344" t="s">
        <v>1237</v>
      </c>
      <c r="J344" s="681" t="s">
        <v>72</v>
      </c>
      <c r="L344" s="1032">
        <f>SUMIFS('01工程产值对比表'!$M:$M,'01工程产值对比表'!$D:$D,I344,'01工程产值对比表'!$C:$C,I$2)</f>
        <v>0</v>
      </c>
    </row>
    <row r="345" spans="9:12">
      <c r="I345" t="s">
        <v>1238</v>
      </c>
      <c r="J345" s="681" t="s">
        <v>72</v>
      </c>
      <c r="K345">
        <v>154</v>
      </c>
      <c r="L345" s="1032">
        <f>SUMIFS('01工程产值对比表'!$M:$M,'01工程产值对比表'!$D:$D,I345,'01工程产值对比表'!$C:$C,I$2)</f>
        <v>0</v>
      </c>
    </row>
    <row r="346" spans="9:12">
      <c r="I346" t="s">
        <v>1239</v>
      </c>
      <c r="J346" s="681" t="s">
        <v>72</v>
      </c>
      <c r="L346" s="1032">
        <f>SUMIFS('01工程产值对比表'!$M:$M,'01工程产值对比表'!$D:$D,I346,'01工程产值对比表'!$C:$C,I$2)</f>
        <v>0</v>
      </c>
    </row>
    <row r="347" spans="9:12">
      <c r="I347" t="s">
        <v>1240</v>
      </c>
      <c r="J347" s="681" t="s">
        <v>72</v>
      </c>
      <c r="K347">
        <v>270</v>
      </c>
      <c r="L347" s="1032">
        <f>SUMIFS('01工程产值对比表'!$M:$M,'01工程产值对比表'!$D:$D,I347,'01工程产值对比表'!$C:$C,I$2)</f>
        <v>0</v>
      </c>
    </row>
    <row r="348" spans="9:12">
      <c r="I348" t="s">
        <v>1241</v>
      </c>
      <c r="J348" s="681" t="s">
        <v>72</v>
      </c>
      <c r="L348" s="1032">
        <f>SUMIFS('01工程产值对比表'!$M:$M,'01工程产值对比表'!$D:$D,I348,'01工程产值对比表'!$C:$C,I$2)</f>
        <v>0</v>
      </c>
    </row>
    <row r="349" spans="9:12">
      <c r="I349" t="s">
        <v>1242</v>
      </c>
      <c r="J349" s="681" t="s">
        <v>72</v>
      </c>
      <c r="K349">
        <v>275</v>
      </c>
      <c r="L349" s="1032">
        <f>SUMIFS('01工程产值对比表'!$M:$M,'01工程产值对比表'!$D:$D,I349,'01工程产值对比表'!$C:$C,I$2)</f>
        <v>0</v>
      </c>
    </row>
    <row r="350" spans="9:12">
      <c r="I350" t="s">
        <v>1243</v>
      </c>
      <c r="J350" s="681" t="s">
        <v>72</v>
      </c>
      <c r="K350">
        <v>280</v>
      </c>
      <c r="L350" s="1032">
        <f>SUMIFS('01工程产值对比表'!$M:$M,'01工程产值对比表'!$D:$D,I350,'01工程产值对比表'!$C:$C,I$2)</f>
        <v>0</v>
      </c>
    </row>
    <row r="351" spans="9:12">
      <c r="I351" t="s">
        <v>1244</v>
      </c>
      <c r="J351" s="681" t="s">
        <v>72</v>
      </c>
      <c r="L351" s="1032">
        <f>SUMIFS('01工程产值对比表'!$M:$M,'01工程产值对比表'!$D:$D,I351,'01工程产值对比表'!$C:$C,I$2)</f>
        <v>0</v>
      </c>
    </row>
    <row r="352" spans="9:12">
      <c r="I352" t="s">
        <v>1245</v>
      </c>
      <c r="J352" s="681" t="s">
        <v>72</v>
      </c>
      <c r="L352" s="1032">
        <f>SUMIFS('01工程产值对比表'!$M:$M,'01工程产值对比表'!$D:$D,I352,'01工程产值对比表'!$C:$C,I$2)</f>
        <v>0</v>
      </c>
    </row>
    <row r="353" spans="9:12">
      <c r="I353" t="s">
        <v>1246</v>
      </c>
      <c r="J353" s="681" t="s">
        <v>69</v>
      </c>
      <c r="L353" s="1032">
        <f>SUMIFS('01工程产值对比表'!$M:$M,'01工程产值对比表'!$D:$D,I353,'01工程产值对比表'!$C:$C,I$2)</f>
        <v>0</v>
      </c>
    </row>
    <row r="354" spans="9:12">
      <c r="I354" t="s">
        <v>1247</v>
      </c>
      <c r="J354" s="681" t="s">
        <v>69</v>
      </c>
      <c r="L354" s="1032">
        <f>SUMIFS('01工程产值对比表'!$M:$M,'01工程产值对比表'!$D:$D,I354,'01工程产值对比表'!$C:$C,I$2)</f>
        <v>0</v>
      </c>
    </row>
    <row r="355" spans="9:12">
      <c r="I355" t="s">
        <v>1248</v>
      </c>
      <c r="J355" s="681" t="s">
        <v>1249</v>
      </c>
      <c r="L355" s="1032">
        <f>SUMIFS('01工程产值对比表'!$M:$M,'01工程产值对比表'!$D:$D,I355,'01工程产值对比表'!$C:$C,I$2)</f>
        <v>0</v>
      </c>
    </row>
    <row r="356" spans="12:12">
      <c r="L356" s="1032">
        <f>SUMIFS('01工程产值对比表'!$M:$M,'01工程产值对比表'!$D:$D,I356,'01工程产值对比表'!$C:$C,I$2)</f>
        <v>0</v>
      </c>
    </row>
    <row r="357" spans="12:12">
      <c r="L357" s="1032">
        <f>SUMIFS('01工程产值对比表'!$M:$M,'01工程产值对比表'!$D:$D,I357,'01工程产值对比表'!$C:$C,I$2)</f>
        <v>0</v>
      </c>
    </row>
    <row r="358" spans="12:12">
      <c r="L358" s="1032">
        <f>SUMIFS('01工程产值对比表'!$M:$M,'01工程产值对比表'!$D:$D,I358,'01工程产值对比表'!$C:$C,I$2)</f>
        <v>0</v>
      </c>
    </row>
    <row r="359" spans="12:12">
      <c r="L359" s="1032">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4.25"/>
  <cols>
    <col min="1" max="1" width="6.125" style="681" customWidth="1"/>
    <col min="2" max="2" width="22.125" customWidth="1"/>
    <col min="3" max="3" width="17.625" customWidth="1"/>
    <col min="4" max="4" width="14.625" customWidth="1"/>
    <col min="5" max="5" width="16.5" customWidth="1"/>
    <col min="6" max="6" width="15.375" customWidth="1"/>
    <col min="7" max="7" width="11.125" style="622" customWidth="1"/>
    <col min="8" max="8" width="13.625" customWidth="1"/>
    <col min="9" max="9" width="15.75" customWidth="1"/>
    <col min="10" max="10" width="6.125" customWidth="1"/>
    <col min="11" max="11" width="12.625" customWidth="1"/>
    <col min="12" max="12" width="10.625" customWidth="1"/>
    <col min="15" max="15" width="11.125"/>
  </cols>
  <sheetData>
    <row r="1" ht="24.75" spans="1:9">
      <c r="A1" s="904" t="s">
        <v>1250</v>
      </c>
      <c r="B1" s="904"/>
      <c r="C1" s="904"/>
      <c r="D1" s="904"/>
      <c r="E1" s="904"/>
      <c r="F1" s="904"/>
      <c r="G1" s="904"/>
      <c r="H1" s="904"/>
      <c r="I1" s="904"/>
    </row>
    <row r="2" s="623" customFormat="1" customHeight="1" spans="1:9">
      <c r="A2" s="944" t="s">
        <v>1251</v>
      </c>
      <c r="B2" s="944"/>
      <c r="C2" s="944"/>
      <c r="D2" s="944"/>
      <c r="E2" s="944"/>
      <c r="F2" s="944"/>
      <c r="G2" s="944"/>
      <c r="H2" s="944"/>
      <c r="I2" s="944"/>
    </row>
    <row r="3" s="623" customFormat="1" ht="18" customHeight="1" spans="1:9">
      <c r="A3" s="945" t="str" cm="1">
        <f t="array" ref="A3">"工程名称："&amp;工程名称&amp;"  "&amp;工区</f>
        <v>工程名称：az  2</v>
      </c>
      <c r="B3" s="946"/>
      <c r="C3" s="946"/>
      <c r="D3" s="946"/>
      <c r="E3" s="947"/>
      <c r="F3" s="947"/>
      <c r="G3" s="948"/>
      <c r="H3" s="947"/>
      <c r="I3" s="944" t="s">
        <v>1252</v>
      </c>
    </row>
    <row r="4" s="75" customFormat="1" ht="30" customHeight="1" spans="1:9">
      <c r="A4" s="949" t="s">
        <v>1253</v>
      </c>
      <c r="B4" s="950" t="s">
        <v>1254</v>
      </c>
      <c r="C4" s="950" t="s">
        <v>1255</v>
      </c>
      <c r="D4" s="950" t="s">
        <v>1256</v>
      </c>
      <c r="E4" s="950" t="s">
        <v>1257</v>
      </c>
      <c r="F4" s="950" t="s">
        <v>1258</v>
      </c>
      <c r="G4" s="951" t="s">
        <v>1259</v>
      </c>
      <c r="H4" s="950" t="s">
        <v>1260</v>
      </c>
      <c r="I4" s="1003" t="s">
        <v>1261</v>
      </c>
    </row>
    <row r="5" s="75" customFormat="1" ht="21.95" customHeight="1" spans="1:9">
      <c r="A5" s="952" t="s">
        <v>1262</v>
      </c>
      <c r="B5" s="953"/>
      <c r="C5" s="953"/>
      <c r="D5" s="953"/>
      <c r="E5" s="953"/>
      <c r="F5" s="953"/>
      <c r="G5" s="954"/>
      <c r="H5" s="953"/>
      <c r="I5" s="1004"/>
    </row>
    <row r="6" s="902" customFormat="1" ht="28.15" customHeight="1" spans="1:12">
      <c r="A6" s="955" t="s">
        <v>1263</v>
      </c>
      <c r="B6" s="956" t="s">
        <v>1264</v>
      </c>
      <c r="C6" s="957">
        <f ca="1">SUMPRODUCT((LEFT($A7:$A$14,1)=$A6)*1,C7:C$14)</f>
        <v>5219653.345</v>
      </c>
      <c r="D6" s="957">
        <f ca="1">SUMPRODUCT((LEFT($A7:$A$14,1)=$A6)*1,D7:D$14)</f>
        <v>5219653.345</v>
      </c>
      <c r="E6" s="957">
        <f ca="1">SUMPRODUCT((LEFT($A7:$A$14,1)=$A6)*1,E7:E$14)</f>
        <v>12023325.7166336</v>
      </c>
      <c r="F6" s="958">
        <f ca="1">+D6-E6</f>
        <v>-6803672.37163363</v>
      </c>
      <c r="G6" s="959">
        <f ca="1">IFERROR(F6/C6,"")</f>
        <v>-1.30347207408917</v>
      </c>
      <c r="H6" s="957"/>
      <c r="I6" s="1005" t="s">
        <v>1265</v>
      </c>
      <c r="J6" s="1006"/>
      <c r="K6" s="1006"/>
      <c r="L6" s="1007"/>
    </row>
    <row r="7" s="902" customFormat="1" ht="28.15" customHeight="1" spans="1:12">
      <c r="A7" s="960" t="s">
        <v>1266</v>
      </c>
      <c r="B7" s="961" t="s">
        <v>1264</v>
      </c>
      <c r="C7" s="962">
        <f ca="1">_xlfn.IFNA(VLOOKUP($B7,'分项对比表(02表)'!$D:$O,6,FALSE),"")</f>
        <v>5219653.345</v>
      </c>
      <c r="D7" s="962">
        <f ca="1">_xlfn.IFNA(VLOOKUP($B7,'分项对比表(02表)'!$D:$O,6,FALSE),"")</f>
        <v>5219653.345</v>
      </c>
      <c r="E7" s="962">
        <f ca="1">_xlfn.IFNA(VLOOKUP($B7,'分项对比表(02表)'!$D:$O,12,FALSE),"")</f>
        <v>12023325.7166336</v>
      </c>
      <c r="F7" s="963"/>
      <c r="G7" s="964"/>
      <c r="H7" s="962"/>
      <c r="I7" s="1008"/>
      <c r="J7" s="1006"/>
      <c r="K7" s="1006"/>
      <c r="L7" s="1007"/>
    </row>
    <row r="8" s="902" customFormat="1" ht="28.15" customHeight="1" spans="1:12">
      <c r="A8" s="965" t="s">
        <v>1267</v>
      </c>
      <c r="B8" s="966" t="s">
        <v>1268</v>
      </c>
      <c r="C8" s="967">
        <f ca="1">SUMPRODUCT((LEFT($A9:$A$14,1)=$A8)*1,C9:C$14)</f>
        <v>0</v>
      </c>
      <c r="D8" s="967">
        <f ca="1">SUMPRODUCT((LEFT($A9:$A$14,1)=$A8)*1,D9:D$14)</f>
        <v>0</v>
      </c>
      <c r="E8" s="967">
        <f>'措施费预算表(07表)'!L97</f>
        <v>5967070.168681</v>
      </c>
      <c r="F8" s="967">
        <f ca="1">D8-E8</f>
        <v>-5967070.168681</v>
      </c>
      <c r="G8" s="968" t="str">
        <f ca="1">IFERROR(F8/C8,"")</f>
        <v/>
      </c>
      <c r="H8" s="969"/>
      <c r="I8" s="1009" t="s">
        <v>1269</v>
      </c>
      <c r="J8" s="1010"/>
      <c r="K8" s="1006"/>
      <c r="L8" s="1007"/>
    </row>
    <row r="9" s="902" customFormat="1" ht="28.15" customHeight="1" outlineLevel="1" spans="1:12">
      <c r="A9" s="960" t="s">
        <v>1270</v>
      </c>
      <c r="B9" s="970" t="s">
        <v>1271</v>
      </c>
      <c r="C9" s="962" t="str">
        <f ca="1">_xlfn.IFNA(VLOOKUP($B9,'分项对比表(02表)'!$D:$O,6,FALSE),"")</f>
        <v/>
      </c>
      <c r="D9" s="962" t="str">
        <f ca="1">_xlfn.IFNA(VLOOKUP($B9,'分项对比表(02表)'!$D:$O,6,FALSE),"")</f>
        <v/>
      </c>
      <c r="E9" s="962" t="str">
        <f ca="1">_xlfn.IFNA(VLOOKUP($B9,'分项对比表(02表)'!$D:$O,12,FALSE),"")</f>
        <v/>
      </c>
      <c r="F9" s="971"/>
      <c r="G9" s="972"/>
      <c r="H9" s="973"/>
      <c r="I9" s="1011"/>
      <c r="J9" s="1010"/>
      <c r="K9" s="1006"/>
      <c r="L9" s="1007"/>
    </row>
    <row r="10" s="902" customFormat="1" ht="28.15" customHeight="1" outlineLevel="1" spans="1:12">
      <c r="A10" s="960" t="s">
        <v>1272</v>
      </c>
      <c r="B10" s="970" t="s">
        <v>1273</v>
      </c>
      <c r="C10" s="962" t="str">
        <f ca="1">_xlfn.IFNA(VLOOKUP($B10,'分项对比表(02表)'!$D:$O,6,FALSE),"")</f>
        <v/>
      </c>
      <c r="D10" s="962" t="str">
        <f ca="1">_xlfn.IFNA(VLOOKUP($B10,'分项对比表(02表)'!$D:$O,6,FALSE),"")</f>
        <v/>
      </c>
      <c r="E10" s="962" t="str">
        <f ca="1">_xlfn.IFNA(VLOOKUP($B10,'分项对比表(02表)'!$D:$O,12,FALSE),"")</f>
        <v/>
      </c>
      <c r="F10" s="971"/>
      <c r="G10" s="972" t="str">
        <f ca="1">IFERROR(F10/C10,"")</f>
        <v/>
      </c>
      <c r="H10" s="973"/>
      <c r="I10" s="1011"/>
      <c r="K10" s="1006"/>
      <c r="L10" s="1007"/>
    </row>
    <row r="11" s="902" customFormat="1" ht="28.15" customHeight="1" outlineLevel="1" spans="1:12">
      <c r="A11" s="960" t="s">
        <v>1274</v>
      </c>
      <c r="B11" s="970" t="s">
        <v>1275</v>
      </c>
      <c r="C11" s="962" t="str">
        <f ca="1">_xlfn.IFNA(VLOOKUP($B11,'分项对比表(02表)'!$D:$O,6,FALSE),"")</f>
        <v/>
      </c>
      <c r="D11" s="962" t="str">
        <f ca="1">_xlfn.IFNA(VLOOKUP($B11,'分项对比表(02表)'!$D:$O,6,FALSE),"")</f>
        <v/>
      </c>
      <c r="E11" s="962" t="str">
        <f ca="1">_xlfn.IFNA(VLOOKUP($B11,'分项对比表(02表)'!$D:$O,12,FALSE),"")</f>
        <v/>
      </c>
      <c r="F11" s="971"/>
      <c r="G11" s="972"/>
      <c r="H11" s="973"/>
      <c r="I11" s="1011"/>
      <c r="K11" s="1006"/>
      <c r="L11" s="1007"/>
    </row>
    <row r="12" s="902" customFormat="1" ht="28.15" customHeight="1" spans="1:12">
      <c r="A12" s="965" t="s">
        <v>1276</v>
      </c>
      <c r="B12" s="966" t="s">
        <v>1277</v>
      </c>
      <c r="C12" s="969">
        <f ca="1">SUMPRODUCT((LEFT($A13:$A$14,1)=$A12)*1,C13:C$14)</f>
        <v>0</v>
      </c>
      <c r="D12" s="969">
        <f ca="1">SUMPRODUCT((LEFT($A13:$A$14,1)=$A12)*1,D13:D$14)</f>
        <v>0</v>
      </c>
      <c r="E12" s="969">
        <f>'期间费用预算表(08表)'!L5</f>
        <v>10324079.4720245</v>
      </c>
      <c r="F12" s="974">
        <f ca="1">D12-E12</f>
        <v>-10324079.4720245</v>
      </c>
      <c r="G12" s="968" t="str">
        <f ca="1">IFERROR(F12/C12,"")</f>
        <v/>
      </c>
      <c r="H12" s="969"/>
      <c r="I12" s="1009" t="s">
        <v>1278</v>
      </c>
      <c r="J12" s="1010"/>
      <c r="K12" s="1012"/>
      <c r="L12" s="1007"/>
    </row>
    <row r="13" s="902" customFormat="1" ht="28.15" customHeight="1" spans="1:12">
      <c r="A13" s="960" t="s">
        <v>1279</v>
      </c>
      <c r="B13" s="970" t="s">
        <v>1280</v>
      </c>
      <c r="C13" s="962" t="str">
        <f ca="1">_xlfn.IFNA(VLOOKUP($B13,'分项对比表(02表)'!$D:$O,6,FALSE),"")</f>
        <v/>
      </c>
      <c r="D13" s="962" t="str">
        <f ca="1">_xlfn.IFNA(VLOOKUP($B13,'分项对比表(02表)'!$D:$O,6,FALSE),"")</f>
        <v/>
      </c>
      <c r="E13" s="962" t="str">
        <f ca="1">_xlfn.IFNA(VLOOKUP($B13,'分项对比表(02表)'!$D:$O,12,FALSE),"")</f>
        <v/>
      </c>
      <c r="F13" s="971"/>
      <c r="G13" s="972"/>
      <c r="H13" s="973"/>
      <c r="I13" s="1011"/>
      <c r="J13" s="1010"/>
      <c r="K13" s="1006"/>
      <c r="L13" s="1007"/>
    </row>
    <row r="14" s="902" customFormat="1" ht="23.1" customHeight="1" spans="1:11">
      <c r="A14" s="952" t="s">
        <v>1281</v>
      </c>
      <c r="B14" s="975"/>
      <c r="C14" s="976"/>
      <c r="D14" s="976"/>
      <c r="E14" s="976"/>
      <c r="F14" s="977"/>
      <c r="G14" s="978"/>
      <c r="H14" s="976"/>
      <c r="I14" s="1013"/>
      <c r="J14" s="1010"/>
      <c r="K14" s="1006"/>
    </row>
    <row r="15" s="943" customFormat="1" ht="18" customHeight="1" spans="1:11">
      <c r="A15" s="979" t="s">
        <v>1282</v>
      </c>
      <c r="B15" s="966" t="s">
        <v>1283</v>
      </c>
      <c r="C15" s="980">
        <f ca="1">SUMPRODUCT((LEN($A$6:$A$13)=1)*1,C6:C13)</f>
        <v>5219653.345</v>
      </c>
      <c r="D15" s="980">
        <f ca="1">SUMPRODUCT((LEN($A$6:$A$13)=1)*1,D6:D13)</f>
        <v>5219653.345</v>
      </c>
      <c r="E15" s="980">
        <f ca="1">SUMPRODUCT((LEN($A$6:$A$13)=1)*1,E6:E13)</f>
        <v>28314475.3573391</v>
      </c>
      <c r="F15" s="981">
        <f ca="1">SUMPRODUCT((LEN($A$6:$A$13)=1)*1,F6:F13)</f>
        <v>-23094822.0123391</v>
      </c>
      <c r="G15" s="982">
        <f ca="1">IFERROR(F15/C15,"")</f>
        <v>-4.42458923722628</v>
      </c>
      <c r="H15" s="981"/>
      <c r="I15" s="1009"/>
      <c r="J15" s="1014"/>
      <c r="K15" s="1015"/>
    </row>
    <row r="16" s="902" customFormat="1" ht="18" customHeight="1" spans="1:11">
      <c r="A16" s="979" t="s">
        <v>1282</v>
      </c>
      <c r="B16" s="983" t="s">
        <v>1284</v>
      </c>
      <c r="C16" s="984">
        <f>SUMIF('分项对比表(02表)'!$D:$D,"*暂列金*",'分项对比表(02表)'!$I:$I)</f>
        <v>0</v>
      </c>
      <c r="D16" s="984">
        <f>SUMIF('分项对比表(02表)'!$D:$D,"*暂列金*",'分项对比表(02表)'!$I:$I)</f>
        <v>0</v>
      </c>
      <c r="E16" s="984"/>
      <c r="F16" s="985"/>
      <c r="G16" s="986"/>
      <c r="H16" s="987"/>
      <c r="I16" s="1016"/>
      <c r="K16" s="1006"/>
    </row>
    <row r="17" s="902" customFormat="1" ht="18" customHeight="1" spans="1:10">
      <c r="A17" s="979" t="s">
        <v>1282</v>
      </c>
      <c r="B17" s="988" t="s">
        <v>1285</v>
      </c>
      <c r="C17" s="984">
        <f>SUMIF('分项对比表(02表)'!$D:$D,"*增值税*",'分项对比表(02表)'!$I:$I)</f>
        <v>0</v>
      </c>
      <c r="D17" s="984">
        <f>SUMIF('分项对比表(02表)'!$D:$D,"*增值税*",'分项对比表(02表)'!$I:$I)</f>
        <v>0</v>
      </c>
      <c r="E17" s="984"/>
      <c r="F17" s="989">
        <f>D17-H15</f>
        <v>0</v>
      </c>
      <c r="G17" s="990"/>
      <c r="H17" s="984"/>
      <c r="I17" s="1011" t="s">
        <v>1286</v>
      </c>
      <c r="J17" s="1010"/>
    </row>
    <row r="18" s="902" customFormat="1" ht="21" customHeight="1" spans="1:9">
      <c r="A18" s="991" t="s">
        <v>1282</v>
      </c>
      <c r="B18" s="992" t="s">
        <v>1287</v>
      </c>
      <c r="C18" s="993">
        <f ca="1">+C15+C16+C17</f>
        <v>5219653.345</v>
      </c>
      <c r="D18" s="993">
        <f ca="1">+D15+D16+D17</f>
        <v>5219653.345</v>
      </c>
      <c r="E18" s="994"/>
      <c r="F18" s="995"/>
      <c r="G18" s="994"/>
      <c r="H18" s="996"/>
      <c r="I18" s="1017"/>
    </row>
    <row r="19" s="623" customFormat="1" ht="17.25" spans="1:9">
      <c r="A19" s="997"/>
      <c r="B19" s="998"/>
      <c r="C19" s="999"/>
      <c r="D19" s="999"/>
      <c r="E19" s="1000"/>
      <c r="F19" s="999"/>
      <c r="G19" s="948"/>
      <c r="H19" s="947"/>
      <c r="I19" s="947"/>
    </row>
    <row r="20" s="623" customFormat="1" ht="37.15" customHeight="1" spans="1:9">
      <c r="A20" s="693"/>
      <c r="B20" s="693"/>
      <c r="C20" s="693"/>
      <c r="D20" s="693"/>
      <c r="E20" s="693"/>
      <c r="F20" s="693"/>
      <c r="G20" s="693"/>
      <c r="H20" s="693"/>
      <c r="I20" s="693"/>
    </row>
    <row r="21" ht="30" customHeight="1" spans="1:9">
      <c r="A21" s="693"/>
      <c r="B21" s="693"/>
      <c r="C21" s="693"/>
      <c r="D21" s="693"/>
      <c r="E21" s="693"/>
      <c r="F21" s="693"/>
      <c r="G21" s="693"/>
      <c r="H21" s="693"/>
      <c r="I21" s="693"/>
    </row>
    <row r="22" ht="30" customHeight="1" spans="1:9">
      <c r="A22" s="1001"/>
      <c r="B22" s="1001"/>
      <c r="C22" s="1001"/>
      <c r="D22" s="1001"/>
      <c r="E22" s="1001"/>
      <c r="F22" s="1001"/>
      <c r="G22" s="1001"/>
      <c r="H22" s="1001"/>
      <c r="I22" s="1001"/>
    </row>
    <row r="23" ht="30.95" customHeight="1" spans="1:9">
      <c r="A23" s="1002"/>
      <c r="B23" s="1002"/>
      <c r="C23" s="1002"/>
      <c r="D23" s="1002"/>
      <c r="E23" s="1002"/>
      <c r="F23" s="1002"/>
      <c r="G23" s="1002"/>
      <c r="H23" s="1002"/>
      <c r="I23" s="1002"/>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6"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81" customWidth="1"/>
    <col min="4" max="4" width="27.75" style="873" customWidth="1"/>
    <col min="5" max="5" width="46.75" customWidth="1"/>
    <col min="6" max="6" width="7.5" style="681" customWidth="1"/>
    <col min="7" max="7" width="13.75" customWidth="1"/>
    <col min="8" max="8" width="16.25" customWidth="1"/>
    <col min="9" max="9" width="17.125" style="748" customWidth="1"/>
    <col min="10" max="11" width="11.875" customWidth="1"/>
    <col min="12" max="12" width="14.125" style="748" customWidth="1"/>
    <col min="13" max="13" width="13.875" style="901" customWidth="1"/>
    <col min="14" max="14" width="12.125" style="748" customWidth="1"/>
    <col min="15" max="15" width="17.75" style="748" customWidth="1"/>
    <col min="16" max="16" width="11" style="902" customWidth="1"/>
    <col min="17" max="17" width="13.5" customWidth="1"/>
    <col min="18" max="18" width="23.125" customWidth="1"/>
    <col min="19" max="19" width="13.75"/>
    <col min="20" max="20" width="12.625"/>
  </cols>
  <sheetData>
    <row r="1" s="900" customFormat="1" customHeight="1" spans="1:16">
      <c r="A1" s="903" t="s">
        <v>1288</v>
      </c>
      <c r="B1" s="903"/>
      <c r="C1" s="904"/>
      <c r="D1" s="903"/>
      <c r="E1" s="905"/>
      <c r="F1" s="906" t="e">
        <f ca="1">VLOOKUP($D1,INDIRECT($C1),2,0)</f>
        <v>#REF!</v>
      </c>
      <c r="G1" s="905"/>
      <c r="H1" s="905"/>
      <c r="I1" s="905"/>
      <c r="J1" s="919"/>
      <c r="K1" s="919"/>
      <c r="L1" s="920"/>
      <c r="M1" s="921"/>
      <c r="N1" s="922" t="e">
        <f>O1/G1</f>
        <v>#DIV/0!</v>
      </c>
      <c r="O1" s="923"/>
      <c r="P1" s="924" t="str">
        <f>+IFERROR((I1-O1)/I1,"")</f>
        <v/>
      </c>
    </row>
    <row r="2" s="623" customFormat="1" customHeight="1" spans="3:16">
      <c r="C2" s="75"/>
      <c r="D2" s="693"/>
      <c r="E2" s="878"/>
      <c r="F2" s="876"/>
      <c r="G2" s="878"/>
      <c r="H2" s="878"/>
      <c r="I2" s="925">
        <f>G2*H2</f>
        <v>0</v>
      </c>
      <c r="J2" s="878"/>
      <c r="K2" s="878"/>
      <c r="L2" s="925"/>
      <c r="M2" s="926"/>
      <c r="N2" s="922" t="e">
        <f ca="1">VLOOKUP($D2,INDIRECT($C2),3,0)</f>
        <v>#REF!</v>
      </c>
      <c r="O2" s="925" t="e">
        <f ca="1">M2*N2</f>
        <v>#REF!</v>
      </c>
      <c r="P2" s="924"/>
    </row>
    <row r="3" s="623" customFormat="1" customHeight="1" spans="1:16">
      <c r="A3" s="623" t="str" cm="1">
        <f t="array" ref="A3">"工程名称："&amp;工程名称&amp;"  "&amp;工区</f>
        <v>工程名称：az  2</v>
      </c>
      <c r="B3" s="693"/>
      <c r="C3" s="907"/>
      <c r="D3" s="693"/>
      <c r="E3" s="908"/>
      <c r="F3" s="909"/>
      <c r="G3" s="878"/>
      <c r="H3" s="878"/>
      <c r="I3" s="925"/>
      <c r="J3" s="878"/>
      <c r="K3" s="878"/>
      <c r="L3" s="925"/>
      <c r="M3" s="926"/>
      <c r="N3" s="925">
        <f>H2</f>
        <v>0</v>
      </c>
      <c r="O3" s="925"/>
      <c r="P3" s="924"/>
    </row>
    <row r="4" s="623" customFormat="1" customHeight="1" spans="1:16">
      <c r="A4" s="910" t="s">
        <v>1289</v>
      </c>
      <c r="B4" s="910" t="s">
        <v>1290</v>
      </c>
      <c r="C4" s="911" t="s">
        <v>1291</v>
      </c>
      <c r="D4" s="910" t="s">
        <v>1292</v>
      </c>
      <c r="E4" s="910" t="s">
        <v>1293</v>
      </c>
      <c r="F4" s="911" t="s">
        <v>60</v>
      </c>
      <c r="G4" s="910" t="s">
        <v>1294</v>
      </c>
      <c r="H4" s="910" t="s">
        <v>1295</v>
      </c>
      <c r="I4" s="927" t="s">
        <v>1296</v>
      </c>
      <c r="J4" s="910" t="s">
        <v>1297</v>
      </c>
      <c r="K4" s="910" t="s">
        <v>1298</v>
      </c>
      <c r="L4" s="927" t="s">
        <v>1299</v>
      </c>
      <c r="M4" s="928" t="s">
        <v>1300</v>
      </c>
      <c r="N4" s="929" t="s">
        <v>1301</v>
      </c>
      <c r="O4" s="929" t="s">
        <v>1302</v>
      </c>
      <c r="P4" s="930" t="s">
        <v>1261</v>
      </c>
    </row>
    <row r="5" customHeight="1" spans="1:16">
      <c r="A5" s="912" t="s">
        <v>1303</v>
      </c>
      <c r="B5" s="912"/>
      <c r="C5" s="913"/>
      <c r="D5" s="912"/>
      <c r="E5" s="912"/>
      <c r="F5" s="913"/>
      <c r="G5" s="912"/>
      <c r="H5" s="912"/>
      <c r="I5" s="931">
        <f>SUMPRODUCT((LEN($A6:$A70)=LEN($A$6))*1,I6:I70)</f>
        <v>5219653.345</v>
      </c>
      <c r="J5" s="932"/>
      <c r="K5" s="932"/>
      <c r="L5" s="933">
        <f>SUMPRODUCT((LEN($A6:$A70)=LEN($A$6))*1,L6:L70)</f>
        <v>0</v>
      </c>
      <c r="M5" s="934"/>
      <c r="N5" s="935"/>
      <c r="O5" s="931">
        <f ca="1">SUMPRODUCT((LEN($A6:$A70)=LEN($A$6))*1,O6:O70)</f>
        <v>12023325.7166336</v>
      </c>
      <c r="P5" s="932"/>
    </row>
    <row r="6" customHeight="1" spans="1:16">
      <c r="A6" s="914" t="s">
        <v>1304</v>
      </c>
      <c r="B6" s="915"/>
      <c r="C6" s="916" t="s">
        <v>1305</v>
      </c>
      <c r="D6" s="915" t="s">
        <v>1264</v>
      </c>
      <c r="E6" s="915"/>
      <c r="F6" s="916"/>
      <c r="G6" s="915"/>
      <c r="H6" s="915"/>
      <c r="I6" s="936">
        <f>(+I7+I26)</f>
        <v>5219653.345</v>
      </c>
      <c r="J6" s="937"/>
      <c r="K6" s="937"/>
      <c r="L6" s="936">
        <f>(+L7+L26)</f>
        <v>0</v>
      </c>
      <c r="M6" s="938"/>
      <c r="N6" s="939"/>
      <c r="O6" s="939">
        <f ca="1">(+O7+O26)</f>
        <v>12023325.7166336</v>
      </c>
      <c r="P6" s="937"/>
    </row>
    <row r="7" customHeight="1" outlineLevel="1" spans="1:16">
      <c r="A7" s="488" t="s">
        <v>1306</v>
      </c>
      <c r="B7" s="487"/>
      <c r="C7" s="917" t="s">
        <v>60</v>
      </c>
      <c r="D7" s="918" t="s">
        <v>1307</v>
      </c>
      <c r="E7" s="487"/>
      <c r="F7" s="917"/>
      <c r="G7" s="487"/>
      <c r="H7" s="487"/>
      <c r="I7" s="940">
        <f>(+I8+I14+I20)</f>
        <v>2650000</v>
      </c>
      <c r="J7" s="487"/>
      <c r="K7" s="487"/>
      <c r="L7" s="940">
        <f>(+L8+L14+L20)</f>
        <v>0</v>
      </c>
      <c r="M7" s="941"/>
      <c r="N7" s="940"/>
      <c r="O7" s="940">
        <f ca="1">(+O8+O14+O20)</f>
        <v>10335811.2389381</v>
      </c>
      <c r="P7" s="487"/>
    </row>
    <row r="8" customHeight="1" outlineLevel="2" spans="1:16">
      <c r="A8" s="489" t="s">
        <v>1308</v>
      </c>
      <c r="B8" s="487"/>
      <c r="C8" s="917" t="s">
        <v>1309</v>
      </c>
      <c r="D8" s="918" t="s">
        <v>1310</v>
      </c>
      <c r="E8" s="487"/>
      <c r="F8" s="917" t="s">
        <v>72</v>
      </c>
      <c r="G8" s="487">
        <v>1000</v>
      </c>
      <c r="H8" s="487">
        <v>450</v>
      </c>
      <c r="I8" s="940">
        <f>G8*H8</f>
        <v>450000</v>
      </c>
      <c r="J8" s="487"/>
      <c r="K8" s="487"/>
      <c r="L8" s="940"/>
      <c r="M8" s="941"/>
      <c r="N8" s="940"/>
      <c r="O8" s="940">
        <f ca="1">(+O9+O10+O11+O12+O13)</f>
        <v>987250</v>
      </c>
      <c r="P8" s="487"/>
    </row>
    <row r="9" customHeight="1" outlineLevel="3" spans="1:16">
      <c r="A9" s="490" t="s">
        <v>1311</v>
      </c>
      <c r="B9" s="487"/>
      <c r="C9" s="917" t="s">
        <v>64</v>
      </c>
      <c r="D9" s="918" t="s">
        <v>752</v>
      </c>
      <c r="E9" s="487"/>
      <c r="F9" s="917" t="str">
        <f ca="1" t="shared" ref="F9:F13" si="0">VLOOKUP($D9,INDIRECT($C9),2,0)</f>
        <v>m3</v>
      </c>
      <c r="G9" s="487"/>
      <c r="H9" s="487"/>
      <c r="I9" s="940"/>
      <c r="J9" s="487"/>
      <c r="K9" s="487"/>
      <c r="L9" s="940"/>
      <c r="M9" s="941">
        <f>+G8</f>
        <v>1000</v>
      </c>
      <c r="N9" s="940">
        <f ca="1" t="shared" ref="N9:N13" si="1">VLOOKUP($D9,INDIRECT($C9),3,0)</f>
        <v>30</v>
      </c>
      <c r="O9" s="940">
        <f ca="1" t="shared" ref="O9:O13" si="2">M9*N9</f>
        <v>30000</v>
      </c>
      <c r="P9" s="942"/>
    </row>
    <row r="10" customHeight="1" outlineLevel="3" spans="1:16">
      <c r="A10" s="490" t="s">
        <v>1312</v>
      </c>
      <c r="B10" s="487"/>
      <c r="C10" s="917" t="s">
        <v>64</v>
      </c>
      <c r="D10" s="918" t="s">
        <v>596</v>
      </c>
      <c r="E10" s="487"/>
      <c r="F10" s="917" t="str">
        <f ca="1" t="shared" si="0"/>
        <v>m2</v>
      </c>
      <c r="G10" s="487"/>
      <c r="H10" s="487"/>
      <c r="I10" s="940"/>
      <c r="J10" s="487"/>
      <c r="K10" s="487"/>
      <c r="L10" s="940"/>
      <c r="M10" s="941">
        <f>+M9*0.5</f>
        <v>500</v>
      </c>
      <c r="N10" s="940">
        <f ca="1" t="shared" si="1"/>
        <v>34.5</v>
      </c>
      <c r="O10" s="940">
        <f ca="1" t="shared" si="2"/>
        <v>17250</v>
      </c>
      <c r="P10" s="942"/>
    </row>
    <row r="11" customHeight="1" outlineLevel="3" spans="1:16">
      <c r="A11" s="490" t="s">
        <v>1313</v>
      </c>
      <c r="B11" s="487"/>
      <c r="C11" s="917" t="s">
        <v>64</v>
      </c>
      <c r="D11" s="918" t="s">
        <v>296</v>
      </c>
      <c r="E11" s="487"/>
      <c r="F11" s="917" t="str">
        <f ca="1" t="shared" si="0"/>
        <v>t</v>
      </c>
      <c r="G11" s="487"/>
      <c r="H11" s="487"/>
      <c r="I11" s="940"/>
      <c r="J11" s="487"/>
      <c r="K11" s="487"/>
      <c r="L11" s="940"/>
      <c r="M11" s="941">
        <f>+M9*0.1</f>
        <v>100</v>
      </c>
      <c r="N11" s="940">
        <f ca="1" t="shared" si="1"/>
        <v>700</v>
      </c>
      <c r="O11" s="940">
        <f ca="1" t="shared" si="2"/>
        <v>70000</v>
      </c>
      <c r="P11" s="942"/>
    </row>
    <row r="12" customHeight="1" outlineLevel="3" spans="1:16">
      <c r="A12" s="490" t="s">
        <v>1314</v>
      </c>
      <c r="B12" s="487"/>
      <c r="C12" s="917" t="s">
        <v>59</v>
      </c>
      <c r="D12" s="918" t="s">
        <v>792</v>
      </c>
      <c r="E12" s="487"/>
      <c r="F12" s="917" t="str">
        <f ca="1" t="shared" si="0"/>
        <v>m³</v>
      </c>
      <c r="G12" s="487"/>
      <c r="H12" s="487"/>
      <c r="I12" s="940"/>
      <c r="J12" s="487"/>
      <c r="K12" s="487"/>
      <c r="L12" s="940"/>
      <c r="M12" s="941">
        <f>+M9</f>
        <v>1000</v>
      </c>
      <c r="N12" s="940">
        <f ca="1" t="shared" si="1"/>
        <v>450</v>
      </c>
      <c r="O12" s="940">
        <f ca="1" t="shared" si="2"/>
        <v>450000</v>
      </c>
      <c r="P12" s="942"/>
    </row>
    <row r="13" customHeight="1" outlineLevel="3" spans="1:16">
      <c r="A13" s="490" t="s">
        <v>1315</v>
      </c>
      <c r="B13" s="487"/>
      <c r="C13" s="917" t="s">
        <v>59</v>
      </c>
      <c r="D13" s="918" t="s">
        <v>480</v>
      </c>
      <c r="E13" s="487" t="str">
        <f ca="1">"含钢量："&amp;ROUND(M13/G8,3)&amp;F13&amp;"/"&amp;F8</f>
        <v>含钢量：0.1t/m3</v>
      </c>
      <c r="F13" s="917" t="str">
        <f ca="1" t="shared" si="0"/>
        <v>t</v>
      </c>
      <c r="G13" s="487"/>
      <c r="H13" s="487"/>
      <c r="I13" s="940"/>
      <c r="J13" s="487"/>
      <c r="K13" s="487"/>
      <c r="L13" s="940"/>
      <c r="M13" s="941">
        <f>+M9*0.1</f>
        <v>100</v>
      </c>
      <c r="N13" s="940">
        <f ca="1" t="shared" si="1"/>
        <v>4200</v>
      </c>
      <c r="O13" s="940">
        <f ca="1" t="shared" si="2"/>
        <v>420000</v>
      </c>
      <c r="P13" s="942"/>
    </row>
    <row r="14" customHeight="1" outlineLevel="2" spans="1:16">
      <c r="A14" s="489" t="s">
        <v>1316</v>
      </c>
      <c r="B14" s="487"/>
      <c r="C14" s="917" t="s">
        <v>1309</v>
      </c>
      <c r="D14" s="918" t="s">
        <v>1317</v>
      </c>
      <c r="E14" s="487"/>
      <c r="F14" s="917" t="s">
        <v>72</v>
      </c>
      <c r="G14" s="487">
        <v>2000</v>
      </c>
      <c r="H14" s="487">
        <v>550</v>
      </c>
      <c r="I14" s="940">
        <f>G14*H14</f>
        <v>1100000</v>
      </c>
      <c r="J14" s="487"/>
      <c r="K14" s="487"/>
      <c r="L14" s="940"/>
      <c r="M14" s="941"/>
      <c r="N14" s="940"/>
      <c r="O14" s="940">
        <f ca="1">(+O15+O16+O17+O18+O19)</f>
        <v>1974500</v>
      </c>
      <c r="P14" s="942"/>
    </row>
    <row r="15" customHeight="1" outlineLevel="3" spans="1:16">
      <c r="A15" s="490" t="s">
        <v>1318</v>
      </c>
      <c r="B15" s="487"/>
      <c r="C15" s="917" t="s">
        <v>64</v>
      </c>
      <c r="D15" s="918" t="s">
        <v>752</v>
      </c>
      <c r="E15" s="487"/>
      <c r="F15" s="917" t="str">
        <f ca="1" t="shared" ref="F15:F19" si="3">VLOOKUP($D15,INDIRECT($C15),2,0)</f>
        <v>m3</v>
      </c>
      <c r="G15" s="487"/>
      <c r="H15" s="487"/>
      <c r="I15" s="940"/>
      <c r="J15" s="487"/>
      <c r="K15" s="487"/>
      <c r="L15" s="940"/>
      <c r="M15" s="941">
        <f>+G14</f>
        <v>2000</v>
      </c>
      <c r="N15" s="940">
        <f ca="1" t="shared" ref="N15:N19" si="4">VLOOKUP($D15,INDIRECT($C15),3,0)</f>
        <v>30</v>
      </c>
      <c r="O15" s="940">
        <f ca="1" t="shared" ref="O15:O19" si="5">M15*N15</f>
        <v>60000</v>
      </c>
      <c r="P15" s="942"/>
    </row>
    <row r="16" customHeight="1" outlineLevel="3" spans="1:16">
      <c r="A16" s="490" t="s">
        <v>1319</v>
      </c>
      <c r="B16" s="487"/>
      <c r="C16" s="917" t="s">
        <v>64</v>
      </c>
      <c r="D16" s="918" t="s">
        <v>596</v>
      </c>
      <c r="E16" s="487" t="s">
        <v>1320</v>
      </c>
      <c r="F16" s="917" t="str">
        <f ca="1" t="shared" si="3"/>
        <v>m2</v>
      </c>
      <c r="G16" s="487"/>
      <c r="H16" s="487"/>
      <c r="I16" s="940"/>
      <c r="J16" s="487"/>
      <c r="K16" s="487"/>
      <c r="L16" s="940"/>
      <c r="M16" s="941">
        <f>+M15*0.5</f>
        <v>1000</v>
      </c>
      <c r="N16" s="940">
        <f ca="1" t="shared" si="4"/>
        <v>34.5</v>
      </c>
      <c r="O16" s="940">
        <f ca="1" t="shared" si="5"/>
        <v>34500</v>
      </c>
      <c r="P16" s="942"/>
    </row>
    <row r="17" customHeight="1" outlineLevel="3" spans="1:16">
      <c r="A17" s="490" t="s">
        <v>1321</v>
      </c>
      <c r="B17" s="487"/>
      <c r="C17" s="917" t="s">
        <v>64</v>
      </c>
      <c r="D17" s="918" t="s">
        <v>296</v>
      </c>
      <c r="E17" s="487"/>
      <c r="F17" s="917" t="str">
        <f ca="1" t="shared" si="3"/>
        <v>t</v>
      </c>
      <c r="G17" s="487"/>
      <c r="H17" s="487"/>
      <c r="I17" s="940"/>
      <c r="J17" s="487"/>
      <c r="K17" s="487"/>
      <c r="L17" s="940"/>
      <c r="M17" s="941">
        <f>+M15*0.1</f>
        <v>200</v>
      </c>
      <c r="N17" s="940">
        <f ca="1" t="shared" si="4"/>
        <v>700</v>
      </c>
      <c r="O17" s="940">
        <f ca="1" t="shared" si="5"/>
        <v>140000</v>
      </c>
      <c r="P17" s="942"/>
    </row>
    <row r="18" customHeight="1" outlineLevel="3" spans="1:16">
      <c r="A18" s="490" t="s">
        <v>1322</v>
      </c>
      <c r="B18" s="487"/>
      <c r="C18" s="917" t="s">
        <v>59</v>
      </c>
      <c r="D18" s="918" t="s">
        <v>792</v>
      </c>
      <c r="E18" s="487"/>
      <c r="F18" s="917" t="str">
        <f ca="1" t="shared" si="3"/>
        <v>m³</v>
      </c>
      <c r="G18" s="487"/>
      <c r="H18" s="487"/>
      <c r="I18" s="940"/>
      <c r="J18" s="487"/>
      <c r="K18" s="487"/>
      <c r="L18" s="940"/>
      <c r="M18" s="941">
        <f>+M15</f>
        <v>2000</v>
      </c>
      <c r="N18" s="940">
        <f ca="1" t="shared" si="4"/>
        <v>450</v>
      </c>
      <c r="O18" s="940">
        <f ca="1" t="shared" si="5"/>
        <v>900000</v>
      </c>
      <c r="P18" s="942"/>
    </row>
    <row r="19" customHeight="1" outlineLevel="3" spans="1:16">
      <c r="A19" s="490" t="s">
        <v>1323</v>
      </c>
      <c r="B19" s="487"/>
      <c r="C19" s="917" t="s">
        <v>59</v>
      </c>
      <c r="D19" s="918" t="s">
        <v>480</v>
      </c>
      <c r="E19" s="487" t="str">
        <f ca="1">"含钢量："&amp;ROUND(M19/G14,3)&amp;F19&amp;"/"&amp;F14</f>
        <v>含钢量：0.1t/m3</v>
      </c>
      <c r="F19" s="917" t="str">
        <f ca="1" t="shared" si="3"/>
        <v>t</v>
      </c>
      <c r="G19" s="487"/>
      <c r="H19" s="487"/>
      <c r="I19" s="940"/>
      <c r="J19" s="487"/>
      <c r="K19" s="487"/>
      <c r="L19" s="940"/>
      <c r="M19" s="941">
        <f>+M15*0.1</f>
        <v>200</v>
      </c>
      <c r="N19" s="940">
        <f ca="1" t="shared" si="4"/>
        <v>4200</v>
      </c>
      <c r="O19" s="940">
        <f ca="1" t="shared" si="5"/>
        <v>840000</v>
      </c>
      <c r="P19" s="942"/>
    </row>
    <row r="20" customHeight="1" outlineLevel="2" spans="1:16">
      <c r="A20" s="489" t="s">
        <v>1324</v>
      </c>
      <c r="B20" s="487"/>
      <c r="C20" s="917" t="s">
        <v>1309</v>
      </c>
      <c r="D20" s="918" t="s">
        <v>1325</v>
      </c>
      <c r="E20" s="487"/>
      <c r="F20" s="917" t="s">
        <v>72</v>
      </c>
      <c r="G20" s="487">
        <v>2000</v>
      </c>
      <c r="H20" s="487">
        <v>550</v>
      </c>
      <c r="I20" s="940">
        <f>G20*H20</f>
        <v>1100000</v>
      </c>
      <c r="J20" s="487"/>
      <c r="K20" s="487"/>
      <c r="L20" s="940"/>
      <c r="M20" s="941"/>
      <c r="N20" s="940"/>
      <c r="O20" s="940">
        <f ca="1">(+O21+O22+O23+O24+O25)</f>
        <v>7374061.23893806</v>
      </c>
      <c r="P20" s="942"/>
    </row>
    <row r="21" customHeight="1" outlineLevel="3" spans="1:16">
      <c r="A21" s="490" t="s">
        <v>1326</v>
      </c>
      <c r="B21" s="487"/>
      <c r="C21" s="917" t="s">
        <v>64</v>
      </c>
      <c r="D21" s="918" t="s">
        <v>752</v>
      </c>
      <c r="E21" s="487"/>
      <c r="F21" s="917" t="str">
        <f ca="1" t="shared" ref="F21:F25" si="6">VLOOKUP($D21,INDIRECT($C21),2,0)</f>
        <v>m3</v>
      </c>
      <c r="G21" s="487"/>
      <c r="H21" s="487"/>
      <c r="I21" s="940"/>
      <c r="J21" s="487"/>
      <c r="K21" s="487"/>
      <c r="L21" s="940"/>
      <c r="M21" s="941">
        <f>+G20</f>
        <v>2000</v>
      </c>
      <c r="N21" s="940">
        <f ca="1" t="shared" ref="N21:N25" si="7">VLOOKUP($D21,INDIRECT($C21),3,0)</f>
        <v>30</v>
      </c>
      <c r="O21" s="940">
        <f ca="1" t="shared" ref="O21:O25" si="8">M21*N21</f>
        <v>60000</v>
      </c>
      <c r="P21" s="942"/>
    </row>
    <row r="22" customHeight="1" outlineLevel="3" spans="1:16">
      <c r="A22" s="490" t="s">
        <v>1327</v>
      </c>
      <c r="B22" s="487"/>
      <c r="C22" s="917" t="s">
        <v>64</v>
      </c>
      <c r="D22" s="918" t="s">
        <v>596</v>
      </c>
      <c r="E22" s="487" t="s">
        <v>1328</v>
      </c>
      <c r="F22" s="917" t="str">
        <f ca="1" t="shared" si="6"/>
        <v>m2</v>
      </c>
      <c r="G22" s="487"/>
      <c r="H22" s="487"/>
      <c r="I22" s="940"/>
      <c r="J22" s="487"/>
      <c r="K22" s="487"/>
      <c r="L22" s="940"/>
      <c r="M22" s="941">
        <f>+M21*0.5</f>
        <v>1000</v>
      </c>
      <c r="N22" s="940">
        <f ca="1" t="shared" si="7"/>
        <v>34.5</v>
      </c>
      <c r="O22" s="940">
        <f ca="1" t="shared" si="8"/>
        <v>34500</v>
      </c>
      <c r="P22" s="942"/>
    </row>
    <row r="23" customHeight="1" outlineLevel="3" spans="1:16">
      <c r="A23" s="490" t="s">
        <v>1329</v>
      </c>
      <c r="B23" s="487"/>
      <c r="C23" s="917" t="s">
        <v>64</v>
      </c>
      <c r="D23" s="918" t="s">
        <v>296</v>
      </c>
      <c r="E23" s="487"/>
      <c r="F23" s="917" t="str">
        <f ca="1" t="shared" si="6"/>
        <v>t</v>
      </c>
      <c r="G23" s="487"/>
      <c r="H23" s="487"/>
      <c r="I23" s="940"/>
      <c r="J23" s="487"/>
      <c r="K23" s="487"/>
      <c r="L23" s="940"/>
      <c r="M23" s="941">
        <f>+M21*0.1</f>
        <v>200</v>
      </c>
      <c r="N23" s="940">
        <f ca="1" t="shared" si="7"/>
        <v>700</v>
      </c>
      <c r="O23" s="940">
        <f ca="1" t="shared" si="8"/>
        <v>140000</v>
      </c>
      <c r="P23" s="942"/>
    </row>
    <row r="24" customHeight="1" outlineLevel="3" spans="1:16">
      <c r="A24" s="490" t="s">
        <v>1330</v>
      </c>
      <c r="B24" s="487"/>
      <c r="C24" s="917" t="s">
        <v>59</v>
      </c>
      <c r="D24" s="918" t="s">
        <v>235</v>
      </c>
      <c r="E24" s="487"/>
      <c r="F24" s="917" t="str">
        <f ca="1" t="shared" si="6"/>
        <v>m3</v>
      </c>
      <c r="G24" s="487"/>
      <c r="H24" s="487"/>
      <c r="I24" s="940"/>
      <c r="J24" s="487"/>
      <c r="K24" s="487"/>
      <c r="L24" s="940"/>
      <c r="M24" s="941">
        <f>+M21</f>
        <v>2000</v>
      </c>
      <c r="N24" s="940">
        <f ca="1" t="shared" si="7"/>
        <v>3149.78061946903</v>
      </c>
      <c r="O24" s="940">
        <f ca="1" t="shared" si="8"/>
        <v>6299561.23893806</v>
      </c>
      <c r="P24" s="942"/>
    </row>
    <row r="25" customHeight="1" outlineLevel="3" spans="1:16">
      <c r="A25" s="490" t="s">
        <v>1331</v>
      </c>
      <c r="B25" s="487"/>
      <c r="C25" s="917" t="s">
        <v>59</v>
      </c>
      <c r="D25" s="918" t="s">
        <v>480</v>
      </c>
      <c r="E25" s="487" t="str">
        <f ca="1">"含钢量："&amp;ROUND(M25/G20,3)&amp;F25&amp;"/"&amp;F20</f>
        <v>含钢量：0.1t/m3</v>
      </c>
      <c r="F25" s="917" t="str">
        <f ca="1" t="shared" si="6"/>
        <v>t</v>
      </c>
      <c r="G25" s="487"/>
      <c r="H25" s="487"/>
      <c r="I25" s="940"/>
      <c r="J25" s="487"/>
      <c r="K25" s="487"/>
      <c r="L25" s="940"/>
      <c r="M25" s="941">
        <f>+M21*0.1</f>
        <v>200</v>
      </c>
      <c r="N25" s="940">
        <f ca="1" t="shared" si="7"/>
        <v>4200</v>
      </c>
      <c r="O25" s="940">
        <f ca="1" t="shared" si="8"/>
        <v>840000</v>
      </c>
      <c r="P25" s="942"/>
    </row>
    <row r="26" customHeight="1" outlineLevel="1" spans="1:16">
      <c r="A26" s="488" t="s">
        <v>1332</v>
      </c>
      <c r="B26" s="487"/>
      <c r="C26" s="917" t="s">
        <v>60</v>
      </c>
      <c r="D26" s="918" t="s">
        <v>1333</v>
      </c>
      <c r="E26" s="487"/>
      <c r="F26" s="917"/>
      <c r="G26" s="487"/>
      <c r="H26" s="487"/>
      <c r="I26" s="940">
        <f>(+I27+I33+I39+I45+I51)</f>
        <v>2569653.345</v>
      </c>
      <c r="J26" s="487"/>
      <c r="K26" s="487"/>
      <c r="L26" s="940">
        <f>(+L27+L33+L39+L45+L51)</f>
        <v>0</v>
      </c>
      <c r="M26" s="941"/>
      <c r="N26" s="940"/>
      <c r="O26" s="940">
        <f ca="1">(+O27+O33+O39+O45+O51)</f>
        <v>1687514.47769558</v>
      </c>
      <c r="P26" s="942"/>
    </row>
    <row r="27" customHeight="1" outlineLevel="2" spans="1:16">
      <c r="A27" s="489" t="s">
        <v>1334</v>
      </c>
      <c r="B27" s="487"/>
      <c r="C27" s="917" t="s">
        <v>1309</v>
      </c>
      <c r="D27" s="918" t="s">
        <v>1335</v>
      </c>
      <c r="E27" s="487"/>
      <c r="F27" s="917" t="s">
        <v>72</v>
      </c>
      <c r="G27" s="487">
        <v>1000</v>
      </c>
      <c r="H27" s="487">
        <v>470</v>
      </c>
      <c r="I27" s="940">
        <f>G27*H27</f>
        <v>470000</v>
      </c>
      <c r="J27" s="487"/>
      <c r="K27" s="487"/>
      <c r="L27" s="940"/>
      <c r="M27" s="941"/>
      <c r="N27" s="940"/>
      <c r="O27" s="940">
        <f ca="1">(+O28+O29+O30+O31+O32)</f>
        <v>13812.52</v>
      </c>
      <c r="P27" s="942"/>
    </row>
    <row r="28" customHeight="1" outlineLevel="3" spans="1:16">
      <c r="A28" s="490" t="s">
        <v>1336</v>
      </c>
      <c r="B28" s="487"/>
      <c r="C28" s="917" t="s">
        <v>64</v>
      </c>
      <c r="D28" s="918" t="s">
        <v>752</v>
      </c>
      <c r="E28" s="487"/>
      <c r="F28" s="917" t="str">
        <f ca="1" t="shared" ref="F28:F32" si="9">VLOOKUP($D28,INDIRECT($C28),2,0)</f>
        <v>m3</v>
      </c>
      <c r="G28" s="487"/>
      <c r="H28" s="487"/>
      <c r="I28" s="940"/>
      <c r="J28" s="487"/>
      <c r="K28" s="487"/>
      <c r="L28" s="940"/>
      <c r="M28" s="941">
        <v>12.52</v>
      </c>
      <c r="N28" s="940">
        <f ca="1" t="shared" ref="N28:N32" si="10">VLOOKUP($D28,INDIRECT($C28),3,0)</f>
        <v>30</v>
      </c>
      <c r="O28" s="940">
        <f ca="1" t="shared" ref="O28:O32" si="11">M28*N28</f>
        <v>375.6</v>
      </c>
      <c r="P28" s="942"/>
    </row>
    <row r="29" customHeight="1" outlineLevel="3" spans="1:16">
      <c r="A29" s="490" t="s">
        <v>1337</v>
      </c>
      <c r="B29" s="487"/>
      <c r="C29" s="917" t="s">
        <v>64</v>
      </c>
      <c r="D29" s="918" t="s">
        <v>596</v>
      </c>
      <c r="E29" s="487"/>
      <c r="F29" s="917" t="str">
        <f ca="1" t="shared" si="9"/>
        <v>m2</v>
      </c>
      <c r="G29" s="487"/>
      <c r="H29" s="487"/>
      <c r="I29" s="940"/>
      <c r="J29" s="487"/>
      <c r="K29" s="487"/>
      <c r="L29" s="940"/>
      <c r="M29" s="941">
        <v>25.86</v>
      </c>
      <c r="N29" s="940">
        <f ca="1" t="shared" si="10"/>
        <v>34.5</v>
      </c>
      <c r="O29" s="940">
        <f ca="1" t="shared" si="11"/>
        <v>892.17</v>
      </c>
      <c r="P29" s="942"/>
    </row>
    <row r="30" customHeight="1" outlineLevel="3" spans="1:16">
      <c r="A30" s="490" t="s">
        <v>1338</v>
      </c>
      <c r="B30" s="487"/>
      <c r="C30" s="917" t="s">
        <v>59</v>
      </c>
      <c r="D30" s="918" t="s">
        <v>792</v>
      </c>
      <c r="E30" s="487"/>
      <c r="F30" s="917" t="str">
        <f ca="1" t="shared" si="9"/>
        <v>m³</v>
      </c>
      <c r="G30" s="487"/>
      <c r="H30" s="487"/>
      <c r="I30" s="940"/>
      <c r="J30" s="487"/>
      <c r="K30" s="487"/>
      <c r="L30" s="940"/>
      <c r="M30" s="941">
        <v>12.52</v>
      </c>
      <c r="N30" s="940">
        <f ca="1" t="shared" si="10"/>
        <v>450</v>
      </c>
      <c r="O30" s="940">
        <f ca="1" t="shared" si="11"/>
        <v>5634</v>
      </c>
      <c r="P30" s="942"/>
    </row>
    <row r="31" customHeight="1" outlineLevel="3" spans="1:16">
      <c r="A31" s="490" t="s">
        <v>1339</v>
      </c>
      <c r="B31" s="487"/>
      <c r="C31" s="917" t="s">
        <v>59</v>
      </c>
      <c r="D31" s="918" t="s">
        <v>480</v>
      </c>
      <c r="E31" s="487" t="str">
        <f ca="1">"含钢量："&amp;ROUND(M31/G27,3)&amp;F31&amp;"/"&amp;F27</f>
        <v>含钢量：0.001t/m3</v>
      </c>
      <c r="F31" s="917" t="str">
        <f ca="1" t="shared" si="9"/>
        <v>t</v>
      </c>
      <c r="G31" s="487"/>
      <c r="H31" s="487"/>
      <c r="I31" s="940"/>
      <c r="J31" s="487"/>
      <c r="K31" s="487"/>
      <c r="L31" s="940"/>
      <c r="M31" s="941">
        <v>1.41625</v>
      </c>
      <c r="N31" s="940">
        <f ca="1" t="shared" si="10"/>
        <v>4200</v>
      </c>
      <c r="O31" s="940">
        <f ca="1" t="shared" si="11"/>
        <v>5948.25</v>
      </c>
      <c r="P31" s="942"/>
    </row>
    <row r="32" customHeight="1" outlineLevel="3" spans="1:16">
      <c r="A32" s="490" t="s">
        <v>1340</v>
      </c>
      <c r="B32" s="487"/>
      <c r="C32" s="917" t="s">
        <v>64</v>
      </c>
      <c r="D32" s="918" t="s">
        <v>296</v>
      </c>
      <c r="E32" s="487"/>
      <c r="F32" s="917" t="str">
        <f ca="1" t="shared" si="9"/>
        <v>t</v>
      </c>
      <c r="G32" s="487"/>
      <c r="H32" s="487"/>
      <c r="I32" s="940"/>
      <c r="J32" s="487"/>
      <c r="K32" s="487"/>
      <c r="L32" s="940"/>
      <c r="M32" s="941">
        <v>1.375</v>
      </c>
      <c r="N32" s="940">
        <f ca="1" t="shared" si="10"/>
        <v>700</v>
      </c>
      <c r="O32" s="940">
        <f ca="1" t="shared" si="11"/>
        <v>962.5</v>
      </c>
      <c r="P32" s="942"/>
    </row>
    <row r="33" customHeight="1" outlineLevel="2" spans="1:16">
      <c r="A33" s="489" t="s">
        <v>1341</v>
      </c>
      <c r="B33" s="487"/>
      <c r="C33" s="917" t="s">
        <v>1309</v>
      </c>
      <c r="D33" s="918" t="s">
        <v>1342</v>
      </c>
      <c r="E33" s="487"/>
      <c r="F33" s="917" t="s">
        <v>72</v>
      </c>
      <c r="G33" s="487">
        <v>200</v>
      </c>
      <c r="H33" s="487">
        <v>850</v>
      </c>
      <c r="I33" s="940">
        <f>G33*H33</f>
        <v>170000</v>
      </c>
      <c r="J33" s="487"/>
      <c r="K33" s="487"/>
      <c r="L33" s="940"/>
      <c r="M33" s="941"/>
      <c r="N33" s="940"/>
      <c r="O33" s="940">
        <f ca="1">(+O34+O35+O36+O37+O38)</f>
        <v>204350</v>
      </c>
      <c r="P33" s="942"/>
    </row>
    <row r="34" customHeight="1" outlineLevel="3" spans="1:16">
      <c r="A34" s="490" t="s">
        <v>1343</v>
      </c>
      <c r="B34" s="487"/>
      <c r="C34" s="917" t="s">
        <v>64</v>
      </c>
      <c r="D34" s="918" t="s">
        <v>752</v>
      </c>
      <c r="E34" s="487"/>
      <c r="F34" s="917" t="str">
        <f ca="1" t="shared" ref="F34:F38" si="12">VLOOKUP($D34,INDIRECT($C34),2,0)</f>
        <v>m3</v>
      </c>
      <c r="G34" s="487"/>
      <c r="H34" s="487"/>
      <c r="I34" s="940"/>
      <c r="J34" s="487"/>
      <c r="K34" s="487"/>
      <c r="L34" s="940"/>
      <c r="M34" s="941">
        <f>+G33</f>
        <v>200</v>
      </c>
      <c r="N34" s="940">
        <f ca="1" t="shared" ref="N34:N38" si="13">VLOOKUP($D34,INDIRECT($C34),3,0)</f>
        <v>30</v>
      </c>
      <c r="O34" s="940">
        <f ca="1" t="shared" ref="O34:O38" si="14">M34*N34</f>
        <v>6000</v>
      </c>
      <c r="P34" s="942"/>
    </row>
    <row r="35" customHeight="1" outlineLevel="3" spans="1:16">
      <c r="A35" s="490" t="s">
        <v>1344</v>
      </c>
      <c r="B35" s="487"/>
      <c r="C35" s="917" t="s">
        <v>64</v>
      </c>
      <c r="D35" s="918" t="s">
        <v>596</v>
      </c>
      <c r="E35" s="487"/>
      <c r="F35" s="917" t="str">
        <f ca="1" t="shared" si="12"/>
        <v>m2</v>
      </c>
      <c r="G35" s="487"/>
      <c r="H35" s="487"/>
      <c r="I35" s="940"/>
      <c r="J35" s="487"/>
      <c r="K35" s="487"/>
      <c r="L35" s="940"/>
      <c r="M35" s="941">
        <f>+G33*1.5</f>
        <v>300</v>
      </c>
      <c r="N35" s="940">
        <f ca="1" t="shared" si="13"/>
        <v>34.5</v>
      </c>
      <c r="O35" s="940">
        <f ca="1" t="shared" si="14"/>
        <v>10350</v>
      </c>
      <c r="P35" s="942"/>
    </row>
    <row r="36" customHeight="1" outlineLevel="3" spans="1:16">
      <c r="A36" s="490" t="s">
        <v>1345</v>
      </c>
      <c r="B36" s="487"/>
      <c r="C36" s="917" t="s">
        <v>64</v>
      </c>
      <c r="D36" s="918" t="s">
        <v>296</v>
      </c>
      <c r="E36" s="487"/>
      <c r="F36" s="917" t="str">
        <f ca="1" t="shared" si="12"/>
        <v>t</v>
      </c>
      <c r="G36" s="487"/>
      <c r="H36" s="487"/>
      <c r="I36" s="940"/>
      <c r="J36" s="487"/>
      <c r="K36" s="487"/>
      <c r="L36" s="940"/>
      <c r="M36" s="941">
        <f>+G33*0.1</f>
        <v>20</v>
      </c>
      <c r="N36" s="940">
        <f ca="1" t="shared" si="13"/>
        <v>700</v>
      </c>
      <c r="O36" s="940">
        <f ca="1" t="shared" si="14"/>
        <v>14000</v>
      </c>
      <c r="P36" s="942"/>
    </row>
    <row r="37" customHeight="1" outlineLevel="3" spans="1:16">
      <c r="A37" s="490" t="s">
        <v>1346</v>
      </c>
      <c r="B37" s="487"/>
      <c r="C37" s="917" t="s">
        <v>59</v>
      </c>
      <c r="D37" s="918" t="s">
        <v>792</v>
      </c>
      <c r="E37" s="487"/>
      <c r="F37" s="917" t="str">
        <f ca="1" t="shared" si="12"/>
        <v>m³</v>
      </c>
      <c r="G37" s="487"/>
      <c r="H37" s="487"/>
      <c r="I37" s="940"/>
      <c r="J37" s="487"/>
      <c r="K37" s="487"/>
      <c r="L37" s="940"/>
      <c r="M37" s="941">
        <f>+G33</f>
        <v>200</v>
      </c>
      <c r="N37" s="940">
        <f ca="1" t="shared" si="13"/>
        <v>450</v>
      </c>
      <c r="O37" s="940">
        <f ca="1" t="shared" si="14"/>
        <v>90000</v>
      </c>
      <c r="P37" s="942"/>
    </row>
    <row r="38" customHeight="1" outlineLevel="3" spans="1:16">
      <c r="A38" s="490" t="s">
        <v>1347</v>
      </c>
      <c r="B38" s="487"/>
      <c r="C38" s="917" t="s">
        <v>59</v>
      </c>
      <c r="D38" s="918" t="s">
        <v>480</v>
      </c>
      <c r="E38" s="487" t="str">
        <f ca="1">"含钢量："&amp;ROUND(M38/G33,3)&amp;F38&amp;"/"&amp;F33</f>
        <v>含钢量：0.1t/m3</v>
      </c>
      <c r="F38" s="917" t="str">
        <f ca="1" t="shared" si="12"/>
        <v>t</v>
      </c>
      <c r="G38" s="487"/>
      <c r="H38" s="487"/>
      <c r="I38" s="940"/>
      <c r="J38" s="487"/>
      <c r="K38" s="487"/>
      <c r="L38" s="940"/>
      <c r="M38" s="941">
        <f>+M36</f>
        <v>20</v>
      </c>
      <c r="N38" s="940">
        <f ca="1" t="shared" si="13"/>
        <v>4200</v>
      </c>
      <c r="O38" s="940">
        <f ca="1" t="shared" si="14"/>
        <v>84000</v>
      </c>
      <c r="P38" s="942"/>
    </row>
    <row r="39" customHeight="1" outlineLevel="2" spans="1:16">
      <c r="A39" s="489" t="s">
        <v>1348</v>
      </c>
      <c r="B39" s="487"/>
      <c r="C39" s="917" t="s">
        <v>1309</v>
      </c>
      <c r="D39" s="918" t="s">
        <v>1349</v>
      </c>
      <c r="E39" s="487"/>
      <c r="F39" s="917" t="s">
        <v>72</v>
      </c>
      <c r="G39" s="487">
        <v>217</v>
      </c>
      <c r="H39" s="487">
        <v>650</v>
      </c>
      <c r="I39" s="940">
        <f>G39*H39</f>
        <v>141050</v>
      </c>
      <c r="J39" s="487"/>
      <c r="K39" s="487"/>
      <c r="L39" s="940"/>
      <c r="M39" s="941"/>
      <c r="N39" s="940"/>
      <c r="O39" s="940">
        <f ca="1">(+O40+O41+O42+O43+O44)</f>
        <v>460803.44</v>
      </c>
      <c r="P39" s="942"/>
    </row>
    <row r="40" customHeight="1" outlineLevel="3" spans="1:16">
      <c r="A40" s="490" t="s">
        <v>1350</v>
      </c>
      <c r="B40" s="487"/>
      <c r="C40" s="917" t="s">
        <v>64</v>
      </c>
      <c r="D40" s="918" t="s">
        <v>752</v>
      </c>
      <c r="E40" s="487"/>
      <c r="F40" s="917" t="str">
        <f ca="1" t="shared" ref="F40:F44" si="15">VLOOKUP($D40,INDIRECT($C40),2,0)</f>
        <v>m3</v>
      </c>
      <c r="G40" s="487"/>
      <c r="H40" s="487"/>
      <c r="I40" s="940"/>
      <c r="J40" s="487"/>
      <c r="K40" s="487"/>
      <c r="L40" s="940"/>
      <c r="M40" s="941">
        <v>217.6</v>
      </c>
      <c r="N40" s="940">
        <f ca="1" t="shared" ref="N40:N44" si="16">VLOOKUP($D40,INDIRECT($C40),3,0)</f>
        <v>30</v>
      </c>
      <c r="O40" s="940">
        <f ca="1" t="shared" ref="O40:O44" si="17">M40*N40</f>
        <v>6528</v>
      </c>
      <c r="P40" s="942"/>
    </row>
    <row r="41" customHeight="1" outlineLevel="3" spans="1:16">
      <c r="A41" s="490" t="s">
        <v>1351</v>
      </c>
      <c r="B41" s="487"/>
      <c r="C41" s="917" t="s">
        <v>64</v>
      </c>
      <c r="D41" s="918" t="s">
        <v>596</v>
      </c>
      <c r="E41" s="487" t="s">
        <v>1352</v>
      </c>
      <c r="F41" s="917" t="str">
        <f ca="1" t="shared" si="15"/>
        <v>m2</v>
      </c>
      <c r="G41" s="487"/>
      <c r="H41" s="487"/>
      <c r="I41" s="940"/>
      <c r="J41" s="487"/>
      <c r="K41" s="487"/>
      <c r="L41" s="940"/>
      <c r="M41" s="941">
        <f>G39*3.6</f>
        <v>781.2</v>
      </c>
      <c r="N41" s="940">
        <f ca="1" t="shared" si="16"/>
        <v>34.5</v>
      </c>
      <c r="O41" s="940">
        <f ca="1" t="shared" si="17"/>
        <v>26951.4</v>
      </c>
      <c r="P41" s="942"/>
    </row>
    <row r="42" customHeight="1" outlineLevel="3" spans="1:16">
      <c r="A42" s="490" t="s">
        <v>1353</v>
      </c>
      <c r="B42" s="487"/>
      <c r="C42" s="917" t="s">
        <v>59</v>
      </c>
      <c r="D42" s="918" t="s">
        <v>792</v>
      </c>
      <c r="E42" s="487"/>
      <c r="F42" s="917" t="str">
        <f ca="1" t="shared" si="15"/>
        <v>m³</v>
      </c>
      <c r="G42" s="487"/>
      <c r="H42" s="487"/>
      <c r="I42" s="940"/>
      <c r="J42" s="487"/>
      <c r="K42" s="487"/>
      <c r="L42" s="940"/>
      <c r="M42" s="941">
        <v>217.6</v>
      </c>
      <c r="N42" s="940">
        <f ca="1" t="shared" si="16"/>
        <v>450</v>
      </c>
      <c r="O42" s="940">
        <f ca="1" t="shared" si="17"/>
        <v>97920</v>
      </c>
      <c r="P42" s="942"/>
    </row>
    <row r="43" customHeight="1" outlineLevel="3" spans="1:16">
      <c r="A43" s="490" t="s">
        <v>1354</v>
      </c>
      <c r="B43" s="487"/>
      <c r="C43" s="917" t="s">
        <v>59</v>
      </c>
      <c r="D43" s="918" t="s">
        <v>480</v>
      </c>
      <c r="E43" s="487" t="str">
        <f ca="1">"含钢量："&amp;ROUND(M43/G39,3)&amp;F43&amp;"/"&amp;F39</f>
        <v>含钢量：0.311t/m3</v>
      </c>
      <c r="F43" s="917" t="str">
        <f ca="1" t="shared" si="15"/>
        <v>t</v>
      </c>
      <c r="G43" s="487"/>
      <c r="H43" s="487"/>
      <c r="I43" s="940"/>
      <c r="J43" s="487"/>
      <c r="K43" s="487"/>
      <c r="L43" s="940"/>
      <c r="M43" s="941">
        <v>67.5062</v>
      </c>
      <c r="N43" s="940">
        <f ca="1" t="shared" si="16"/>
        <v>4200</v>
      </c>
      <c r="O43" s="940">
        <f ca="1" t="shared" si="17"/>
        <v>283526.04</v>
      </c>
      <c r="P43" s="942"/>
    </row>
    <row r="44" customHeight="1" outlineLevel="3" spans="1:16">
      <c r="A44" s="490" t="s">
        <v>1355</v>
      </c>
      <c r="B44" s="487"/>
      <c r="C44" s="917" t="s">
        <v>64</v>
      </c>
      <c r="D44" s="918" t="s">
        <v>296</v>
      </c>
      <c r="E44" s="487"/>
      <c r="F44" s="917" t="str">
        <f ca="1" t="shared" si="15"/>
        <v>t</v>
      </c>
      <c r="G44" s="487"/>
      <c r="H44" s="487"/>
      <c r="I44" s="940"/>
      <c r="J44" s="487"/>
      <c r="K44" s="487"/>
      <c r="L44" s="940"/>
      <c r="M44" s="941">
        <v>65.54</v>
      </c>
      <c r="N44" s="940">
        <f ca="1" t="shared" si="16"/>
        <v>700</v>
      </c>
      <c r="O44" s="940">
        <f ca="1" t="shared" si="17"/>
        <v>45878</v>
      </c>
      <c r="P44" s="942"/>
    </row>
    <row r="45" customHeight="1" outlineLevel="2" spans="1:16">
      <c r="A45" s="489" t="s">
        <v>1356</v>
      </c>
      <c r="B45" s="487"/>
      <c r="C45" s="917" t="s">
        <v>1309</v>
      </c>
      <c r="D45" s="918" t="s">
        <v>1357</v>
      </c>
      <c r="E45" s="487"/>
      <c r="F45" s="917" t="s">
        <v>72</v>
      </c>
      <c r="G45" s="487">
        <v>8.7</v>
      </c>
      <c r="H45" s="487">
        <v>350</v>
      </c>
      <c r="I45" s="940">
        <f>G45*H45</f>
        <v>3045</v>
      </c>
      <c r="J45" s="487"/>
      <c r="K45" s="487"/>
      <c r="L45" s="940"/>
      <c r="M45" s="941"/>
      <c r="N45" s="940"/>
      <c r="O45" s="940">
        <f ca="1">(+O46+O47+O48+O49+O50)</f>
        <v>70615.1091955752</v>
      </c>
      <c r="P45" s="942"/>
    </row>
    <row r="46" customHeight="1" outlineLevel="3" spans="1:16">
      <c r="A46" s="490" t="s">
        <v>1358</v>
      </c>
      <c r="B46" s="487"/>
      <c r="C46" s="917" t="s">
        <v>64</v>
      </c>
      <c r="D46" s="918" t="s">
        <v>752</v>
      </c>
      <c r="E46" s="487"/>
      <c r="F46" s="917" t="str">
        <f ca="1" t="shared" ref="F46:F50" si="18">VLOOKUP($D46,INDIRECT($C46),2,0)</f>
        <v>m3</v>
      </c>
      <c r="G46" s="487"/>
      <c r="H46" s="487"/>
      <c r="I46" s="940"/>
      <c r="J46" s="487"/>
      <c r="K46" s="487"/>
      <c r="L46" s="940"/>
      <c r="M46" s="941">
        <v>8.71</v>
      </c>
      <c r="N46" s="940">
        <f ca="1" t="shared" ref="N46:N50" si="19">VLOOKUP($D46,INDIRECT($C46),3,0)</f>
        <v>30</v>
      </c>
      <c r="O46" s="940">
        <f ca="1" t="shared" ref="O46:O50" si="20">M46*N46</f>
        <v>261.3</v>
      </c>
      <c r="P46" s="942"/>
    </row>
    <row r="47" customHeight="1" outlineLevel="3" spans="1:16">
      <c r="A47" s="490" t="s">
        <v>1359</v>
      </c>
      <c r="B47" s="487"/>
      <c r="C47" s="917" t="s">
        <v>64</v>
      </c>
      <c r="D47" s="918" t="s">
        <v>596</v>
      </c>
      <c r="E47" s="487" t="s">
        <v>1352</v>
      </c>
      <c r="F47" s="917" t="str">
        <f ca="1" t="shared" si="18"/>
        <v>m2</v>
      </c>
      <c r="G47" s="487"/>
      <c r="H47" s="487"/>
      <c r="I47" s="940"/>
      <c r="J47" s="487"/>
      <c r="K47" s="487"/>
      <c r="L47" s="940"/>
      <c r="M47" s="941">
        <f>G45*2</f>
        <v>17.4</v>
      </c>
      <c r="N47" s="940">
        <f ca="1" t="shared" si="19"/>
        <v>34.5</v>
      </c>
      <c r="O47" s="940">
        <f ca="1" t="shared" si="20"/>
        <v>600.3</v>
      </c>
      <c r="P47" s="942"/>
    </row>
    <row r="48" customHeight="1" outlineLevel="3" spans="1:16">
      <c r="A48" s="490" t="s">
        <v>1360</v>
      </c>
      <c r="B48" s="487"/>
      <c r="C48" s="917" t="s">
        <v>59</v>
      </c>
      <c r="D48" s="918" t="s">
        <v>235</v>
      </c>
      <c r="E48" s="487"/>
      <c r="F48" s="917" t="str">
        <f ca="1" t="shared" si="18"/>
        <v>m3</v>
      </c>
      <c r="G48" s="487"/>
      <c r="H48" s="487"/>
      <c r="I48" s="940"/>
      <c r="J48" s="487"/>
      <c r="K48" s="487"/>
      <c r="L48" s="940"/>
      <c r="M48" s="941">
        <v>8.71</v>
      </c>
      <c r="N48" s="940">
        <f ca="1" t="shared" si="19"/>
        <v>3149.78061946903</v>
      </c>
      <c r="O48" s="940">
        <f ca="1" t="shared" si="20"/>
        <v>27434.5891955753</v>
      </c>
      <c r="P48" s="942"/>
    </row>
    <row r="49" customHeight="1" outlineLevel="3" spans="1:16">
      <c r="A49" s="490" t="s">
        <v>1361</v>
      </c>
      <c r="B49" s="487"/>
      <c r="C49" s="917" t="s">
        <v>59</v>
      </c>
      <c r="D49" s="918" t="s">
        <v>480</v>
      </c>
      <c r="E49" s="487" t="str">
        <f ca="1">"含钢量："&amp;ROUND(M49/G45,3)&amp;F49&amp;"/"&amp;F45</f>
        <v>含钢量：0.997t/m3</v>
      </c>
      <c r="F49" s="917" t="str">
        <f ca="1" t="shared" si="18"/>
        <v>t</v>
      </c>
      <c r="G49" s="487"/>
      <c r="H49" s="487"/>
      <c r="I49" s="940"/>
      <c r="J49" s="487"/>
      <c r="K49" s="487"/>
      <c r="L49" s="940"/>
      <c r="M49" s="941">
        <v>8.6726</v>
      </c>
      <c r="N49" s="940">
        <f ca="1" t="shared" si="19"/>
        <v>4200</v>
      </c>
      <c r="O49" s="940">
        <f ca="1" t="shared" si="20"/>
        <v>36424.92</v>
      </c>
      <c r="P49" s="942"/>
    </row>
    <row r="50" customHeight="1" outlineLevel="3" spans="1:16">
      <c r="A50" s="490" t="s">
        <v>1362</v>
      </c>
      <c r="B50" s="487"/>
      <c r="C50" s="917" t="s">
        <v>64</v>
      </c>
      <c r="D50" s="918" t="s">
        <v>296</v>
      </c>
      <c r="E50" s="487"/>
      <c r="F50" s="917" t="str">
        <f ca="1" t="shared" si="18"/>
        <v>t</v>
      </c>
      <c r="G50" s="487"/>
      <c r="H50" s="487"/>
      <c r="I50" s="940"/>
      <c r="J50" s="487"/>
      <c r="K50" s="487"/>
      <c r="L50" s="940"/>
      <c r="M50" s="941">
        <v>8.42</v>
      </c>
      <c r="N50" s="940">
        <f ca="1" t="shared" si="19"/>
        <v>700</v>
      </c>
      <c r="O50" s="940">
        <f ca="1" t="shared" si="20"/>
        <v>5894</v>
      </c>
      <c r="P50" s="942"/>
    </row>
    <row r="51" customHeight="1" outlineLevel="2" spans="1:16">
      <c r="A51" s="489" t="s">
        <v>1363</v>
      </c>
      <c r="B51" s="487"/>
      <c r="C51" s="917" t="s">
        <v>1309</v>
      </c>
      <c r="D51" s="918" t="s">
        <v>1364</v>
      </c>
      <c r="E51" s="487" t="s">
        <v>1365</v>
      </c>
      <c r="F51" s="917" t="s">
        <v>72</v>
      </c>
      <c r="G51" s="487">
        <v>1134.3</v>
      </c>
      <c r="H51" s="487">
        <v>1574.15</v>
      </c>
      <c r="I51" s="940">
        <v>1785558.345</v>
      </c>
      <c r="J51" s="487"/>
      <c r="K51" s="487"/>
      <c r="L51" s="940"/>
      <c r="M51" s="941">
        <v>1134.3</v>
      </c>
      <c r="N51" s="940">
        <v>0</v>
      </c>
      <c r="O51" s="940">
        <f ca="1">(+O52+O53+O54+O55+O56+O57+O58+O59+O60+O61)</f>
        <v>937933.4085</v>
      </c>
      <c r="P51" s="942"/>
    </row>
    <row r="52" customHeight="1" outlineLevel="3" spans="1:16">
      <c r="A52" s="490" t="s">
        <v>1366</v>
      </c>
      <c r="B52" s="487"/>
      <c r="C52" s="917" t="s">
        <v>63</v>
      </c>
      <c r="D52" s="918" t="s">
        <v>687</v>
      </c>
      <c r="E52" s="487"/>
      <c r="F52" s="917" t="str">
        <f ca="1" t="shared" ref="F52:F61" si="21">VLOOKUP($D52,INDIRECT($C52),2,0)</f>
        <v>m3</v>
      </c>
      <c r="G52" s="487"/>
      <c r="H52" s="487"/>
      <c r="I52" s="940"/>
      <c r="J52" s="487"/>
      <c r="K52" s="487"/>
      <c r="L52" s="940"/>
      <c r="M52" s="941">
        <v>1181.51</v>
      </c>
      <c r="N52" s="940">
        <f ca="1" t="shared" ref="N52:N61" si="22">VLOOKUP($D52,INDIRECT($C52),3,0)</f>
        <v>265.35</v>
      </c>
      <c r="O52" s="940">
        <f ca="1" t="shared" ref="O52:O61" si="23">M52*N52</f>
        <v>313513.6785</v>
      </c>
      <c r="P52" s="942"/>
    </row>
    <row r="53" customHeight="1" outlineLevel="3" spans="1:16">
      <c r="A53" s="490" t="s">
        <v>1367</v>
      </c>
      <c r="B53" s="487"/>
      <c r="C53" s="917" t="s">
        <v>59</v>
      </c>
      <c r="D53" s="918" t="s">
        <v>792</v>
      </c>
      <c r="E53" s="487"/>
      <c r="F53" s="917" t="str">
        <f ca="1" t="shared" si="21"/>
        <v>m³</v>
      </c>
      <c r="G53" s="487"/>
      <c r="H53" s="487"/>
      <c r="I53" s="940"/>
      <c r="J53" s="487"/>
      <c r="K53" s="487"/>
      <c r="L53" s="940"/>
      <c r="M53" s="941">
        <v>1276.03</v>
      </c>
      <c r="N53" s="940">
        <f ca="1" t="shared" si="22"/>
        <v>450</v>
      </c>
      <c r="O53" s="940">
        <f ca="1" t="shared" si="23"/>
        <v>574213.5</v>
      </c>
      <c r="P53" s="942"/>
    </row>
    <row r="54" customHeight="1" outlineLevel="3" spans="1:16">
      <c r="A54" s="490" t="s">
        <v>1368</v>
      </c>
      <c r="B54" s="487"/>
      <c r="C54" s="917" t="s">
        <v>59</v>
      </c>
      <c r="D54" s="918" t="s">
        <v>713</v>
      </c>
      <c r="E54" s="487" t="str">
        <f ca="1">"含钢量："&amp;ROUND(M54/G51,3)&amp;F54&amp;"/"&amp;F51</f>
        <v>含钢量：0.137t/m3</v>
      </c>
      <c r="F54" s="917" t="str">
        <f ca="1" t="shared" si="21"/>
        <v>t</v>
      </c>
      <c r="G54" s="487"/>
      <c r="H54" s="487"/>
      <c r="I54" s="940"/>
      <c r="J54" s="487"/>
      <c r="K54" s="487"/>
      <c r="L54" s="940"/>
      <c r="M54" s="941">
        <v>155.427103</v>
      </c>
      <c r="N54" s="940">
        <f ca="1" t="shared" si="22"/>
        <v>0</v>
      </c>
      <c r="O54" s="940">
        <f ca="1" t="shared" si="23"/>
        <v>0</v>
      </c>
      <c r="P54" s="942"/>
    </row>
    <row r="55" customHeight="1" outlineLevel="3" spans="1:16">
      <c r="A55" s="490" t="s">
        <v>1369</v>
      </c>
      <c r="B55" s="487"/>
      <c r="C55" s="917" t="s">
        <v>64</v>
      </c>
      <c r="D55" s="918" t="s">
        <v>349</v>
      </c>
      <c r="E55" s="487">
        <v>1500</v>
      </c>
      <c r="F55" s="917" t="str">
        <f ca="1" t="shared" si="21"/>
        <v>根</v>
      </c>
      <c r="G55" s="487"/>
      <c r="H55" s="487"/>
      <c r="I55" s="940"/>
      <c r="J55" s="487"/>
      <c r="K55" s="487"/>
      <c r="L55" s="940"/>
      <c r="M55" s="941">
        <v>39</v>
      </c>
      <c r="N55" s="940">
        <f ca="1" t="shared" si="22"/>
        <v>200</v>
      </c>
      <c r="O55" s="940">
        <f ca="1" t="shared" si="23"/>
        <v>7800</v>
      </c>
      <c r="P55" s="942"/>
    </row>
    <row r="56" customHeight="1" outlineLevel="3" spans="1:16">
      <c r="A56" s="490" t="s">
        <v>1370</v>
      </c>
      <c r="B56" s="487"/>
      <c r="C56" s="917" t="s">
        <v>64</v>
      </c>
      <c r="D56" s="918" t="s">
        <v>349</v>
      </c>
      <c r="E56" s="487">
        <v>1800</v>
      </c>
      <c r="F56" s="917" t="str">
        <f ca="1" t="shared" si="21"/>
        <v>根</v>
      </c>
      <c r="G56" s="487"/>
      <c r="H56" s="487"/>
      <c r="I56" s="940"/>
      <c r="J56" s="487"/>
      <c r="K56" s="487"/>
      <c r="L56" s="940"/>
      <c r="M56" s="941">
        <v>4</v>
      </c>
      <c r="N56" s="940">
        <f ca="1" t="shared" si="22"/>
        <v>200</v>
      </c>
      <c r="O56" s="940">
        <f ca="1" t="shared" si="23"/>
        <v>800</v>
      </c>
      <c r="P56" s="942"/>
    </row>
    <row r="57" customHeight="1" outlineLevel="3" spans="1:16">
      <c r="A57" s="490" t="s">
        <v>1371</v>
      </c>
      <c r="B57" s="487"/>
      <c r="C57" s="917" t="s">
        <v>65</v>
      </c>
      <c r="D57" s="918" t="s">
        <v>651</v>
      </c>
      <c r="E57" s="487"/>
      <c r="F57" s="917" t="str">
        <f ca="1" t="shared" si="21"/>
        <v>根</v>
      </c>
      <c r="G57" s="487"/>
      <c r="H57" s="487"/>
      <c r="I57" s="940"/>
      <c r="J57" s="487"/>
      <c r="K57" s="487"/>
      <c r="L57" s="940"/>
      <c r="M57" s="941">
        <v>43</v>
      </c>
      <c r="N57" s="940">
        <f ca="1" t="shared" si="22"/>
        <v>65</v>
      </c>
      <c r="O57" s="940">
        <f ca="1" t="shared" si="23"/>
        <v>2795</v>
      </c>
      <c r="P57" s="942"/>
    </row>
    <row r="58" customHeight="1" outlineLevel="3" spans="1:16">
      <c r="A58" s="490" t="s">
        <v>1372</v>
      </c>
      <c r="B58" s="487"/>
      <c r="C58" s="917" t="s">
        <v>65</v>
      </c>
      <c r="D58" s="918" t="s">
        <v>655</v>
      </c>
      <c r="E58" s="487"/>
      <c r="F58" s="917" t="str">
        <f ca="1" t="shared" si="21"/>
        <v>根</v>
      </c>
      <c r="G58" s="487"/>
      <c r="H58" s="487"/>
      <c r="I58" s="940"/>
      <c r="J58" s="487"/>
      <c r="K58" s="487"/>
      <c r="L58" s="940"/>
      <c r="M58" s="941">
        <v>43</v>
      </c>
      <c r="N58" s="940">
        <f ca="1" t="shared" si="22"/>
        <v>750</v>
      </c>
      <c r="O58" s="940">
        <f ca="1" t="shared" si="23"/>
        <v>32250</v>
      </c>
      <c r="P58" s="942"/>
    </row>
    <row r="59" customHeight="1" outlineLevel="3" spans="1:16">
      <c r="A59" s="490" t="s">
        <v>1373</v>
      </c>
      <c r="B59" s="487"/>
      <c r="C59" s="917" t="s">
        <v>59</v>
      </c>
      <c r="D59" s="918" t="s">
        <v>754</v>
      </c>
      <c r="E59" s="487"/>
      <c r="F59" s="917" t="str">
        <f ca="1" t="shared" si="21"/>
        <v>t</v>
      </c>
      <c r="G59" s="487"/>
      <c r="H59" s="487"/>
      <c r="I59" s="940"/>
      <c r="J59" s="487"/>
      <c r="K59" s="487"/>
      <c r="L59" s="940"/>
      <c r="M59" s="941">
        <v>7.83</v>
      </c>
      <c r="N59" s="940">
        <f ca="1" t="shared" si="22"/>
        <v>0</v>
      </c>
      <c r="O59" s="940">
        <f ca="1" t="shared" si="23"/>
        <v>0</v>
      </c>
      <c r="P59" s="942"/>
    </row>
    <row r="60" customHeight="1" outlineLevel="3" spans="1:16">
      <c r="A60" s="490" t="s">
        <v>1374</v>
      </c>
      <c r="B60" s="487"/>
      <c r="C60" s="917" t="s">
        <v>63</v>
      </c>
      <c r="D60" s="918" t="s">
        <v>344</v>
      </c>
      <c r="E60" s="487" t="s">
        <v>1375</v>
      </c>
      <c r="F60" s="917" t="str">
        <f ca="1" t="shared" si="21"/>
        <v>m3</v>
      </c>
      <c r="G60" s="487"/>
      <c r="H60" s="487"/>
      <c r="I60" s="940"/>
      <c r="J60" s="487"/>
      <c r="K60" s="487"/>
      <c r="L60" s="940"/>
      <c r="M60" s="941">
        <v>1276.03</v>
      </c>
      <c r="N60" s="940">
        <f ca="1" t="shared" si="22"/>
        <v>5</v>
      </c>
      <c r="O60" s="940">
        <f ca="1" t="shared" si="23"/>
        <v>6380.15</v>
      </c>
      <c r="P60" s="942"/>
    </row>
    <row r="61" customHeight="1" outlineLevel="3" spans="1:16">
      <c r="A61" s="490" t="s">
        <v>1376</v>
      </c>
      <c r="B61" s="487"/>
      <c r="C61" s="917" t="s">
        <v>64</v>
      </c>
      <c r="D61" s="918" t="s">
        <v>798</v>
      </c>
      <c r="E61" s="487"/>
      <c r="F61" s="917" t="str">
        <f ca="1" t="shared" si="21"/>
        <v>t</v>
      </c>
      <c r="G61" s="487"/>
      <c r="H61" s="487"/>
      <c r="I61" s="940"/>
      <c r="J61" s="487"/>
      <c r="K61" s="487"/>
      <c r="L61" s="940"/>
      <c r="M61" s="941">
        <v>150.9</v>
      </c>
      <c r="N61" s="940">
        <f ca="1" t="shared" si="22"/>
        <v>1.2</v>
      </c>
      <c r="O61" s="940">
        <f ca="1" t="shared" si="23"/>
        <v>181.08</v>
      </c>
      <c r="P61" s="942"/>
    </row>
    <row r="62" customHeight="1" spans="1:16">
      <c r="A62" s="486" t="s">
        <v>1377</v>
      </c>
      <c r="B62" s="487"/>
      <c r="C62" s="917" t="s">
        <v>1305</v>
      </c>
      <c r="D62" s="918" t="s">
        <v>1378</v>
      </c>
      <c r="E62" s="487" t="s">
        <v>1379</v>
      </c>
      <c r="F62" s="917" t="s">
        <v>195</v>
      </c>
      <c r="G62" s="487"/>
      <c r="H62" s="487"/>
      <c r="I62" s="940">
        <f>(+I63+I65)</f>
        <v>0</v>
      </c>
      <c r="J62" s="487"/>
      <c r="K62" s="487"/>
      <c r="L62" s="940">
        <f>(+L63+L65)</f>
        <v>0</v>
      </c>
      <c r="M62" s="941"/>
      <c r="N62" s="940"/>
      <c r="O62" s="940">
        <f>(+O63+O65)</f>
        <v>0</v>
      </c>
      <c r="P62" s="942"/>
    </row>
    <row r="63" customHeight="1" outlineLevel="1" spans="1:16">
      <c r="A63" s="488" t="s">
        <v>1380</v>
      </c>
      <c r="B63" s="487"/>
      <c r="C63" s="917" t="s">
        <v>60</v>
      </c>
      <c r="D63" s="918" t="s">
        <v>1381</v>
      </c>
      <c r="E63" s="487"/>
      <c r="F63" s="917"/>
      <c r="G63" s="487"/>
      <c r="H63" s="487"/>
      <c r="I63" s="940">
        <f>(+I64)</f>
        <v>0</v>
      </c>
      <c r="J63" s="487"/>
      <c r="K63" s="487"/>
      <c r="L63" s="940">
        <f>(+L64)</f>
        <v>0</v>
      </c>
      <c r="M63" s="941"/>
      <c r="N63" s="940"/>
      <c r="O63" s="940">
        <f>(+O64)</f>
        <v>0</v>
      </c>
      <c r="P63" s="942"/>
    </row>
    <row r="64" customHeight="1" outlineLevel="2" spans="1:16">
      <c r="A64" s="489" t="s">
        <v>1382</v>
      </c>
      <c r="B64" s="487"/>
      <c r="C64" s="917" t="s">
        <v>1309</v>
      </c>
      <c r="D64" s="918" t="s">
        <v>1383</v>
      </c>
      <c r="E64" s="487"/>
      <c r="F64" s="917"/>
      <c r="G64" s="487"/>
      <c r="H64" s="487"/>
      <c r="I64" s="940"/>
      <c r="J64" s="487"/>
      <c r="K64" s="487"/>
      <c r="L64" s="940"/>
      <c r="M64" s="941"/>
      <c r="N64" s="940"/>
      <c r="O64" s="940"/>
      <c r="P64" s="942"/>
    </row>
    <row r="65" customHeight="1" outlineLevel="1" spans="1:16">
      <c r="A65" s="488" t="s">
        <v>1384</v>
      </c>
      <c r="B65" s="487"/>
      <c r="C65" s="917" t="s">
        <v>60</v>
      </c>
      <c r="D65" s="918" t="s">
        <v>1385</v>
      </c>
      <c r="E65" s="487" t="s">
        <v>1386</v>
      </c>
      <c r="F65" s="917" t="s">
        <v>195</v>
      </c>
      <c r="G65" s="487"/>
      <c r="H65" s="487"/>
      <c r="I65" s="940"/>
      <c r="J65" s="487"/>
      <c r="K65" s="487"/>
      <c r="L65" s="940"/>
      <c r="M65" s="941"/>
      <c r="N65" s="940"/>
      <c r="O65" s="940"/>
      <c r="P65" s="942"/>
    </row>
    <row r="66" customHeight="1" spans="1:16">
      <c r="A66" s="486" t="s">
        <v>1387</v>
      </c>
      <c r="B66" s="487"/>
      <c r="C66" s="917" t="s">
        <v>1305</v>
      </c>
      <c r="D66" s="918" t="s">
        <v>1388</v>
      </c>
      <c r="E66" s="487"/>
      <c r="F66" s="917"/>
      <c r="G66" s="487"/>
      <c r="H66" s="487"/>
      <c r="I66" s="940">
        <f>(+I67+I68)</f>
        <v>0</v>
      </c>
      <c r="J66" s="487"/>
      <c r="K66" s="487"/>
      <c r="L66" s="940">
        <f>(+L67+L68)</f>
        <v>0</v>
      </c>
      <c r="M66" s="941"/>
      <c r="N66" s="940"/>
      <c r="O66" s="940">
        <f>(+O67+O68)</f>
        <v>0</v>
      </c>
      <c r="P66" s="942"/>
    </row>
    <row r="67" customHeight="1" outlineLevel="1" spans="1:16">
      <c r="A67" s="488" t="s">
        <v>1389</v>
      </c>
      <c r="B67" s="487"/>
      <c r="C67" s="917" t="s">
        <v>60</v>
      </c>
      <c r="D67" s="918" t="s">
        <v>1284</v>
      </c>
      <c r="E67" s="487"/>
      <c r="F67" s="917"/>
      <c r="G67" s="487"/>
      <c r="H67" s="487"/>
      <c r="I67" s="940"/>
      <c r="J67" s="487"/>
      <c r="K67" s="487"/>
      <c r="L67" s="940"/>
      <c r="M67" s="941"/>
      <c r="N67" s="940"/>
      <c r="O67" s="940"/>
      <c r="P67" s="942"/>
    </row>
    <row r="68" customHeight="1" outlineLevel="1" spans="1:16">
      <c r="A68" s="488" t="s">
        <v>1390</v>
      </c>
      <c r="B68" s="487"/>
      <c r="C68" s="917" t="s">
        <v>60</v>
      </c>
      <c r="D68" s="918" t="s">
        <v>1391</v>
      </c>
      <c r="E68" s="487"/>
      <c r="F68" s="917"/>
      <c r="G68" s="487"/>
      <c r="H68" s="487"/>
      <c r="I68" s="940"/>
      <c r="J68" s="487"/>
      <c r="K68" s="487"/>
      <c r="L68" s="940"/>
      <c r="M68" s="941"/>
      <c r="N68" s="940"/>
      <c r="O68" s="940"/>
      <c r="P68" s="942"/>
    </row>
    <row r="69" customHeight="1" spans="1:16">
      <c r="A69" s="486" t="s">
        <v>1392</v>
      </c>
      <c r="B69" s="487"/>
      <c r="C69" s="917" t="s">
        <v>1305</v>
      </c>
      <c r="D69" s="918" t="s">
        <v>1393</v>
      </c>
      <c r="E69" s="487"/>
      <c r="F69" s="917"/>
      <c r="G69" s="487"/>
      <c r="H69" s="487"/>
      <c r="I69" s="940"/>
      <c r="J69" s="487"/>
      <c r="K69" s="487"/>
      <c r="L69" s="940"/>
      <c r="M69" s="941"/>
      <c r="N69" s="940"/>
      <c r="O69" s="940"/>
      <c r="P69" s="942"/>
    </row>
    <row r="70" customHeight="1" spans="1:16">
      <c r="A70" s="486" t="s">
        <v>1394</v>
      </c>
      <c r="B70" s="487"/>
      <c r="C70" s="917" t="s">
        <v>1305</v>
      </c>
      <c r="D70" s="918" t="s">
        <v>1285</v>
      </c>
      <c r="E70" s="487"/>
      <c r="F70" s="917"/>
      <c r="G70" s="487"/>
      <c r="H70" s="487"/>
      <c r="I70" s="940"/>
      <c r="J70" s="487"/>
      <c r="K70" s="487"/>
      <c r="L70" s="940"/>
      <c r="M70" s="941"/>
      <c r="N70" s="940"/>
      <c r="O70" s="940"/>
      <c r="P70" s="942"/>
    </row>
  </sheetData>
  <sheetProtection formatCells="0" insertHyperlinks="0" autoFilter="0"/>
  <autoFilter xmlns:etc="http://www.wps.cn/officeDocument/2017/etCustomData" ref="A4:P70" etc:filterBottomFollowUsedRange="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4.25"/>
  <cols>
    <col min="1" max="1" width="13.5" style="755" customWidth="1"/>
    <col min="2" max="2" width="8.75" style="756" customWidth="1"/>
    <col min="3" max="3" width="11.75" style="756" customWidth="1"/>
    <col min="4" max="4" width="22.125" style="757" customWidth="1"/>
    <col min="5" max="5" width="12.75" style="757" customWidth="1"/>
    <col min="6" max="6" width="4.25" style="755" customWidth="1"/>
    <col min="7" max="7" width="9.125" style="756" customWidth="1"/>
    <col min="8" max="8" width="16.75" style="756" customWidth="1"/>
    <col min="9" max="9" width="10.25" style="756" customWidth="1"/>
    <col min="10" max="10" width="12.75" style="756" customWidth="1"/>
    <col min="11" max="11" width="8.25" style="756" customWidth="1"/>
    <col min="12" max="12" width="13.75" style="758" customWidth="1"/>
    <col min="13" max="14" width="8.75" style="759" customWidth="1"/>
    <col min="15" max="15" width="13.375" style="759" customWidth="1"/>
    <col min="16" max="16" width="11.375" style="756" customWidth="1"/>
    <col min="17" max="17" width="13.5" style="756" customWidth="1"/>
    <col min="18" max="18" width="12" style="756"/>
    <col min="19" max="16384" width="8.875" style="756"/>
  </cols>
  <sheetData>
    <row r="1" ht="22.5" spans="1:17">
      <c r="A1" s="624" t="s">
        <v>1395</v>
      </c>
      <c r="B1" s="624"/>
      <c r="C1" s="624"/>
      <c r="D1" s="624"/>
      <c r="E1" s="624"/>
      <c r="F1" s="624"/>
      <c r="G1" s="624"/>
      <c r="H1" s="624"/>
      <c r="I1" s="624"/>
      <c r="J1" s="624"/>
      <c r="K1" s="624"/>
      <c r="L1" s="624"/>
      <c r="M1" s="624"/>
      <c r="N1" s="624"/>
      <c r="O1" s="624"/>
      <c r="P1" s="624"/>
      <c r="Q1" s="624"/>
    </row>
    <row r="2" s="750" customFormat="1" ht="13.5" spans="1:17">
      <c r="A2" s="874" t="str">
        <f>$A$6&amp;TEXT(ROW()-6,"000")</f>
        <v>B01-004</v>
      </c>
      <c r="B2" s="762"/>
      <c r="C2" s="875" t="e">
        <f>IF(F2="","单位","分项")</f>
        <v>#REF!</v>
      </c>
      <c r="D2" s="763"/>
      <c r="E2" s="763"/>
      <c r="F2" s="876" t="e">
        <f>VLOOKUP($D2,#REF!,2,FALSE)</f>
        <v>#REF!</v>
      </c>
      <c r="G2" s="877"/>
      <c r="H2" s="877"/>
      <c r="I2" s="877"/>
      <c r="J2" s="877" t="e">
        <f>VLOOKUP($D2,#REF!,4,FALSE)</f>
        <v>#REF!</v>
      </c>
      <c r="K2" s="877" t="e">
        <f>VLOOKUP($D2,人工[],3,FALSE)</f>
        <v>#N/A</v>
      </c>
      <c r="L2" s="885" t="e">
        <f t="shared" ref="L2:L3" si="0">+J2*K2</f>
        <v>#REF!</v>
      </c>
      <c r="M2" s="784"/>
      <c r="N2" s="784"/>
      <c r="O2" s="784"/>
      <c r="P2" s="626"/>
      <c r="Q2" s="626" t="s">
        <v>1396</v>
      </c>
    </row>
    <row r="3" s="750" customFormat="1" ht="24" customHeight="1" spans="1:19">
      <c r="A3" s="623" t="str" cm="1">
        <f t="array" ref="A3">"工程名称："&amp;工程名称&amp;"  "&amp;工区</f>
        <v>工程名称：az  2</v>
      </c>
      <c r="B3" s="623"/>
      <c r="C3" s="623"/>
      <c r="D3" s="693"/>
      <c r="E3" s="693"/>
      <c r="F3" s="878" t="e">
        <f>VLOOKUP($D3,#REF!,2,FALSE)</f>
        <v>#REF!</v>
      </c>
      <c r="G3" s="878"/>
      <c r="H3" s="878"/>
      <c r="I3" s="878"/>
      <c r="J3" s="878"/>
      <c r="K3" s="878" t="e">
        <f>VLOOKUP($D3,人工[],3,FALSE)</f>
        <v>#N/A</v>
      </c>
      <c r="L3" s="878" t="e">
        <f t="shared" si="0"/>
        <v>#N/A</v>
      </c>
      <c r="M3" s="785"/>
      <c r="N3" s="785"/>
      <c r="O3" s="785"/>
      <c r="P3" s="626" t="e">
        <f>+L3*$R$3</f>
        <v>#N/A</v>
      </c>
      <c r="Q3" s="623" t="s">
        <v>1252</v>
      </c>
      <c r="R3" s="895">
        <v>0.03</v>
      </c>
      <c r="S3" s="750" t="s">
        <v>1397</v>
      </c>
    </row>
    <row r="4" s="751" customFormat="1" ht="34.15" customHeight="1" spans="1:17">
      <c r="A4" s="764" t="s">
        <v>1253</v>
      </c>
      <c r="B4" s="765" t="s">
        <v>1290</v>
      </c>
      <c r="C4" s="766" t="s">
        <v>1291</v>
      </c>
      <c r="D4" s="766" t="s">
        <v>1398</v>
      </c>
      <c r="E4" s="766" t="s">
        <v>1293</v>
      </c>
      <c r="F4" s="766" t="s">
        <v>60</v>
      </c>
      <c r="G4" s="766" t="s">
        <v>1399</v>
      </c>
      <c r="H4" s="766" t="s">
        <v>1400</v>
      </c>
      <c r="I4" s="786" t="s">
        <v>1256</v>
      </c>
      <c r="J4" s="766" t="s">
        <v>1401</v>
      </c>
      <c r="K4" s="766" t="s">
        <v>1402</v>
      </c>
      <c r="L4" s="787" t="s">
        <v>1257</v>
      </c>
      <c r="M4" s="788" t="s">
        <v>1403</v>
      </c>
      <c r="N4" s="788" t="s">
        <v>1404</v>
      </c>
      <c r="O4" s="788" t="s">
        <v>1258</v>
      </c>
      <c r="P4" s="766" t="s">
        <v>1260</v>
      </c>
      <c r="Q4" s="803" t="s">
        <v>1261</v>
      </c>
    </row>
    <row r="5" s="750" customFormat="1" ht="24" customHeight="1" spans="1:17">
      <c r="A5" s="767" t="s">
        <v>1303</v>
      </c>
      <c r="B5" s="768"/>
      <c r="C5" s="768"/>
      <c r="D5" s="769"/>
      <c r="E5" s="768"/>
      <c r="F5" s="880"/>
      <c r="G5" s="770"/>
      <c r="H5" s="770"/>
      <c r="I5" s="789"/>
      <c r="J5" s="770"/>
      <c r="K5" s="770"/>
      <c r="L5" s="790"/>
      <c r="M5" s="791"/>
      <c r="N5" s="791"/>
      <c r="O5" s="791"/>
      <c r="P5" s="768"/>
      <c r="Q5" s="896"/>
    </row>
    <row r="6" s="752" customFormat="1" ht="21" customHeight="1" spans="1:17">
      <c r="A6" s="881" t="s">
        <v>1405</v>
      </c>
      <c r="B6" s="882"/>
      <c r="C6" s="882" t="s">
        <v>1305</v>
      </c>
      <c r="D6" s="882" t="s">
        <v>1406</v>
      </c>
      <c r="E6" s="882"/>
      <c r="F6" s="882"/>
      <c r="G6" s="882"/>
      <c r="H6" s="882"/>
      <c r="I6" s="882"/>
      <c r="J6" s="792"/>
      <c r="K6" s="792"/>
      <c r="L6" s="793">
        <f>SUM(L7:L2000)</f>
        <v>713724.35</v>
      </c>
      <c r="M6" s="891"/>
      <c r="N6" s="796"/>
      <c r="O6" s="796"/>
      <c r="P6" s="797">
        <f>+L6*$R$3</f>
        <v>21411.7305</v>
      </c>
      <c r="Q6" s="792"/>
    </row>
    <row r="7" spans="1:17">
      <c r="A7" s="56" t="str">
        <f t="shared" ref="A7:A11" si="1">$A$6&amp;TEXT(ROW()-6,"000")</f>
        <v>B01001</v>
      </c>
      <c r="B7" s="883"/>
      <c r="C7" s="883"/>
      <c r="D7" s="884" t="s">
        <v>752</v>
      </c>
      <c r="E7" s="884"/>
      <c r="F7" s="56" t="str">
        <f>IFERROR(VLOOKUP($D7,人工[],2,FALSE),"")</f>
        <v>m3</v>
      </c>
      <c r="G7" s="883"/>
      <c r="H7" s="883"/>
      <c r="I7" s="883"/>
      <c r="J7" s="883">
        <v>5438.83</v>
      </c>
      <c r="K7" s="883">
        <f>IFERROR(VLOOKUP($D7,人工[],3,FALSE),"")</f>
        <v>30</v>
      </c>
      <c r="L7" s="93">
        <f t="shared" ref="L7:L11" si="2">+J7*K7</f>
        <v>163164.9</v>
      </c>
      <c r="M7" s="893"/>
      <c r="N7" s="893"/>
      <c r="O7" s="893"/>
      <c r="P7" s="894">
        <f>+L7*$R$3</f>
        <v>4894.947</v>
      </c>
      <c r="Q7" s="883"/>
    </row>
    <row r="8" spans="1:17">
      <c r="A8" s="56" t="str">
        <f t="shared" si="1"/>
        <v>B01002</v>
      </c>
      <c r="B8" s="883"/>
      <c r="C8" s="883"/>
      <c r="D8" s="884" t="s">
        <v>596</v>
      </c>
      <c r="E8" s="884"/>
      <c r="F8" s="56" t="str">
        <f>IFERROR(VLOOKUP($D8,人工[],2,FALSE),"")</f>
        <v>m2</v>
      </c>
      <c r="G8" s="883"/>
      <c r="H8" s="883"/>
      <c r="I8" s="883"/>
      <c r="J8" s="883">
        <v>3624.46</v>
      </c>
      <c r="K8" s="883">
        <f>IFERROR(VLOOKUP($D8,人工[],3,FALSE),"")</f>
        <v>34.5</v>
      </c>
      <c r="L8" s="93">
        <f t="shared" si="2"/>
        <v>125043.87</v>
      </c>
      <c r="M8" s="893"/>
      <c r="N8" s="893"/>
      <c r="O8" s="893"/>
      <c r="P8" s="894">
        <f>+L8*$R$3</f>
        <v>3751.3161</v>
      </c>
      <c r="Q8" s="883"/>
    </row>
    <row r="9" spans="1:17">
      <c r="A9" s="56" t="str">
        <f t="shared" si="1"/>
        <v>B01003</v>
      </c>
      <c r="B9" s="883"/>
      <c r="C9" s="883"/>
      <c r="D9" s="884" t="s">
        <v>296</v>
      </c>
      <c r="E9" s="884"/>
      <c r="F9" s="56" t="str">
        <f>IFERROR(VLOOKUP($D9,人工[],2,FALSE),"")</f>
        <v>t</v>
      </c>
      <c r="G9" s="883"/>
      <c r="H9" s="883"/>
      <c r="I9" s="883"/>
      <c r="J9" s="883">
        <v>595.335</v>
      </c>
      <c r="K9" s="883">
        <f>IFERROR(VLOOKUP($D9,人工[],3,FALSE),"")</f>
        <v>700</v>
      </c>
      <c r="L9" s="93">
        <f t="shared" si="2"/>
        <v>416734.5</v>
      </c>
      <c r="M9" s="893"/>
      <c r="N9" s="893"/>
      <c r="O9" s="893"/>
      <c r="P9" s="894">
        <f>+L9*$R$3</f>
        <v>12502.035</v>
      </c>
      <c r="Q9" s="883"/>
    </row>
    <row r="10" spans="1:17">
      <c r="A10" s="56" t="str">
        <f t="shared" si="1"/>
        <v>B01004</v>
      </c>
      <c r="B10" s="883"/>
      <c r="C10" s="883"/>
      <c r="D10" s="884" t="s">
        <v>349</v>
      </c>
      <c r="E10" s="884"/>
      <c r="F10" s="56" t="str">
        <f>IFERROR(VLOOKUP($D10,人工[],2,FALSE),"")</f>
        <v>根</v>
      </c>
      <c r="G10" s="883"/>
      <c r="H10" s="883"/>
      <c r="I10" s="883"/>
      <c r="J10" s="883">
        <v>43</v>
      </c>
      <c r="K10" s="883">
        <f>IFERROR(VLOOKUP($D10,人工[],3,FALSE),"")</f>
        <v>200</v>
      </c>
      <c r="L10" s="93">
        <f t="shared" si="2"/>
        <v>8600</v>
      </c>
      <c r="M10" s="893"/>
      <c r="N10" s="893"/>
      <c r="O10" s="893"/>
      <c r="P10" s="894">
        <f>+L10*$R$3</f>
        <v>258</v>
      </c>
      <c r="Q10" s="883"/>
    </row>
    <row r="11" spans="1:17">
      <c r="A11" s="56" t="str">
        <f t="shared" si="1"/>
        <v>B01005</v>
      </c>
      <c r="B11" s="883"/>
      <c r="C11" s="883"/>
      <c r="D11" s="884" t="s">
        <v>798</v>
      </c>
      <c r="E11" s="884"/>
      <c r="F11" s="56" t="str">
        <f>IFERROR(VLOOKUP($D11,人工[],2,FALSE),"")</f>
        <v>t</v>
      </c>
      <c r="G11" s="883"/>
      <c r="H11" s="883"/>
      <c r="I11" s="883"/>
      <c r="J11" s="883">
        <v>150.9</v>
      </c>
      <c r="K11" s="883">
        <f>IFERROR(VLOOKUP($D11,人工[],3,FALSE),"")</f>
        <v>1.2</v>
      </c>
      <c r="L11" s="93">
        <f t="shared" si="2"/>
        <v>181.08</v>
      </c>
      <c r="M11" s="893"/>
      <c r="N11" s="893"/>
      <c r="O11" s="893"/>
      <c r="P11" s="894">
        <f>+L11*$R$3</f>
        <v>5.4324</v>
      </c>
      <c r="Q11" s="883"/>
    </row>
    <row r="525" outlineLevel="1" spans="1:1">
      <c r="A525" s="899" t="str">
        <f>$A$6&amp;TEXT(ROW()-6,"000")</f>
        <v>B01519</v>
      </c>
    </row>
    <row r="556" spans="1:1">
      <c r="A556" s="755" t="str">
        <f>$A$6&amp;TEXT(ROW()-6,"000")</f>
        <v>B01550</v>
      </c>
    </row>
    <row r="576" spans="1:1">
      <c r="A576" s="755" t="str">
        <f>$A$6&amp;TEXT(ROW()-6,"000")</f>
        <v>B01570</v>
      </c>
    </row>
    <row r="596" spans="1:1">
      <c r="A596" s="755" t="str">
        <f>$A$6&amp;TEXT(ROW()-6,"000")</f>
        <v>B01590</v>
      </c>
    </row>
    <row r="602" spans="1:1">
      <c r="A602" s="755" t="str">
        <f>$A$6&amp;TEXT(ROW()-6,"000")</f>
        <v>B01596</v>
      </c>
    </row>
    <row r="611" spans="1:1">
      <c r="A611" s="755" t="str">
        <f>$A$6&amp;TEXT(ROW()-6,"000")</f>
        <v>B01605</v>
      </c>
    </row>
  </sheetData>
  <sheetProtection formatCells="0" insertRows="0" insertHyperlinks="0" deleteRows="0" autoFilter="0"/>
  <autoFilter xmlns:etc="http://www.wps.cn/officeDocument/2017/etCustomData" ref="A4:Q11" etc:filterBottomFollowUsedRange="0">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4.25"/>
  <cols>
    <col min="1" max="1" width="14.8833333333333" style="755" customWidth="1"/>
    <col min="2" max="2" width="8.75" style="756" customWidth="1"/>
    <col min="3" max="3" width="11.75" style="756" customWidth="1"/>
    <col min="4" max="4" width="22.125" style="757" customWidth="1"/>
    <col min="5" max="5" width="12.75" style="757" customWidth="1"/>
    <col min="6" max="6" width="4.25" style="755" customWidth="1"/>
    <col min="7" max="7" width="9.125" style="756" customWidth="1"/>
    <col min="8" max="8" width="16.75" style="756" customWidth="1"/>
    <col min="9" max="9" width="10.25" style="756" customWidth="1"/>
    <col min="10" max="10" width="16.125" style="756" customWidth="1"/>
    <col min="11" max="11" width="9.75" style="756" customWidth="1"/>
    <col min="12" max="12" width="18.25" style="758" customWidth="1"/>
    <col min="13" max="14" width="8.75" style="759" customWidth="1"/>
    <col min="15" max="15" width="13.375" style="759" customWidth="1"/>
    <col min="16" max="16" width="11.375" style="756" customWidth="1"/>
    <col min="17" max="17" width="13.5" style="756" customWidth="1"/>
    <col min="18" max="18" width="12" style="756"/>
    <col min="19" max="16384" width="8.875" style="756"/>
  </cols>
  <sheetData>
    <row r="1" ht="22.5" spans="1:17">
      <c r="A1" s="624" t="s">
        <v>1407</v>
      </c>
      <c r="B1" s="624"/>
      <c r="C1" s="624"/>
      <c r="D1" s="624"/>
      <c r="E1" s="624"/>
      <c r="F1" s="624"/>
      <c r="G1" s="624"/>
      <c r="H1" s="624"/>
      <c r="I1" s="624"/>
      <c r="J1" s="624"/>
      <c r="K1" s="624"/>
      <c r="L1" s="624"/>
      <c r="M1" s="624"/>
      <c r="N1" s="624"/>
      <c r="O1" s="624"/>
      <c r="P1" s="624"/>
      <c r="Q1" s="624"/>
    </row>
    <row r="2" spans="1:17">
      <c r="A2" s="874" t="str">
        <f>$A$6&amp;TEXT(ROW()-6,"000")</f>
        <v>C01-004</v>
      </c>
      <c r="B2" s="762"/>
      <c r="C2" s="875" t="e">
        <f>IF(F2="","单位","分项")</f>
        <v>#REF!</v>
      </c>
      <c r="D2" s="763"/>
      <c r="E2" s="763"/>
      <c r="F2" s="876" t="e">
        <f>VLOOKUP($D2,#REF!,2,FALSE)</f>
        <v>#REF!</v>
      </c>
      <c r="G2" s="877"/>
      <c r="H2" s="877"/>
      <c r="I2" s="877"/>
      <c r="J2" s="877" t="e">
        <f>VLOOKUP($D2,#REF!,4,FALSE)</f>
        <v>#REF!</v>
      </c>
      <c r="K2" s="877" t="e">
        <f>VLOOKUP($D2,材料[],3,FALSE)</f>
        <v>#N/A</v>
      </c>
      <c r="L2" s="885" t="e">
        <f>+J2*K2</f>
        <v>#REF!</v>
      </c>
      <c r="M2" s="784"/>
      <c r="N2" s="784"/>
      <c r="O2" s="784"/>
      <c r="P2" s="626"/>
      <c r="Q2" s="626" t="s">
        <v>1396</v>
      </c>
    </row>
    <row r="3" ht="15" spans="1:19">
      <c r="A3" s="623" t="str" cm="1">
        <f t="array" ref="A3">"工程名称："&amp;工程名称&amp;"  "&amp;工区</f>
        <v>工程名称：az  2</v>
      </c>
      <c r="B3" s="623"/>
      <c r="C3" s="623"/>
      <c r="D3" s="693"/>
      <c r="E3" s="693"/>
      <c r="F3" s="878" t="str">
        <f>IFERROR(VLOOKUP($D3,#REF!,2,FALSE),"")</f>
        <v/>
      </c>
      <c r="G3" s="878"/>
      <c r="H3" s="878"/>
      <c r="I3" s="878"/>
      <c r="J3" s="878" t="e">
        <f>VLOOKUP($D3,#REF!,4,FALSE)</f>
        <v>#REF!</v>
      </c>
      <c r="K3" s="878" t="str">
        <f>IFERROR(VLOOKUP($D3,材料[],3,FALSE),"")</f>
        <v/>
      </c>
      <c r="L3" s="878" t="e">
        <f>+J3*K3</f>
        <v>#REF!</v>
      </c>
      <c r="M3" s="785"/>
      <c r="N3" s="785"/>
      <c r="O3" s="785"/>
      <c r="P3" s="875" t="e">
        <f>+L3*$R$3</f>
        <v>#REF!</v>
      </c>
      <c r="Q3" s="623" t="s">
        <v>1252</v>
      </c>
      <c r="R3" s="895">
        <v>0.03</v>
      </c>
      <c r="S3" s="750" t="s">
        <v>1397</v>
      </c>
    </row>
    <row r="4" ht="27" spans="1:17">
      <c r="A4" s="764" t="s">
        <v>1253</v>
      </c>
      <c r="B4" s="765" t="s">
        <v>1290</v>
      </c>
      <c r="C4" s="766" t="s">
        <v>1291</v>
      </c>
      <c r="D4" s="766" t="s">
        <v>1398</v>
      </c>
      <c r="E4" s="766" t="s">
        <v>1293</v>
      </c>
      <c r="F4" s="766" t="s">
        <v>60</v>
      </c>
      <c r="G4" s="766" t="s">
        <v>1399</v>
      </c>
      <c r="H4" s="766" t="s">
        <v>1400</v>
      </c>
      <c r="I4" s="786" t="s">
        <v>1256</v>
      </c>
      <c r="J4" s="766" t="s">
        <v>1401</v>
      </c>
      <c r="K4" s="766" t="s">
        <v>1402</v>
      </c>
      <c r="L4" s="787" t="s">
        <v>1257</v>
      </c>
      <c r="M4" s="788" t="s">
        <v>1403</v>
      </c>
      <c r="N4" s="788" t="s">
        <v>1404</v>
      </c>
      <c r="O4" s="788" t="s">
        <v>1258</v>
      </c>
      <c r="P4" s="766" t="s">
        <v>1260</v>
      </c>
      <c r="Q4" s="803" t="s">
        <v>1261</v>
      </c>
    </row>
    <row r="5" spans="1:17">
      <c r="A5" s="767" t="s">
        <v>1303</v>
      </c>
      <c r="B5" s="768"/>
      <c r="C5" s="768"/>
      <c r="D5" s="769"/>
      <c r="E5" s="768"/>
      <c r="F5" s="880"/>
      <c r="G5" s="770"/>
      <c r="H5" s="770"/>
      <c r="I5" s="789"/>
      <c r="J5" s="770"/>
      <c r="K5" s="770"/>
      <c r="L5" s="790"/>
      <c r="M5" s="791"/>
      <c r="N5" s="791"/>
      <c r="O5" s="791"/>
      <c r="P5" s="768"/>
      <c r="Q5" s="896"/>
    </row>
    <row r="6" spans="1:17">
      <c r="A6" s="881" t="s">
        <v>1270</v>
      </c>
      <c r="B6" s="882"/>
      <c r="C6" s="882" t="s">
        <v>1305</v>
      </c>
      <c r="D6" s="882" t="s">
        <v>1408</v>
      </c>
      <c r="E6" s="882"/>
      <c r="F6" s="882"/>
      <c r="G6" s="882"/>
      <c r="H6" s="882"/>
      <c r="I6" s="882"/>
      <c r="J6" s="792"/>
      <c r="K6" s="792"/>
      <c r="L6" s="793">
        <f>+L7+L12</f>
        <v>4609395.18435</v>
      </c>
      <c r="M6" s="891"/>
      <c r="N6" s="796"/>
      <c r="O6" s="796"/>
      <c r="P6" s="797">
        <f>+L6*$R$3</f>
        <v>138281.8555305</v>
      </c>
      <c r="Q6" s="792"/>
    </row>
    <row r="7" outlineLevel="1" spans="1:17">
      <c r="A7" s="897" t="s">
        <v>1409</v>
      </c>
      <c r="B7" s="883"/>
      <c r="C7" s="883" t="str">
        <f t="shared" ref="C7:C18" si="0">IF(F7="","单位","分项")</f>
        <v>单位</v>
      </c>
      <c r="D7" s="884" t="s">
        <v>1307</v>
      </c>
      <c r="E7" s="884"/>
      <c r="F7" s="56"/>
      <c r="G7" s="883"/>
      <c r="H7" s="883"/>
      <c r="I7" s="883"/>
      <c r="J7" s="883"/>
      <c r="K7" s="883"/>
      <c r="L7" s="93">
        <f>+L8+L9+L10+L11</f>
        <v>3580465</v>
      </c>
      <c r="M7" s="893"/>
      <c r="N7" s="893"/>
      <c r="O7" s="893"/>
      <c r="P7" s="894">
        <f>+L7*$R$3</f>
        <v>107413.95</v>
      </c>
      <c r="Q7" s="883"/>
    </row>
    <row r="8" outlineLevel="2" spans="1:17">
      <c r="A8" s="898" t="s">
        <v>1410</v>
      </c>
      <c r="B8" s="883"/>
      <c r="C8" s="883" t="str">
        <f t="shared" si="0"/>
        <v>分项</v>
      </c>
      <c r="D8" s="884" t="s">
        <v>36</v>
      </c>
      <c r="E8" s="884"/>
      <c r="F8" s="56" t="s">
        <v>82</v>
      </c>
      <c r="G8" s="883"/>
      <c r="H8" s="883"/>
      <c r="I8" s="883"/>
      <c r="J8" s="883">
        <v>6175</v>
      </c>
      <c r="K8" s="883">
        <v>127</v>
      </c>
      <c r="L8" s="93">
        <f>+J8*K8</f>
        <v>784225</v>
      </c>
      <c r="M8" s="893"/>
      <c r="N8" s="893"/>
      <c r="O8" s="893"/>
      <c r="P8" s="894">
        <f>+L8*$R$3</f>
        <v>23526.75</v>
      </c>
      <c r="Q8" s="883"/>
    </row>
    <row r="9" outlineLevel="2" spans="1:17">
      <c r="A9" s="898" t="s">
        <v>1411</v>
      </c>
      <c r="B9" s="883"/>
      <c r="C9" s="883" t="str">
        <f t="shared" si="0"/>
        <v>分项</v>
      </c>
      <c r="D9" s="884" t="s">
        <v>38</v>
      </c>
      <c r="E9" s="884"/>
      <c r="F9" s="56" t="s">
        <v>82</v>
      </c>
      <c r="G9" s="883"/>
      <c r="H9" s="883"/>
      <c r="I9" s="883"/>
      <c r="J9" s="883">
        <v>2941</v>
      </c>
      <c r="K9" s="883">
        <v>90</v>
      </c>
      <c r="L9" s="93">
        <f>+J9*K9</f>
        <v>264690</v>
      </c>
      <c r="M9" s="893"/>
      <c r="N9" s="893"/>
      <c r="O9" s="893"/>
      <c r="P9" s="894">
        <f>+L9*$R$3</f>
        <v>7940.7</v>
      </c>
      <c r="Q9" s="883"/>
    </row>
    <row r="10" outlineLevel="2" spans="1:17">
      <c r="A10" s="898" t="s">
        <v>1412</v>
      </c>
      <c r="B10" s="883"/>
      <c r="C10" s="883" t="str">
        <f t="shared" si="0"/>
        <v>分项</v>
      </c>
      <c r="D10" s="884" t="s">
        <v>41</v>
      </c>
      <c r="E10" s="884"/>
      <c r="F10" s="56" t="s">
        <v>82</v>
      </c>
      <c r="G10" s="883"/>
      <c r="H10" s="883"/>
      <c r="I10" s="883"/>
      <c r="J10" s="883">
        <v>2055</v>
      </c>
      <c r="K10" s="883">
        <v>210</v>
      </c>
      <c r="L10" s="93">
        <f>+J10*K10</f>
        <v>431550</v>
      </c>
      <c r="M10" s="893"/>
      <c r="N10" s="893"/>
      <c r="O10" s="893"/>
      <c r="P10" s="894">
        <f>+L10*$R$3</f>
        <v>12946.5</v>
      </c>
      <c r="Q10" s="883"/>
    </row>
    <row r="11" outlineLevel="2" spans="1:17">
      <c r="A11" s="898" t="s">
        <v>1413</v>
      </c>
      <c r="B11" s="883"/>
      <c r="C11" s="883" t="str">
        <f t="shared" si="0"/>
        <v>分项</v>
      </c>
      <c r="D11" s="884" t="s">
        <v>480</v>
      </c>
      <c r="E11" s="884"/>
      <c r="F11" s="56" t="str">
        <f>IFERROR(VLOOKUP($D11,材料[],2,FALSE),"")</f>
        <v>t</v>
      </c>
      <c r="G11" s="883"/>
      <c r="H11" s="883"/>
      <c r="I11" s="883"/>
      <c r="J11" s="883">
        <v>500</v>
      </c>
      <c r="K11" s="883">
        <f>IFERROR(VLOOKUP($D11,材料[],3,FALSE),"")</f>
        <v>4200</v>
      </c>
      <c r="L11" s="93">
        <f>+J11*K11</f>
        <v>2100000</v>
      </c>
      <c r="M11" s="893"/>
      <c r="N11" s="893"/>
      <c r="O11" s="893"/>
      <c r="P11" s="894">
        <f>+L11*$R$3</f>
        <v>63000</v>
      </c>
      <c r="Q11" s="883"/>
    </row>
    <row r="12" outlineLevel="1" spans="1:17">
      <c r="A12" s="897" t="s">
        <v>1414</v>
      </c>
      <c r="B12" s="883"/>
      <c r="C12" s="883" t="str">
        <f t="shared" si="0"/>
        <v>单位</v>
      </c>
      <c r="D12" s="884" t="s">
        <v>1333</v>
      </c>
      <c r="E12" s="884"/>
      <c r="F12" s="56"/>
      <c r="G12" s="883"/>
      <c r="H12" s="883"/>
      <c r="I12" s="883"/>
      <c r="J12" s="883"/>
      <c r="K12" s="883"/>
      <c r="L12" s="93">
        <f>+L13+L14+L15+L16+L17+L18</f>
        <v>1028930.18435</v>
      </c>
      <c r="M12" s="893"/>
      <c r="N12" s="893"/>
      <c r="O12" s="893"/>
      <c r="P12" s="894">
        <f>+L12*$R$3</f>
        <v>30867.9055305</v>
      </c>
      <c r="Q12" s="883"/>
    </row>
    <row r="13" outlineLevel="2" spans="1:17">
      <c r="A13" s="898" t="s">
        <v>1415</v>
      </c>
      <c r="B13" s="883"/>
      <c r="C13" s="883" t="str">
        <f t="shared" si="0"/>
        <v>分项</v>
      </c>
      <c r="D13" s="884" t="s">
        <v>36</v>
      </c>
      <c r="E13" s="884"/>
      <c r="F13" s="56" t="s">
        <v>82</v>
      </c>
      <c r="G13" s="883"/>
      <c r="H13" s="883"/>
      <c r="I13" s="883"/>
      <c r="J13" s="883">
        <v>2134.78295</v>
      </c>
      <c r="K13" s="883">
        <v>127</v>
      </c>
      <c r="L13" s="93">
        <f t="shared" ref="L13:L18" si="1">+J13*K13</f>
        <v>271117.43465</v>
      </c>
      <c r="M13" s="893"/>
      <c r="N13" s="893"/>
      <c r="O13" s="893"/>
      <c r="P13" s="894">
        <f>+L13*$R$3</f>
        <v>8133.5230395</v>
      </c>
      <c r="Q13" s="883"/>
    </row>
    <row r="14" outlineLevel="2" spans="1:17">
      <c r="A14" s="898" t="s">
        <v>1416</v>
      </c>
      <c r="B14" s="883"/>
      <c r="C14" s="883" t="str">
        <f t="shared" si="0"/>
        <v>分项</v>
      </c>
      <c r="D14" s="884" t="s">
        <v>38</v>
      </c>
      <c r="E14" s="884"/>
      <c r="F14" s="56" t="s">
        <v>82</v>
      </c>
      <c r="G14" s="883"/>
      <c r="H14" s="883"/>
      <c r="I14" s="883"/>
      <c r="J14" s="883">
        <v>1138.70958</v>
      </c>
      <c r="K14" s="883">
        <v>90</v>
      </c>
      <c r="L14" s="93">
        <f t="shared" si="1"/>
        <v>102483.8622</v>
      </c>
      <c r="M14" s="893"/>
      <c r="N14" s="893"/>
      <c r="O14" s="893"/>
      <c r="P14" s="894">
        <f>+L14*$R$3</f>
        <v>3074.515866</v>
      </c>
      <c r="Q14" s="883"/>
    </row>
    <row r="15" outlineLevel="2" spans="1:17">
      <c r="A15" s="898" t="s">
        <v>1417</v>
      </c>
      <c r="B15" s="883"/>
      <c r="C15" s="883" t="str">
        <f t="shared" si="0"/>
        <v>分项</v>
      </c>
      <c r="D15" s="884" t="s">
        <v>41</v>
      </c>
      <c r="E15" s="884"/>
      <c r="F15" s="56" t="s">
        <v>82</v>
      </c>
      <c r="G15" s="883"/>
      <c r="H15" s="883"/>
      <c r="I15" s="883"/>
      <c r="J15" s="883">
        <v>1168.71275</v>
      </c>
      <c r="K15" s="883">
        <v>210</v>
      </c>
      <c r="L15" s="93">
        <f t="shared" si="1"/>
        <v>245429.6775</v>
      </c>
      <c r="M15" s="893"/>
      <c r="N15" s="893"/>
      <c r="O15" s="893"/>
      <c r="P15" s="894">
        <f>+L15*$R$3</f>
        <v>7362.890325</v>
      </c>
      <c r="Q15" s="883"/>
    </row>
    <row r="16" outlineLevel="2" spans="1:17">
      <c r="A16" s="898" t="s">
        <v>1418</v>
      </c>
      <c r="B16" s="883"/>
      <c r="C16" s="883" t="str">
        <f t="shared" si="0"/>
        <v>分项</v>
      </c>
      <c r="D16" s="884" t="s">
        <v>480</v>
      </c>
      <c r="E16" s="884"/>
      <c r="F16" s="56" t="str">
        <f>IFERROR(VLOOKUP($D16,材料[],2,FALSE),"")</f>
        <v>t</v>
      </c>
      <c r="G16" s="883"/>
      <c r="H16" s="883"/>
      <c r="I16" s="883"/>
      <c r="J16" s="883">
        <v>97.59505</v>
      </c>
      <c r="K16" s="883">
        <f>IFERROR(VLOOKUP($D16,材料[],3,FALSE),"")</f>
        <v>4200</v>
      </c>
      <c r="L16" s="93">
        <f t="shared" si="1"/>
        <v>409899.21</v>
      </c>
      <c r="M16" s="893"/>
      <c r="N16" s="893"/>
      <c r="O16" s="893"/>
      <c r="P16" s="894">
        <f>+L16*$R$3</f>
        <v>12296.9763</v>
      </c>
      <c r="Q16" s="883"/>
    </row>
    <row r="17" outlineLevel="2" spans="1:17">
      <c r="A17" s="898" t="s">
        <v>1419</v>
      </c>
      <c r="B17" s="883"/>
      <c r="C17" s="883" t="str">
        <f t="shared" si="0"/>
        <v>分项</v>
      </c>
      <c r="D17" s="884" t="s">
        <v>713</v>
      </c>
      <c r="E17" s="884"/>
      <c r="F17" s="56" t="str">
        <f>IFERROR(VLOOKUP($D17,材料[],2,FALSE),"")</f>
        <v>t</v>
      </c>
      <c r="G17" s="883"/>
      <c r="H17" s="883"/>
      <c r="I17" s="883"/>
      <c r="J17" s="883">
        <v>155.427103</v>
      </c>
      <c r="K17" s="883">
        <f>IFERROR(VLOOKUP($D17,材料[],3,FALSE),"")</f>
        <v>0</v>
      </c>
      <c r="L17" s="93">
        <f t="shared" si="1"/>
        <v>0</v>
      </c>
      <c r="M17" s="893"/>
      <c r="N17" s="893"/>
      <c r="O17" s="893"/>
      <c r="P17" s="894">
        <f>+L17*$R$3</f>
        <v>0</v>
      </c>
      <c r="Q17" s="883"/>
    </row>
    <row r="18" outlineLevel="2" spans="1:17">
      <c r="A18" s="898" t="s">
        <v>1420</v>
      </c>
      <c r="B18" s="883"/>
      <c r="C18" s="883" t="str">
        <f t="shared" si="0"/>
        <v>分项</v>
      </c>
      <c r="D18" s="884" t="s">
        <v>754</v>
      </c>
      <c r="E18" s="884"/>
      <c r="F18" s="56" t="str">
        <f>IFERROR(VLOOKUP($D18,材料[],2,FALSE),"")</f>
        <v>t</v>
      </c>
      <c r="G18" s="883"/>
      <c r="H18" s="883"/>
      <c r="I18" s="883"/>
      <c r="J18" s="883">
        <v>7.83</v>
      </c>
      <c r="K18" s="883">
        <f>IFERROR(VLOOKUP($D18,材料[],3,FALSE),"")</f>
        <v>0</v>
      </c>
      <c r="L18" s="93">
        <f t="shared" si="1"/>
        <v>0</v>
      </c>
      <c r="M18" s="893"/>
      <c r="N18" s="893"/>
      <c r="O18" s="893"/>
      <c r="P18" s="894">
        <f>+L18*$R$3</f>
        <v>0</v>
      </c>
      <c r="Q18" s="883"/>
    </row>
    <row r="484" outlineLevel="1" spans="1:1">
      <c r="A484" s="899" t="str">
        <f>$A$6&amp;TEXT(ROW()-6,"000")</f>
        <v>C01478</v>
      </c>
    </row>
    <row r="492" outlineLevel="1" spans="1:1">
      <c r="A492" s="899" t="str">
        <f>$A$6&amp;TEXT(ROW()-6,"000")</f>
        <v>C01486</v>
      </c>
    </row>
    <row r="498" outlineLevel="1" spans="1:1">
      <c r="A498" s="899" t="str">
        <f>$A$6&amp;TEXT(ROW()-6,"000")</f>
        <v>C01492</v>
      </c>
    </row>
    <row r="558" outlineLevel="1" spans="1:1">
      <c r="A558" s="899" t="str">
        <f>$A$6&amp;TEXT(ROW()-6,"000")</f>
        <v>C01552</v>
      </c>
    </row>
  </sheetData>
  <sheetProtection formatCells="0" insertRows="0" insertHyperlinks="0" deleteRows="0" autoFilter="0"/>
  <autoFilter xmlns:etc="http://www.wps.cn/officeDocument/2017/etCustomData" ref="A4:P18" etc:filterBottomFollowUsedRange="0">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4.25"/>
  <cols>
    <col min="1" max="1" width="13.125" style="755" customWidth="1"/>
    <col min="2" max="2" width="8.75" style="756" customWidth="1"/>
    <col min="3" max="3" width="11.75" style="756" customWidth="1"/>
    <col min="4" max="4" width="22.125" style="757" customWidth="1"/>
    <col min="5" max="5" width="12.75" style="757" customWidth="1"/>
    <col min="6" max="6" width="4.25" style="755" customWidth="1"/>
    <col min="7" max="7" width="9.125" style="756" customWidth="1"/>
    <col min="8" max="8" width="16.75" style="756" customWidth="1"/>
    <col min="9" max="9" width="10.25" style="756" customWidth="1"/>
    <col min="10" max="10" width="17.625" style="756" customWidth="1"/>
    <col min="11" max="11" width="8.25" style="756" customWidth="1"/>
    <col min="12" max="12" width="13.75" style="758" customWidth="1"/>
    <col min="13" max="14" width="8.75" style="759" customWidth="1"/>
    <col min="15" max="15" width="13.375" style="759" customWidth="1"/>
    <col min="16" max="16" width="11.375" style="756" customWidth="1"/>
    <col min="17" max="17" width="13.5" style="756" customWidth="1"/>
    <col min="18" max="18" width="12" style="756"/>
    <col min="19" max="16384" width="8.875" style="756"/>
  </cols>
  <sheetData>
    <row r="1" ht="22.5" spans="1:17">
      <c r="A1" s="624" t="s">
        <v>1421</v>
      </c>
      <c r="B1" s="624"/>
      <c r="C1" s="624"/>
      <c r="D1" s="624"/>
      <c r="E1" s="624"/>
      <c r="F1" s="624"/>
      <c r="G1" s="624"/>
      <c r="H1" s="624"/>
      <c r="I1" s="624"/>
      <c r="J1" s="624"/>
      <c r="K1" s="624"/>
      <c r="L1" s="624"/>
      <c r="M1" s="624"/>
      <c r="N1" s="624"/>
      <c r="O1" s="624"/>
      <c r="P1" s="624"/>
      <c r="Q1" s="624"/>
    </row>
    <row r="2" s="750" customFormat="1" ht="13.5" spans="1:17">
      <c r="A2" s="874" t="str">
        <f>$A$6&amp;TEXT(ROW()-6,"000")</f>
        <v>D01-004</v>
      </c>
      <c r="B2" s="762"/>
      <c r="C2" s="875" t="e">
        <f>IF(F2="","单位","分项")</f>
        <v>#REF!</v>
      </c>
      <c r="D2" s="763"/>
      <c r="E2" s="763"/>
      <c r="F2" s="876" t="e">
        <f>VLOOKUP($D2,#REF!,2,FALSE)</f>
        <v>#REF!</v>
      </c>
      <c r="G2" s="877"/>
      <c r="H2" s="877"/>
      <c r="I2" s="877"/>
      <c r="J2" s="877" t="e">
        <f>VLOOKUP($D2,#REF!,4,FALSE)</f>
        <v>#REF!</v>
      </c>
      <c r="K2" s="877" t="e">
        <f>VLOOKUP($D2,机械[],3,FALSE)</f>
        <v>#N/A</v>
      </c>
      <c r="L2" s="885" t="e">
        <f>+J2*K2</f>
        <v>#REF!</v>
      </c>
      <c r="M2" s="784"/>
      <c r="N2" s="784"/>
      <c r="O2" s="784"/>
      <c r="P2" s="626"/>
      <c r="Q2" s="626" t="s">
        <v>1396</v>
      </c>
    </row>
    <row r="3" s="750" customFormat="1" ht="24" customHeight="1" spans="1:19">
      <c r="A3" s="623" t="str" cm="1">
        <f t="array" ref="A3">"工程名称："&amp;工程名称&amp;"  "&amp;工区</f>
        <v>工程名称：az  2</v>
      </c>
      <c r="B3" s="623"/>
      <c r="C3" s="623"/>
      <c r="D3" s="693"/>
      <c r="E3" s="693"/>
      <c r="F3" s="878" t="e">
        <f>VLOOKUP($D3,#REF!,2,FALSE)</f>
        <v>#REF!</v>
      </c>
      <c r="G3" s="878"/>
      <c r="H3" s="878"/>
      <c r="I3" s="878"/>
      <c r="J3" s="878" t="e">
        <f>VLOOKUP($D3,#REF!,4,FALSE)</f>
        <v>#REF!</v>
      </c>
      <c r="K3" s="878" t="e">
        <f>VLOOKUP($D3,机械[],3,FALSE)</f>
        <v>#N/A</v>
      </c>
      <c r="L3" s="878" t="e">
        <f>+J3*K3</f>
        <v>#REF!</v>
      </c>
      <c r="M3" s="785"/>
      <c r="N3" s="785"/>
      <c r="O3" s="785"/>
      <c r="P3" s="875" t="e">
        <f>+L3*$R$3</f>
        <v>#REF!</v>
      </c>
      <c r="Q3" s="623" t="s">
        <v>1252</v>
      </c>
      <c r="R3" s="895">
        <v>0.03</v>
      </c>
      <c r="S3" s="750" t="s">
        <v>1397</v>
      </c>
    </row>
    <row r="4" s="751" customFormat="1" ht="34.15" customHeight="1" spans="1:17">
      <c r="A4" s="764" t="s">
        <v>1253</v>
      </c>
      <c r="B4" s="765" t="s">
        <v>1290</v>
      </c>
      <c r="C4" s="766" t="s">
        <v>1291</v>
      </c>
      <c r="D4" s="766" t="s">
        <v>1398</v>
      </c>
      <c r="E4" s="766" t="s">
        <v>1293</v>
      </c>
      <c r="F4" s="766" t="s">
        <v>60</v>
      </c>
      <c r="G4" s="766" t="s">
        <v>1399</v>
      </c>
      <c r="H4" s="766" t="s">
        <v>1400</v>
      </c>
      <c r="I4" s="786" t="s">
        <v>1256</v>
      </c>
      <c r="J4" s="766" t="s">
        <v>1401</v>
      </c>
      <c r="K4" s="766" t="s">
        <v>1402</v>
      </c>
      <c r="L4" s="787" t="s">
        <v>1257</v>
      </c>
      <c r="M4" s="788" t="s">
        <v>1403</v>
      </c>
      <c r="N4" s="788" t="s">
        <v>1404</v>
      </c>
      <c r="O4" s="788" t="s">
        <v>1258</v>
      </c>
      <c r="P4" s="766" t="s">
        <v>1260</v>
      </c>
      <c r="Q4" s="803" t="s">
        <v>1261</v>
      </c>
    </row>
    <row r="5" s="750" customFormat="1" ht="24" customHeight="1" spans="1:17">
      <c r="A5" s="767" t="s">
        <v>1303</v>
      </c>
      <c r="B5" s="768"/>
      <c r="C5" s="768"/>
      <c r="D5" s="769"/>
      <c r="E5" s="768"/>
      <c r="F5" s="880"/>
      <c r="G5" s="770"/>
      <c r="H5" s="770"/>
      <c r="I5" s="789"/>
      <c r="J5" s="770"/>
      <c r="K5" s="770"/>
      <c r="L5" s="790"/>
      <c r="M5" s="791"/>
      <c r="N5" s="791"/>
      <c r="O5" s="791"/>
      <c r="P5" s="768"/>
      <c r="Q5" s="896"/>
    </row>
    <row r="6" s="752" customFormat="1" ht="21" customHeight="1" spans="1:17">
      <c r="A6" s="881" t="s">
        <v>1422</v>
      </c>
      <c r="B6" s="882"/>
      <c r="C6" s="882" t="s">
        <v>1305</v>
      </c>
      <c r="D6" s="882" t="s">
        <v>1423</v>
      </c>
      <c r="E6" s="882"/>
      <c r="F6" s="882"/>
      <c r="G6" s="882"/>
      <c r="H6" s="882"/>
      <c r="I6" s="882"/>
      <c r="J6" s="792"/>
      <c r="K6" s="792"/>
      <c r="L6" s="892">
        <f>+L7+L8</f>
        <v>319893.8285</v>
      </c>
      <c r="M6" s="847"/>
      <c r="N6" s="847"/>
      <c r="O6" s="847"/>
      <c r="P6" s="793">
        <f>+L6*$R$3</f>
        <v>9596.814855</v>
      </c>
      <c r="Q6" s="792"/>
    </row>
    <row r="7" outlineLevel="1" spans="1:17">
      <c r="A7" s="897" t="s">
        <v>1424</v>
      </c>
      <c r="B7" s="883"/>
      <c r="C7" s="883" t="str">
        <f t="shared" ref="C7:C10" si="0">IF(F7="","单位","分项")</f>
        <v>单位</v>
      </c>
      <c r="D7" s="884" t="s">
        <v>1307</v>
      </c>
      <c r="E7" s="884"/>
      <c r="F7" s="56"/>
      <c r="G7" s="883"/>
      <c r="H7" s="883"/>
      <c r="I7" s="883"/>
      <c r="J7" s="883"/>
      <c r="K7" s="883"/>
      <c r="L7" s="93"/>
      <c r="M7" s="893"/>
      <c r="N7" s="893"/>
      <c r="O7" s="893"/>
      <c r="P7" s="894">
        <f>+L7*$R$3</f>
        <v>0</v>
      </c>
      <c r="Q7" s="883"/>
    </row>
    <row r="8" outlineLevel="1" spans="1:17">
      <c r="A8" s="897" t="s">
        <v>1425</v>
      </c>
      <c r="B8" s="883"/>
      <c r="C8" s="883" t="str">
        <f t="shared" si="0"/>
        <v>单位</v>
      </c>
      <c r="D8" s="884" t="s">
        <v>1333</v>
      </c>
      <c r="E8" s="884"/>
      <c r="F8" s="56"/>
      <c r="G8" s="883"/>
      <c r="H8" s="883"/>
      <c r="I8" s="883"/>
      <c r="J8" s="883"/>
      <c r="K8" s="883"/>
      <c r="L8" s="93">
        <f>+L9+L10</f>
        <v>319893.8285</v>
      </c>
      <c r="M8" s="893"/>
      <c r="N8" s="893"/>
      <c r="O8" s="893"/>
      <c r="P8" s="894">
        <f>+L8*$R$3</f>
        <v>9596.814855</v>
      </c>
      <c r="Q8" s="883"/>
    </row>
    <row r="9" outlineLevel="2" spans="1:17">
      <c r="A9" s="898" t="s">
        <v>1426</v>
      </c>
      <c r="B9" s="883"/>
      <c r="C9" s="883" t="str">
        <f t="shared" si="0"/>
        <v>分项</v>
      </c>
      <c r="D9" s="884" t="s">
        <v>687</v>
      </c>
      <c r="E9" s="884"/>
      <c r="F9" s="56" t="str">
        <f>IFERROR(VLOOKUP($D9,机械[],2,FALSE),"")</f>
        <v>m3</v>
      </c>
      <c r="G9" s="883"/>
      <c r="H9" s="883"/>
      <c r="I9" s="883"/>
      <c r="J9" s="883">
        <v>1181.51</v>
      </c>
      <c r="K9" s="883">
        <f>IFERROR(VLOOKUP($D9,机械[],3,FALSE),"")</f>
        <v>265.35</v>
      </c>
      <c r="L9" s="93">
        <f>+J9*K9</f>
        <v>313513.6785</v>
      </c>
      <c r="M9" s="893"/>
      <c r="N9" s="893"/>
      <c r="O9" s="893"/>
      <c r="P9" s="894">
        <f>+L9*$R$3</f>
        <v>9405.410355</v>
      </c>
      <c r="Q9" s="883"/>
    </row>
    <row r="10" outlineLevel="2" spans="1:17">
      <c r="A10" s="898" t="s">
        <v>1427</v>
      </c>
      <c r="B10" s="883"/>
      <c r="C10" s="883" t="str">
        <f t="shared" si="0"/>
        <v>分项</v>
      </c>
      <c r="D10" s="884" t="s">
        <v>344</v>
      </c>
      <c r="E10" s="884"/>
      <c r="F10" s="56" t="str">
        <f>IFERROR(VLOOKUP($D10,机械[],2,FALSE),"")</f>
        <v>m3</v>
      </c>
      <c r="G10" s="883"/>
      <c r="H10" s="883"/>
      <c r="I10" s="883"/>
      <c r="J10" s="883">
        <v>1276.03</v>
      </c>
      <c r="K10" s="883">
        <f>IFERROR(VLOOKUP($D10,机械[],3,FALSE),"")</f>
        <v>5</v>
      </c>
      <c r="L10" s="93">
        <f>+J10*K10</f>
        <v>6380.15</v>
      </c>
      <c r="M10" s="893"/>
      <c r="N10" s="893"/>
      <c r="O10" s="893"/>
      <c r="P10" s="894">
        <f>+L10*$R$3</f>
        <v>191.4045</v>
      </c>
      <c r="Q10" s="883"/>
    </row>
    <row r="605" outlineLevel="1" spans="1:1">
      <c r="A605" s="899" t="str">
        <f>$A$6&amp;TEXT(ROW()-6,"000")</f>
        <v>D01599</v>
      </c>
    </row>
  </sheetData>
  <sheetProtection formatCells="0" insertRows="0" insertHyperlinks="0" deleteRows="0" autoFilter="0"/>
  <autoFilter xmlns:etc="http://www.wps.cn/officeDocument/2017/etCustomData" ref="A4:Q10" etc:filterBottomFollowUsedRange="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4.25"/>
  <cols>
    <col min="1" max="1" width="13" style="755" customWidth="1"/>
    <col min="2" max="2" width="8.75" style="756" customWidth="1"/>
    <col min="3" max="3" width="11.75" style="756" customWidth="1"/>
    <col min="4" max="4" width="22.125" style="757" customWidth="1"/>
    <col min="5" max="5" width="12.75" style="757" customWidth="1"/>
    <col min="6" max="6" width="4.25" style="755" customWidth="1"/>
    <col min="7" max="7" width="9.125" style="756" customWidth="1"/>
    <col min="8" max="8" width="16.75" style="756" customWidth="1"/>
    <col min="9" max="9" width="10.25" style="756" customWidth="1"/>
    <col min="10" max="10" width="17.625" style="756" customWidth="1"/>
    <col min="11" max="11" width="10.75" style="756" customWidth="1"/>
    <col min="12" max="12" width="13.75" style="758" customWidth="1"/>
    <col min="13" max="14" width="8.75" style="759" customWidth="1"/>
    <col min="15" max="15" width="13.375" style="759" customWidth="1"/>
    <col min="16" max="16" width="11.375" style="756" customWidth="1"/>
    <col min="17" max="17" width="13.5" style="756" customWidth="1"/>
    <col min="18" max="18" width="12" style="756"/>
    <col min="19" max="16384" width="8.875" style="756"/>
  </cols>
  <sheetData>
    <row r="1" ht="22.5" spans="1:17">
      <c r="A1" s="624" t="s">
        <v>1428</v>
      </c>
      <c r="B1" s="624"/>
      <c r="C1" s="624"/>
      <c r="D1" s="624"/>
      <c r="E1" s="624"/>
      <c r="F1" s="624"/>
      <c r="G1" s="624"/>
      <c r="H1" s="624"/>
      <c r="I1" s="624"/>
      <c r="J1" s="624"/>
      <c r="K1" s="624"/>
      <c r="L1" s="624"/>
      <c r="M1" s="624"/>
      <c r="N1" s="624"/>
      <c r="O1" s="624"/>
      <c r="P1" s="624"/>
      <c r="Q1" s="624"/>
    </row>
    <row r="2" s="750" customFormat="1" ht="13.5" spans="1:17">
      <c r="A2" s="874" t="str">
        <f>$A$6&amp;TEXT(ROW()-6,"000")</f>
        <v>E01-004</v>
      </c>
      <c r="B2" s="762"/>
      <c r="C2" s="875" t="e">
        <f>IF(F2="","单位","分项")</f>
        <v>#REF!</v>
      </c>
      <c r="D2" s="763"/>
      <c r="E2" s="763"/>
      <c r="F2" s="876" t="e">
        <f>VLOOKUP($D2,#REF!,2,FALSE)</f>
        <v>#REF!</v>
      </c>
      <c r="G2" s="877"/>
      <c r="H2" s="877"/>
      <c r="I2" s="877"/>
      <c r="J2" s="877" t="e">
        <f>VLOOKUP($D2,#REF!,4,FALSE)</f>
        <v>#REF!</v>
      </c>
      <c r="K2" s="877" t="e">
        <f>VLOOKUP($D2,分包[],3,FALSE)</f>
        <v>#N/A</v>
      </c>
      <c r="L2" s="885" t="e">
        <f t="shared" ref="L2:L7" si="0">+J2*K2</f>
        <v>#REF!</v>
      </c>
      <c r="M2" s="784"/>
      <c r="N2" s="784"/>
      <c r="O2" s="784"/>
      <c r="P2" s="626"/>
      <c r="Q2" s="626" t="s">
        <v>1396</v>
      </c>
    </row>
    <row r="3" s="750" customFormat="1" ht="24" customHeight="1" spans="1:19">
      <c r="A3" s="623" t="str" cm="1">
        <f t="array" ref="A3">"工程名称："&amp;工程名称&amp;"  "&amp;工区</f>
        <v>工程名称：az  2</v>
      </c>
      <c r="B3" s="623"/>
      <c r="C3" s="623"/>
      <c r="D3" s="693"/>
      <c r="E3" s="693"/>
      <c r="F3" s="878" t="e">
        <f>VLOOKUP($D3,#REF!,2,FALSE)</f>
        <v>#REF!</v>
      </c>
      <c r="G3" s="878"/>
      <c r="H3" s="878"/>
      <c r="I3" s="878"/>
      <c r="J3" s="878" t="e">
        <f>VLOOKUP($D3,#REF!,4,FALSE)</f>
        <v>#REF!</v>
      </c>
      <c r="K3" s="878" t="e">
        <f>VLOOKUP($D3,分包[],3,FALSE)</f>
        <v>#N/A</v>
      </c>
      <c r="L3" s="878" t="e">
        <f t="shared" si="0"/>
        <v>#REF!</v>
      </c>
      <c r="M3" s="785"/>
      <c r="N3" s="785"/>
      <c r="O3" s="785"/>
      <c r="P3" s="875" t="e">
        <f>+L3*$R$3</f>
        <v>#REF!</v>
      </c>
      <c r="Q3" s="623" t="s">
        <v>1252</v>
      </c>
      <c r="R3" s="895">
        <v>0.03</v>
      </c>
      <c r="S3" s="750" t="s">
        <v>1397</v>
      </c>
    </row>
    <row r="4" s="751" customFormat="1" ht="34.15" customHeight="1" spans="1:17">
      <c r="A4" s="879" t="s">
        <v>1253</v>
      </c>
      <c r="B4" s="879" t="s">
        <v>1290</v>
      </c>
      <c r="C4" s="879" t="s">
        <v>1291</v>
      </c>
      <c r="D4" s="879" t="s">
        <v>1398</v>
      </c>
      <c r="E4" s="879" t="s">
        <v>1293</v>
      </c>
      <c r="F4" s="879" t="s">
        <v>60</v>
      </c>
      <c r="G4" s="879" t="s">
        <v>1399</v>
      </c>
      <c r="H4" s="879" t="s">
        <v>1400</v>
      </c>
      <c r="I4" s="886" t="s">
        <v>1256</v>
      </c>
      <c r="J4" s="887" t="s">
        <v>1401</v>
      </c>
      <c r="K4" s="888" t="s">
        <v>1402</v>
      </c>
      <c r="L4" s="889" t="s">
        <v>1257</v>
      </c>
      <c r="M4" s="888" t="s">
        <v>1403</v>
      </c>
      <c r="N4" s="888" t="s">
        <v>1404</v>
      </c>
      <c r="O4" s="888" t="s">
        <v>1258</v>
      </c>
      <c r="P4" s="879" t="s">
        <v>1260</v>
      </c>
      <c r="Q4" s="879" t="s">
        <v>1261</v>
      </c>
    </row>
    <row r="5" s="750" customFormat="1" ht="24" customHeight="1" spans="1:17">
      <c r="A5" s="767" t="s">
        <v>1303</v>
      </c>
      <c r="B5" s="768"/>
      <c r="C5" s="768"/>
      <c r="D5" s="769"/>
      <c r="E5" s="768"/>
      <c r="F5" s="880"/>
      <c r="G5" s="770"/>
      <c r="H5" s="770"/>
      <c r="I5" s="789"/>
      <c r="J5" s="770"/>
      <c r="K5" s="770"/>
      <c r="L5" s="790"/>
      <c r="M5" s="791"/>
      <c r="N5" s="791"/>
      <c r="O5" s="791"/>
      <c r="P5" s="768"/>
      <c r="Q5" s="896"/>
    </row>
    <row r="6" spans="1:17">
      <c r="A6" s="881" t="s">
        <v>1429</v>
      </c>
      <c r="B6" s="882"/>
      <c r="C6" s="882" t="s">
        <v>1305</v>
      </c>
      <c r="D6" s="882" t="s">
        <v>1430</v>
      </c>
      <c r="E6" s="882"/>
      <c r="F6" s="882"/>
      <c r="G6" s="882"/>
      <c r="H6" s="882"/>
      <c r="I6" s="882"/>
      <c r="J6" s="890"/>
      <c r="K6" s="891"/>
      <c r="L6" s="892">
        <f>SUM(L7:L1991)</f>
        <v>2795</v>
      </c>
      <c r="M6" s="847"/>
      <c r="N6" s="847"/>
      <c r="O6" s="847"/>
      <c r="P6" s="793">
        <f>+L6*$R$3</f>
        <v>83.85</v>
      </c>
      <c r="Q6" s="792"/>
    </row>
    <row r="7" spans="1:17">
      <c r="A7" s="56"/>
      <c r="B7" s="883"/>
      <c r="C7" s="883"/>
      <c r="D7" s="884" t="s">
        <v>651</v>
      </c>
      <c r="E7" s="884"/>
      <c r="F7" s="56" t="str">
        <f>IFERROR(VLOOKUP($D7,#REF!,2,FALSE),"")</f>
        <v/>
      </c>
      <c r="G7" s="883"/>
      <c r="H7" s="883"/>
      <c r="I7" s="883"/>
      <c r="J7" s="883">
        <v>43</v>
      </c>
      <c r="K7" s="883">
        <f>VLOOKUP($D7,分包[],3,FALSE)</f>
        <v>65</v>
      </c>
      <c r="L7" s="93">
        <f t="shared" si="0"/>
        <v>2795</v>
      </c>
      <c r="M7" s="893"/>
      <c r="N7" s="893"/>
      <c r="O7" s="893"/>
      <c r="P7" s="894">
        <f>+L7*$R$3</f>
        <v>83.85</v>
      </c>
      <c r="Q7" s="883"/>
    </row>
    <row r="589" spans="1:1">
      <c r="A589" s="755" t="str">
        <f>$A$6&amp;TEXT(ROW()-6,"000")</f>
        <v>E01583</v>
      </c>
    </row>
    <row r="597" spans="1:1">
      <c r="A597" s="755" t="str">
        <f>$A$6&amp;TEXT(ROW()-6,"000")</f>
        <v>E01591</v>
      </c>
    </row>
    <row r="605" spans="1:1">
      <c r="A605" s="755" t="str">
        <f>$A$6&amp;TEXT(ROW()-6,"000")</f>
        <v>E01599</v>
      </c>
    </row>
  </sheetData>
  <sheetProtection formatCells="0" insertRows="0" insertHyperlinks="0" deleteRows="0" autoFilter="0"/>
  <autoFilter xmlns:etc="http://www.wps.cn/officeDocument/2017/etCustomData" ref="A4:Q7" etc:filterBottomFollowUsedRange="0">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4.25"/>
  <cols>
    <col min="1" max="1" width="9.625" style="755" customWidth="1"/>
    <col min="2" max="2" width="8.75" style="756" customWidth="1"/>
    <col min="3" max="3" width="11.75" style="756" customWidth="1"/>
    <col min="4" max="4" width="22.125" style="757" customWidth="1"/>
    <col min="5" max="5" width="12.75" style="757" customWidth="1"/>
    <col min="6" max="6" width="4.25" style="755" customWidth="1"/>
    <col min="7" max="7" width="7.25" style="756" customWidth="1"/>
    <col min="8" max="8" width="7.75" style="756" customWidth="1"/>
    <col min="9" max="9" width="10.25" style="756" customWidth="1"/>
    <col min="10" max="10" width="6.375" style="756" customWidth="1"/>
    <col min="11" max="11" width="8.25" style="756" customWidth="1"/>
    <col min="12" max="12" width="13.75" style="758" customWidth="1"/>
    <col min="13" max="14" width="8.75" style="759" customWidth="1"/>
    <col min="15" max="15" width="13.375" style="759" customWidth="1"/>
    <col min="16" max="16" width="11.375" style="756" customWidth="1"/>
    <col min="17" max="17" width="13.5" style="757" customWidth="1"/>
    <col min="18" max="18" width="12" style="756"/>
    <col min="19" max="16384" width="8.875" style="756"/>
  </cols>
  <sheetData>
    <row r="1" ht="22.5" spans="1:17">
      <c r="A1" s="760" t="s">
        <v>1431</v>
      </c>
      <c r="B1" s="699"/>
      <c r="C1" s="699"/>
      <c r="D1" s="761"/>
      <c r="E1" s="761"/>
      <c r="F1" s="699"/>
      <c r="G1" s="699"/>
      <c r="H1" s="699"/>
      <c r="I1" s="699"/>
      <c r="J1" s="699"/>
      <c r="K1" s="699"/>
      <c r="L1" s="782"/>
      <c r="M1" s="783"/>
      <c r="N1" s="783"/>
      <c r="O1" s="783"/>
      <c r="P1" s="699"/>
      <c r="Q1" s="761"/>
    </row>
    <row r="2" s="750" customFormat="1" ht="13.5" spans="1:17">
      <c r="A2" s="623"/>
      <c r="B2" s="762"/>
      <c r="C2" s="762"/>
      <c r="D2" s="763"/>
      <c r="E2" s="763"/>
      <c r="F2" s="75"/>
      <c r="G2" s="762"/>
      <c r="H2" s="762"/>
      <c r="I2" s="762"/>
      <c r="J2" s="762"/>
      <c r="K2" s="762"/>
      <c r="L2" s="76"/>
      <c r="M2" s="784"/>
      <c r="N2" s="784"/>
      <c r="O2" s="784"/>
      <c r="P2" s="626"/>
      <c r="Q2" s="802" t="s">
        <v>1396</v>
      </c>
    </row>
    <row r="3" s="750" customFormat="1" ht="24" customHeight="1" spans="1:17">
      <c r="A3" s="623" t="str">
        <f>+'工程项目成本预算表(01表)'!A3</f>
        <v>工程名称：az  2</v>
      </c>
      <c r="B3" s="623"/>
      <c r="C3" s="623"/>
      <c r="D3" s="693"/>
      <c r="E3" s="693"/>
      <c r="F3" s="75"/>
      <c r="G3" s="623"/>
      <c r="H3" s="623"/>
      <c r="I3" s="623"/>
      <c r="J3" s="623"/>
      <c r="K3" s="623"/>
      <c r="L3" s="76"/>
      <c r="M3" s="785"/>
      <c r="N3" s="785"/>
      <c r="O3" s="785"/>
      <c r="P3" s="626"/>
      <c r="Q3" s="693" t="s">
        <v>1252</v>
      </c>
    </row>
    <row r="4" s="751" customFormat="1" ht="34.15" customHeight="1" spans="1:17">
      <c r="A4" s="764" t="s">
        <v>1253</v>
      </c>
      <c r="B4" s="765" t="s">
        <v>1290</v>
      </c>
      <c r="C4" s="766" t="s">
        <v>1291</v>
      </c>
      <c r="D4" s="766" t="s">
        <v>1398</v>
      </c>
      <c r="E4" s="766" t="s">
        <v>1293</v>
      </c>
      <c r="F4" s="766" t="s">
        <v>60</v>
      </c>
      <c r="G4" s="766" t="s">
        <v>1399</v>
      </c>
      <c r="H4" s="766" t="s">
        <v>1400</v>
      </c>
      <c r="I4" s="786" t="s">
        <v>1256</v>
      </c>
      <c r="J4" s="766" t="s">
        <v>1401</v>
      </c>
      <c r="K4" s="766" t="s">
        <v>1402</v>
      </c>
      <c r="L4" s="787" t="s">
        <v>1257</v>
      </c>
      <c r="M4" s="788" t="s">
        <v>1403</v>
      </c>
      <c r="N4" s="788" t="s">
        <v>1404</v>
      </c>
      <c r="O4" s="788" t="s">
        <v>1258</v>
      </c>
      <c r="P4" s="766" t="s">
        <v>1260</v>
      </c>
      <c r="Q4" s="803" t="s">
        <v>1261</v>
      </c>
    </row>
    <row r="5" s="750" customFormat="1" ht="24" customHeight="1" spans="1:17">
      <c r="A5" s="767" t="s">
        <v>1303</v>
      </c>
      <c r="B5" s="768"/>
      <c r="C5" s="768"/>
      <c r="D5" s="769"/>
      <c r="E5" s="768"/>
      <c r="F5" s="768"/>
      <c r="G5" s="770"/>
      <c r="H5" s="770"/>
      <c r="I5" s="789"/>
      <c r="J5" s="770"/>
      <c r="K5" s="770"/>
      <c r="L5" s="790"/>
      <c r="M5" s="791"/>
      <c r="N5" s="791"/>
      <c r="O5" s="791"/>
      <c r="P5" s="768"/>
      <c r="Q5" s="804"/>
    </row>
    <row r="6" s="752" customFormat="1" ht="21" customHeight="1" spans="1:18">
      <c r="A6" s="771" t="s">
        <v>1432</v>
      </c>
      <c r="B6" s="772"/>
      <c r="C6" s="773" t="s">
        <v>60</v>
      </c>
      <c r="D6" s="773" t="s">
        <v>1433</v>
      </c>
      <c r="E6" s="773"/>
      <c r="F6" s="773"/>
      <c r="G6" s="773"/>
      <c r="H6" s="773"/>
      <c r="I6" s="773"/>
      <c r="J6" s="792"/>
      <c r="K6" s="792"/>
      <c r="L6" s="793" cm="1">
        <f t="array" ref="L6">SUMPRODUCT((LEFT($A7:$A$96,LEN($A6))=$A6)*1,(LEN($A7:$A$96)=LEN($A6)+3)*1,L7:L$96)</f>
        <v>365504.2726775</v>
      </c>
      <c r="M6" s="794"/>
      <c r="N6" s="795"/>
      <c r="O6" s="796">
        <f>SUMPRODUCT((LEFT($A7:$A$96,LEN($A6))=$A6)*1,(LEN($A7:$A$96)=LEN($A6)+3)*1,O7:O$96)</f>
        <v>0</v>
      </c>
      <c r="P6" s="797">
        <f>SUMPRODUCT((LEFT($A7:$A$96,LEN($A6))=$A6)*1,(LEN($A7:$A$96)=LEN($A6)+3)*1,P7:P$96)</f>
        <v>32895.384540975</v>
      </c>
      <c r="Q6" s="805"/>
      <c r="R6" s="752" t="e">
        <f>+'分项对比表(02表)'!#REF!/1.09*0.015</f>
        <v>#REF!</v>
      </c>
    </row>
    <row r="7" s="753" customFormat="1" ht="22.5" outlineLevel="1" spans="1:17">
      <c r="A7" s="774" t="s">
        <v>1434</v>
      </c>
      <c r="B7" s="775"/>
      <c r="C7" s="776" t="s">
        <v>1309</v>
      </c>
      <c r="D7" s="777" t="s">
        <v>1435</v>
      </c>
      <c r="E7" s="777" t="s">
        <v>1436</v>
      </c>
      <c r="F7" s="778"/>
      <c r="G7" s="776"/>
      <c r="H7" s="776"/>
      <c r="I7" s="776"/>
      <c r="J7" s="776"/>
      <c r="K7" s="776"/>
      <c r="L7" s="798">
        <v>0</v>
      </c>
      <c r="M7" s="799"/>
      <c r="N7" s="800"/>
      <c r="O7" s="799"/>
      <c r="P7" s="801">
        <f t="shared" ref="P7:P70" si="0">+L7*0.09</f>
        <v>0</v>
      </c>
      <c r="Q7" s="806"/>
    </row>
    <row r="8" s="750" customFormat="1" ht="22.5" outlineLevel="1" spans="1:17">
      <c r="A8" s="774" t="s">
        <v>1437</v>
      </c>
      <c r="B8" s="775"/>
      <c r="C8" s="776" t="s">
        <v>1309</v>
      </c>
      <c r="D8" s="777" t="s">
        <v>1438</v>
      </c>
      <c r="E8" s="777" t="s">
        <v>1436</v>
      </c>
      <c r="F8" s="779"/>
      <c r="G8" s="780"/>
      <c r="H8" s="780"/>
      <c r="I8" s="780"/>
      <c r="J8" s="780"/>
      <c r="K8" s="780"/>
      <c r="L8" s="798">
        <v>0</v>
      </c>
      <c r="M8" s="799"/>
      <c r="N8" s="800"/>
      <c r="O8" s="799"/>
      <c r="P8" s="801">
        <f t="shared" si="0"/>
        <v>0</v>
      </c>
      <c r="Q8" s="807"/>
    </row>
    <row r="9" s="750" customFormat="1" ht="22.5" outlineLevel="1" spans="1:17">
      <c r="A9" s="774" t="s">
        <v>1439</v>
      </c>
      <c r="B9" s="775"/>
      <c r="C9" s="776" t="s">
        <v>1309</v>
      </c>
      <c r="D9" s="777" t="s">
        <v>1440</v>
      </c>
      <c r="E9" s="777" t="s">
        <v>1436</v>
      </c>
      <c r="F9" s="779"/>
      <c r="G9" s="780"/>
      <c r="H9" s="780"/>
      <c r="I9" s="780"/>
      <c r="J9" s="780"/>
      <c r="K9" s="780"/>
      <c r="L9" s="798">
        <v>0</v>
      </c>
      <c r="M9" s="799"/>
      <c r="N9" s="800"/>
      <c r="O9" s="799"/>
      <c r="P9" s="801">
        <f t="shared" si="0"/>
        <v>0</v>
      </c>
      <c r="Q9" s="807"/>
    </row>
    <row r="10" s="750" customFormat="1" ht="22.5" outlineLevel="1" spans="1:17">
      <c r="A10" s="774" t="s">
        <v>1441</v>
      </c>
      <c r="B10" s="775"/>
      <c r="C10" s="776" t="s">
        <v>1309</v>
      </c>
      <c r="D10" s="777" t="s">
        <v>1442</v>
      </c>
      <c r="E10" s="777" t="s">
        <v>1436</v>
      </c>
      <c r="F10" s="779"/>
      <c r="G10" s="780"/>
      <c r="H10" s="780"/>
      <c r="I10" s="780"/>
      <c r="J10" s="780"/>
      <c r="K10" s="780"/>
      <c r="L10" s="798">
        <v>0</v>
      </c>
      <c r="M10" s="799"/>
      <c r="N10" s="800"/>
      <c r="O10" s="799"/>
      <c r="P10" s="801">
        <f t="shared" si="0"/>
        <v>0</v>
      </c>
      <c r="Q10" s="807"/>
    </row>
    <row r="11" s="750" customFormat="1" ht="22.5" outlineLevel="1" spans="1:17">
      <c r="A11" s="774" t="s">
        <v>1443</v>
      </c>
      <c r="B11" s="775"/>
      <c r="C11" s="776" t="s">
        <v>1309</v>
      </c>
      <c r="D11" s="777" t="s">
        <v>1444</v>
      </c>
      <c r="E11" s="777" t="s">
        <v>1445</v>
      </c>
      <c r="F11" s="779"/>
      <c r="G11" s="780"/>
      <c r="H11" s="780"/>
      <c r="I11" s="780"/>
      <c r="J11" s="780"/>
      <c r="K11" s="780"/>
      <c r="L11" s="798">
        <v>0</v>
      </c>
      <c r="M11" s="799"/>
      <c r="N11" s="800"/>
      <c r="O11" s="799"/>
      <c r="P11" s="801">
        <f t="shared" si="0"/>
        <v>0</v>
      </c>
      <c r="Q11" s="807"/>
    </row>
    <row r="12" s="750" customFormat="1" ht="78.75" outlineLevel="1" spans="1:17">
      <c r="A12" s="774" t="s">
        <v>1446</v>
      </c>
      <c r="B12" s="775"/>
      <c r="C12" s="776" t="s">
        <v>1309</v>
      </c>
      <c r="D12" s="777" t="s">
        <v>1447</v>
      </c>
      <c r="E12" s="777" t="s">
        <v>1445</v>
      </c>
      <c r="F12" s="779"/>
      <c r="G12" s="780"/>
      <c r="H12" s="780"/>
      <c r="I12" s="780"/>
      <c r="J12" s="780"/>
      <c r="K12" s="780"/>
      <c r="L12" s="798">
        <v>50000</v>
      </c>
      <c r="M12" s="799"/>
      <c r="N12" s="800"/>
      <c r="O12" s="799"/>
      <c r="P12" s="801">
        <f t="shared" si="0"/>
        <v>4500</v>
      </c>
      <c r="Q12" s="807"/>
    </row>
    <row r="13" s="750" customFormat="1" ht="33.75" outlineLevel="1" spans="1:17">
      <c r="A13" s="774" t="s">
        <v>1448</v>
      </c>
      <c r="B13" s="775"/>
      <c r="C13" s="776" t="s">
        <v>1309</v>
      </c>
      <c r="D13" s="777" t="s">
        <v>1449</v>
      </c>
      <c r="E13" s="777" t="s">
        <v>1450</v>
      </c>
      <c r="F13" s="779"/>
      <c r="G13" s="780"/>
      <c r="H13" s="780"/>
      <c r="I13" s="780"/>
      <c r="J13" s="780"/>
      <c r="K13" s="780"/>
      <c r="L13" s="798">
        <v>0</v>
      </c>
      <c r="M13" s="799"/>
      <c r="N13" s="800"/>
      <c r="O13" s="799"/>
      <c r="P13" s="801">
        <f t="shared" si="0"/>
        <v>0</v>
      </c>
      <c r="Q13" s="807"/>
    </row>
    <row r="14" s="750" customFormat="1" ht="22.5" outlineLevel="1" spans="1:17">
      <c r="A14" s="774" t="s">
        <v>1451</v>
      </c>
      <c r="B14" s="775"/>
      <c r="C14" s="776" t="s">
        <v>1309</v>
      </c>
      <c r="D14" s="777" t="s">
        <v>1452</v>
      </c>
      <c r="E14" s="777" t="s">
        <v>1453</v>
      </c>
      <c r="F14" s="779"/>
      <c r="G14" s="780"/>
      <c r="H14" s="780"/>
      <c r="I14" s="780"/>
      <c r="J14" s="780"/>
      <c r="K14" s="780"/>
      <c r="L14" s="798">
        <v>10000</v>
      </c>
      <c r="M14" s="799"/>
      <c r="N14" s="800"/>
      <c r="O14" s="799"/>
      <c r="P14" s="801">
        <f t="shared" si="0"/>
        <v>900</v>
      </c>
      <c r="Q14" s="807"/>
    </row>
    <row r="15" s="750" customFormat="1" ht="22.5" outlineLevel="1" spans="1:17">
      <c r="A15" s="774" t="s">
        <v>1454</v>
      </c>
      <c r="B15" s="775"/>
      <c r="C15" s="776" t="s">
        <v>1309</v>
      </c>
      <c r="D15" s="777" t="s">
        <v>1455</v>
      </c>
      <c r="E15" s="777" t="s">
        <v>1453</v>
      </c>
      <c r="F15" s="779"/>
      <c r="G15" s="780"/>
      <c r="H15" s="780"/>
      <c r="I15" s="780"/>
      <c r="J15" s="780"/>
      <c r="K15" s="780"/>
      <c r="L15" s="798">
        <v>0</v>
      </c>
      <c r="M15" s="799"/>
      <c r="N15" s="800"/>
      <c r="O15" s="799"/>
      <c r="P15" s="801">
        <f t="shared" si="0"/>
        <v>0</v>
      </c>
      <c r="Q15" s="807"/>
    </row>
    <row r="16" s="750" customFormat="1" ht="22.5" outlineLevel="1" spans="1:17">
      <c r="A16" s="774" t="s">
        <v>1456</v>
      </c>
      <c r="B16" s="775"/>
      <c r="C16" s="776" t="s">
        <v>1309</v>
      </c>
      <c r="D16" s="777" t="s">
        <v>1457</v>
      </c>
      <c r="E16" s="777" t="s">
        <v>1453</v>
      </c>
      <c r="F16" s="779"/>
      <c r="G16" s="780"/>
      <c r="H16" s="780"/>
      <c r="I16" s="780"/>
      <c r="J16" s="780"/>
      <c r="K16" s="780"/>
      <c r="L16" s="798">
        <v>0</v>
      </c>
      <c r="M16" s="799"/>
      <c r="N16" s="800"/>
      <c r="O16" s="799"/>
      <c r="P16" s="801">
        <f t="shared" si="0"/>
        <v>0</v>
      </c>
      <c r="Q16" s="807"/>
    </row>
    <row r="17" s="750" customFormat="1" ht="22.5" outlineLevel="1" spans="1:17">
      <c r="A17" s="774" t="s">
        <v>1458</v>
      </c>
      <c r="B17" s="775"/>
      <c r="C17" s="776" t="s">
        <v>1309</v>
      </c>
      <c r="D17" s="777" t="s">
        <v>1459</v>
      </c>
      <c r="E17" s="777" t="s">
        <v>1460</v>
      </c>
      <c r="F17" s="779"/>
      <c r="G17" s="780"/>
      <c r="H17" s="780"/>
      <c r="I17" s="780"/>
      <c r="J17" s="780"/>
      <c r="K17" s="780"/>
      <c r="L17" s="798">
        <v>0</v>
      </c>
      <c r="M17" s="799"/>
      <c r="N17" s="800"/>
      <c r="O17" s="799"/>
      <c r="P17" s="801">
        <f t="shared" si="0"/>
        <v>0</v>
      </c>
      <c r="Q17" s="807"/>
    </row>
    <row r="18" s="750" customFormat="1" ht="22.5" outlineLevel="1" spans="1:17">
      <c r="A18" s="774" t="s">
        <v>1461</v>
      </c>
      <c r="B18" s="775"/>
      <c r="C18" s="776" t="s">
        <v>1309</v>
      </c>
      <c r="D18" s="777" t="s">
        <v>1462</v>
      </c>
      <c r="E18" s="777" t="s">
        <v>1460</v>
      </c>
      <c r="F18" s="779"/>
      <c r="G18" s="780"/>
      <c r="H18" s="780"/>
      <c r="I18" s="780"/>
      <c r="J18" s="780"/>
      <c r="K18" s="780"/>
      <c r="L18" s="798">
        <v>0</v>
      </c>
      <c r="M18" s="799"/>
      <c r="N18" s="800"/>
      <c r="O18" s="799"/>
      <c r="P18" s="801">
        <f t="shared" si="0"/>
        <v>0</v>
      </c>
      <c r="Q18" s="807"/>
    </row>
    <row r="19" s="750" customFormat="1" ht="45" outlineLevel="1" spans="1:17">
      <c r="A19" s="774" t="s">
        <v>1463</v>
      </c>
      <c r="B19" s="775"/>
      <c r="C19" s="776" t="s">
        <v>1309</v>
      </c>
      <c r="D19" s="777" t="s">
        <v>1464</v>
      </c>
      <c r="E19" s="777" t="s">
        <v>1465</v>
      </c>
      <c r="F19" s="779"/>
      <c r="G19" s="780"/>
      <c r="H19" s="780"/>
      <c r="I19" s="780"/>
      <c r="J19" s="780"/>
      <c r="K19" s="780"/>
      <c r="L19" s="798">
        <v>0</v>
      </c>
      <c r="M19" s="799"/>
      <c r="N19" s="800"/>
      <c r="O19" s="799"/>
      <c r="P19" s="801">
        <f t="shared" si="0"/>
        <v>0</v>
      </c>
      <c r="Q19" s="807"/>
    </row>
    <row r="20" s="750" customFormat="1" ht="67.5" outlineLevel="1" spans="1:17">
      <c r="A20" s="774" t="s">
        <v>1466</v>
      </c>
      <c r="B20" s="775"/>
      <c r="C20" s="776" t="s">
        <v>1309</v>
      </c>
      <c r="D20" s="777" t="s">
        <v>1467</v>
      </c>
      <c r="E20" s="777" t="s">
        <v>1468</v>
      </c>
      <c r="F20" s="779"/>
      <c r="G20" s="780"/>
      <c r="H20" s="780"/>
      <c r="I20" s="780"/>
      <c r="J20" s="780"/>
      <c r="K20" s="780"/>
      <c r="L20" s="798">
        <v>0</v>
      </c>
      <c r="M20" s="799"/>
      <c r="N20" s="800"/>
      <c r="O20" s="799"/>
      <c r="P20" s="801">
        <f t="shared" si="0"/>
        <v>0</v>
      </c>
      <c r="Q20" s="807"/>
    </row>
    <row r="21" s="750" customFormat="1" ht="45" outlineLevel="1" spans="1:17">
      <c r="A21" s="774" t="s">
        <v>1469</v>
      </c>
      <c r="B21" s="775"/>
      <c r="C21" s="776" t="s">
        <v>1309</v>
      </c>
      <c r="D21" s="777" t="s">
        <v>1470</v>
      </c>
      <c r="E21" s="777" t="s">
        <v>1471</v>
      </c>
      <c r="F21" s="779"/>
      <c r="G21" s="780"/>
      <c r="H21" s="780"/>
      <c r="I21" s="780"/>
      <c r="J21" s="780"/>
      <c r="K21" s="780"/>
      <c r="L21" s="798">
        <v>0</v>
      </c>
      <c r="M21" s="799"/>
      <c r="N21" s="800"/>
      <c r="O21" s="799"/>
      <c r="P21" s="801">
        <f t="shared" si="0"/>
        <v>0</v>
      </c>
      <c r="Q21" s="807"/>
    </row>
    <row r="22" s="750" customFormat="1" ht="33.75" outlineLevel="1" spans="1:17">
      <c r="A22" s="774" t="s">
        <v>1472</v>
      </c>
      <c r="B22" s="775"/>
      <c r="C22" s="776" t="s">
        <v>1309</v>
      </c>
      <c r="D22" s="777" t="s">
        <v>1473</v>
      </c>
      <c r="E22" s="777" t="s">
        <v>1474</v>
      </c>
      <c r="F22" s="779"/>
      <c r="G22" s="780"/>
      <c r="H22" s="780"/>
      <c r="I22" s="780"/>
      <c r="J22" s="780"/>
      <c r="K22" s="780"/>
      <c r="L22" s="798">
        <v>0</v>
      </c>
      <c r="M22" s="799"/>
      <c r="N22" s="800"/>
      <c r="O22" s="799"/>
      <c r="P22" s="801">
        <f t="shared" si="0"/>
        <v>0</v>
      </c>
      <c r="Q22" s="807"/>
    </row>
    <row r="23" s="750" customFormat="1" ht="33.75" outlineLevel="1" spans="1:17">
      <c r="A23" s="774" t="s">
        <v>1475</v>
      </c>
      <c r="B23" s="775"/>
      <c r="C23" s="776" t="s">
        <v>1309</v>
      </c>
      <c r="D23" s="777" t="s">
        <v>1476</v>
      </c>
      <c r="E23" s="777" t="s">
        <v>1477</v>
      </c>
      <c r="F23" s="779"/>
      <c r="G23" s="780"/>
      <c r="H23" s="780"/>
      <c r="I23" s="780"/>
      <c r="J23" s="780"/>
      <c r="K23" s="780"/>
      <c r="L23" s="798">
        <v>0</v>
      </c>
      <c r="M23" s="799"/>
      <c r="N23" s="800"/>
      <c r="O23" s="799"/>
      <c r="P23" s="801">
        <f t="shared" si="0"/>
        <v>0</v>
      </c>
      <c r="Q23" s="807"/>
    </row>
    <row r="24" s="750" customFormat="1" ht="22.5" outlineLevel="1" spans="1:17">
      <c r="A24" s="774" t="s">
        <v>1478</v>
      </c>
      <c r="B24" s="775"/>
      <c r="C24" s="776" t="s">
        <v>1309</v>
      </c>
      <c r="D24" s="777" t="s">
        <v>1479</v>
      </c>
      <c r="E24" s="777" t="s">
        <v>1480</v>
      </c>
      <c r="F24" s="779"/>
      <c r="G24" s="780"/>
      <c r="H24" s="780"/>
      <c r="I24" s="780"/>
      <c r="J24" s="780"/>
      <c r="K24" s="780"/>
      <c r="L24" s="798">
        <v>0</v>
      </c>
      <c r="M24" s="799"/>
      <c r="N24" s="800"/>
      <c r="O24" s="799"/>
      <c r="P24" s="801">
        <f t="shared" si="0"/>
        <v>0</v>
      </c>
      <c r="Q24" s="807"/>
    </row>
    <row r="25" s="750" customFormat="1" ht="22.5" outlineLevel="1" spans="1:17">
      <c r="A25" s="774" t="s">
        <v>1481</v>
      </c>
      <c r="B25" s="775"/>
      <c r="C25" s="776" t="s">
        <v>1309</v>
      </c>
      <c r="D25" s="777" t="s">
        <v>1482</v>
      </c>
      <c r="E25" s="777" t="s">
        <v>1480</v>
      </c>
      <c r="F25" s="779"/>
      <c r="G25" s="780"/>
      <c r="H25" s="780"/>
      <c r="I25" s="780"/>
      <c r="J25" s="780"/>
      <c r="K25" s="780"/>
      <c r="L25" s="798">
        <v>0</v>
      </c>
      <c r="M25" s="799"/>
      <c r="N25" s="800"/>
      <c r="O25" s="799"/>
      <c r="P25" s="801">
        <f t="shared" si="0"/>
        <v>0</v>
      </c>
      <c r="Q25" s="807"/>
    </row>
    <row r="26" s="750" customFormat="1" ht="56.25" outlineLevel="1" spans="1:17">
      <c r="A26" s="774" t="s">
        <v>1483</v>
      </c>
      <c r="B26" s="775"/>
      <c r="C26" s="776" t="s">
        <v>1309</v>
      </c>
      <c r="D26" s="777" t="s">
        <v>1484</v>
      </c>
      <c r="E26" s="777" t="s">
        <v>1485</v>
      </c>
      <c r="F26" s="779"/>
      <c r="G26" s="780"/>
      <c r="H26" s="780"/>
      <c r="I26" s="780"/>
      <c r="J26" s="780"/>
      <c r="K26" s="780"/>
      <c r="L26" s="798">
        <v>100000</v>
      </c>
      <c r="M26" s="799"/>
      <c r="N26" s="800"/>
      <c r="O26" s="799"/>
      <c r="P26" s="801">
        <f t="shared" si="0"/>
        <v>9000</v>
      </c>
      <c r="Q26" s="807"/>
    </row>
    <row r="27" s="750" customFormat="1" ht="22.5" outlineLevel="1" spans="1:17">
      <c r="A27" s="774" t="s">
        <v>1486</v>
      </c>
      <c r="B27" s="775"/>
      <c r="C27" s="776" t="s">
        <v>1309</v>
      </c>
      <c r="D27" s="777" t="s">
        <v>1487</v>
      </c>
      <c r="E27" s="777" t="s">
        <v>1488</v>
      </c>
      <c r="F27" s="779"/>
      <c r="G27" s="780"/>
      <c r="H27" s="780"/>
      <c r="I27" s="780"/>
      <c r="J27" s="780"/>
      <c r="K27" s="780"/>
      <c r="L27" s="798">
        <v>0</v>
      </c>
      <c r="M27" s="799"/>
      <c r="N27" s="800"/>
      <c r="O27" s="799"/>
      <c r="P27" s="801">
        <f t="shared" si="0"/>
        <v>0</v>
      </c>
      <c r="Q27" s="807"/>
    </row>
    <row r="28" s="750" customFormat="1" ht="33.75" outlineLevel="1" spans="1:17">
      <c r="A28" s="774" t="s">
        <v>1489</v>
      </c>
      <c r="B28" s="775"/>
      <c r="C28" s="776" t="s">
        <v>1309</v>
      </c>
      <c r="D28" s="777" t="s">
        <v>1490</v>
      </c>
      <c r="E28" s="777" t="s">
        <v>1488</v>
      </c>
      <c r="F28" s="779"/>
      <c r="G28" s="780"/>
      <c r="H28" s="780"/>
      <c r="I28" s="780"/>
      <c r="J28" s="780"/>
      <c r="K28" s="780"/>
      <c r="L28" s="798">
        <v>0</v>
      </c>
      <c r="M28" s="799"/>
      <c r="N28" s="800"/>
      <c r="O28" s="799"/>
      <c r="P28" s="801">
        <f t="shared" si="0"/>
        <v>0</v>
      </c>
      <c r="Q28" s="807"/>
    </row>
    <row r="29" s="750" customFormat="1" ht="56.25" outlineLevel="1" spans="1:17">
      <c r="A29" s="774" t="s">
        <v>1491</v>
      </c>
      <c r="B29" s="775"/>
      <c r="C29" s="776" t="s">
        <v>1309</v>
      </c>
      <c r="D29" s="777" t="s">
        <v>1492</v>
      </c>
      <c r="E29" s="777" t="s">
        <v>1493</v>
      </c>
      <c r="F29" s="779"/>
      <c r="G29" s="780"/>
      <c r="H29" s="780"/>
      <c r="I29" s="780"/>
      <c r="J29" s="780"/>
      <c r="K29" s="780"/>
      <c r="L29" s="798">
        <v>0</v>
      </c>
      <c r="M29" s="799"/>
      <c r="N29" s="800"/>
      <c r="O29" s="799"/>
      <c r="P29" s="801">
        <f t="shared" si="0"/>
        <v>0</v>
      </c>
      <c r="Q29" s="807"/>
    </row>
    <row r="30" s="750" customFormat="1" ht="33.75" outlineLevel="1" spans="1:17">
      <c r="A30" s="774" t="s">
        <v>1494</v>
      </c>
      <c r="B30" s="775"/>
      <c r="C30" s="776" t="s">
        <v>1309</v>
      </c>
      <c r="D30" s="777" t="s">
        <v>1495</v>
      </c>
      <c r="E30" s="777" t="s">
        <v>1496</v>
      </c>
      <c r="F30" s="779"/>
      <c r="G30" s="780"/>
      <c r="H30" s="780"/>
      <c r="I30" s="780"/>
      <c r="J30" s="780"/>
      <c r="K30" s="780"/>
      <c r="L30" s="798">
        <v>0</v>
      </c>
      <c r="M30" s="799"/>
      <c r="N30" s="800"/>
      <c r="O30" s="799"/>
      <c r="P30" s="801">
        <f t="shared" si="0"/>
        <v>0</v>
      </c>
      <c r="Q30" s="807"/>
    </row>
    <row r="31" s="750" customFormat="1" ht="22.5" outlineLevel="1" spans="1:17">
      <c r="A31" s="774" t="s">
        <v>1497</v>
      </c>
      <c r="B31" s="775"/>
      <c r="C31" s="776" t="s">
        <v>1309</v>
      </c>
      <c r="D31" s="777" t="s">
        <v>1498</v>
      </c>
      <c r="E31" s="777" t="s">
        <v>1499</v>
      </c>
      <c r="F31" s="779"/>
      <c r="G31" s="780"/>
      <c r="H31" s="780"/>
      <c r="I31" s="780"/>
      <c r="J31" s="780"/>
      <c r="K31" s="780"/>
      <c r="L31" s="798">
        <v>0</v>
      </c>
      <c r="M31" s="799"/>
      <c r="N31" s="800"/>
      <c r="O31" s="799"/>
      <c r="P31" s="801">
        <f t="shared" si="0"/>
        <v>0</v>
      </c>
      <c r="Q31" s="807"/>
    </row>
    <row r="32" s="750" customFormat="1" ht="56.25" outlineLevel="1" spans="1:17">
      <c r="A32" s="774" t="s">
        <v>1500</v>
      </c>
      <c r="B32" s="775"/>
      <c r="C32" s="776" t="s">
        <v>1309</v>
      </c>
      <c r="D32" s="777" t="s">
        <v>1501</v>
      </c>
      <c r="E32" s="777" t="s">
        <v>1502</v>
      </c>
      <c r="F32" s="779"/>
      <c r="G32" s="780"/>
      <c r="H32" s="780"/>
      <c r="I32" s="780"/>
      <c r="J32" s="780"/>
      <c r="K32" s="780"/>
      <c r="L32" s="798">
        <v>0</v>
      </c>
      <c r="M32" s="799"/>
      <c r="N32" s="800"/>
      <c r="O32" s="799"/>
      <c r="P32" s="801">
        <f t="shared" si="0"/>
        <v>0</v>
      </c>
      <c r="Q32" s="807"/>
    </row>
    <row r="33" s="750" customFormat="1" ht="22.5" outlineLevel="1" spans="1:17">
      <c r="A33" s="774" t="s">
        <v>1503</v>
      </c>
      <c r="B33" s="775"/>
      <c r="C33" s="776" t="s">
        <v>1309</v>
      </c>
      <c r="D33" s="777" t="s">
        <v>1504</v>
      </c>
      <c r="E33" s="777" t="s">
        <v>1505</v>
      </c>
      <c r="F33" s="779"/>
      <c r="G33" s="780"/>
      <c r="H33" s="780"/>
      <c r="I33" s="780"/>
      <c r="J33" s="780"/>
      <c r="K33" s="780"/>
      <c r="L33" s="798">
        <v>0</v>
      </c>
      <c r="M33" s="799"/>
      <c r="N33" s="800"/>
      <c r="O33" s="799"/>
      <c r="P33" s="801">
        <f t="shared" si="0"/>
        <v>0</v>
      </c>
      <c r="Q33" s="807"/>
    </row>
    <row r="34" s="750" customFormat="1" ht="45" outlineLevel="1" spans="1:17">
      <c r="A34" s="774" t="s">
        <v>1506</v>
      </c>
      <c r="B34" s="775"/>
      <c r="C34" s="776" t="s">
        <v>1309</v>
      </c>
      <c r="D34" s="777" t="s">
        <v>1507</v>
      </c>
      <c r="E34" s="777" t="s">
        <v>1508</v>
      </c>
      <c r="F34" s="779"/>
      <c r="G34" s="780"/>
      <c r="H34" s="780"/>
      <c r="I34" s="780"/>
      <c r="J34" s="780"/>
      <c r="K34" s="780"/>
      <c r="L34" s="798">
        <v>0</v>
      </c>
      <c r="M34" s="799"/>
      <c r="N34" s="800"/>
      <c r="O34" s="799"/>
      <c r="P34" s="801">
        <f t="shared" si="0"/>
        <v>0</v>
      </c>
      <c r="Q34" s="807"/>
    </row>
    <row r="35" s="750" customFormat="1" ht="22.5" outlineLevel="1" spans="1:17">
      <c r="A35" s="774" t="s">
        <v>1509</v>
      </c>
      <c r="B35" s="775"/>
      <c r="C35" s="776" t="s">
        <v>1309</v>
      </c>
      <c r="D35" s="777" t="s">
        <v>1510</v>
      </c>
      <c r="E35" s="777" t="s">
        <v>1511</v>
      </c>
      <c r="F35" s="779"/>
      <c r="G35" s="780"/>
      <c r="H35" s="780"/>
      <c r="I35" s="780"/>
      <c r="J35" s="780"/>
      <c r="K35" s="780"/>
      <c r="L35" s="798">
        <v>0</v>
      </c>
      <c r="M35" s="799"/>
      <c r="N35" s="800"/>
      <c r="O35" s="799"/>
      <c r="P35" s="801">
        <f t="shared" si="0"/>
        <v>0</v>
      </c>
      <c r="Q35" s="807"/>
    </row>
    <row r="36" s="750" customFormat="1" ht="22.5" outlineLevel="1" spans="1:17">
      <c r="A36" s="774" t="s">
        <v>1512</v>
      </c>
      <c r="B36" s="775"/>
      <c r="C36" s="776" t="s">
        <v>1309</v>
      </c>
      <c r="D36" s="777" t="s">
        <v>1513</v>
      </c>
      <c r="E36" s="777" t="s">
        <v>1511</v>
      </c>
      <c r="F36" s="779"/>
      <c r="G36" s="780"/>
      <c r="H36" s="780"/>
      <c r="I36" s="780"/>
      <c r="J36" s="780"/>
      <c r="K36" s="780"/>
      <c r="L36" s="798">
        <v>0</v>
      </c>
      <c r="M36" s="799"/>
      <c r="N36" s="800"/>
      <c r="O36" s="799"/>
      <c r="P36" s="801">
        <f t="shared" si="0"/>
        <v>0</v>
      </c>
      <c r="Q36" s="807"/>
    </row>
    <row r="37" s="750" customFormat="1" ht="22.5" outlineLevel="1" spans="1:17">
      <c r="A37" s="774" t="s">
        <v>1514</v>
      </c>
      <c r="B37" s="775"/>
      <c r="C37" s="776" t="s">
        <v>1309</v>
      </c>
      <c r="D37" s="777" t="s">
        <v>1515</v>
      </c>
      <c r="E37" s="777" t="s">
        <v>1511</v>
      </c>
      <c r="F37" s="779"/>
      <c r="G37" s="780"/>
      <c r="H37" s="780"/>
      <c r="I37" s="780"/>
      <c r="J37" s="780"/>
      <c r="K37" s="780"/>
      <c r="L37" s="798">
        <v>0</v>
      </c>
      <c r="M37" s="799"/>
      <c r="N37" s="800"/>
      <c r="O37" s="799"/>
      <c r="P37" s="801">
        <f t="shared" si="0"/>
        <v>0</v>
      </c>
      <c r="Q37" s="807"/>
    </row>
    <row r="38" s="750" customFormat="1" ht="22.5" outlineLevel="1" spans="1:17">
      <c r="A38" s="774" t="s">
        <v>1516</v>
      </c>
      <c r="B38" s="775"/>
      <c r="C38" s="776" t="s">
        <v>1309</v>
      </c>
      <c r="D38" s="777" t="s">
        <v>1517</v>
      </c>
      <c r="E38" s="777" t="s">
        <v>1511</v>
      </c>
      <c r="F38" s="779"/>
      <c r="G38" s="780"/>
      <c r="H38" s="780"/>
      <c r="I38" s="780"/>
      <c r="J38" s="780"/>
      <c r="K38" s="780"/>
      <c r="L38" s="798">
        <v>0</v>
      </c>
      <c r="M38" s="799"/>
      <c r="N38" s="800"/>
      <c r="O38" s="799"/>
      <c r="P38" s="801">
        <f t="shared" si="0"/>
        <v>0</v>
      </c>
      <c r="Q38" s="807"/>
    </row>
    <row r="39" s="750" customFormat="1" ht="22.5" outlineLevel="1" spans="1:17">
      <c r="A39" s="774" t="s">
        <v>1518</v>
      </c>
      <c r="B39" s="775"/>
      <c r="C39" s="776" t="s">
        <v>1309</v>
      </c>
      <c r="D39" s="777" t="s">
        <v>1519</v>
      </c>
      <c r="E39" s="777" t="s">
        <v>1511</v>
      </c>
      <c r="F39" s="779"/>
      <c r="G39" s="780"/>
      <c r="H39" s="780"/>
      <c r="I39" s="780"/>
      <c r="J39" s="780"/>
      <c r="K39" s="780"/>
      <c r="L39" s="798">
        <v>0</v>
      </c>
      <c r="M39" s="799"/>
      <c r="N39" s="800"/>
      <c r="O39" s="799"/>
      <c r="P39" s="801">
        <f t="shared" si="0"/>
        <v>0</v>
      </c>
      <c r="Q39" s="807"/>
    </row>
    <row r="40" s="750" customFormat="1" ht="33.75" outlineLevel="1" spans="1:17">
      <c r="A40" s="774" t="s">
        <v>1520</v>
      </c>
      <c r="B40" s="775"/>
      <c r="C40" s="776" t="s">
        <v>1309</v>
      </c>
      <c r="D40" s="777" t="s">
        <v>1521</v>
      </c>
      <c r="E40" s="777" t="s">
        <v>1522</v>
      </c>
      <c r="F40" s="779"/>
      <c r="G40" s="780"/>
      <c r="H40" s="780"/>
      <c r="I40" s="780"/>
      <c r="J40" s="780"/>
      <c r="K40" s="780"/>
      <c r="L40" s="798">
        <v>0</v>
      </c>
      <c r="M40" s="799"/>
      <c r="N40" s="800"/>
      <c r="O40" s="799"/>
      <c r="P40" s="801">
        <f t="shared" si="0"/>
        <v>0</v>
      </c>
      <c r="Q40" s="807"/>
    </row>
    <row r="41" s="750" customFormat="1" ht="22.5" outlineLevel="1" spans="1:17">
      <c r="A41" s="774" t="s">
        <v>1523</v>
      </c>
      <c r="B41" s="775"/>
      <c r="C41" s="776" t="s">
        <v>1309</v>
      </c>
      <c r="D41" s="777" t="s">
        <v>1524</v>
      </c>
      <c r="E41" s="777" t="s">
        <v>1522</v>
      </c>
      <c r="F41" s="779"/>
      <c r="G41" s="780"/>
      <c r="H41" s="780"/>
      <c r="I41" s="780"/>
      <c r="J41" s="780"/>
      <c r="K41" s="780"/>
      <c r="L41" s="798">
        <v>0</v>
      </c>
      <c r="M41" s="799"/>
      <c r="N41" s="800"/>
      <c r="O41" s="799"/>
      <c r="P41" s="801">
        <f t="shared" si="0"/>
        <v>0</v>
      </c>
      <c r="Q41" s="807"/>
    </row>
    <row r="42" s="750" customFormat="1" ht="56.25" outlineLevel="1" spans="1:17">
      <c r="A42" s="774" t="s">
        <v>1525</v>
      </c>
      <c r="B42" s="775"/>
      <c r="C42" s="776" t="s">
        <v>1309</v>
      </c>
      <c r="D42" s="777" t="s">
        <v>1526</v>
      </c>
      <c r="E42" s="777" t="s">
        <v>1527</v>
      </c>
      <c r="F42" s="779"/>
      <c r="G42" s="780"/>
      <c r="H42" s="780"/>
      <c r="I42" s="780"/>
      <c r="J42" s="780"/>
      <c r="K42" s="780"/>
      <c r="L42" s="798">
        <v>0</v>
      </c>
      <c r="M42" s="799"/>
      <c r="N42" s="800"/>
      <c r="O42" s="799"/>
      <c r="P42" s="801">
        <f t="shared" si="0"/>
        <v>0</v>
      </c>
      <c r="Q42" s="807"/>
    </row>
    <row r="43" s="750" customFormat="1" ht="13.5" outlineLevel="1" spans="1:17">
      <c r="A43" s="774" t="s">
        <v>1528</v>
      </c>
      <c r="B43" s="775"/>
      <c r="C43" s="776" t="s">
        <v>1309</v>
      </c>
      <c r="D43" s="777" t="s">
        <v>1529</v>
      </c>
      <c r="E43" s="777" t="s">
        <v>1527</v>
      </c>
      <c r="F43" s="779"/>
      <c r="G43" s="780"/>
      <c r="H43" s="780"/>
      <c r="I43" s="780"/>
      <c r="J43" s="780"/>
      <c r="K43" s="780"/>
      <c r="L43" s="798">
        <v>0</v>
      </c>
      <c r="M43" s="799"/>
      <c r="N43" s="800"/>
      <c r="O43" s="799"/>
      <c r="P43" s="801">
        <f t="shared" si="0"/>
        <v>0</v>
      </c>
      <c r="Q43" s="807"/>
    </row>
    <row r="44" s="750" customFormat="1" ht="22.5" outlineLevel="1" spans="1:17">
      <c r="A44" s="774" t="s">
        <v>1530</v>
      </c>
      <c r="B44" s="775"/>
      <c r="C44" s="776" t="s">
        <v>1309</v>
      </c>
      <c r="D44" s="777" t="s">
        <v>1531</v>
      </c>
      <c r="E44" s="777" t="s">
        <v>1527</v>
      </c>
      <c r="F44" s="779"/>
      <c r="G44" s="780"/>
      <c r="H44" s="780"/>
      <c r="I44" s="780"/>
      <c r="J44" s="780"/>
      <c r="K44" s="780"/>
      <c r="L44" s="798">
        <v>0</v>
      </c>
      <c r="M44" s="799"/>
      <c r="N44" s="800"/>
      <c r="O44" s="799"/>
      <c r="P44" s="801">
        <f t="shared" si="0"/>
        <v>0</v>
      </c>
      <c r="Q44" s="807"/>
    </row>
    <row r="45" s="750" customFormat="1" ht="22.5" outlineLevel="1" spans="1:17">
      <c r="A45" s="774" t="s">
        <v>1532</v>
      </c>
      <c r="B45" s="775"/>
      <c r="C45" s="776" t="s">
        <v>1309</v>
      </c>
      <c r="D45" s="777" t="s">
        <v>1533</v>
      </c>
      <c r="E45" s="777" t="s">
        <v>1527</v>
      </c>
      <c r="F45" s="779"/>
      <c r="G45" s="780"/>
      <c r="H45" s="780"/>
      <c r="I45" s="780"/>
      <c r="J45" s="780"/>
      <c r="K45" s="780"/>
      <c r="L45" s="798">
        <v>0</v>
      </c>
      <c r="M45" s="799"/>
      <c r="N45" s="800"/>
      <c r="O45" s="799"/>
      <c r="P45" s="801">
        <f t="shared" si="0"/>
        <v>0</v>
      </c>
      <c r="Q45" s="807"/>
    </row>
    <row r="46" s="750" customFormat="1" ht="33.75" outlineLevel="1" spans="1:17">
      <c r="A46" s="774" t="s">
        <v>1534</v>
      </c>
      <c r="B46" s="775"/>
      <c r="C46" s="776" t="s">
        <v>1309</v>
      </c>
      <c r="D46" s="777" t="s">
        <v>1535</v>
      </c>
      <c r="E46" s="777" t="s">
        <v>1536</v>
      </c>
      <c r="F46" s="779"/>
      <c r="G46" s="780"/>
      <c r="H46" s="780"/>
      <c r="I46" s="780"/>
      <c r="J46" s="780"/>
      <c r="K46" s="780"/>
      <c r="L46" s="798">
        <v>0</v>
      </c>
      <c r="M46" s="799"/>
      <c r="N46" s="800"/>
      <c r="O46" s="799"/>
      <c r="P46" s="801">
        <f t="shared" si="0"/>
        <v>0</v>
      </c>
      <c r="Q46" s="807"/>
    </row>
    <row r="47" s="750" customFormat="1" ht="56.25" outlineLevel="1" spans="1:17">
      <c r="A47" s="774" t="s">
        <v>1537</v>
      </c>
      <c r="B47" s="775"/>
      <c r="C47" s="776" t="s">
        <v>1309</v>
      </c>
      <c r="D47" s="777" t="s">
        <v>1538</v>
      </c>
      <c r="E47" s="777" t="s">
        <v>1536</v>
      </c>
      <c r="F47" s="779"/>
      <c r="G47" s="780"/>
      <c r="H47" s="780"/>
      <c r="I47" s="780"/>
      <c r="J47" s="780"/>
      <c r="K47" s="780"/>
      <c r="L47" s="798">
        <v>0</v>
      </c>
      <c r="M47" s="799"/>
      <c r="N47" s="800"/>
      <c r="O47" s="799"/>
      <c r="P47" s="801">
        <f t="shared" si="0"/>
        <v>0</v>
      </c>
      <c r="Q47" s="807"/>
    </row>
    <row r="48" s="750" customFormat="1" ht="45" outlineLevel="1" spans="1:17">
      <c r="A48" s="774" t="s">
        <v>1539</v>
      </c>
      <c r="B48" s="775"/>
      <c r="C48" s="776" t="s">
        <v>1309</v>
      </c>
      <c r="D48" s="777" t="s">
        <v>1540</v>
      </c>
      <c r="E48" s="777" t="s">
        <v>1536</v>
      </c>
      <c r="F48" s="779"/>
      <c r="G48" s="780"/>
      <c r="H48" s="780"/>
      <c r="I48" s="780"/>
      <c r="J48" s="780"/>
      <c r="K48" s="780"/>
      <c r="L48" s="798">
        <v>0</v>
      </c>
      <c r="M48" s="799"/>
      <c r="N48" s="800"/>
      <c r="O48" s="799"/>
      <c r="P48" s="801">
        <f t="shared" si="0"/>
        <v>0</v>
      </c>
      <c r="Q48" s="807"/>
    </row>
    <row r="49" s="750" customFormat="1" ht="33.75" outlineLevel="1" spans="1:17">
      <c r="A49" s="774" t="s">
        <v>1541</v>
      </c>
      <c r="B49" s="775"/>
      <c r="C49" s="776" t="s">
        <v>1309</v>
      </c>
      <c r="D49" s="777" t="s">
        <v>1542</v>
      </c>
      <c r="E49" s="777" t="s">
        <v>1536</v>
      </c>
      <c r="F49" s="779"/>
      <c r="G49" s="780"/>
      <c r="H49" s="780"/>
      <c r="I49" s="780"/>
      <c r="J49" s="780"/>
      <c r="K49" s="780"/>
      <c r="L49" s="798">
        <v>0</v>
      </c>
      <c r="M49" s="799"/>
      <c r="N49" s="800"/>
      <c r="O49" s="799"/>
      <c r="P49" s="801">
        <f t="shared" si="0"/>
        <v>0</v>
      </c>
      <c r="Q49" s="807"/>
    </row>
    <row r="50" s="750" customFormat="1" ht="22.5" outlineLevel="1" spans="1:17">
      <c r="A50" s="774" t="s">
        <v>1543</v>
      </c>
      <c r="B50" s="775"/>
      <c r="C50" s="776" t="s">
        <v>1309</v>
      </c>
      <c r="D50" s="777" t="s">
        <v>1544</v>
      </c>
      <c r="E50" s="777" t="s">
        <v>1536</v>
      </c>
      <c r="F50" s="779"/>
      <c r="G50" s="780"/>
      <c r="H50" s="780"/>
      <c r="I50" s="780"/>
      <c r="J50" s="780"/>
      <c r="K50" s="780"/>
      <c r="L50" s="798">
        <v>0</v>
      </c>
      <c r="M50" s="799"/>
      <c r="N50" s="800"/>
      <c r="O50" s="799"/>
      <c r="P50" s="801">
        <f t="shared" si="0"/>
        <v>0</v>
      </c>
      <c r="Q50" s="807"/>
    </row>
    <row r="51" s="750" customFormat="1" ht="56.25" outlineLevel="1" spans="1:17">
      <c r="A51" s="774" t="s">
        <v>1545</v>
      </c>
      <c r="B51" s="775"/>
      <c r="C51" s="776" t="s">
        <v>1309</v>
      </c>
      <c r="D51" s="777" t="s">
        <v>1546</v>
      </c>
      <c r="E51" s="777" t="s">
        <v>1547</v>
      </c>
      <c r="F51" s="779"/>
      <c r="G51" s="780"/>
      <c r="H51" s="780"/>
      <c r="I51" s="780"/>
      <c r="J51" s="780"/>
      <c r="K51" s="780"/>
      <c r="L51" s="798">
        <v>0</v>
      </c>
      <c r="M51" s="799"/>
      <c r="N51" s="800"/>
      <c r="O51" s="799"/>
      <c r="P51" s="801">
        <f t="shared" si="0"/>
        <v>0</v>
      </c>
      <c r="Q51" s="807"/>
    </row>
    <row r="52" s="750" customFormat="1" ht="78.75" outlineLevel="1" spans="1:17">
      <c r="A52" s="774" t="s">
        <v>1548</v>
      </c>
      <c r="B52" s="775"/>
      <c r="C52" s="776" t="s">
        <v>1309</v>
      </c>
      <c r="D52" s="777" t="s">
        <v>1549</v>
      </c>
      <c r="E52" s="777" t="s">
        <v>1550</v>
      </c>
      <c r="F52" s="779"/>
      <c r="G52" s="780"/>
      <c r="H52" s="780"/>
      <c r="I52" s="780"/>
      <c r="J52" s="780"/>
      <c r="K52" s="780"/>
      <c r="L52" s="801">
        <v>20000</v>
      </c>
      <c r="M52" s="799"/>
      <c r="N52" s="800"/>
      <c r="O52" s="799"/>
      <c r="P52" s="801">
        <f t="shared" si="0"/>
        <v>1800</v>
      </c>
      <c r="Q52" s="807"/>
    </row>
    <row r="53" s="750" customFormat="1" ht="33.75" outlineLevel="1" spans="1:17">
      <c r="A53" s="774" t="s">
        <v>1551</v>
      </c>
      <c r="B53" s="775"/>
      <c r="C53" s="776" t="s">
        <v>1309</v>
      </c>
      <c r="D53" s="777" t="s">
        <v>1552</v>
      </c>
      <c r="E53" s="777" t="s">
        <v>1553</v>
      </c>
      <c r="F53" s="779"/>
      <c r="G53" s="780"/>
      <c r="H53" s="780"/>
      <c r="I53" s="780"/>
      <c r="J53" s="780"/>
      <c r="K53" s="780"/>
      <c r="L53" s="801"/>
      <c r="M53" s="799"/>
      <c r="N53" s="800"/>
      <c r="O53" s="799"/>
      <c r="P53" s="801">
        <f t="shared" si="0"/>
        <v>0</v>
      </c>
      <c r="Q53" s="807"/>
    </row>
    <row r="54" s="750" customFormat="1" ht="33.75" outlineLevel="1" spans="1:17">
      <c r="A54" s="774" t="s">
        <v>1554</v>
      </c>
      <c r="B54" s="775"/>
      <c r="C54" s="776" t="s">
        <v>1309</v>
      </c>
      <c r="D54" s="777" t="s">
        <v>1555</v>
      </c>
      <c r="E54" s="777" t="s">
        <v>1556</v>
      </c>
      <c r="F54" s="779"/>
      <c r="G54" s="780"/>
      <c r="H54" s="780"/>
      <c r="I54" s="780"/>
      <c r="J54" s="780"/>
      <c r="K54" s="780"/>
      <c r="L54" s="801">
        <v>0</v>
      </c>
      <c r="M54" s="799"/>
      <c r="N54" s="800"/>
      <c r="O54" s="799"/>
      <c r="P54" s="801">
        <f t="shared" si="0"/>
        <v>0</v>
      </c>
      <c r="Q54" s="807"/>
    </row>
    <row r="55" s="750" customFormat="1" ht="56.25" outlineLevel="1" spans="1:17">
      <c r="A55" s="774" t="s">
        <v>1557</v>
      </c>
      <c r="B55" s="775"/>
      <c r="C55" s="776" t="s">
        <v>1309</v>
      </c>
      <c r="D55" s="777" t="s">
        <v>1558</v>
      </c>
      <c r="E55" s="777" t="s">
        <v>1559</v>
      </c>
      <c r="F55" s="779"/>
      <c r="G55" s="780"/>
      <c r="H55" s="780"/>
      <c r="I55" s="780"/>
      <c r="J55" s="780"/>
      <c r="K55" s="780"/>
      <c r="L55" s="798">
        <v>0</v>
      </c>
      <c r="M55" s="799"/>
      <c r="N55" s="800"/>
      <c r="O55" s="799"/>
      <c r="P55" s="801">
        <f t="shared" si="0"/>
        <v>0</v>
      </c>
      <c r="Q55" s="807"/>
    </row>
    <row r="56" s="750" customFormat="1" ht="45" outlineLevel="1" spans="1:17">
      <c r="A56" s="774" t="s">
        <v>1560</v>
      </c>
      <c r="B56" s="775"/>
      <c r="C56" s="776" t="s">
        <v>1309</v>
      </c>
      <c r="D56" s="777" t="s">
        <v>1561</v>
      </c>
      <c r="E56" s="777" t="s">
        <v>1562</v>
      </c>
      <c r="F56" s="779"/>
      <c r="G56" s="780"/>
      <c r="H56" s="780"/>
      <c r="I56" s="780"/>
      <c r="J56" s="780"/>
      <c r="K56" s="780"/>
      <c r="L56" s="798">
        <v>0</v>
      </c>
      <c r="M56" s="799"/>
      <c r="N56" s="800"/>
      <c r="O56" s="799"/>
      <c r="P56" s="801">
        <f t="shared" si="0"/>
        <v>0</v>
      </c>
      <c r="Q56" s="807"/>
    </row>
    <row r="57" s="750" customFormat="1" ht="22.5" outlineLevel="1" spans="1:17">
      <c r="A57" s="774" t="s">
        <v>1563</v>
      </c>
      <c r="B57" s="775"/>
      <c r="C57" s="776" t="s">
        <v>1309</v>
      </c>
      <c r="D57" s="777" t="s">
        <v>1564</v>
      </c>
      <c r="E57" s="777" t="s">
        <v>1565</v>
      </c>
      <c r="F57" s="779"/>
      <c r="G57" s="780"/>
      <c r="H57" s="780"/>
      <c r="I57" s="780"/>
      <c r="J57" s="780"/>
      <c r="K57" s="780"/>
      <c r="L57" s="798">
        <v>0</v>
      </c>
      <c r="M57" s="799"/>
      <c r="N57" s="800"/>
      <c r="O57" s="799"/>
      <c r="P57" s="801">
        <f t="shared" si="0"/>
        <v>0</v>
      </c>
      <c r="Q57" s="807"/>
    </row>
    <row r="58" s="750" customFormat="1" ht="22.5" outlineLevel="1" spans="1:17">
      <c r="A58" s="774" t="s">
        <v>1566</v>
      </c>
      <c r="B58" s="775"/>
      <c r="C58" s="776" t="s">
        <v>1309</v>
      </c>
      <c r="D58" s="777" t="s">
        <v>1567</v>
      </c>
      <c r="E58" s="777" t="s">
        <v>1568</v>
      </c>
      <c r="F58" s="779"/>
      <c r="G58" s="780"/>
      <c r="H58" s="780"/>
      <c r="I58" s="780"/>
      <c r="J58" s="780"/>
      <c r="K58" s="780"/>
      <c r="L58" s="798">
        <v>0</v>
      </c>
      <c r="M58" s="799"/>
      <c r="N58" s="800"/>
      <c r="O58" s="799"/>
      <c r="P58" s="801">
        <f t="shared" si="0"/>
        <v>0</v>
      </c>
      <c r="Q58" s="807"/>
    </row>
    <row r="59" s="750" customFormat="1" ht="22.5" outlineLevel="1" spans="1:17">
      <c r="A59" s="774" t="s">
        <v>1569</v>
      </c>
      <c r="B59" s="775"/>
      <c r="C59" s="776" t="s">
        <v>1309</v>
      </c>
      <c r="D59" s="777" t="s">
        <v>1570</v>
      </c>
      <c r="E59" s="777" t="s">
        <v>1571</v>
      </c>
      <c r="F59" s="779"/>
      <c r="G59" s="780"/>
      <c r="H59" s="780"/>
      <c r="I59" s="780"/>
      <c r="J59" s="780"/>
      <c r="K59" s="780"/>
      <c r="L59" s="798">
        <v>0</v>
      </c>
      <c r="M59" s="799"/>
      <c r="N59" s="800"/>
      <c r="O59" s="799"/>
      <c r="P59" s="801">
        <f t="shared" si="0"/>
        <v>0</v>
      </c>
      <c r="Q59" s="807"/>
    </row>
    <row r="60" s="750" customFormat="1" ht="22.5" outlineLevel="1" spans="1:17">
      <c r="A60" s="774" t="s">
        <v>1572</v>
      </c>
      <c r="B60" s="775"/>
      <c r="C60" s="776" t="s">
        <v>1309</v>
      </c>
      <c r="D60" s="777" t="s">
        <v>1573</v>
      </c>
      <c r="E60" s="777" t="s">
        <v>1574</v>
      </c>
      <c r="F60" s="779"/>
      <c r="G60" s="780"/>
      <c r="H60" s="780"/>
      <c r="I60" s="780"/>
      <c r="J60" s="780"/>
      <c r="K60" s="780"/>
      <c r="L60" s="798">
        <v>50000</v>
      </c>
      <c r="M60" s="799"/>
      <c r="N60" s="800"/>
      <c r="O60" s="799"/>
      <c r="P60" s="801">
        <f t="shared" si="0"/>
        <v>4500</v>
      </c>
      <c r="Q60" s="807"/>
    </row>
    <row r="61" s="750" customFormat="1" ht="22.5" outlineLevel="1" spans="1:17">
      <c r="A61" s="774" t="s">
        <v>1575</v>
      </c>
      <c r="B61" s="775"/>
      <c r="C61" s="776" t="s">
        <v>1309</v>
      </c>
      <c r="D61" s="777" t="s">
        <v>1576</v>
      </c>
      <c r="E61" s="777" t="s">
        <v>1574</v>
      </c>
      <c r="F61" s="779"/>
      <c r="G61" s="780"/>
      <c r="H61" s="780"/>
      <c r="I61" s="780"/>
      <c r="J61" s="780"/>
      <c r="K61" s="780"/>
      <c r="L61" s="798">
        <v>20000</v>
      </c>
      <c r="M61" s="799"/>
      <c r="N61" s="800"/>
      <c r="O61" s="799"/>
      <c r="P61" s="801">
        <f t="shared" si="0"/>
        <v>1800</v>
      </c>
      <c r="Q61" s="807" t="s">
        <v>1577</v>
      </c>
    </row>
    <row r="62" s="750" customFormat="1" ht="22.5" outlineLevel="1" spans="1:17">
      <c r="A62" s="774" t="s">
        <v>1578</v>
      </c>
      <c r="B62" s="775"/>
      <c r="C62" s="776" t="s">
        <v>1309</v>
      </c>
      <c r="D62" s="777" t="s">
        <v>1579</v>
      </c>
      <c r="E62" s="777" t="s">
        <v>1574</v>
      </c>
      <c r="F62" s="779"/>
      <c r="G62" s="780"/>
      <c r="H62" s="780"/>
      <c r="I62" s="780"/>
      <c r="J62" s="780"/>
      <c r="K62" s="780"/>
      <c r="L62" s="798">
        <v>0</v>
      </c>
      <c r="M62" s="799"/>
      <c r="N62" s="800"/>
      <c r="O62" s="799"/>
      <c r="P62" s="801">
        <f t="shared" si="0"/>
        <v>0</v>
      </c>
      <c r="Q62" s="807" t="s">
        <v>1580</v>
      </c>
    </row>
    <row r="63" s="750" customFormat="1" ht="22.5" outlineLevel="1" spans="1:17">
      <c r="A63" s="774" t="s">
        <v>1581</v>
      </c>
      <c r="B63" s="775"/>
      <c r="C63" s="776" t="s">
        <v>1309</v>
      </c>
      <c r="D63" s="777" t="s">
        <v>1582</v>
      </c>
      <c r="E63" s="777" t="s">
        <v>1574</v>
      </c>
      <c r="F63" s="779"/>
      <c r="G63" s="780"/>
      <c r="H63" s="780"/>
      <c r="I63" s="780"/>
      <c r="J63" s="780"/>
      <c r="K63" s="780"/>
      <c r="L63" s="798">
        <v>0</v>
      </c>
      <c r="M63" s="799"/>
      <c r="N63" s="800"/>
      <c r="O63" s="799"/>
      <c r="P63" s="801">
        <f t="shared" si="0"/>
        <v>0</v>
      </c>
      <c r="Q63" s="807"/>
    </row>
    <row r="64" s="750" customFormat="1" ht="22.5" outlineLevel="1" spans="1:17">
      <c r="A64" s="774" t="s">
        <v>1583</v>
      </c>
      <c r="B64" s="775"/>
      <c r="C64" s="776" t="s">
        <v>1309</v>
      </c>
      <c r="D64" s="781" t="s">
        <v>1584</v>
      </c>
      <c r="E64" s="777" t="s">
        <v>1585</v>
      </c>
      <c r="F64" s="779"/>
      <c r="G64" s="780"/>
      <c r="H64" s="780"/>
      <c r="I64" s="780"/>
      <c r="J64" s="780"/>
      <c r="K64" s="780"/>
      <c r="L64" s="798">
        <f>'人工费预算表(03表) '!L6*0.015</f>
        <v>10705.86525</v>
      </c>
      <c r="M64" s="799"/>
      <c r="N64" s="800"/>
      <c r="O64" s="799"/>
      <c r="P64" s="801">
        <f t="shared" si="0"/>
        <v>963.5278725</v>
      </c>
      <c r="Q64" s="807" t="s">
        <v>1586</v>
      </c>
    </row>
    <row r="65" s="750" customFormat="1" ht="22.5" outlineLevel="1" spans="1:17">
      <c r="A65" s="774" t="s">
        <v>1587</v>
      </c>
      <c r="B65" s="775"/>
      <c r="C65" s="776" t="s">
        <v>1309</v>
      </c>
      <c r="D65" s="781" t="s">
        <v>1588</v>
      </c>
      <c r="E65" s="777" t="s">
        <v>1585</v>
      </c>
      <c r="F65" s="779"/>
      <c r="G65" s="780"/>
      <c r="H65" s="780"/>
      <c r="I65" s="780"/>
      <c r="J65" s="780"/>
      <c r="K65" s="780"/>
      <c r="L65" s="798">
        <f>'机械费预算表(05表) '!L6*0.015</f>
        <v>4798.4074275</v>
      </c>
      <c r="M65" s="799"/>
      <c r="N65" s="800"/>
      <c r="O65" s="799"/>
      <c r="P65" s="801">
        <f t="shared" si="0"/>
        <v>431.856668475</v>
      </c>
      <c r="Q65" s="807" t="s">
        <v>1589</v>
      </c>
    </row>
    <row r="66" s="750" customFormat="1" ht="22.5" outlineLevel="1" spans="1:17">
      <c r="A66" s="774" t="s">
        <v>1590</v>
      </c>
      <c r="B66" s="775"/>
      <c r="C66" s="776" t="s">
        <v>1309</v>
      </c>
      <c r="D66" s="781" t="s">
        <v>1591</v>
      </c>
      <c r="E66" s="777" t="s">
        <v>1585</v>
      </c>
      <c r="F66" s="779"/>
      <c r="G66" s="780"/>
      <c r="H66" s="780"/>
      <c r="I66" s="780"/>
      <c r="J66" s="780"/>
      <c r="K66" s="780"/>
      <c r="L66" s="798">
        <v>0</v>
      </c>
      <c r="M66" s="799"/>
      <c r="N66" s="800"/>
      <c r="O66" s="799"/>
      <c r="P66" s="801">
        <f t="shared" si="0"/>
        <v>0</v>
      </c>
      <c r="Q66" s="807" t="s">
        <v>1592</v>
      </c>
    </row>
    <row r="67" s="750" customFormat="1" ht="13.5" outlineLevel="1" spans="1:17">
      <c r="A67" s="774" t="s">
        <v>1593</v>
      </c>
      <c r="B67" s="775"/>
      <c r="C67" s="776" t="s">
        <v>1309</v>
      </c>
      <c r="D67" s="777" t="s">
        <v>1594</v>
      </c>
      <c r="E67" s="777" t="s">
        <v>1595</v>
      </c>
      <c r="F67" s="779"/>
      <c r="G67" s="780"/>
      <c r="H67" s="780"/>
      <c r="I67" s="780"/>
      <c r="J67" s="780"/>
      <c r="K67" s="780"/>
      <c r="L67" s="798">
        <v>0</v>
      </c>
      <c r="M67" s="799"/>
      <c r="N67" s="800"/>
      <c r="O67" s="799"/>
      <c r="P67" s="801">
        <f t="shared" si="0"/>
        <v>0</v>
      </c>
      <c r="Q67" s="807"/>
    </row>
    <row r="68" s="750" customFormat="1" ht="13.5" outlineLevel="1" spans="1:17">
      <c r="A68" s="774" t="s">
        <v>1596</v>
      </c>
      <c r="B68" s="775"/>
      <c r="C68" s="776" t="s">
        <v>1309</v>
      </c>
      <c r="D68" s="777" t="s">
        <v>1597</v>
      </c>
      <c r="E68" s="777" t="s">
        <v>1595</v>
      </c>
      <c r="F68" s="779"/>
      <c r="G68" s="780"/>
      <c r="H68" s="780"/>
      <c r="I68" s="780"/>
      <c r="J68" s="780"/>
      <c r="K68" s="780"/>
      <c r="L68" s="798">
        <v>0</v>
      </c>
      <c r="M68" s="799"/>
      <c r="N68" s="800"/>
      <c r="O68" s="799"/>
      <c r="P68" s="801">
        <f t="shared" si="0"/>
        <v>0</v>
      </c>
      <c r="Q68" s="807"/>
    </row>
    <row r="69" s="750" customFormat="1" ht="26.1" customHeight="1" outlineLevel="1" spans="1:17">
      <c r="A69" s="774" t="s">
        <v>1598</v>
      </c>
      <c r="B69" s="775"/>
      <c r="C69" s="776" t="s">
        <v>1309</v>
      </c>
      <c r="D69" s="777" t="s">
        <v>1599</v>
      </c>
      <c r="E69" s="777" t="s">
        <v>1595</v>
      </c>
      <c r="F69" s="779"/>
      <c r="G69" s="780"/>
      <c r="H69" s="780"/>
      <c r="I69" s="780"/>
      <c r="J69" s="780"/>
      <c r="K69" s="780"/>
      <c r="L69" s="801">
        <v>0</v>
      </c>
      <c r="M69" s="799"/>
      <c r="N69" s="800"/>
      <c r="O69" s="799"/>
      <c r="P69" s="801">
        <f t="shared" si="0"/>
        <v>0</v>
      </c>
      <c r="Q69" s="807" t="s">
        <v>1600</v>
      </c>
    </row>
    <row r="70" s="750" customFormat="1" ht="22.5" outlineLevel="1" spans="1:17">
      <c r="A70" s="774" t="s">
        <v>1601</v>
      </c>
      <c r="B70" s="775"/>
      <c r="C70" s="776" t="s">
        <v>1309</v>
      </c>
      <c r="D70" s="777" t="s">
        <v>1602</v>
      </c>
      <c r="E70" s="777" t="s">
        <v>1595</v>
      </c>
      <c r="F70" s="779"/>
      <c r="G70" s="780"/>
      <c r="H70" s="780"/>
      <c r="I70" s="780"/>
      <c r="J70" s="780"/>
      <c r="K70" s="780"/>
      <c r="L70" s="798">
        <v>100000</v>
      </c>
      <c r="M70" s="799"/>
      <c r="N70" s="800"/>
      <c r="O70" s="799"/>
      <c r="P70" s="801">
        <f t="shared" si="0"/>
        <v>9000</v>
      </c>
      <c r="Q70" s="807"/>
    </row>
    <row r="71" s="750" customFormat="1" ht="33" customHeight="1" outlineLevel="1" spans="1:17">
      <c r="A71" s="774" t="s">
        <v>1603</v>
      </c>
      <c r="B71" s="775"/>
      <c r="C71" s="776" t="s">
        <v>1309</v>
      </c>
      <c r="D71" s="777" t="s">
        <v>1604</v>
      </c>
      <c r="E71" s="777" t="s">
        <v>1595</v>
      </c>
      <c r="F71" s="779"/>
      <c r="G71" s="780"/>
      <c r="H71" s="780"/>
      <c r="I71" s="780"/>
      <c r="J71" s="780"/>
      <c r="K71" s="780"/>
      <c r="L71" s="801">
        <v>0</v>
      </c>
      <c r="M71" s="799"/>
      <c r="N71" s="800"/>
      <c r="O71" s="799"/>
      <c r="P71" s="801">
        <f t="shared" ref="P71:P83" si="1">+L71*0.09</f>
        <v>0</v>
      </c>
      <c r="Q71" s="807" t="s">
        <v>1605</v>
      </c>
    </row>
    <row r="72" s="750" customFormat="1" ht="22.5" outlineLevel="1" spans="1:17">
      <c r="A72" s="774" t="s">
        <v>1606</v>
      </c>
      <c r="B72" s="775"/>
      <c r="C72" s="776" t="s">
        <v>1309</v>
      </c>
      <c r="D72" s="777" t="s">
        <v>1607</v>
      </c>
      <c r="E72" s="777" t="s">
        <v>1595</v>
      </c>
      <c r="F72" s="779"/>
      <c r="G72" s="780"/>
      <c r="H72" s="780"/>
      <c r="I72" s="780"/>
      <c r="J72" s="780"/>
      <c r="K72" s="780"/>
      <c r="L72" s="801">
        <v>0</v>
      </c>
      <c r="M72" s="799"/>
      <c r="N72" s="800"/>
      <c r="O72" s="799"/>
      <c r="P72" s="801">
        <f t="shared" si="1"/>
        <v>0</v>
      </c>
      <c r="Q72" s="807" t="s">
        <v>1608</v>
      </c>
    </row>
    <row r="73" s="750" customFormat="1" ht="24" outlineLevel="1" spans="1:17">
      <c r="A73" s="774" t="s">
        <v>1609</v>
      </c>
      <c r="B73" s="775"/>
      <c r="C73" s="776" t="s">
        <v>1309</v>
      </c>
      <c r="D73" s="777" t="s">
        <v>1610</v>
      </c>
      <c r="E73" s="777" t="s">
        <v>1595</v>
      </c>
      <c r="F73" s="779"/>
      <c r="G73" s="780"/>
      <c r="H73" s="780"/>
      <c r="I73" s="780"/>
      <c r="J73" s="780"/>
      <c r="K73" s="780"/>
      <c r="L73" s="798">
        <v>0</v>
      </c>
      <c r="M73" s="799"/>
      <c r="N73" s="800"/>
      <c r="O73" s="799"/>
      <c r="P73" s="801"/>
      <c r="Q73" s="807" t="s">
        <v>1611</v>
      </c>
    </row>
    <row r="74" s="754" customFormat="1" ht="19.15" customHeight="1" spans="1:17">
      <c r="A74" s="771" t="s">
        <v>1612</v>
      </c>
      <c r="B74" s="808"/>
      <c r="C74" s="776" t="s">
        <v>60</v>
      </c>
      <c r="D74" s="809" t="s">
        <v>1613</v>
      </c>
      <c r="E74" s="809"/>
      <c r="F74" s="792"/>
      <c r="G74" s="810"/>
      <c r="H74" s="810"/>
      <c r="I74" s="810"/>
      <c r="J74" s="810"/>
      <c r="K74" s="810"/>
      <c r="L74" s="844">
        <f>SUMPRODUCT((LEFT($A75:$A$96,LEN($A74))=$A74)*1,(LEN($A75:$A$96)=LEN($A74)+3)*1,L75:L$96)</f>
        <v>5300000</v>
      </c>
      <c r="M74" s="845"/>
      <c r="N74" s="796"/>
      <c r="O74" s="796">
        <f>SUMPRODUCT((LEFT($A75:$A$96,LEN($A74))=$A74)*1,(LEN($A75:$A$96)=LEN($A74)+3)*1,O75:O$96)</f>
        <v>0</v>
      </c>
      <c r="P74" s="796">
        <f>SUMPRODUCT((LEFT($A75:$A$96,LEN($A74))=$A74)*1,(LEN($A75:$A$96)=LEN($A74)+3)*1,P75:P$96)</f>
        <v>477000</v>
      </c>
      <c r="Q74" s="864"/>
    </row>
    <row r="75" s="753" customFormat="1" ht="19.15" customHeight="1" outlineLevel="1" spans="1:17">
      <c r="A75" s="774" t="s">
        <v>1614</v>
      </c>
      <c r="B75" s="775"/>
      <c r="C75" s="776" t="s">
        <v>1309</v>
      </c>
      <c r="D75" s="777" t="s">
        <v>1615</v>
      </c>
      <c r="E75" s="777"/>
      <c r="F75" s="778" t="s">
        <v>69</v>
      </c>
      <c r="G75" s="811"/>
      <c r="H75" s="811"/>
      <c r="I75" s="811"/>
      <c r="J75" s="776"/>
      <c r="K75" s="776"/>
      <c r="L75" s="798">
        <v>1000000</v>
      </c>
      <c r="M75" s="799"/>
      <c r="N75" s="800"/>
      <c r="O75" s="799"/>
      <c r="P75" s="801">
        <f t="shared" si="1"/>
        <v>90000</v>
      </c>
      <c r="Q75" s="806"/>
    </row>
    <row r="76" s="753" customFormat="1" ht="19.15" customHeight="1" outlineLevel="1" spans="1:17">
      <c r="A76" s="774" t="s">
        <v>1616</v>
      </c>
      <c r="B76" s="775"/>
      <c r="C76" s="776" t="s">
        <v>1309</v>
      </c>
      <c r="D76" s="777" t="s">
        <v>1617</v>
      </c>
      <c r="E76" s="777"/>
      <c r="F76" s="778" t="s">
        <v>69</v>
      </c>
      <c r="G76" s="811"/>
      <c r="H76" s="811"/>
      <c r="I76" s="811"/>
      <c r="J76" s="776"/>
      <c r="K76" s="776"/>
      <c r="L76" s="798">
        <v>0</v>
      </c>
      <c r="M76" s="799"/>
      <c r="N76" s="800"/>
      <c r="O76" s="799"/>
      <c r="P76" s="801">
        <f t="shared" si="1"/>
        <v>0</v>
      </c>
      <c r="Q76" s="806"/>
    </row>
    <row r="77" s="753" customFormat="1" ht="19.15" customHeight="1" outlineLevel="1" spans="1:17">
      <c r="A77" s="774" t="s">
        <v>1618</v>
      </c>
      <c r="B77" s="775"/>
      <c r="C77" s="776" t="s">
        <v>1309</v>
      </c>
      <c r="D77" s="777" t="s">
        <v>1619</v>
      </c>
      <c r="E77" s="777"/>
      <c r="F77" s="778" t="s">
        <v>195</v>
      </c>
      <c r="G77" s="811"/>
      <c r="H77" s="811"/>
      <c r="I77" s="811"/>
      <c r="J77" s="776"/>
      <c r="K77" s="776"/>
      <c r="L77" s="798">
        <v>0</v>
      </c>
      <c r="M77" s="799"/>
      <c r="N77" s="800"/>
      <c r="O77" s="799"/>
      <c r="P77" s="801">
        <f t="shared" si="1"/>
        <v>0</v>
      </c>
      <c r="Q77" s="806"/>
    </row>
    <row r="78" s="753" customFormat="1" ht="19.15" customHeight="1" outlineLevel="1" spans="1:17">
      <c r="A78" s="774" t="s">
        <v>1620</v>
      </c>
      <c r="B78" s="775"/>
      <c r="C78" s="776" t="s">
        <v>1309</v>
      </c>
      <c r="D78" s="777" t="s">
        <v>1621</v>
      </c>
      <c r="E78" s="777"/>
      <c r="F78" s="778" t="s">
        <v>195</v>
      </c>
      <c r="G78" s="811"/>
      <c r="H78" s="811"/>
      <c r="I78" s="811"/>
      <c r="J78" s="776"/>
      <c r="K78" s="776"/>
      <c r="L78" s="798">
        <v>350000</v>
      </c>
      <c r="M78" s="799"/>
      <c r="N78" s="800"/>
      <c r="O78" s="799"/>
      <c r="P78" s="801">
        <f t="shared" si="1"/>
        <v>31500</v>
      </c>
      <c r="Q78" s="806"/>
    </row>
    <row r="79" s="753" customFormat="1" ht="19.15" customHeight="1" outlineLevel="1" spans="1:17">
      <c r="A79" s="774" t="s">
        <v>1622</v>
      </c>
      <c r="B79" s="775"/>
      <c r="C79" s="776" t="s">
        <v>1309</v>
      </c>
      <c r="D79" s="777" t="s">
        <v>1623</v>
      </c>
      <c r="E79" s="777"/>
      <c r="F79" s="778" t="s">
        <v>195</v>
      </c>
      <c r="G79" s="811"/>
      <c r="H79" s="811"/>
      <c r="I79" s="811"/>
      <c r="J79" s="776"/>
      <c r="K79" s="776"/>
      <c r="L79" s="798">
        <v>0</v>
      </c>
      <c r="M79" s="799"/>
      <c r="N79" s="800"/>
      <c r="O79" s="799"/>
      <c r="P79" s="801">
        <f t="shared" si="1"/>
        <v>0</v>
      </c>
      <c r="Q79" s="806"/>
    </row>
    <row r="80" s="753" customFormat="1" ht="19.15" customHeight="1" outlineLevel="1" spans="1:17">
      <c r="A80" s="774" t="s">
        <v>1624</v>
      </c>
      <c r="B80" s="775"/>
      <c r="C80" s="776" t="s">
        <v>1309</v>
      </c>
      <c r="D80" s="777" t="s">
        <v>1625</v>
      </c>
      <c r="E80" s="777"/>
      <c r="F80" s="778" t="s">
        <v>195</v>
      </c>
      <c r="G80" s="811"/>
      <c r="H80" s="811"/>
      <c r="I80" s="811"/>
      <c r="J80" s="776"/>
      <c r="K80" s="776"/>
      <c r="L80" s="798">
        <v>3500000</v>
      </c>
      <c r="M80" s="799"/>
      <c r="N80" s="800"/>
      <c r="O80" s="799"/>
      <c r="P80" s="801">
        <f t="shared" si="1"/>
        <v>315000</v>
      </c>
      <c r="Q80" s="865" t="s">
        <v>1626</v>
      </c>
    </row>
    <row r="81" s="753" customFormat="1" ht="19.15" customHeight="1" outlineLevel="1" spans="1:17">
      <c r="A81" s="774" t="s">
        <v>1627</v>
      </c>
      <c r="B81" s="775"/>
      <c r="C81" s="776" t="s">
        <v>1309</v>
      </c>
      <c r="D81" s="777" t="s">
        <v>1610</v>
      </c>
      <c r="E81" s="777"/>
      <c r="F81" s="778" t="s">
        <v>195</v>
      </c>
      <c r="G81" s="812"/>
      <c r="H81" s="812"/>
      <c r="I81" s="812"/>
      <c r="J81" s="776"/>
      <c r="K81" s="776"/>
      <c r="L81" s="798">
        <v>0</v>
      </c>
      <c r="M81" s="799"/>
      <c r="N81" s="800"/>
      <c r="O81" s="799"/>
      <c r="P81" s="801">
        <f t="shared" si="1"/>
        <v>0</v>
      </c>
      <c r="Q81" s="806"/>
    </row>
    <row r="82" s="753" customFormat="1" ht="19.15" customHeight="1" outlineLevel="1" spans="1:17">
      <c r="A82" s="774" t="s">
        <v>1628</v>
      </c>
      <c r="B82" s="775"/>
      <c r="C82" s="776" t="s">
        <v>1309</v>
      </c>
      <c r="D82" s="813" t="s">
        <v>1629</v>
      </c>
      <c r="E82" s="777"/>
      <c r="F82" s="778" t="s">
        <v>195</v>
      </c>
      <c r="G82" s="812"/>
      <c r="H82" s="812"/>
      <c r="I82" s="812"/>
      <c r="J82" s="776"/>
      <c r="K82" s="776"/>
      <c r="L82" s="798">
        <v>450000</v>
      </c>
      <c r="M82" s="799"/>
      <c r="N82" s="800"/>
      <c r="O82" s="799"/>
      <c r="P82" s="801">
        <f t="shared" si="1"/>
        <v>40500</v>
      </c>
      <c r="Q82" s="806"/>
    </row>
    <row r="83" s="753" customFormat="1" ht="19.15" customHeight="1" outlineLevel="1" spans="1:28">
      <c r="A83" s="774" t="s">
        <v>1630</v>
      </c>
      <c r="B83" s="775"/>
      <c r="C83" s="776" t="s">
        <v>1309</v>
      </c>
      <c r="D83" s="777"/>
      <c r="E83" s="777"/>
      <c r="F83" s="778"/>
      <c r="G83" s="812"/>
      <c r="H83" s="812"/>
      <c r="I83" s="812"/>
      <c r="J83" s="776"/>
      <c r="K83" s="776"/>
      <c r="L83" s="798">
        <v>0</v>
      </c>
      <c r="M83" s="799"/>
      <c r="N83" s="800"/>
      <c r="O83" s="799"/>
      <c r="P83" s="801">
        <f t="shared" si="1"/>
        <v>0</v>
      </c>
      <c r="Q83" s="806"/>
      <c r="AB83" s="873"/>
    </row>
    <row r="84" s="752" customFormat="1" ht="19.15" customHeight="1" spans="1:28">
      <c r="A84" s="814" t="s">
        <v>1631</v>
      </c>
      <c r="B84" s="815"/>
      <c r="C84" s="776" t="s">
        <v>60</v>
      </c>
      <c r="D84" s="809" t="s">
        <v>1273</v>
      </c>
      <c r="E84" s="816"/>
      <c r="F84" s="817"/>
      <c r="G84" s="810"/>
      <c r="H84" s="810"/>
      <c r="I84" s="810"/>
      <c r="J84" s="846"/>
      <c r="K84" s="793"/>
      <c r="L84" s="793">
        <f>SUMPRODUCT((LEFT($A85:$A$96,LEN($A84))=$A84)*1,(LEN($A85:$A$96)=LEN($A84)+3)*1,L85:L$96)</f>
        <v>301565.8960035</v>
      </c>
      <c r="M84" s="847"/>
      <c r="N84" s="848"/>
      <c r="O84" s="796">
        <f>SUMPRODUCT((LEFT($A85:$A$96,LEN($A84))=$A84)*1,(LEN($A85:$A$96)=LEN($A84)+3)*1,O85:O$96)</f>
        <v>0</v>
      </c>
      <c r="P84" s="796">
        <f>SUMPRODUCT((LEFT($A85:$A$96,LEN($A84))=$A84)*1,(LEN($A85:$A$96)=LEN($A84)+3)*1,P85:P$96)</f>
        <v>19640.930640315</v>
      </c>
      <c r="Q84" s="866"/>
      <c r="R84" s="754"/>
      <c r="AB84" s="873"/>
    </row>
    <row r="85" s="753" customFormat="1" ht="19.15" customHeight="1" outlineLevel="1" spans="1:28">
      <c r="A85" s="774" t="s">
        <v>1632</v>
      </c>
      <c r="B85" s="775"/>
      <c r="C85" s="776" t="s">
        <v>1309</v>
      </c>
      <c r="D85" s="818" t="s">
        <v>1633</v>
      </c>
      <c r="E85" s="776"/>
      <c r="F85" s="778" t="s">
        <v>195</v>
      </c>
      <c r="G85" s="776"/>
      <c r="H85" s="776"/>
      <c r="I85" s="776"/>
      <c r="J85" s="776"/>
      <c r="K85" s="776"/>
      <c r="L85" s="849">
        <v>0</v>
      </c>
      <c r="M85" s="799"/>
      <c r="N85" s="799"/>
      <c r="O85" s="799"/>
      <c r="P85" s="776">
        <f>L85*0.13</f>
        <v>0</v>
      </c>
      <c r="Q85" s="865" t="s">
        <v>1634</v>
      </c>
      <c r="AB85" s="873"/>
    </row>
    <row r="86" s="753" customFormat="1" ht="19.15" customHeight="1" outlineLevel="1" spans="1:28">
      <c r="A86" s="774" t="s">
        <v>1635</v>
      </c>
      <c r="B86" s="775"/>
      <c r="C86" s="776" t="s">
        <v>1309</v>
      </c>
      <c r="D86" s="819" t="s">
        <v>1636</v>
      </c>
      <c r="E86" s="776"/>
      <c r="F86" s="778" t="s">
        <v>195</v>
      </c>
      <c r="G86" s="776"/>
      <c r="H86" s="776"/>
      <c r="I86" s="776"/>
      <c r="J86" s="776"/>
      <c r="K86" s="776"/>
      <c r="L86" s="849">
        <v>250000</v>
      </c>
      <c r="M86" s="799"/>
      <c r="N86" s="799"/>
      <c r="O86" s="799"/>
      <c r="P86" s="776">
        <f>L86*0.06</f>
        <v>15000</v>
      </c>
      <c r="Q86" s="867" t="s">
        <v>1637</v>
      </c>
      <c r="AB86" s="873"/>
    </row>
    <row r="87" s="753" customFormat="1" ht="19.15" customHeight="1" outlineLevel="1" spans="1:28">
      <c r="A87" s="774" t="s">
        <v>1638</v>
      </c>
      <c r="B87" s="775"/>
      <c r="C87" s="776" t="s">
        <v>1309</v>
      </c>
      <c r="D87" s="819" t="s">
        <v>1639</v>
      </c>
      <c r="E87" s="776"/>
      <c r="F87" s="778" t="s">
        <v>195</v>
      </c>
      <c r="G87" s="776"/>
      <c r="H87" s="776"/>
      <c r="I87" s="776"/>
      <c r="J87" s="776"/>
      <c r="K87" s="776"/>
      <c r="L87" s="849">
        <v>50000</v>
      </c>
      <c r="M87" s="799"/>
      <c r="N87" s="799"/>
      <c r="O87" s="799"/>
      <c r="P87" s="776">
        <f>L87*0.09</f>
        <v>4500</v>
      </c>
      <c r="Q87" s="806"/>
      <c r="AB87" s="873"/>
    </row>
    <row r="88" s="753" customFormat="1" ht="19.15" customHeight="1" outlineLevel="1" spans="1:28">
      <c r="A88" s="774" t="s">
        <v>1640</v>
      </c>
      <c r="B88" s="775"/>
      <c r="C88" s="776" t="s">
        <v>1309</v>
      </c>
      <c r="D88" s="819" t="s">
        <v>1641</v>
      </c>
      <c r="E88" s="776"/>
      <c r="F88" s="778" t="s">
        <v>195</v>
      </c>
      <c r="G88" s="776"/>
      <c r="H88" s="776"/>
      <c r="I88" s="776"/>
      <c r="J88" s="776"/>
      <c r="K88" s="776"/>
      <c r="L88" s="849">
        <f>'分项对比表(02表)'!I5*0.0003</f>
        <v>1565.8960035</v>
      </c>
      <c r="M88" s="799"/>
      <c r="N88" s="799"/>
      <c r="O88" s="799"/>
      <c r="P88" s="799">
        <f>L88*0.09</f>
        <v>140.930640315</v>
      </c>
      <c r="Q88" s="806" t="s">
        <v>1642</v>
      </c>
      <c r="AB88" s="873"/>
    </row>
    <row r="89" s="750" customFormat="1" ht="19.15" customHeight="1" outlineLevel="1" spans="1:28">
      <c r="A89" s="774" t="s">
        <v>1643</v>
      </c>
      <c r="B89" s="780"/>
      <c r="C89" s="776" t="s">
        <v>1309</v>
      </c>
      <c r="D89" s="820" t="s">
        <v>1644</v>
      </c>
      <c r="E89" s="821"/>
      <c r="F89" s="778" t="s">
        <v>195</v>
      </c>
      <c r="G89" s="780"/>
      <c r="H89" s="780"/>
      <c r="I89" s="780"/>
      <c r="J89" s="780"/>
      <c r="K89" s="780"/>
      <c r="L89" s="849">
        <v>0</v>
      </c>
      <c r="M89" s="799"/>
      <c r="N89" s="799"/>
      <c r="O89" s="799"/>
      <c r="P89" s="780"/>
      <c r="Q89" s="807"/>
      <c r="AB89" s="873"/>
    </row>
    <row r="90" s="750" customFormat="1" ht="19.15" customHeight="1" outlineLevel="1" spans="1:28">
      <c r="A90" s="774" t="s">
        <v>1645</v>
      </c>
      <c r="B90" s="822"/>
      <c r="C90" s="776" t="s">
        <v>1309</v>
      </c>
      <c r="D90" s="820" t="s">
        <v>1646</v>
      </c>
      <c r="E90" s="821"/>
      <c r="F90" s="778"/>
      <c r="G90" s="780"/>
      <c r="H90" s="780"/>
      <c r="I90" s="780"/>
      <c r="J90" s="780"/>
      <c r="K90" s="780"/>
      <c r="L90" s="849">
        <v>0</v>
      </c>
      <c r="M90" s="799"/>
      <c r="N90" s="799"/>
      <c r="O90" s="799"/>
      <c r="P90" s="780"/>
      <c r="Q90" s="867"/>
      <c r="AB90" s="873"/>
    </row>
    <row r="91" s="750" customFormat="1" ht="19.15" customHeight="1" outlineLevel="1" spans="1:28">
      <c r="A91" s="774" t="s">
        <v>1647</v>
      </c>
      <c r="B91" s="822"/>
      <c r="C91" s="776" t="s">
        <v>1309</v>
      </c>
      <c r="D91" s="820" t="s">
        <v>1648</v>
      </c>
      <c r="E91" s="821"/>
      <c r="F91" s="778"/>
      <c r="G91" s="780"/>
      <c r="H91" s="780"/>
      <c r="I91" s="780"/>
      <c r="J91" s="780"/>
      <c r="K91" s="780"/>
      <c r="L91" s="849">
        <v>0</v>
      </c>
      <c r="M91" s="799"/>
      <c r="N91" s="799"/>
      <c r="O91" s="799"/>
      <c r="P91" s="780"/>
      <c r="Q91" s="806"/>
      <c r="AB91" s="873"/>
    </row>
    <row r="92" s="750" customFormat="1" ht="19.15" customHeight="1" outlineLevel="1" spans="1:28">
      <c r="A92" s="774" t="s">
        <v>1649</v>
      </c>
      <c r="B92" s="822"/>
      <c r="C92" s="776" t="s">
        <v>1309</v>
      </c>
      <c r="D92" s="820" t="s">
        <v>1650</v>
      </c>
      <c r="E92" s="821"/>
      <c r="F92" s="778"/>
      <c r="G92" s="780"/>
      <c r="H92" s="780"/>
      <c r="I92" s="780"/>
      <c r="J92" s="780"/>
      <c r="K92" s="780"/>
      <c r="L92" s="849">
        <v>0</v>
      </c>
      <c r="M92" s="799"/>
      <c r="N92" s="799"/>
      <c r="O92" s="799"/>
      <c r="P92" s="780"/>
      <c r="Q92" s="807"/>
      <c r="AB92" s="873"/>
    </row>
    <row r="93" s="750" customFormat="1" ht="19.15" customHeight="1" outlineLevel="1" spans="1:28">
      <c r="A93" s="774" t="s">
        <v>1651</v>
      </c>
      <c r="B93" s="822"/>
      <c r="C93" s="776" t="s">
        <v>1309</v>
      </c>
      <c r="D93" s="820" t="s">
        <v>1652</v>
      </c>
      <c r="E93" s="821"/>
      <c r="F93" s="778"/>
      <c r="G93" s="780"/>
      <c r="H93" s="780"/>
      <c r="I93" s="780"/>
      <c r="J93" s="780"/>
      <c r="K93" s="780"/>
      <c r="L93" s="850">
        <v>0</v>
      </c>
      <c r="M93" s="799"/>
      <c r="N93" s="799"/>
      <c r="O93" s="799"/>
      <c r="P93" s="780"/>
      <c r="Q93" s="806"/>
      <c r="AB93" s="873"/>
    </row>
    <row r="94" s="750" customFormat="1" ht="19.15" customHeight="1" outlineLevel="1" spans="1:28">
      <c r="A94" s="774" t="s">
        <v>1653</v>
      </c>
      <c r="B94" s="822"/>
      <c r="C94" s="776" t="s">
        <v>1309</v>
      </c>
      <c r="D94" s="820" t="s">
        <v>1654</v>
      </c>
      <c r="E94" s="821"/>
      <c r="F94" s="778"/>
      <c r="G94" s="780"/>
      <c r="H94" s="780"/>
      <c r="I94" s="780"/>
      <c r="J94" s="780"/>
      <c r="K94" s="780"/>
      <c r="L94" s="849"/>
      <c r="M94" s="799"/>
      <c r="N94" s="799"/>
      <c r="O94" s="799"/>
      <c r="P94" s="780"/>
      <c r="Q94" s="806"/>
      <c r="AB94" s="873"/>
    </row>
    <row r="95" s="750" customFormat="1" ht="19.15" customHeight="1" outlineLevel="1" spans="1:28">
      <c r="A95" s="774" t="s">
        <v>1655</v>
      </c>
      <c r="B95" s="822"/>
      <c r="C95" s="776" t="s">
        <v>1309</v>
      </c>
      <c r="D95" s="820" t="s">
        <v>1656</v>
      </c>
      <c r="E95" s="821"/>
      <c r="F95" s="778"/>
      <c r="G95" s="780"/>
      <c r="H95" s="780"/>
      <c r="I95" s="780"/>
      <c r="J95" s="780"/>
      <c r="K95" s="780"/>
      <c r="L95" s="849">
        <v>0</v>
      </c>
      <c r="M95" s="799"/>
      <c r="N95" s="799"/>
      <c r="O95" s="799"/>
      <c r="P95" s="780"/>
      <c r="Q95" s="806"/>
      <c r="AB95" s="873"/>
    </row>
    <row r="96" s="750" customFormat="1" ht="24" customHeight="1" spans="1:28">
      <c r="A96" s="767" t="s">
        <v>1657</v>
      </c>
      <c r="B96" s="823"/>
      <c r="C96" s="823"/>
      <c r="D96" s="704"/>
      <c r="E96" s="704"/>
      <c r="F96" s="706"/>
      <c r="G96" s="706"/>
      <c r="H96" s="706"/>
      <c r="I96" s="732"/>
      <c r="J96" s="706"/>
      <c r="K96" s="706"/>
      <c r="L96" s="732"/>
      <c r="M96" s="851"/>
      <c r="N96" s="851"/>
      <c r="O96" s="851"/>
      <c r="P96" s="732"/>
      <c r="Q96" s="868"/>
      <c r="AB96" s="873"/>
    </row>
    <row r="97" s="750" customFormat="1" ht="20.25" customHeight="1" spans="1:28">
      <c r="A97" s="824" t="s">
        <v>1282</v>
      </c>
      <c r="B97" s="825"/>
      <c r="C97" s="825"/>
      <c r="D97" s="826" t="s">
        <v>1658</v>
      </c>
      <c r="E97" s="827"/>
      <c r="F97" s="827" t="s">
        <v>15</v>
      </c>
      <c r="G97" s="828"/>
      <c r="H97" s="828"/>
      <c r="I97" s="827">
        <f>SUMPRODUCT((LEN($A$6:$A$96)=3)*1,I$6:I$96)</f>
        <v>0</v>
      </c>
      <c r="J97" s="828"/>
      <c r="K97" s="828"/>
      <c r="L97" s="828">
        <f>SUMPRODUCT((LEN($A$6:$A$96)=3)*1,L$6:L$96)</f>
        <v>5967070.168681</v>
      </c>
      <c r="M97" s="852"/>
      <c r="N97" s="852"/>
      <c r="O97" s="852">
        <f>SUMPRODUCT((LEN($A$6:$A$96)=3)*1,O$6:O$96)</f>
        <v>0</v>
      </c>
      <c r="P97" s="853">
        <f>SUMPRODUCT((LEN($A$6:$A$96)=3)*1,P$6:P$96)</f>
        <v>529536.31518129</v>
      </c>
      <c r="Q97" s="869"/>
      <c r="AB97" s="873"/>
    </row>
    <row r="98" s="750" customFormat="1" ht="20.25" customHeight="1" spans="1:17">
      <c r="A98" s="824" t="s">
        <v>1282</v>
      </c>
      <c r="B98" s="829"/>
      <c r="C98" s="829"/>
      <c r="D98" s="830" t="s">
        <v>1659</v>
      </c>
      <c r="E98" s="831"/>
      <c r="F98" s="832" t="s">
        <v>15</v>
      </c>
      <c r="G98" s="833"/>
      <c r="H98" s="833"/>
      <c r="I98" s="854">
        <v>0</v>
      </c>
      <c r="J98" s="854"/>
      <c r="K98" s="854"/>
      <c r="L98" s="854">
        <f>+L6</f>
        <v>365504.2726775</v>
      </c>
      <c r="M98" s="855"/>
      <c r="N98" s="854"/>
      <c r="O98" s="855"/>
      <c r="P98" s="854">
        <v>0</v>
      </c>
      <c r="Q98" s="870"/>
    </row>
    <row r="99" s="750" customFormat="1" ht="27" customHeight="1" spans="1:17">
      <c r="A99" s="834" t="s">
        <v>1282</v>
      </c>
      <c r="B99" s="834"/>
      <c r="C99" s="835"/>
      <c r="D99" s="836" t="s">
        <v>1660</v>
      </c>
      <c r="E99" s="837"/>
      <c r="F99" s="838" t="s">
        <v>15</v>
      </c>
      <c r="G99" s="839"/>
      <c r="H99" s="839"/>
      <c r="I99" s="856">
        <f>+I97-I98</f>
        <v>0</v>
      </c>
      <c r="J99" s="839"/>
      <c r="K99" s="839"/>
      <c r="L99" s="856">
        <f>+L97-L98</f>
        <v>5601565.8960035</v>
      </c>
      <c r="M99" s="857"/>
      <c r="N99" s="857"/>
      <c r="O99" s="857">
        <f>+O97-O98</f>
        <v>0</v>
      </c>
      <c r="P99" s="858">
        <f>+P97-P98</f>
        <v>529536.31518129</v>
      </c>
      <c r="Q99" s="871"/>
    </row>
    <row r="100" s="750" customFormat="1" ht="13.5" spans="4:17">
      <c r="D100" s="751"/>
      <c r="E100" s="751"/>
      <c r="L100" s="859"/>
      <c r="M100" s="860"/>
      <c r="N100" s="860"/>
      <c r="O100" s="860"/>
      <c r="Q100" s="751"/>
    </row>
    <row r="101" spans="1:12">
      <c r="A101" s="752"/>
      <c r="B101" s="752"/>
      <c r="C101" s="752"/>
      <c r="D101" s="840"/>
      <c r="F101" s="756"/>
      <c r="L101" s="861"/>
    </row>
    <row r="102" spans="1:12">
      <c r="A102" s="752"/>
      <c r="B102" s="752"/>
      <c r="C102" s="752"/>
      <c r="D102" s="840"/>
      <c r="F102" s="756"/>
      <c r="L102" s="861"/>
    </row>
    <row r="103" spans="1:12">
      <c r="A103" s="841"/>
      <c r="B103" s="752"/>
      <c r="C103" s="752"/>
      <c r="D103" s="752"/>
      <c r="E103" s="756"/>
      <c r="F103" s="756"/>
      <c r="L103" s="861"/>
    </row>
    <row r="104" spans="1:12">
      <c r="A104" s="841"/>
      <c r="B104" s="752"/>
      <c r="C104" s="752"/>
      <c r="D104" s="752"/>
      <c r="E104" s="756"/>
      <c r="F104" s="756"/>
      <c r="L104" s="861"/>
    </row>
    <row r="105" spans="1:12">
      <c r="A105" s="841"/>
      <c r="B105" s="752"/>
      <c r="C105" s="752"/>
      <c r="D105" s="752"/>
      <c r="E105" s="756"/>
      <c r="F105" s="756"/>
      <c r="L105" s="861"/>
    </row>
    <row r="106" spans="1:12">
      <c r="A106" s="841"/>
      <c r="B106" s="752"/>
      <c r="C106" s="752"/>
      <c r="D106" s="752"/>
      <c r="E106" s="756"/>
      <c r="F106" s="756"/>
      <c r="L106" s="861"/>
    </row>
    <row r="107" spans="1:12">
      <c r="A107" s="841"/>
      <c r="B107" s="752"/>
      <c r="C107" s="752"/>
      <c r="D107" s="752"/>
      <c r="E107" s="756"/>
      <c r="F107" s="756"/>
      <c r="L107" s="861"/>
    </row>
    <row r="108" spans="1:17">
      <c r="A108" s="841"/>
      <c r="B108" s="842"/>
      <c r="C108" s="842"/>
      <c r="D108" s="842"/>
      <c r="E108" s="843"/>
      <c r="F108" s="843"/>
      <c r="G108" s="843"/>
      <c r="H108" s="843"/>
      <c r="I108" s="843"/>
      <c r="J108" s="843"/>
      <c r="K108" s="843"/>
      <c r="L108" s="862"/>
      <c r="M108" s="863"/>
      <c r="N108" s="863"/>
      <c r="O108" s="863"/>
      <c r="P108" s="843"/>
      <c r="Q108" s="872"/>
    </row>
    <row r="109" spans="1:12">
      <c r="A109" s="752"/>
      <c r="B109" s="752"/>
      <c r="C109" s="752"/>
      <c r="D109" s="840"/>
      <c r="F109" s="756"/>
      <c r="L109" s="861"/>
    </row>
    <row r="110" spans="1:12">
      <c r="A110" s="756"/>
      <c r="F110" s="756"/>
      <c r="L110" s="861"/>
    </row>
    <row r="111" spans="1:12">
      <c r="A111" s="756"/>
      <c r="F111" s="756"/>
      <c r="L111" s="861"/>
    </row>
  </sheetData>
  <sheetProtection formatCells="0" insertRows="0" insertHyperlinks="0" deleteRows="0" autoFilter="0"/>
  <autoFilter xmlns:etc="http://www.wps.cn/officeDocument/2017/etCustomData" ref="A4:Q99" etc:filterBottomFollowUsedRange="0">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4.25"/>
  <cols>
    <col min="1" max="1" width="11" style="697" customWidth="1"/>
    <col min="2" max="2" width="9.5" style="697" customWidth="1"/>
    <col min="3" max="3" width="13.875" style="697"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698" t="s">
        <v>1661</v>
      </c>
      <c r="B1" s="699"/>
      <c r="C1" s="699"/>
      <c r="D1" s="699"/>
      <c r="E1" s="699"/>
      <c r="F1" s="699"/>
      <c r="G1" s="699"/>
      <c r="H1" s="699"/>
      <c r="I1" s="699"/>
      <c r="J1" s="699"/>
      <c r="K1" s="699"/>
      <c r="L1" s="699"/>
      <c r="M1" s="699"/>
      <c r="N1" s="699"/>
      <c r="O1" s="699"/>
      <c r="P1" s="699"/>
      <c r="Q1" s="699"/>
    </row>
    <row r="2" s="623" customFormat="1" ht="16.5" customHeight="1" spans="1:16">
      <c r="A2" s="41"/>
      <c r="B2" s="41"/>
      <c r="C2" s="41"/>
      <c r="D2" s="75"/>
      <c r="E2" s="75"/>
      <c r="F2" s="75"/>
      <c r="G2" s="75"/>
      <c r="H2" s="75"/>
      <c r="I2" s="75"/>
      <c r="J2" s="75"/>
      <c r="K2" s="75"/>
      <c r="L2" s="75"/>
      <c r="M2" s="75"/>
      <c r="N2" s="75"/>
      <c r="O2" s="75"/>
      <c r="P2" s="626" t="s">
        <v>1662</v>
      </c>
    </row>
    <row r="3" s="623" customFormat="1" ht="24" customHeight="1" spans="1:16">
      <c r="A3" s="623" t="str" cm="1">
        <f t="array" ref="A3">"工程名称："&amp;工程名称&amp;"  "&amp;工区</f>
        <v>工程名称：az  2</v>
      </c>
      <c r="B3" s="40"/>
      <c r="C3" s="40"/>
      <c r="D3" s="626"/>
      <c r="P3" s="626" t="s">
        <v>1252</v>
      </c>
    </row>
    <row r="4" s="693" customFormat="1" ht="30" customHeight="1" spans="1:17">
      <c r="A4" s="700" t="s">
        <v>1253</v>
      </c>
      <c r="B4" s="701" t="s">
        <v>1290</v>
      </c>
      <c r="C4" s="702" t="s">
        <v>1291</v>
      </c>
      <c r="D4" s="702" t="s">
        <v>1398</v>
      </c>
      <c r="E4" s="702" t="s">
        <v>1293</v>
      </c>
      <c r="F4" s="702" t="s">
        <v>60</v>
      </c>
      <c r="G4" s="702" t="s">
        <v>1399</v>
      </c>
      <c r="H4" s="702" t="s">
        <v>1400</v>
      </c>
      <c r="I4" s="731" t="s">
        <v>1256</v>
      </c>
      <c r="J4" s="702" t="s">
        <v>1401</v>
      </c>
      <c r="K4" s="702" t="s">
        <v>1402</v>
      </c>
      <c r="L4" s="702" t="s">
        <v>1257</v>
      </c>
      <c r="M4" s="702" t="s">
        <v>1403</v>
      </c>
      <c r="N4" s="702" t="s">
        <v>1404</v>
      </c>
      <c r="O4" s="702" t="s">
        <v>1258</v>
      </c>
      <c r="P4" s="702" t="s">
        <v>1260</v>
      </c>
      <c r="Q4" s="739" t="s">
        <v>1261</v>
      </c>
    </row>
    <row r="5" s="694" customFormat="1" ht="32.1" customHeight="1" spans="1:17">
      <c r="A5" s="703" t="s">
        <v>1303</v>
      </c>
      <c r="B5" s="704"/>
      <c r="C5" s="704"/>
      <c r="D5" s="705"/>
      <c r="E5" s="704"/>
      <c r="F5" s="704"/>
      <c r="G5" s="706"/>
      <c r="H5" s="706"/>
      <c r="I5" s="732"/>
      <c r="J5" s="706"/>
      <c r="K5" s="706"/>
      <c r="L5" s="733">
        <f>SUMPRODUCT((LEN($A$6:$A1000)=LEN($A$6))*1,L$6:L1000)</f>
        <v>10324079.4720245</v>
      </c>
      <c r="M5" s="706"/>
      <c r="N5" s="706"/>
      <c r="O5" s="706"/>
      <c r="P5" s="704"/>
      <c r="Q5" s="740"/>
    </row>
    <row r="6" s="695" customFormat="1" ht="22.15" customHeight="1" spans="1:19">
      <c r="A6" s="707" t="s">
        <v>1663</v>
      </c>
      <c r="B6" s="708"/>
      <c r="C6" s="708" t="s">
        <v>1664</v>
      </c>
      <c r="D6" s="709" t="s">
        <v>1664</v>
      </c>
      <c r="E6" s="710"/>
      <c r="F6" s="709"/>
      <c r="G6" s="709"/>
      <c r="H6" s="709"/>
      <c r="I6" s="709"/>
      <c r="J6" s="709"/>
      <c r="K6" s="709"/>
      <c r="L6" s="734">
        <f>SUMPRODUCT((LEFT($A7:$A$49,LEN($A6))=$A6)*1,(LEN($A7:$A$49)=LEN($A6)+3)*1,L7:L$49)</f>
        <v>6681880</v>
      </c>
      <c r="M6" s="734"/>
      <c r="N6" s="734"/>
      <c r="O6" s="734"/>
      <c r="P6" s="734">
        <f>SUMPRODUCT((LEFT($A7:$A$49,LEN($A6))=$A6)*1,(LEN($A7:$A$49)=LEN($A6)+3)*1,P7:P$49)</f>
        <v>0</v>
      </c>
      <c r="Q6" s="741"/>
      <c r="S6" s="694"/>
    </row>
    <row r="7" s="695" customFormat="1" ht="22.15" customHeight="1" outlineLevel="1" spans="1:19">
      <c r="A7" s="711" t="s">
        <v>1665</v>
      </c>
      <c r="B7" s="712"/>
      <c r="C7" s="709" t="s">
        <v>1664</v>
      </c>
      <c r="D7" s="713" t="s">
        <v>1666</v>
      </c>
      <c r="E7" s="714" t="s">
        <v>1667</v>
      </c>
      <c r="F7" s="713"/>
      <c r="G7" s="713"/>
      <c r="H7" s="713"/>
      <c r="I7" s="713"/>
      <c r="J7" s="713"/>
      <c r="K7" s="713"/>
      <c r="L7" s="734">
        <f>+'工作人员工资表(08-1表)'!O27</f>
        <v>6631880</v>
      </c>
      <c r="M7" s="734"/>
      <c r="N7" s="734"/>
      <c r="O7" s="734"/>
      <c r="P7" s="734"/>
      <c r="Q7" s="741"/>
      <c r="S7" s="694"/>
    </row>
    <row r="8" s="695" customFormat="1" ht="22.15" customHeight="1" outlineLevel="1" spans="1:19">
      <c r="A8" s="711" t="s">
        <v>1668</v>
      </c>
      <c r="B8" s="712"/>
      <c r="C8" s="709" t="s">
        <v>1664</v>
      </c>
      <c r="D8" s="713" t="s">
        <v>1669</v>
      </c>
      <c r="E8" s="714"/>
      <c r="F8" s="713"/>
      <c r="G8" s="713"/>
      <c r="H8" s="713"/>
      <c r="I8" s="713"/>
      <c r="J8" s="713"/>
      <c r="K8" s="713"/>
      <c r="L8" s="734">
        <v>50000</v>
      </c>
      <c r="M8" s="734"/>
      <c r="N8" s="734"/>
      <c r="O8" s="734"/>
      <c r="P8" s="734"/>
      <c r="Q8" s="742"/>
      <c r="S8" s="694"/>
    </row>
    <row r="9" s="695" customFormat="1" ht="22.15" customHeight="1" spans="1:19">
      <c r="A9" s="715" t="s">
        <v>1670</v>
      </c>
      <c r="B9" s="712"/>
      <c r="C9" s="713" t="s">
        <v>1671</v>
      </c>
      <c r="D9" s="713" t="s">
        <v>1671</v>
      </c>
      <c r="E9" s="714"/>
      <c r="F9" s="713"/>
      <c r="G9" s="713"/>
      <c r="H9" s="713"/>
      <c r="I9" s="713"/>
      <c r="J9" s="713"/>
      <c r="K9" s="713"/>
      <c r="L9" s="734">
        <f>SUMPRODUCT((LEFT($A10:$A$49,LEN($A9))=$A9)*1,(LEN($A10:$A$49)=LEN($A9)+3)*1,L10:L$49)</f>
        <v>100000</v>
      </c>
      <c r="M9" s="734"/>
      <c r="N9" s="734"/>
      <c r="O9" s="734"/>
      <c r="P9" s="734">
        <f>SUMPRODUCT((LEFT($A10:$A$49,LEN($A9))=$A9)*1,(LEN($A10:$A$49)=LEN($A9)+3)*1,P10:P$49)</f>
        <v>0</v>
      </c>
      <c r="Q9" s="742"/>
      <c r="S9" s="694"/>
    </row>
    <row r="10" s="695" customFormat="1" ht="22.15" customHeight="1" spans="1:19">
      <c r="A10" s="711" t="s">
        <v>1672</v>
      </c>
      <c r="B10" s="712"/>
      <c r="C10" s="713" t="s">
        <v>1671</v>
      </c>
      <c r="D10" s="713" t="s">
        <v>1671</v>
      </c>
      <c r="E10" s="714"/>
      <c r="F10" s="713"/>
      <c r="G10" s="713"/>
      <c r="H10" s="713"/>
      <c r="I10" s="713"/>
      <c r="J10" s="713"/>
      <c r="K10" s="713"/>
      <c r="L10" s="734">
        <v>100000</v>
      </c>
      <c r="M10" s="734"/>
      <c r="N10" s="734"/>
      <c r="O10" s="734"/>
      <c r="P10" s="734"/>
      <c r="Q10" s="742" t="s">
        <v>1673</v>
      </c>
      <c r="S10" s="694"/>
    </row>
    <row r="11" s="695" customFormat="1" ht="22.15" customHeight="1" spans="1:19">
      <c r="A11" s="715" t="s">
        <v>1674</v>
      </c>
      <c r="B11" s="712"/>
      <c r="C11" s="712" t="s">
        <v>1675</v>
      </c>
      <c r="D11" s="713" t="s">
        <v>1675</v>
      </c>
      <c r="E11" s="714"/>
      <c r="F11" s="713"/>
      <c r="G11" s="713"/>
      <c r="H11" s="713"/>
      <c r="I11" s="713"/>
      <c r="J11" s="713"/>
      <c r="K11" s="713"/>
      <c r="L11" s="735">
        <f>SUMPRODUCT((LEFT($A12:$A$49,LEN($A11))=$A11)*1,(LEN($A12:$A$49)=LEN($A11)+3)*1,L12:L$49)</f>
        <v>100000</v>
      </c>
      <c r="M11" s="735"/>
      <c r="N11" s="735"/>
      <c r="O11" s="735"/>
      <c r="P11" s="735">
        <f>SUMPRODUCT((LEFT($A12:$A$49,LEN($A11))=$A11)*1,(LEN($A12:$A$49)=LEN($A11)+3)*1,P12:P$49)</f>
        <v>0</v>
      </c>
      <c r="Q11" s="741"/>
      <c r="S11" s="694"/>
    </row>
    <row r="12" s="695" customFormat="1" ht="22.15" customHeight="1" outlineLevel="1" spans="1:19">
      <c r="A12" s="711" t="s">
        <v>1676</v>
      </c>
      <c r="B12" s="712"/>
      <c r="C12" s="713" t="s">
        <v>1675</v>
      </c>
      <c r="D12" s="713" t="s">
        <v>1677</v>
      </c>
      <c r="E12" s="714"/>
      <c r="F12" s="713"/>
      <c r="G12" s="713"/>
      <c r="H12" s="713"/>
      <c r="I12" s="713"/>
      <c r="J12" s="713"/>
      <c r="K12" s="713"/>
      <c r="L12" s="735">
        <v>100000</v>
      </c>
      <c r="M12" s="735"/>
      <c r="N12" s="735"/>
      <c r="O12" s="735"/>
      <c r="P12" s="734"/>
      <c r="Q12" s="742"/>
      <c r="S12" s="694"/>
    </row>
    <row r="13" s="695" customFormat="1" ht="22.15" customHeight="1" spans="1:19">
      <c r="A13" s="715" t="s">
        <v>1678</v>
      </c>
      <c r="B13" s="712"/>
      <c r="C13" s="713" t="s">
        <v>1679</v>
      </c>
      <c r="D13" s="713" t="s">
        <v>1679</v>
      </c>
      <c r="E13" s="714"/>
      <c r="F13" s="713"/>
      <c r="G13" s="713"/>
      <c r="H13" s="713"/>
      <c r="I13" s="713"/>
      <c r="J13" s="713"/>
      <c r="K13" s="713"/>
      <c r="L13" s="735">
        <f>SUMPRODUCT((LEFT($A14:$A$49,LEN($A13))=$A13)*1,(LEN($A14:$A$49)=LEN($A13)+3)*1,L14:L$49)</f>
        <v>0</v>
      </c>
      <c r="M13" s="734"/>
      <c r="N13" s="734"/>
      <c r="O13" s="734"/>
      <c r="P13" s="735">
        <f>SUMPRODUCT((LEFT($A14:$A$49,LEN($A13))=$A13)*1,(LEN($A14:$A$49)=LEN($A13)+3)*1,P14:P$49)</f>
        <v>0</v>
      </c>
      <c r="Q13" s="742"/>
      <c r="S13" s="694"/>
    </row>
    <row r="14" s="695" customFormat="1" ht="22.15" customHeight="1" spans="1:19">
      <c r="A14" s="711" t="s">
        <v>1680</v>
      </c>
      <c r="B14" s="712"/>
      <c r="C14" s="716" t="s">
        <v>1679</v>
      </c>
      <c r="D14" s="713" t="s">
        <v>1679</v>
      </c>
      <c r="E14" s="714"/>
      <c r="F14" s="713"/>
      <c r="G14" s="713"/>
      <c r="H14" s="713"/>
      <c r="I14" s="713"/>
      <c r="J14" s="713"/>
      <c r="K14" s="713"/>
      <c r="L14" s="734"/>
      <c r="M14" s="734"/>
      <c r="N14" s="734"/>
      <c r="O14" s="734"/>
      <c r="P14" s="734"/>
      <c r="Q14" s="742"/>
      <c r="S14" s="694"/>
    </row>
    <row r="15" s="695" customFormat="1" ht="22.15" customHeight="1" outlineLevel="1" spans="1:19">
      <c r="A15" s="715" t="s">
        <v>1681</v>
      </c>
      <c r="B15" s="712"/>
      <c r="C15" s="716" t="s">
        <v>1682</v>
      </c>
      <c r="D15" s="713" t="s">
        <v>1682</v>
      </c>
      <c r="E15" s="717" t="s">
        <v>1683</v>
      </c>
      <c r="F15" s="718"/>
      <c r="G15" s="718"/>
      <c r="H15" s="718"/>
      <c r="I15" s="718"/>
      <c r="J15" s="718"/>
      <c r="K15" s="718"/>
      <c r="L15" s="736"/>
      <c r="M15" s="736"/>
      <c r="N15" s="736"/>
      <c r="O15" s="736"/>
      <c r="P15" s="736"/>
      <c r="Q15" s="743"/>
      <c r="S15" s="694"/>
    </row>
    <row r="16" s="695" customFormat="1" ht="22.15" customHeight="1" spans="1:20">
      <c r="A16" s="715" t="s">
        <v>1684</v>
      </c>
      <c r="B16" s="712"/>
      <c r="C16" s="719" t="s">
        <v>1685</v>
      </c>
      <c r="D16" s="713" t="s">
        <v>1685</v>
      </c>
      <c r="E16" s="714"/>
      <c r="F16" s="713"/>
      <c r="G16" s="713"/>
      <c r="H16" s="713"/>
      <c r="I16" s="713"/>
      <c r="J16" s="713"/>
      <c r="K16" s="713"/>
      <c r="L16" s="734">
        <v>500000</v>
      </c>
      <c r="M16" s="734"/>
      <c r="N16" s="734"/>
      <c r="O16" s="734"/>
      <c r="P16" s="734">
        <f>SUMPRODUCT((LEFT($A17:$A$49,LEN($A16))=$A16)*1,(LEN($A17:$A$49)=LEN($A16)+3)*1,P17:P$49)</f>
        <v>0</v>
      </c>
      <c r="Q16" s="742"/>
      <c r="S16" s="694"/>
      <c r="T16" s="744"/>
    </row>
    <row r="17" s="695" customFormat="1" ht="22.15" customHeight="1" outlineLevel="1" spans="1:19">
      <c r="A17" s="711" t="s">
        <v>1686</v>
      </c>
      <c r="B17" s="712"/>
      <c r="C17" s="713" t="s">
        <v>1685</v>
      </c>
      <c r="D17" s="713" t="s">
        <v>1687</v>
      </c>
      <c r="E17" s="714" t="s">
        <v>1688</v>
      </c>
      <c r="F17" s="713"/>
      <c r="G17" s="713"/>
      <c r="H17" s="713"/>
      <c r="I17" s="713"/>
      <c r="J17" s="713"/>
      <c r="K17" s="713"/>
      <c r="L17" s="734">
        <v>50000</v>
      </c>
      <c r="M17" s="734"/>
      <c r="N17" s="734"/>
      <c r="O17" s="734"/>
      <c r="P17" s="734"/>
      <c r="Q17" s="742"/>
      <c r="S17" s="694" t="s">
        <v>1689</v>
      </c>
    </row>
    <row r="18" s="695" customFormat="1" ht="22.15" customHeight="1" outlineLevel="1" spans="1:19">
      <c r="A18" s="711" t="s">
        <v>1690</v>
      </c>
      <c r="B18" s="712"/>
      <c r="C18" s="713" t="s">
        <v>1685</v>
      </c>
      <c r="D18" s="713" t="s">
        <v>1691</v>
      </c>
      <c r="E18" s="714" t="s">
        <v>1692</v>
      </c>
      <c r="F18" s="713"/>
      <c r="G18" s="713"/>
      <c r="H18" s="713"/>
      <c r="I18" s="713"/>
      <c r="J18" s="713"/>
      <c r="K18" s="713"/>
      <c r="L18" s="734">
        <v>150000</v>
      </c>
      <c r="M18" s="734"/>
      <c r="N18" s="734"/>
      <c r="O18" s="734"/>
      <c r="P18" s="734"/>
      <c r="Q18" s="742"/>
      <c r="S18" s="694"/>
    </row>
    <row r="19" s="695" customFormat="1" ht="22.15" customHeight="1" outlineLevel="1" spans="1:19">
      <c r="A19" s="711" t="s">
        <v>1693</v>
      </c>
      <c r="B19" s="712"/>
      <c r="C19" s="713" t="s">
        <v>1685</v>
      </c>
      <c r="D19" s="713" t="s">
        <v>1644</v>
      </c>
      <c r="E19" s="714" t="s">
        <v>1694</v>
      </c>
      <c r="F19" s="713"/>
      <c r="G19" s="713"/>
      <c r="H19" s="713"/>
      <c r="I19" s="713"/>
      <c r="J19" s="713"/>
      <c r="K19" s="713"/>
      <c r="L19" s="734"/>
      <c r="M19" s="734"/>
      <c r="N19" s="734"/>
      <c r="O19" s="734"/>
      <c r="P19" s="734"/>
      <c r="Q19" s="742"/>
      <c r="S19" s="694"/>
    </row>
    <row r="20" s="695" customFormat="1" ht="22.15" customHeight="1" spans="1:19">
      <c r="A20" s="715" t="s">
        <v>1695</v>
      </c>
      <c r="B20" s="712"/>
      <c r="C20" s="719" t="s">
        <v>1696</v>
      </c>
      <c r="D20" s="713" t="s">
        <v>1696</v>
      </c>
      <c r="E20" s="714"/>
      <c r="F20" s="713"/>
      <c r="G20" s="713"/>
      <c r="H20" s="713"/>
      <c r="I20" s="713"/>
      <c r="J20" s="713"/>
      <c r="K20" s="713"/>
      <c r="L20" s="734">
        <f>SUMPRODUCT((LEFT($A21:$A$49,LEN($A20))=$A20)*1,(LEN($A21:$A$49)=LEN($A20)+3)*1,L21:L$49)</f>
        <v>450000</v>
      </c>
      <c r="M20" s="734"/>
      <c r="N20" s="734"/>
      <c r="O20" s="734"/>
      <c r="P20" s="734">
        <f>SUMPRODUCT((LEFT($A21:$A$49,LEN($A20))=$A20)*1,(LEN($A21:$A$49)=LEN($A20)+3)*1,P21:P$49)</f>
        <v>0</v>
      </c>
      <c r="Q20" s="742"/>
      <c r="S20" s="694"/>
    </row>
    <row r="21" s="695" customFormat="1" ht="22.15" customHeight="1" outlineLevel="1" spans="1:19">
      <c r="A21" s="711" t="s">
        <v>1697</v>
      </c>
      <c r="B21" s="712"/>
      <c r="C21" s="713" t="s">
        <v>1696</v>
      </c>
      <c r="D21" s="713" t="s">
        <v>1698</v>
      </c>
      <c r="E21" s="714"/>
      <c r="F21" s="713"/>
      <c r="G21" s="713"/>
      <c r="H21" s="713"/>
      <c r="I21" s="713"/>
      <c r="J21" s="713"/>
      <c r="K21" s="713"/>
      <c r="L21" s="735">
        <v>400000</v>
      </c>
      <c r="M21" s="735"/>
      <c r="N21" s="735"/>
      <c r="O21" s="735"/>
      <c r="P21" s="734"/>
      <c r="Q21" s="742"/>
      <c r="S21" s="694"/>
    </row>
    <row r="22" s="695" customFormat="1" ht="22.15" customHeight="1" spans="1:19">
      <c r="A22" s="711" t="s">
        <v>1699</v>
      </c>
      <c r="B22" s="713"/>
      <c r="C22" s="713" t="s">
        <v>1696</v>
      </c>
      <c r="D22" s="713" t="s">
        <v>1700</v>
      </c>
      <c r="E22" s="713"/>
      <c r="F22" s="713"/>
      <c r="G22" s="713"/>
      <c r="H22" s="713"/>
      <c r="I22" s="713"/>
      <c r="J22" s="713"/>
      <c r="K22" s="713"/>
      <c r="L22" s="735">
        <v>50000</v>
      </c>
      <c r="M22" s="735"/>
      <c r="N22" s="735"/>
      <c r="O22" s="735"/>
      <c r="P22" s="735"/>
      <c r="Q22" s="741"/>
      <c r="S22" s="694"/>
    </row>
    <row r="23" s="695" customFormat="1" ht="22.15" customHeight="1" spans="1:19">
      <c r="A23" s="715" t="s">
        <v>1701</v>
      </c>
      <c r="B23" s="712"/>
      <c r="C23" s="713" t="s">
        <v>1702</v>
      </c>
      <c r="D23" s="713" t="s">
        <v>1702</v>
      </c>
      <c r="E23" s="714"/>
      <c r="F23" s="713"/>
      <c r="G23" s="713"/>
      <c r="H23" s="713"/>
      <c r="I23" s="713"/>
      <c r="J23" s="713"/>
      <c r="K23" s="713"/>
      <c r="L23" s="734">
        <f>SUMPRODUCT((LEFT($A24:$A$49,LEN($A23))=$A23)*1,(LEN($A24:$A$49)=LEN($A23)+3)*1,L24:L$49)</f>
        <v>720000</v>
      </c>
      <c r="M23" s="734"/>
      <c r="N23" s="734"/>
      <c r="O23" s="734"/>
      <c r="P23" s="734">
        <f>SUMPRODUCT((LEFT($A24:$A$49,LEN($A23))=$A23)*1,(LEN($A24:$A$49)=LEN($A23)+3)*1,P24:P$49)</f>
        <v>0</v>
      </c>
      <c r="Q23" s="742"/>
      <c r="S23" s="694"/>
    </row>
    <row r="24" s="695" customFormat="1" ht="22.15" customHeight="1" spans="1:19">
      <c r="A24" s="711" t="s">
        <v>1703</v>
      </c>
      <c r="B24" s="712"/>
      <c r="C24" s="713" t="s">
        <v>1702</v>
      </c>
      <c r="D24" s="713" t="s">
        <v>1702</v>
      </c>
      <c r="E24" s="714" t="s">
        <v>1704</v>
      </c>
      <c r="F24" s="713"/>
      <c r="G24" s="713"/>
      <c r="H24" s="713"/>
      <c r="I24" s="713"/>
      <c r="J24" s="713"/>
      <c r="K24" s="713"/>
      <c r="L24" s="734">
        <f>630000/3</f>
        <v>210000</v>
      </c>
      <c r="M24" s="734"/>
      <c r="N24" s="734"/>
      <c r="O24" s="734"/>
      <c r="P24" s="734"/>
      <c r="Q24" s="742" t="s">
        <v>1705</v>
      </c>
      <c r="S24" s="694"/>
    </row>
    <row r="25" s="695" customFormat="1" ht="22.15" customHeight="1" spans="1:19">
      <c r="A25" s="711" t="s">
        <v>1706</v>
      </c>
      <c r="B25" s="712"/>
      <c r="C25" s="716" t="s">
        <v>1707</v>
      </c>
      <c r="D25" s="720" t="s">
        <v>1702</v>
      </c>
      <c r="E25" s="721" t="s">
        <v>1708</v>
      </c>
      <c r="F25" s="713"/>
      <c r="G25" s="713"/>
      <c r="H25" s="713"/>
      <c r="I25" s="713"/>
      <c r="J25" s="713"/>
      <c r="K25" s="713"/>
      <c r="L25" s="734">
        <v>510000</v>
      </c>
      <c r="M25" s="734"/>
      <c r="N25" s="734"/>
      <c r="O25" s="734"/>
      <c r="P25" s="734"/>
      <c r="Q25" s="742"/>
      <c r="S25" s="694"/>
    </row>
    <row r="26" s="695" customFormat="1" ht="22.15" customHeight="1" spans="1:19">
      <c r="A26" s="715" t="s">
        <v>1709</v>
      </c>
      <c r="B26" s="712"/>
      <c r="C26" s="719" t="s">
        <v>1710</v>
      </c>
      <c r="D26" s="713" t="s">
        <v>1710</v>
      </c>
      <c r="E26" s="714"/>
      <c r="F26" s="713"/>
      <c r="G26" s="713"/>
      <c r="H26" s="713"/>
      <c r="I26" s="713"/>
      <c r="J26" s="713"/>
      <c r="K26" s="713"/>
      <c r="L26" s="734">
        <f>SUMPRODUCT((LEFT($A27:$A$49,LEN($A26))=$A26)*1,(LEN($A27:$A$49)=LEN($A26)+3)*1,L27:L$49)</f>
        <v>304000</v>
      </c>
      <c r="M26" s="734"/>
      <c r="N26" s="734"/>
      <c r="O26" s="734"/>
      <c r="P26" s="734">
        <f>SUMPRODUCT((LEFT($A27:$A$49,LEN($A26))=$A26)*1,(LEN($A27:$A$49)=LEN($A26)+3)*1,P27:P$49)</f>
        <v>0</v>
      </c>
      <c r="Q26" s="742"/>
      <c r="S26" s="694"/>
    </row>
    <row r="27" s="695" customFormat="1" ht="22.15" customHeight="1" outlineLevel="1" spans="1:19">
      <c r="A27" s="711" t="s">
        <v>1711</v>
      </c>
      <c r="B27" s="712"/>
      <c r="C27" s="713" t="s">
        <v>1710</v>
      </c>
      <c r="D27" s="713" t="s">
        <v>1712</v>
      </c>
      <c r="E27" s="714"/>
      <c r="F27" s="713"/>
      <c r="G27" s="713"/>
      <c r="H27" s="713"/>
      <c r="I27" s="713"/>
      <c r="J27" s="713"/>
      <c r="K27" s="713"/>
      <c r="L27" s="734">
        <v>190000</v>
      </c>
      <c r="M27" s="734"/>
      <c r="N27" s="734"/>
      <c r="O27" s="734"/>
      <c r="P27" s="734"/>
      <c r="Q27" s="742" t="s">
        <v>1713</v>
      </c>
      <c r="S27" s="694"/>
    </row>
    <row r="28" s="695" customFormat="1" ht="22.15" customHeight="1" outlineLevel="1" spans="1:19">
      <c r="A28" s="711" t="s">
        <v>1714</v>
      </c>
      <c r="B28" s="712"/>
      <c r="C28" s="713" t="s">
        <v>1710</v>
      </c>
      <c r="D28" s="713" t="s">
        <v>1715</v>
      </c>
      <c r="E28" s="714"/>
      <c r="F28" s="713"/>
      <c r="G28" s="713"/>
      <c r="H28" s="713"/>
      <c r="I28" s="713"/>
      <c r="J28" s="713"/>
      <c r="K28" s="713"/>
      <c r="L28" s="734">
        <v>114000</v>
      </c>
      <c r="M28" s="734"/>
      <c r="N28" s="734"/>
      <c r="O28" s="734"/>
      <c r="P28" s="734"/>
      <c r="Q28" s="742"/>
      <c r="S28" s="694"/>
    </row>
    <row r="29" s="695" customFormat="1" ht="22.15" customHeight="1" outlineLevel="1" spans="1:19">
      <c r="A29" s="711" t="s">
        <v>1716</v>
      </c>
      <c r="B29" s="712"/>
      <c r="C29" s="713" t="s">
        <v>1710</v>
      </c>
      <c r="D29" s="713" t="s">
        <v>1717</v>
      </c>
      <c r="E29" s="714"/>
      <c r="F29" s="713"/>
      <c r="G29" s="713"/>
      <c r="H29" s="713"/>
      <c r="I29" s="713"/>
      <c r="J29" s="713"/>
      <c r="K29" s="713"/>
      <c r="L29" s="734"/>
      <c r="M29" s="734"/>
      <c r="N29" s="734"/>
      <c r="O29" s="734"/>
      <c r="P29" s="734"/>
      <c r="Q29" s="741"/>
      <c r="S29" s="694"/>
    </row>
    <row r="30" s="695" customFormat="1" ht="22.15" customHeight="1" outlineLevel="1" spans="1:19">
      <c r="A30" s="715" t="s">
        <v>1718</v>
      </c>
      <c r="B30" s="712"/>
      <c r="C30" s="716" t="s">
        <v>1719</v>
      </c>
      <c r="D30" s="713" t="s">
        <v>1719</v>
      </c>
      <c r="E30" s="717" t="s">
        <v>1720</v>
      </c>
      <c r="F30" s="718"/>
      <c r="G30" s="718"/>
      <c r="H30" s="718"/>
      <c r="I30" s="718"/>
      <c r="J30" s="718"/>
      <c r="K30" s="718"/>
      <c r="L30" s="736"/>
      <c r="M30" s="736"/>
      <c r="N30" s="736"/>
      <c r="O30" s="736"/>
      <c r="P30" s="736"/>
      <c r="Q30" s="743"/>
      <c r="S30" s="694"/>
    </row>
    <row r="31" s="695" customFormat="1" ht="22.15" customHeight="1" spans="1:19">
      <c r="A31" s="715" t="s">
        <v>1721</v>
      </c>
      <c r="B31" s="712"/>
      <c r="C31" s="713" t="s">
        <v>1722</v>
      </c>
      <c r="D31" s="713" t="s">
        <v>1722</v>
      </c>
      <c r="E31" s="714"/>
      <c r="F31" s="713"/>
      <c r="G31" s="713"/>
      <c r="H31" s="713"/>
      <c r="I31" s="713"/>
      <c r="J31" s="713"/>
      <c r="K31" s="713"/>
      <c r="L31" s="734">
        <f>SUMPRODUCT((LEFT($A32:$A$49,LEN($A31))=$A31)*1,(LEN($A32:$A$49)=LEN($A31)+3)*1,L32:L$49)</f>
        <v>520000</v>
      </c>
      <c r="M31" s="734"/>
      <c r="N31" s="734"/>
      <c r="O31" s="734"/>
      <c r="P31" s="734">
        <f>SUMPRODUCT((LEFT($A32:$A$49,LEN($A31))=$A31)*1,(LEN($A32:$A$49)=LEN($A31)+3)*1,P32:P$49)</f>
        <v>0</v>
      </c>
      <c r="Q31" s="741"/>
      <c r="S31" s="694"/>
    </row>
    <row r="32" s="695" customFormat="1" ht="22.15" customHeight="1" spans="1:19">
      <c r="A32" s="711" t="s">
        <v>1723</v>
      </c>
      <c r="B32" s="712"/>
      <c r="C32" s="713" t="s">
        <v>1722</v>
      </c>
      <c r="D32" s="713" t="s">
        <v>1724</v>
      </c>
      <c r="E32" s="714"/>
      <c r="F32" s="713"/>
      <c r="G32" s="713"/>
      <c r="H32" s="713"/>
      <c r="I32" s="713"/>
      <c r="J32" s="713"/>
      <c r="K32" s="713"/>
      <c r="L32" s="734">
        <v>520000</v>
      </c>
      <c r="M32" s="734"/>
      <c r="N32" s="734"/>
      <c r="O32" s="734"/>
      <c r="P32" s="734"/>
      <c r="Q32" s="741"/>
      <c r="S32" s="694"/>
    </row>
    <row r="33" s="695" customFormat="1" ht="22.15" customHeight="1" spans="1:19">
      <c r="A33" s="715" t="s">
        <v>1725</v>
      </c>
      <c r="B33" s="712"/>
      <c r="C33" s="719" t="s">
        <v>1726</v>
      </c>
      <c r="D33" s="713" t="s">
        <v>1726</v>
      </c>
      <c r="E33" s="714"/>
      <c r="F33" s="713"/>
      <c r="G33" s="713"/>
      <c r="H33" s="713"/>
      <c r="I33" s="713"/>
      <c r="J33" s="713"/>
      <c r="K33" s="713"/>
      <c r="L33" s="734">
        <f>SUMPRODUCT((LEFT($A34:$A$49,LEN($A33))=$A33)*1,(LEN($A34:$A$49)=LEN($A33)+3)*1,L34:L$49)</f>
        <v>400000</v>
      </c>
      <c r="M33" s="734"/>
      <c r="N33" s="734"/>
      <c r="O33" s="734"/>
      <c r="P33" s="734">
        <f>SUMPRODUCT((LEFT($A35:$A$49,LEN($A33))=$A33)*1,(LEN($A35:$A$49)=LEN($A33)+3)*1,P35:P$49)</f>
        <v>0</v>
      </c>
      <c r="Q33" s="741"/>
      <c r="S33" s="694"/>
    </row>
    <row r="34" s="695" customFormat="1" ht="22.15" customHeight="1" spans="1:19">
      <c r="A34" s="711" t="s">
        <v>1727</v>
      </c>
      <c r="B34" s="712"/>
      <c r="C34" s="713" t="s">
        <v>1726</v>
      </c>
      <c r="D34" s="713" t="s">
        <v>1728</v>
      </c>
      <c r="E34" s="714"/>
      <c r="F34" s="713"/>
      <c r="G34" s="713"/>
      <c r="H34" s="713"/>
      <c r="I34" s="713"/>
      <c r="J34" s="713"/>
      <c r="K34" s="713"/>
      <c r="L34" s="734">
        <v>200000</v>
      </c>
      <c r="M34" s="734"/>
      <c r="N34" s="734"/>
      <c r="O34" s="734"/>
      <c r="P34" s="734"/>
      <c r="Q34" s="741"/>
      <c r="S34" s="694"/>
    </row>
    <row r="35" s="695" customFormat="1" ht="22.15" customHeight="1" outlineLevel="1" spans="1:19">
      <c r="A35" s="711" t="s">
        <v>1729</v>
      </c>
      <c r="B35" s="712"/>
      <c r="C35" s="713" t="s">
        <v>1726</v>
      </c>
      <c r="D35" s="713" t="s">
        <v>1730</v>
      </c>
      <c r="E35" s="714" t="s">
        <v>1731</v>
      </c>
      <c r="F35" s="713"/>
      <c r="G35" s="713"/>
      <c r="H35" s="713"/>
      <c r="I35" s="713"/>
      <c r="J35" s="713"/>
      <c r="K35" s="713"/>
      <c r="L35" s="737">
        <v>0</v>
      </c>
      <c r="M35" s="734"/>
      <c r="N35" s="734"/>
      <c r="O35" s="734"/>
      <c r="P35" s="734"/>
      <c r="Q35" s="742"/>
      <c r="S35" s="694"/>
    </row>
    <row r="36" s="695" customFormat="1" ht="22.15" customHeight="1" outlineLevel="1" spans="1:19">
      <c r="A36" s="711" t="s">
        <v>1732</v>
      </c>
      <c r="B36" s="712"/>
      <c r="C36" s="713" t="s">
        <v>1726</v>
      </c>
      <c r="D36" s="713" t="s">
        <v>1733</v>
      </c>
      <c r="E36" s="714"/>
      <c r="F36" s="713"/>
      <c r="G36" s="713"/>
      <c r="H36" s="713"/>
      <c r="I36" s="713"/>
      <c r="J36" s="713"/>
      <c r="K36" s="713"/>
      <c r="L36" s="735">
        <v>200000</v>
      </c>
      <c r="M36" s="734"/>
      <c r="N36" s="734"/>
      <c r="O36" s="734"/>
      <c r="P36" s="734"/>
      <c r="Q36" s="741"/>
      <c r="S36" s="694"/>
    </row>
    <row r="37" s="695" customFormat="1" ht="22.15" customHeight="1" spans="1:19">
      <c r="A37" s="715" t="s">
        <v>1734</v>
      </c>
      <c r="B37" s="712"/>
      <c r="C37" s="719" t="s">
        <v>1735</v>
      </c>
      <c r="D37" s="713" t="s">
        <v>1735</v>
      </c>
      <c r="E37" s="714" t="s">
        <v>1736</v>
      </c>
      <c r="F37" s="713"/>
      <c r="G37" s="713"/>
      <c r="H37" s="713"/>
      <c r="I37" s="713"/>
      <c r="J37" s="713"/>
      <c r="K37" s="713"/>
      <c r="L37" s="734">
        <f>SUMPRODUCT((LEFT($A38:$A$49,LEN($A37))=$A37)*1,(LEN($A38:$A$49)=LEN($A37)+3)*1,L38:L$49)</f>
        <v>9395.376021</v>
      </c>
      <c r="M37" s="734"/>
      <c r="N37" s="734"/>
      <c r="O37" s="734"/>
      <c r="P37" s="734">
        <f>SUMPRODUCT((LEFT($A38:$A$49,LEN($A37))=$A37)*1,(LEN($A38:$A$49)=LEN($A37)+3)*1,P38:P$49)</f>
        <v>0</v>
      </c>
      <c r="Q37" s="741"/>
      <c r="S37" s="694"/>
    </row>
    <row r="38" s="695" customFormat="1" ht="22.15" customHeight="1" outlineLevel="1" spans="1:19">
      <c r="A38" s="711" t="s">
        <v>1737</v>
      </c>
      <c r="B38" s="712"/>
      <c r="C38" s="713" t="s">
        <v>1735</v>
      </c>
      <c r="D38" s="713" t="s">
        <v>1738</v>
      </c>
      <c r="E38" s="714"/>
      <c r="F38" s="713"/>
      <c r="G38" s="713"/>
      <c r="H38" s="713"/>
      <c r="I38" s="713"/>
      <c r="J38" s="713"/>
      <c r="K38" s="713"/>
      <c r="L38" s="734">
        <f>+'财务费用预算表(08-2表)'!F14+'财务费用预算表(08-2表)'!F15</f>
        <v>0</v>
      </c>
      <c r="M38" s="734"/>
      <c r="N38" s="734"/>
      <c r="O38" s="734"/>
      <c r="P38" s="734"/>
      <c r="Q38" s="741"/>
      <c r="S38" s="694"/>
    </row>
    <row r="39" s="695" customFormat="1" ht="22.15" customHeight="1" outlineLevel="1" spans="1:19">
      <c r="A39" s="711" t="s">
        <v>1739</v>
      </c>
      <c r="B39" s="712"/>
      <c r="C39" s="713" t="s">
        <v>1735</v>
      </c>
      <c r="D39" s="713" t="s">
        <v>1740</v>
      </c>
      <c r="E39" s="714"/>
      <c r="F39" s="713"/>
      <c r="G39" s="713"/>
      <c r="H39" s="713"/>
      <c r="I39" s="713"/>
      <c r="J39" s="713"/>
      <c r="K39" s="713"/>
      <c r="L39" s="734">
        <f>+'财务费用预算表(08-2表)'!F5+'财务费用预算表(08-2表)'!F9</f>
        <v>9395.376021</v>
      </c>
      <c r="M39" s="734"/>
      <c r="N39" s="734"/>
      <c r="O39" s="734"/>
      <c r="P39" s="734"/>
      <c r="Q39" s="741"/>
      <c r="S39" s="694"/>
    </row>
    <row r="40" s="695" customFormat="1" ht="22.15" customHeight="1" outlineLevel="1" spans="1:19">
      <c r="A40" s="711" t="s">
        <v>1741</v>
      </c>
      <c r="B40" s="712"/>
      <c r="C40" s="713" t="s">
        <v>1735</v>
      </c>
      <c r="D40" s="713" t="s">
        <v>1742</v>
      </c>
      <c r="E40" s="714"/>
      <c r="F40" s="713"/>
      <c r="G40" s="713"/>
      <c r="H40" s="713"/>
      <c r="I40" s="713"/>
      <c r="J40" s="713"/>
      <c r="K40" s="713"/>
      <c r="L40" s="734"/>
      <c r="M40" s="734"/>
      <c r="N40" s="734"/>
      <c r="O40" s="734"/>
      <c r="P40" s="734"/>
      <c r="Q40" s="741"/>
      <c r="S40" s="694"/>
    </row>
    <row r="41" s="695" customFormat="1" ht="22.15" customHeight="1" spans="1:19">
      <c r="A41" s="715" t="s">
        <v>1743</v>
      </c>
      <c r="B41" s="712"/>
      <c r="C41" s="719" t="s">
        <v>1744</v>
      </c>
      <c r="D41" s="713" t="s">
        <v>1745</v>
      </c>
      <c r="E41" s="714"/>
      <c r="F41" s="713"/>
      <c r="G41" s="713"/>
      <c r="H41" s="713"/>
      <c r="I41" s="713"/>
      <c r="J41" s="713"/>
      <c r="K41" s="713"/>
      <c r="L41" s="734">
        <f>SUMPRODUCT((LEFT($A42:$A$49,LEN($A41))=$A41)*1,(LEN($A42:$A$49)=LEN($A41)+3)*1,L42:L$49)</f>
        <v>99478.2</v>
      </c>
      <c r="M41" s="734"/>
      <c r="N41" s="734"/>
      <c r="O41" s="734"/>
      <c r="P41" s="734">
        <f>SUMPRODUCT((LEFT($A42:$A$49,LEN($A41))=$A41)*1,(LEN($A42:$A$49)=LEN($A41)+3)*1,P42:P$49)</f>
        <v>0</v>
      </c>
      <c r="Q41" s="741"/>
      <c r="R41" s="745"/>
      <c r="S41" s="694"/>
    </row>
    <row r="42" s="695" customFormat="1" ht="22.15" customHeight="1" outlineLevel="1" spans="1:19">
      <c r="A42" s="711" t="s">
        <v>1746</v>
      </c>
      <c r="B42" s="712"/>
      <c r="C42" s="713" t="s">
        <v>1745</v>
      </c>
      <c r="D42" s="713" t="s">
        <v>1747</v>
      </c>
      <c r="E42" s="717" t="s">
        <v>1748</v>
      </c>
      <c r="F42" s="718"/>
      <c r="G42" s="718"/>
      <c r="H42" s="718"/>
      <c r="I42" s="718"/>
      <c r="J42" s="718"/>
      <c r="K42" s="718"/>
      <c r="L42" s="736">
        <f>+L7*0.015</f>
        <v>99478.2</v>
      </c>
      <c r="M42" s="736"/>
      <c r="N42" s="736"/>
      <c r="O42" s="736"/>
      <c r="P42" s="736"/>
      <c r="Q42" s="746"/>
      <c r="S42" s="694"/>
    </row>
    <row r="43" s="695" customFormat="1" ht="22.15" customHeight="1" outlineLevel="1" spans="1:19">
      <c r="A43" s="711" t="s">
        <v>1749</v>
      </c>
      <c r="B43" s="712"/>
      <c r="C43" s="713" t="s">
        <v>1745</v>
      </c>
      <c r="D43" s="713" t="s">
        <v>1750</v>
      </c>
      <c r="E43" s="717"/>
      <c r="F43" s="718"/>
      <c r="G43" s="718"/>
      <c r="H43" s="718"/>
      <c r="I43" s="718"/>
      <c r="J43" s="718"/>
      <c r="K43" s="718"/>
      <c r="L43" s="736"/>
      <c r="M43" s="736"/>
      <c r="N43" s="736"/>
      <c r="O43" s="736"/>
      <c r="P43" s="736"/>
      <c r="Q43" s="743"/>
      <c r="S43" s="694"/>
    </row>
    <row r="44" s="695" customFormat="1" ht="22.15" customHeight="1" spans="1:19">
      <c r="A44" s="715" t="s">
        <v>1751</v>
      </c>
      <c r="B44" s="712"/>
      <c r="C44" s="719" t="s">
        <v>1752</v>
      </c>
      <c r="D44" s="713" t="s">
        <v>1752</v>
      </c>
      <c r="E44" s="717"/>
      <c r="F44" s="718"/>
      <c r="G44" s="718"/>
      <c r="H44" s="718"/>
      <c r="I44" s="718"/>
      <c r="J44" s="718"/>
      <c r="K44" s="718"/>
      <c r="L44" s="736">
        <f>SUMPRODUCT((LEFT($A45:$A$49,LEN($A44))=$A44)*1,(LEN($A45:$A$49)=LEN($A44)+3)*1,L45:L$49)</f>
        <v>1565.8960035</v>
      </c>
      <c r="M44" s="736"/>
      <c r="N44" s="736"/>
      <c r="O44" s="736"/>
      <c r="P44" s="736">
        <f>SUMPRODUCT((LEFT($A45:$A$49,LEN($A44))=$A44)*1,(LEN($A45:$A$49)=LEN($A44)+3)*1,P45:P$49)</f>
        <v>0</v>
      </c>
      <c r="Q44" s="743"/>
      <c r="S44" s="694"/>
    </row>
    <row r="45" s="695" customFormat="1" ht="22.15" customHeight="1" outlineLevel="1" spans="1:19">
      <c r="A45" s="711" t="s">
        <v>1753</v>
      </c>
      <c r="B45" s="712"/>
      <c r="C45" s="713" t="s">
        <v>1752</v>
      </c>
      <c r="D45" s="713" t="s">
        <v>1754</v>
      </c>
      <c r="E45" s="717"/>
      <c r="F45" s="718"/>
      <c r="G45" s="718"/>
      <c r="H45" s="718"/>
      <c r="I45" s="718"/>
      <c r="J45" s="718"/>
      <c r="K45" s="718"/>
      <c r="L45" s="736">
        <f>'分项对比表(02表)'!I70*0.12</f>
        <v>0</v>
      </c>
      <c r="M45" s="736"/>
      <c r="N45" s="736"/>
      <c r="O45" s="736"/>
      <c r="P45" s="736"/>
      <c r="Q45" s="747" t="s">
        <v>1755</v>
      </c>
      <c r="R45" s="748"/>
      <c r="S45" s="694"/>
    </row>
    <row r="46" s="695" customFormat="1" ht="22.15" customHeight="1" outlineLevel="1" spans="1:19">
      <c r="A46" s="711" t="s">
        <v>1756</v>
      </c>
      <c r="B46" s="712"/>
      <c r="C46" s="713" t="s">
        <v>1752</v>
      </c>
      <c r="D46" s="713" t="s">
        <v>1757</v>
      </c>
      <c r="E46" s="717"/>
      <c r="F46" s="718"/>
      <c r="G46" s="718"/>
      <c r="H46" s="718"/>
      <c r="I46" s="718"/>
      <c r="J46" s="718"/>
      <c r="K46" s="718"/>
      <c r="L46" s="718">
        <f>'分项对比表(02表)'!I5*0.0003</f>
        <v>1565.8960035</v>
      </c>
      <c r="M46" s="736"/>
      <c r="N46" s="736"/>
      <c r="O46" s="736"/>
      <c r="P46" s="736"/>
      <c r="Q46" s="743"/>
      <c r="S46" s="694"/>
    </row>
    <row r="47" s="695" customFormat="1" ht="22.15" customHeight="1" outlineLevel="1" spans="1:19">
      <c r="A47" s="711" t="s">
        <v>1758</v>
      </c>
      <c r="B47" s="712"/>
      <c r="C47" s="713" t="s">
        <v>1752</v>
      </c>
      <c r="D47" s="713" t="s">
        <v>1759</v>
      </c>
      <c r="E47" s="717"/>
      <c r="F47" s="718"/>
      <c r="G47" s="718"/>
      <c r="H47" s="718"/>
      <c r="I47" s="718"/>
      <c r="J47" s="718"/>
      <c r="K47" s="718"/>
      <c r="L47" s="718"/>
      <c r="M47" s="736"/>
      <c r="N47" s="736"/>
      <c r="O47" s="736"/>
      <c r="P47" s="736"/>
      <c r="Q47" s="743"/>
      <c r="S47" s="694"/>
    </row>
    <row r="48" s="695" customFormat="1" ht="22.15" customHeight="1" outlineLevel="1" spans="1:19">
      <c r="A48" s="715" t="s">
        <v>1760</v>
      </c>
      <c r="B48" s="712"/>
      <c r="C48" s="716" t="s">
        <v>1644</v>
      </c>
      <c r="D48" s="713" t="s">
        <v>1644</v>
      </c>
      <c r="E48" s="717"/>
      <c r="F48" s="718"/>
      <c r="G48" s="718"/>
      <c r="H48" s="718"/>
      <c r="I48" s="718"/>
      <c r="J48" s="718"/>
      <c r="K48" s="718"/>
      <c r="L48" s="736">
        <f>SUMPRODUCT((LEFT($A49:$A$49,LEN($A48))=$A48)*1,(LEN($A49:$A$49)=LEN($A48)+3)*1,L49:L$49)</f>
        <v>437760</v>
      </c>
      <c r="M48" s="736"/>
      <c r="N48" s="736"/>
      <c r="O48" s="736"/>
      <c r="P48" s="736">
        <f>SUMPRODUCT((LEFT($A49:$A$49,LEN($A48))=$A48)*1,(LEN($A49:$A$49)=LEN($A48)+3)*1,P49:P$49)</f>
        <v>0</v>
      </c>
      <c r="Q48" s="743"/>
      <c r="S48" s="694"/>
    </row>
    <row r="49" s="695" customFormat="1" ht="22.15" customHeight="1" outlineLevel="1" spans="1:19">
      <c r="A49" s="722" t="s">
        <v>1761</v>
      </c>
      <c r="B49" s="723"/>
      <c r="C49" s="724"/>
      <c r="D49" s="725" t="s">
        <v>1762</v>
      </c>
      <c r="E49" s="726"/>
      <c r="F49" s="727"/>
      <c r="G49" s="727"/>
      <c r="H49" s="727"/>
      <c r="I49" s="727"/>
      <c r="J49" s="727"/>
      <c r="K49" s="727"/>
      <c r="L49" s="738">
        <f>'工作人员工资表(08-1表)'!C27*38*30*16</f>
        <v>437760</v>
      </c>
      <c r="M49" s="738"/>
      <c r="N49" s="738"/>
      <c r="O49" s="738"/>
      <c r="P49" s="738">
        <v>0</v>
      </c>
      <c r="Q49" s="749"/>
      <c r="S49" s="694"/>
    </row>
    <row r="50" s="696" customFormat="1" ht="13.5" customHeight="1" spans="1:3">
      <c r="A50" s="728"/>
      <c r="B50" s="728"/>
      <c r="C50" s="728"/>
    </row>
    <row r="51" spans="1:3">
      <c r="A51" s="729"/>
      <c r="B51" s="617"/>
      <c r="C51" s="617"/>
    </row>
    <row r="52" spans="1:17">
      <c r="A52" s="729"/>
      <c r="B52" s="617"/>
      <c r="C52" s="617"/>
      <c r="D52" s="617"/>
      <c r="E52" s="617"/>
      <c r="F52" s="617"/>
      <c r="G52" s="617"/>
      <c r="H52" s="617"/>
      <c r="I52" s="617"/>
      <c r="J52" s="617"/>
      <c r="K52" s="617"/>
      <c r="L52" s="617"/>
      <c r="M52" s="617"/>
      <c r="N52" s="617"/>
      <c r="O52" s="617"/>
      <c r="P52" s="617"/>
      <c r="Q52" s="617"/>
    </row>
    <row r="53" spans="1:17">
      <c r="A53" s="729"/>
      <c r="B53" s="617"/>
      <c r="C53" s="617"/>
      <c r="D53" s="617"/>
      <c r="E53" s="617"/>
      <c r="F53" s="617"/>
      <c r="G53" s="617"/>
      <c r="H53" s="617"/>
      <c r="I53" s="617"/>
      <c r="J53" s="617"/>
      <c r="K53" s="617"/>
      <c r="L53" s="617"/>
      <c r="M53" s="617"/>
      <c r="N53" s="617"/>
      <c r="O53" s="617"/>
      <c r="P53" s="617"/>
      <c r="Q53" s="617"/>
    </row>
    <row r="54" spans="1:17">
      <c r="A54" s="729"/>
      <c r="B54" s="617"/>
      <c r="C54" s="617"/>
      <c r="D54" s="617"/>
      <c r="E54" s="617"/>
      <c r="F54" s="617"/>
      <c r="G54" s="617"/>
      <c r="H54" s="617"/>
      <c r="I54" s="617"/>
      <c r="J54" s="617"/>
      <c r="K54" s="617"/>
      <c r="L54" s="617"/>
      <c r="M54" s="617"/>
      <c r="N54" s="617"/>
      <c r="O54" s="617"/>
      <c r="P54" s="617"/>
      <c r="Q54" s="617"/>
    </row>
    <row r="55" spans="1:17">
      <c r="A55" s="729"/>
      <c r="B55" s="617"/>
      <c r="C55" s="617"/>
      <c r="D55" s="617"/>
      <c r="E55" s="617"/>
      <c r="F55" s="617"/>
      <c r="G55" s="617"/>
      <c r="H55" s="617"/>
      <c r="I55" s="617"/>
      <c r="J55" s="617"/>
      <c r="K55" s="617"/>
      <c r="L55" s="617"/>
      <c r="M55" s="617"/>
      <c r="N55" s="617"/>
      <c r="O55" s="617"/>
      <c r="P55" s="617"/>
      <c r="Q55" s="617"/>
    </row>
    <row r="56" spans="1:17">
      <c r="A56" s="729"/>
      <c r="B56" s="617"/>
      <c r="C56" s="617"/>
      <c r="D56" s="617"/>
      <c r="E56" s="617"/>
      <c r="F56" s="617"/>
      <c r="G56" s="617"/>
      <c r="H56" s="617"/>
      <c r="I56" s="617"/>
      <c r="J56" s="617"/>
      <c r="K56" s="617"/>
      <c r="L56" s="617"/>
      <c r="M56" s="617"/>
      <c r="N56" s="617"/>
      <c r="O56" s="617"/>
      <c r="P56" s="617"/>
      <c r="Q56" s="617"/>
    </row>
    <row r="57" spans="1:17">
      <c r="A57" s="729"/>
      <c r="B57" s="730"/>
      <c r="C57" s="730"/>
      <c r="D57" s="730"/>
      <c r="E57" s="730"/>
      <c r="F57" s="730"/>
      <c r="G57" s="730"/>
      <c r="H57" s="730"/>
      <c r="I57" s="730"/>
      <c r="J57" s="730"/>
      <c r="K57" s="730"/>
      <c r="L57" s="730"/>
      <c r="M57" s="730"/>
      <c r="N57" s="730"/>
      <c r="O57" s="730"/>
      <c r="P57" s="730"/>
      <c r="Q57" s="730"/>
    </row>
    <row r="58" spans="1:3">
      <c r="A58" s="617"/>
      <c r="B58" s="617"/>
      <c r="C58" s="617"/>
    </row>
    <row r="59" spans="1:3">
      <c r="A59" s="617"/>
      <c r="B59" s="617"/>
      <c r="C59" s="617"/>
    </row>
    <row r="60" spans="1:3">
      <c r="A60" s="617"/>
      <c r="B60" s="617"/>
      <c r="C60" s="617"/>
    </row>
    <row r="61" spans="1:3">
      <c r="A61" s="617"/>
      <c r="B61" s="617"/>
      <c r="C61" s="617"/>
    </row>
    <row r="62" spans="1:3">
      <c r="A62" s="617"/>
      <c r="B62" s="617"/>
      <c r="C62" s="617"/>
    </row>
  </sheetData>
  <sheetProtection formatCells="0" insertHyperlinks="0" autoFilter="0"/>
  <autoFilter xmlns:etc="http://www.wps.cn/officeDocument/2017/etCustomData" ref="A4:Q49" etc:filterBottomFollowUsedRange="0">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56" customWidth="1"/>
    <col min="2" max="2" width="12.125" style="656" customWidth="1"/>
    <col min="3" max="3" width="4.875" style="657" customWidth="1"/>
    <col min="4" max="4" width="13.375" style="657" customWidth="1"/>
    <col min="5" max="5" width="8.125" style="657" customWidth="1"/>
    <col min="6" max="6" width="9.125" style="657" customWidth="1"/>
    <col min="7" max="7" width="8.125" style="657" customWidth="1"/>
    <col min="8" max="8" width="8.25" style="657" customWidth="1"/>
    <col min="9" max="10" width="9.875" style="657" customWidth="1"/>
    <col min="11" max="11" width="8.75" style="657" customWidth="1"/>
    <col min="12" max="12" width="9.875" style="657" customWidth="1"/>
    <col min="13" max="13" width="10.625" style="657" customWidth="1"/>
    <col min="14" max="14" width="9.875" style="657" customWidth="1"/>
    <col min="15" max="15" width="9.75" style="657" customWidth="1"/>
    <col min="16" max="16" width="5.25" style="657" customWidth="1"/>
    <col min="17" max="16384" width="8" style="657"/>
  </cols>
  <sheetData>
    <row r="1" ht="22.5" spans="1:14">
      <c r="A1" s="73"/>
      <c r="B1" s="73"/>
      <c r="C1" s="73"/>
      <c r="D1" s="73"/>
      <c r="E1" s="73"/>
      <c r="F1" s="73"/>
      <c r="G1" s="73"/>
      <c r="H1" s="73"/>
      <c r="I1" s="73"/>
      <c r="J1" s="73"/>
      <c r="K1" s="73"/>
      <c r="L1" s="73"/>
      <c r="M1" s="73"/>
      <c r="N1" s="73"/>
    </row>
    <row r="2" s="623" customFormat="1" ht="22.5" spans="1:16">
      <c r="A2" s="624" t="s">
        <v>1763</v>
      </c>
      <c r="B2" s="624"/>
      <c r="C2" s="624"/>
      <c r="D2" s="624"/>
      <c r="E2" s="624"/>
      <c r="F2" s="624"/>
      <c r="G2" s="624"/>
      <c r="H2" s="624"/>
      <c r="I2" s="624"/>
      <c r="J2" s="624"/>
      <c r="K2" s="624"/>
      <c r="L2" s="624"/>
      <c r="M2" s="624"/>
      <c r="N2" s="624"/>
      <c r="O2" s="624"/>
      <c r="P2" s="624"/>
    </row>
    <row r="3" s="623" customFormat="1" ht="14.1" customHeight="1" spans="1:16">
      <c r="A3" s="75" t="str" cm="1">
        <f t="array" ref="A3">"工程名称："&amp;工程名称&amp;"  "&amp;工区</f>
        <v>工程名称：az  2</v>
      </c>
      <c r="B3" s="75"/>
      <c r="C3" s="75"/>
      <c r="D3" s="75"/>
      <c r="E3" s="75"/>
      <c r="F3" s="75"/>
      <c r="G3" s="75"/>
      <c r="H3" s="75"/>
      <c r="I3" s="75"/>
      <c r="J3" s="75"/>
      <c r="K3" s="75"/>
      <c r="L3" s="75"/>
      <c r="M3" s="75"/>
      <c r="N3" s="75"/>
      <c r="O3" s="75"/>
      <c r="P3" s="625" t="s">
        <v>1764</v>
      </c>
    </row>
    <row r="4" s="623" customFormat="1" ht="15.95" customHeight="1" spans="2:16">
      <c r="B4" s="626"/>
      <c r="O4" s="75"/>
      <c r="P4" s="625" t="s">
        <v>1252</v>
      </c>
    </row>
    <row r="5" s="623" customFormat="1" ht="26.1" customHeight="1" spans="1:16">
      <c r="A5" s="658" t="s">
        <v>1253</v>
      </c>
      <c r="B5" s="659" t="s">
        <v>1765</v>
      </c>
      <c r="C5" s="660" t="s">
        <v>1766</v>
      </c>
      <c r="D5" s="659" t="s">
        <v>1767</v>
      </c>
      <c r="E5" s="659" t="s">
        <v>1768</v>
      </c>
      <c r="F5" s="661" t="s">
        <v>1769</v>
      </c>
      <c r="G5" s="662"/>
      <c r="H5" s="662"/>
      <c r="I5" s="662"/>
      <c r="J5" s="662"/>
      <c r="K5" s="662"/>
      <c r="L5" s="662"/>
      <c r="M5" s="662"/>
      <c r="N5" s="684"/>
      <c r="O5" s="685" t="s">
        <v>1770</v>
      </c>
      <c r="P5" s="686" t="s">
        <v>1261</v>
      </c>
    </row>
    <row r="6" s="623" customFormat="1" ht="28.15" customHeight="1" spans="1:16">
      <c r="A6" s="663"/>
      <c r="B6" s="664"/>
      <c r="C6" s="665"/>
      <c r="D6" s="664"/>
      <c r="E6" s="664"/>
      <c r="F6" s="666" t="s">
        <v>1771</v>
      </c>
      <c r="G6" s="666" t="s">
        <v>1772</v>
      </c>
      <c r="H6" s="666" t="s">
        <v>1773</v>
      </c>
      <c r="I6" s="666" t="s">
        <v>1774</v>
      </c>
      <c r="J6" s="666" t="s">
        <v>1775</v>
      </c>
      <c r="K6" s="666" t="s">
        <v>1776</v>
      </c>
      <c r="L6" s="666" t="s">
        <v>1777</v>
      </c>
      <c r="M6" s="666" t="s">
        <v>1778</v>
      </c>
      <c r="N6" s="666" t="s">
        <v>1779</v>
      </c>
      <c r="O6" s="687"/>
      <c r="P6" s="688"/>
    </row>
    <row r="7" s="623" customFormat="1" ht="30" customHeight="1" spans="1:16">
      <c r="A7" s="663" t="s">
        <v>1780</v>
      </c>
      <c r="B7" s="667" t="s">
        <v>1781</v>
      </c>
      <c r="C7" s="665"/>
      <c r="D7" s="664" t="s">
        <v>1782</v>
      </c>
      <c r="E7" s="636">
        <v>21</v>
      </c>
      <c r="H7" s="666"/>
      <c r="I7" s="666"/>
      <c r="J7" s="666"/>
      <c r="K7" s="666"/>
      <c r="L7" s="689"/>
      <c r="M7" s="689"/>
      <c r="N7" s="636"/>
      <c r="O7" s="636"/>
      <c r="P7" s="688"/>
    </row>
    <row r="8" s="623" customFormat="1" ht="20.1" customHeight="1" spans="1:16">
      <c r="A8" s="635">
        <v>1</v>
      </c>
      <c r="B8" s="667" t="s">
        <v>1783</v>
      </c>
      <c r="C8" s="668">
        <v>1</v>
      </c>
      <c r="D8" s="636"/>
      <c r="E8" s="636">
        <v>18</v>
      </c>
      <c r="F8" s="669">
        <v>2100</v>
      </c>
      <c r="G8" s="669">
        <v>5000</v>
      </c>
      <c r="H8" s="636">
        <v>500</v>
      </c>
      <c r="I8" s="636"/>
      <c r="J8" s="636">
        <v>5200</v>
      </c>
      <c r="K8" s="636">
        <v>5200</v>
      </c>
      <c r="L8" s="636">
        <v>5800</v>
      </c>
      <c r="M8" s="636"/>
      <c r="N8" s="636">
        <f>+L8+K8+J8+H8+G8+F8</f>
        <v>23800</v>
      </c>
      <c r="O8" s="636">
        <f>+N8*E8*C8</f>
        <v>428400</v>
      </c>
      <c r="P8" s="640"/>
    </row>
    <row r="9" s="623" customFormat="1" ht="20.1" customHeight="1" spans="1:16">
      <c r="A9" s="635">
        <v>2</v>
      </c>
      <c r="B9" s="670" t="s">
        <v>1784</v>
      </c>
      <c r="C9" s="668">
        <v>1</v>
      </c>
      <c r="D9" s="636"/>
      <c r="E9" s="636">
        <v>18</v>
      </c>
      <c r="F9" s="636">
        <v>2100</v>
      </c>
      <c r="G9" s="636">
        <v>4100</v>
      </c>
      <c r="H9" s="636">
        <v>500</v>
      </c>
      <c r="I9" s="636"/>
      <c r="J9" s="636">
        <v>5040</v>
      </c>
      <c r="K9" s="636">
        <v>4300</v>
      </c>
      <c r="L9" s="636">
        <v>5800</v>
      </c>
      <c r="M9" s="636"/>
      <c r="N9" s="636">
        <f>+L9+K9+J9+H9+G9+F9</f>
        <v>21840</v>
      </c>
      <c r="O9" s="636">
        <f>+N9*E9*C9</f>
        <v>393120</v>
      </c>
      <c r="P9" s="640"/>
    </row>
    <row r="10" s="623" customFormat="1" ht="20.1" customHeight="1" spans="1:16">
      <c r="A10" s="635">
        <v>3</v>
      </c>
      <c r="B10" s="670" t="s">
        <v>1785</v>
      </c>
      <c r="C10" s="668">
        <v>1</v>
      </c>
      <c r="D10" s="636"/>
      <c r="E10" s="636">
        <v>15</v>
      </c>
      <c r="F10" s="636">
        <v>2100</v>
      </c>
      <c r="G10" s="636">
        <v>4100</v>
      </c>
      <c r="H10" s="636">
        <v>500</v>
      </c>
      <c r="I10" s="636"/>
      <c r="J10" s="636">
        <v>5040</v>
      </c>
      <c r="K10" s="636">
        <v>4300</v>
      </c>
      <c r="L10" s="636">
        <v>5800</v>
      </c>
      <c r="M10" s="636"/>
      <c r="N10" s="636">
        <f>+L10+K10+J10+H10+G10+F10</f>
        <v>21840</v>
      </c>
      <c r="O10" s="636">
        <f>+N10*E10*C10</f>
        <v>327600</v>
      </c>
      <c r="P10" s="640"/>
    </row>
    <row r="11" s="623" customFormat="1" ht="20.1" customHeight="1" spans="1:16">
      <c r="A11" s="635">
        <v>4</v>
      </c>
      <c r="B11" s="670" t="s">
        <v>1786</v>
      </c>
      <c r="C11" s="668">
        <v>2</v>
      </c>
      <c r="D11" s="636"/>
      <c r="E11" s="636">
        <v>15</v>
      </c>
      <c r="F11" s="636">
        <v>2100</v>
      </c>
      <c r="G11" s="636">
        <v>4100</v>
      </c>
      <c r="H11" s="636">
        <v>500</v>
      </c>
      <c r="I11" s="636"/>
      <c r="J11" s="636">
        <v>5040</v>
      </c>
      <c r="K11" s="636">
        <v>4300</v>
      </c>
      <c r="L11" s="636">
        <v>5800</v>
      </c>
      <c r="M11" s="636"/>
      <c r="N11" s="636">
        <f t="shared" ref="N11:N19" si="0">+L11+K11+J11+H11+G11+F11</f>
        <v>21840</v>
      </c>
      <c r="O11" s="636">
        <f t="shared" ref="O11:O19" si="1">+N11*E11*C11</f>
        <v>655200</v>
      </c>
      <c r="P11" s="640"/>
    </row>
    <row r="12" s="623" customFormat="1" ht="20.1" customHeight="1" spans="1:16">
      <c r="A12" s="635">
        <v>5</v>
      </c>
      <c r="B12" s="670" t="s">
        <v>1787</v>
      </c>
      <c r="C12" s="671">
        <v>2</v>
      </c>
      <c r="D12" s="636"/>
      <c r="E12" s="636">
        <v>15</v>
      </c>
      <c r="F12" s="636">
        <v>2100</v>
      </c>
      <c r="G12" s="636">
        <v>3100</v>
      </c>
      <c r="H12" s="636">
        <v>500</v>
      </c>
      <c r="I12" s="636"/>
      <c r="J12" s="636">
        <v>4880</v>
      </c>
      <c r="K12" s="636">
        <v>3700</v>
      </c>
      <c r="L12" s="636">
        <v>4700</v>
      </c>
      <c r="M12" s="636"/>
      <c r="N12" s="636">
        <f t="shared" si="0"/>
        <v>18980</v>
      </c>
      <c r="O12" s="636">
        <f t="shared" si="1"/>
        <v>569400</v>
      </c>
      <c r="P12" s="640"/>
    </row>
    <row r="13" s="623" customFormat="1" ht="25.15" customHeight="1" spans="1:16">
      <c r="A13" s="635">
        <v>6</v>
      </c>
      <c r="B13" s="670" t="s">
        <v>1788</v>
      </c>
      <c r="C13" s="671">
        <v>2</v>
      </c>
      <c r="D13" s="636"/>
      <c r="E13" s="636">
        <v>15</v>
      </c>
      <c r="F13" s="636">
        <v>2100</v>
      </c>
      <c r="G13" s="636">
        <v>2400</v>
      </c>
      <c r="H13" s="636">
        <v>500</v>
      </c>
      <c r="I13" s="636"/>
      <c r="J13" s="636">
        <v>4600</v>
      </c>
      <c r="K13" s="636">
        <v>2800</v>
      </c>
      <c r="L13" s="636">
        <v>4700</v>
      </c>
      <c r="M13" s="636"/>
      <c r="N13" s="636">
        <f t="shared" si="0"/>
        <v>17100</v>
      </c>
      <c r="O13" s="636">
        <f t="shared" si="1"/>
        <v>513000</v>
      </c>
      <c r="P13" s="640"/>
    </row>
    <row r="14" s="623" customFormat="1" ht="25.15" customHeight="1" spans="1:16">
      <c r="A14" s="635">
        <v>7</v>
      </c>
      <c r="B14" s="670" t="s">
        <v>1789</v>
      </c>
      <c r="C14" s="671">
        <v>4</v>
      </c>
      <c r="D14" s="636"/>
      <c r="E14" s="636">
        <v>16</v>
      </c>
      <c r="F14" s="636">
        <v>2100</v>
      </c>
      <c r="G14" s="636">
        <v>3100</v>
      </c>
      <c r="H14" s="636">
        <v>500</v>
      </c>
      <c r="I14" s="636"/>
      <c r="J14" s="636">
        <v>4880</v>
      </c>
      <c r="K14" s="636">
        <v>3700</v>
      </c>
      <c r="L14" s="636">
        <v>4700</v>
      </c>
      <c r="M14" s="636"/>
      <c r="N14" s="636">
        <f t="shared" si="0"/>
        <v>18980</v>
      </c>
      <c r="O14" s="636">
        <f t="shared" si="1"/>
        <v>1214720</v>
      </c>
      <c r="P14" s="640"/>
    </row>
    <row r="15" s="623" customFormat="1" ht="25.15" customHeight="1" spans="1:16">
      <c r="A15" s="635">
        <v>8</v>
      </c>
      <c r="B15" s="670" t="s">
        <v>1790</v>
      </c>
      <c r="C15" s="671">
        <v>1</v>
      </c>
      <c r="D15" s="636"/>
      <c r="E15" s="636">
        <v>18</v>
      </c>
      <c r="F15" s="636">
        <v>2100</v>
      </c>
      <c r="G15" s="636">
        <v>2400</v>
      </c>
      <c r="H15" s="636">
        <v>500</v>
      </c>
      <c r="I15" s="636"/>
      <c r="J15" s="636">
        <v>4600</v>
      </c>
      <c r="K15" s="636">
        <v>3000</v>
      </c>
      <c r="L15" s="636">
        <v>4700</v>
      </c>
      <c r="M15" s="636"/>
      <c r="N15" s="636">
        <f t="shared" si="0"/>
        <v>17300</v>
      </c>
      <c r="O15" s="636">
        <f t="shared" si="1"/>
        <v>311400</v>
      </c>
      <c r="P15" s="640"/>
    </row>
    <row r="16" s="623" customFormat="1" ht="25.15" customHeight="1" spans="1:16">
      <c r="A16" s="635">
        <v>9</v>
      </c>
      <c r="B16" s="670" t="s">
        <v>1791</v>
      </c>
      <c r="C16" s="671">
        <v>1</v>
      </c>
      <c r="D16" s="636"/>
      <c r="E16" s="636">
        <v>18</v>
      </c>
      <c r="F16" s="636">
        <v>2100</v>
      </c>
      <c r="G16" s="636">
        <v>3100</v>
      </c>
      <c r="H16" s="636">
        <v>500</v>
      </c>
      <c r="I16" s="636"/>
      <c r="J16" s="636">
        <v>4880</v>
      </c>
      <c r="K16" s="636">
        <v>3700</v>
      </c>
      <c r="L16" s="636">
        <v>4700</v>
      </c>
      <c r="M16" s="636"/>
      <c r="N16" s="636">
        <f t="shared" si="0"/>
        <v>18980</v>
      </c>
      <c r="O16" s="636">
        <f t="shared" si="1"/>
        <v>341640</v>
      </c>
      <c r="P16" s="640"/>
    </row>
    <row r="17" s="623" customFormat="1" ht="25.15" customHeight="1" spans="1:16">
      <c r="A17" s="635">
        <v>10</v>
      </c>
      <c r="B17" s="670" t="s">
        <v>1792</v>
      </c>
      <c r="C17" s="671">
        <v>1</v>
      </c>
      <c r="D17" s="636"/>
      <c r="E17" s="636">
        <v>15</v>
      </c>
      <c r="F17" s="636">
        <v>2100</v>
      </c>
      <c r="G17" s="636">
        <v>2400</v>
      </c>
      <c r="H17" s="636">
        <v>500</v>
      </c>
      <c r="I17" s="636"/>
      <c r="J17" s="636">
        <v>4600</v>
      </c>
      <c r="K17" s="636">
        <v>3000</v>
      </c>
      <c r="L17" s="636">
        <v>4700</v>
      </c>
      <c r="M17" s="636"/>
      <c r="N17" s="636">
        <f t="shared" si="0"/>
        <v>17300</v>
      </c>
      <c r="O17" s="636">
        <f t="shared" si="1"/>
        <v>259500</v>
      </c>
      <c r="P17" s="640"/>
    </row>
    <row r="18" s="623" customFormat="1" ht="25.15" customHeight="1" spans="1:16">
      <c r="A18" s="635">
        <v>11</v>
      </c>
      <c r="B18" s="670" t="s">
        <v>1793</v>
      </c>
      <c r="C18" s="671">
        <v>2</v>
      </c>
      <c r="D18" s="636"/>
      <c r="E18" s="636">
        <v>15</v>
      </c>
      <c r="F18" s="636">
        <v>2100</v>
      </c>
      <c r="G18" s="636">
        <v>3100</v>
      </c>
      <c r="H18" s="636">
        <v>500</v>
      </c>
      <c r="I18" s="636"/>
      <c r="J18" s="636">
        <v>4880</v>
      </c>
      <c r="K18" s="636">
        <v>3700</v>
      </c>
      <c r="L18" s="636">
        <v>4700</v>
      </c>
      <c r="M18" s="636"/>
      <c r="N18" s="636">
        <f t="shared" si="0"/>
        <v>18980</v>
      </c>
      <c r="O18" s="636">
        <f t="shared" si="1"/>
        <v>569400</v>
      </c>
      <c r="P18" s="640"/>
    </row>
    <row r="19" s="623" customFormat="1" ht="25.15" customHeight="1" spans="1:16">
      <c r="A19" s="635">
        <v>12</v>
      </c>
      <c r="B19" s="670" t="s">
        <v>1794</v>
      </c>
      <c r="C19" s="671">
        <v>3</v>
      </c>
      <c r="D19" s="636"/>
      <c r="E19" s="636">
        <v>15</v>
      </c>
      <c r="F19" s="636">
        <v>2100</v>
      </c>
      <c r="G19" s="636">
        <v>2400</v>
      </c>
      <c r="H19" s="636">
        <v>500</v>
      </c>
      <c r="I19" s="636"/>
      <c r="J19" s="636">
        <v>4600</v>
      </c>
      <c r="K19" s="636">
        <v>3000</v>
      </c>
      <c r="L19" s="636">
        <v>4700</v>
      </c>
      <c r="M19" s="636"/>
      <c r="N19" s="636">
        <f t="shared" si="0"/>
        <v>17300</v>
      </c>
      <c r="O19" s="636">
        <f t="shared" si="1"/>
        <v>778500</v>
      </c>
      <c r="P19" s="640"/>
    </row>
    <row r="20" s="623" customFormat="1" ht="25.15" customHeight="1" spans="1:16">
      <c r="A20" s="635"/>
      <c r="B20" s="672" t="s">
        <v>1795</v>
      </c>
      <c r="C20" s="673">
        <f>SUM(C8:C19)</f>
        <v>21</v>
      </c>
      <c r="D20" s="636"/>
      <c r="E20" s="636"/>
      <c r="F20" s="636"/>
      <c r="G20" s="636"/>
      <c r="H20" s="636"/>
      <c r="I20" s="636"/>
      <c r="J20" s="636"/>
      <c r="K20" s="636"/>
      <c r="L20" s="636"/>
      <c r="M20" s="636"/>
      <c r="N20" s="636"/>
      <c r="O20" s="636"/>
      <c r="P20" s="640"/>
    </row>
    <row r="21" s="623" customFormat="1" ht="25.15" customHeight="1" spans="1:16">
      <c r="A21" s="635" t="s">
        <v>1796</v>
      </c>
      <c r="B21" s="674" t="s">
        <v>1797</v>
      </c>
      <c r="C21" s="675"/>
      <c r="D21" s="636"/>
      <c r="E21" s="636"/>
      <c r="F21" s="636"/>
      <c r="G21" s="636"/>
      <c r="H21" s="636"/>
      <c r="I21" s="636"/>
      <c r="J21" s="636"/>
      <c r="K21" s="636"/>
      <c r="L21" s="636"/>
      <c r="M21" s="636"/>
      <c r="P21" s="640"/>
    </row>
    <row r="22" s="623" customFormat="1" ht="25.15" customHeight="1" spans="1:16">
      <c r="A22" s="635">
        <v>2</v>
      </c>
      <c r="B22" s="676" t="s">
        <v>1798</v>
      </c>
      <c r="C22" s="675">
        <v>1</v>
      </c>
      <c r="D22" s="636"/>
      <c r="E22" s="636">
        <v>15</v>
      </c>
      <c r="F22" s="636"/>
      <c r="G22" s="636"/>
      <c r="H22" s="636"/>
      <c r="I22" s="636"/>
      <c r="J22" s="636"/>
      <c r="K22" s="636"/>
      <c r="L22" s="636"/>
      <c r="M22" s="636"/>
      <c r="N22" s="636">
        <v>6000</v>
      </c>
      <c r="O22" s="636">
        <f>+N22*E22*C22</f>
        <v>90000</v>
      </c>
      <c r="P22" s="640"/>
    </row>
    <row r="23" s="623" customFormat="1" ht="25.15" customHeight="1" spans="1:16">
      <c r="A23" s="635">
        <v>3</v>
      </c>
      <c r="B23" s="677" t="s">
        <v>1799</v>
      </c>
      <c r="C23" s="675">
        <v>2</v>
      </c>
      <c r="D23" s="636"/>
      <c r="E23" s="636">
        <v>15</v>
      </c>
      <c r="F23" s="636"/>
      <c r="G23" s="636"/>
      <c r="H23" s="636"/>
      <c r="I23" s="636"/>
      <c r="J23" s="636"/>
      <c r="K23" s="636"/>
      <c r="L23" s="636"/>
      <c r="M23" s="636"/>
      <c r="N23" s="636">
        <v>6000</v>
      </c>
      <c r="O23" s="636">
        <f>+N23*E23*C23</f>
        <v>180000</v>
      </c>
      <c r="P23" s="640"/>
    </row>
    <row r="24" s="623" customFormat="1" ht="25.15" customHeight="1" spans="1:16">
      <c r="A24" s="635">
        <v>4</v>
      </c>
      <c r="B24" s="676" t="s">
        <v>1800</v>
      </c>
      <c r="C24" s="678">
        <v>0</v>
      </c>
      <c r="D24" s="636"/>
      <c r="E24" s="636">
        <v>15</v>
      </c>
      <c r="F24" s="636"/>
      <c r="G24" s="636"/>
      <c r="H24" s="636"/>
      <c r="I24" s="636"/>
      <c r="J24" s="636"/>
      <c r="K24" s="636"/>
      <c r="L24" s="636"/>
      <c r="M24" s="636"/>
      <c r="N24" s="690">
        <v>8250</v>
      </c>
      <c r="O24" s="636">
        <f>+N24*E24*C24</f>
        <v>0</v>
      </c>
      <c r="P24" s="640"/>
    </row>
    <row r="25" s="623" customFormat="1" ht="25.15" customHeight="1" spans="1:16">
      <c r="A25" s="635">
        <v>5</v>
      </c>
      <c r="B25" s="676" t="s">
        <v>1801</v>
      </c>
      <c r="C25" s="678">
        <v>0</v>
      </c>
      <c r="D25" s="636"/>
      <c r="E25" s="636">
        <v>15</v>
      </c>
      <c r="F25" s="636"/>
      <c r="G25" s="636"/>
      <c r="H25" s="636"/>
      <c r="I25" s="636"/>
      <c r="J25" s="636"/>
      <c r="K25" s="636"/>
      <c r="L25" s="636"/>
      <c r="M25" s="636"/>
      <c r="N25" s="690">
        <v>10000</v>
      </c>
      <c r="O25" s="636">
        <f>+N25*E25*C25</f>
        <v>0</v>
      </c>
      <c r="P25" s="640"/>
    </row>
    <row r="26" s="623" customFormat="1" ht="25.15" customHeight="1" spans="1:16">
      <c r="A26" s="635"/>
      <c r="B26" s="672" t="s">
        <v>1795</v>
      </c>
      <c r="C26" s="673">
        <f>SUM(C22:C25)</f>
        <v>3</v>
      </c>
      <c r="D26" s="636"/>
      <c r="E26" s="636"/>
      <c r="F26" s="636"/>
      <c r="G26" s="636"/>
      <c r="H26" s="636"/>
      <c r="I26" s="636"/>
      <c r="J26" s="636"/>
      <c r="K26" s="636"/>
      <c r="L26" s="636"/>
      <c r="M26" s="636"/>
      <c r="N26" s="690"/>
      <c r="O26" s="636"/>
      <c r="P26" s="640"/>
    </row>
    <row r="27" s="623" customFormat="1" ht="27" customHeight="1" spans="1:16">
      <c r="A27" s="679"/>
      <c r="B27" s="649" t="s">
        <v>1802</v>
      </c>
      <c r="C27" s="680">
        <f>+C26+C20</f>
        <v>24</v>
      </c>
      <c r="D27" s="680"/>
      <c r="E27" s="680"/>
      <c r="F27" s="680"/>
      <c r="G27" s="680"/>
      <c r="H27" s="680"/>
      <c r="I27" s="680"/>
      <c r="J27" s="680"/>
      <c r="K27" s="680"/>
      <c r="L27" s="680"/>
      <c r="M27" s="680"/>
      <c r="N27" s="680">
        <f>SUM(N8:N26)</f>
        <v>264490</v>
      </c>
      <c r="O27" s="680">
        <f>SUM(O8:O26)</f>
        <v>6631880</v>
      </c>
      <c r="P27" s="691"/>
    </row>
    <row r="28" s="623" customFormat="1" ht="20.1" customHeight="1" spans="1:15">
      <c r="A28" s="75"/>
      <c r="B28" s="626"/>
      <c r="O28" s="692"/>
    </row>
    <row r="29" s="623" customFormat="1" ht="18.95" customHeight="1" spans="1:13">
      <c r="A29" s="681"/>
      <c r="B29" t="s">
        <v>1803</v>
      </c>
      <c r="C29"/>
      <c r="D29"/>
      <c r="E29"/>
      <c r="F29"/>
      <c r="G29"/>
      <c r="H29"/>
      <c r="I29"/>
      <c r="J29"/>
      <c r="K29"/>
      <c r="L29"/>
      <c r="M29"/>
    </row>
    <row r="30" ht="14.25" spans="1:13">
      <c r="A30" s="682" t="s">
        <v>1804</v>
      </c>
      <c r="B30" s="654" t="s">
        <v>1805</v>
      </c>
      <c r="C30" s="654"/>
      <c r="D30" s="654"/>
      <c r="E30" s="654"/>
      <c r="F30" s="654"/>
      <c r="G30" s="654"/>
      <c r="H30" s="654"/>
      <c r="I30" s="654"/>
      <c r="J30" s="654"/>
      <c r="K30" s="654"/>
      <c r="L30" s="654"/>
      <c r="M30" s="654"/>
    </row>
    <row r="31" ht="14.25" spans="1:13">
      <c r="A31" s="682" t="s">
        <v>1806</v>
      </c>
      <c r="B31" s="683" t="s">
        <v>1807</v>
      </c>
      <c r="C31" s="683"/>
      <c r="D31" s="683"/>
      <c r="E31" s="683"/>
      <c r="F31" s="683"/>
      <c r="G31" s="683"/>
      <c r="H31" s="683"/>
      <c r="I31" s="683"/>
      <c r="J31" s="683"/>
      <c r="K31" s="683"/>
      <c r="L31" s="683"/>
      <c r="M31" s="683"/>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82918790246"/>
  </sheetPr>
  <dimension ref="A1:G26"/>
  <sheetViews>
    <sheetView workbookViewId="0">
      <selection activeCell="A189" sqref="A189"/>
    </sheetView>
  </sheetViews>
  <sheetFormatPr defaultColWidth="8.875" defaultRowHeight="14.2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24" t="s">
        <v>1808</v>
      </c>
      <c r="B1" s="624"/>
      <c r="C1" s="624"/>
      <c r="D1" s="624"/>
      <c r="E1" s="624"/>
      <c r="F1" s="624"/>
      <c r="G1" s="624"/>
    </row>
    <row r="2" s="623" customFormat="1" ht="15.75" customHeight="1" spans="1:7">
      <c r="A2" s="75"/>
      <c r="B2" s="75"/>
      <c r="C2" s="75"/>
      <c r="G2" s="625" t="s">
        <v>1809</v>
      </c>
    </row>
    <row r="3" s="623" customFormat="1" ht="18" customHeight="1" spans="1:7">
      <c r="A3" s="626" t="str" cm="1">
        <f t="array" ref="A3">"工程名称："&amp;工程名称&amp;"  "&amp;工区</f>
        <v>工程名称：az  2</v>
      </c>
      <c r="C3" s="75"/>
      <c r="G3" s="625" t="s">
        <v>1252</v>
      </c>
    </row>
    <row r="4" s="623" customFormat="1" ht="21.75" customHeight="1" spans="1:7">
      <c r="A4" s="627" t="s">
        <v>1253</v>
      </c>
      <c r="B4" s="628" t="s">
        <v>1398</v>
      </c>
      <c r="C4" s="628" t="s">
        <v>1810</v>
      </c>
      <c r="D4" s="628" t="s">
        <v>1811</v>
      </c>
      <c r="E4" s="628" t="s">
        <v>1812</v>
      </c>
      <c r="F4" s="628" t="s">
        <v>1813</v>
      </c>
      <c r="G4" s="629" t="s">
        <v>1261</v>
      </c>
    </row>
    <row r="5" s="623" customFormat="1" ht="20.25" customHeight="1" spans="1:7">
      <c r="A5" s="630">
        <v>1</v>
      </c>
      <c r="B5" s="631" t="s">
        <v>1814</v>
      </c>
      <c r="C5" s="632"/>
      <c r="D5" s="631"/>
      <c r="E5" s="631"/>
      <c r="F5" s="633">
        <v>0</v>
      </c>
      <c r="G5" s="634"/>
    </row>
    <row r="6" s="623" customFormat="1" ht="20.25" customHeight="1" spans="1:7">
      <c r="A6" s="635">
        <v>1.1</v>
      </c>
      <c r="B6" s="636" t="s">
        <v>1815</v>
      </c>
      <c r="C6" s="637"/>
      <c r="D6" s="638"/>
      <c r="E6" s="636"/>
      <c r="F6" s="639">
        <v>0</v>
      </c>
      <c r="G6" s="640"/>
    </row>
    <row r="7" s="623" customFormat="1" ht="20.25" customHeight="1" spans="1:7">
      <c r="A7" s="635">
        <v>1.2</v>
      </c>
      <c r="B7" s="636" t="s">
        <v>1816</v>
      </c>
      <c r="C7" s="637"/>
      <c r="D7" s="638"/>
      <c r="E7" s="636"/>
      <c r="F7" s="639">
        <v>0</v>
      </c>
      <c r="G7" s="640"/>
    </row>
    <row r="8" s="623" customFormat="1" ht="20.25" customHeight="1" spans="1:7">
      <c r="A8" s="635">
        <v>1.3</v>
      </c>
      <c r="B8" s="636" t="s">
        <v>1817</v>
      </c>
      <c r="C8" s="637"/>
      <c r="D8" s="638"/>
      <c r="E8" s="636"/>
      <c r="F8" s="639"/>
      <c r="G8" s="640"/>
    </row>
    <row r="9" s="623" customFormat="1" ht="20.25" customHeight="1" spans="1:7">
      <c r="A9" s="630">
        <v>2</v>
      </c>
      <c r="B9" s="631" t="s">
        <v>1818</v>
      </c>
      <c r="C9" s="632"/>
      <c r="D9" s="631"/>
      <c r="E9" s="631"/>
      <c r="F9" s="633">
        <f>F12+F14+F15</f>
        <v>9395.376021</v>
      </c>
      <c r="G9" s="634"/>
    </row>
    <row r="10" s="623" customFormat="1" ht="20.25" customHeight="1" spans="1:7">
      <c r="A10" s="635">
        <v>2.1</v>
      </c>
      <c r="B10" s="636" t="s">
        <v>1819</v>
      </c>
      <c r="C10" s="637"/>
      <c r="D10" s="636"/>
      <c r="E10" s="636"/>
      <c r="F10" s="636">
        <v>0</v>
      </c>
      <c r="G10" s="640"/>
    </row>
    <row r="11" s="623" customFormat="1" ht="20.25" customHeight="1" spans="1:7">
      <c r="A11" s="635">
        <v>2.2</v>
      </c>
      <c r="B11" s="636" t="s">
        <v>1820</v>
      </c>
      <c r="C11" s="637"/>
      <c r="D11" s="636"/>
      <c r="E11" s="636"/>
      <c r="F11" s="636">
        <v>0</v>
      </c>
      <c r="G11" s="640"/>
    </row>
    <row r="12" s="623" customFormat="1" ht="20.25" customHeight="1" spans="1:7">
      <c r="A12" s="635">
        <v>2.3</v>
      </c>
      <c r="B12" s="636" t="s">
        <v>1821</v>
      </c>
      <c r="C12" s="637">
        <f>('分项对比表(02表)'!I5-'分项对比表(02表)'!I66)*0.1</f>
        <v>521965.3345</v>
      </c>
      <c r="D12" s="638">
        <v>0.012</v>
      </c>
      <c r="E12" s="636">
        <v>1.5</v>
      </c>
      <c r="F12" s="641">
        <f>E12*D12*C12</f>
        <v>9395.376021</v>
      </c>
      <c r="G12" s="640"/>
    </row>
    <row r="13" s="623" customFormat="1" ht="20.25" customHeight="1" spans="1:7">
      <c r="A13" s="635">
        <v>2.4</v>
      </c>
      <c r="B13" s="636" t="s">
        <v>1822</v>
      </c>
      <c r="C13" s="637">
        <v>0</v>
      </c>
      <c r="D13" s="638">
        <v>0.008</v>
      </c>
      <c r="E13" s="636"/>
      <c r="F13" s="642">
        <v>0</v>
      </c>
      <c r="G13" s="640"/>
    </row>
    <row r="14" s="623" customFormat="1" ht="35.45" customHeight="1" spans="1:7">
      <c r="A14" s="630">
        <v>3</v>
      </c>
      <c r="B14" s="631" t="s">
        <v>1823</v>
      </c>
      <c r="C14" s="632">
        <f>-J22</f>
        <v>0</v>
      </c>
      <c r="D14" s="643">
        <v>0.08</v>
      </c>
      <c r="E14" s="631">
        <v>1</v>
      </c>
      <c r="F14" s="644">
        <v>0</v>
      </c>
      <c r="G14" s="645"/>
    </row>
    <row r="15" s="623" customFormat="1" ht="20.25" customHeight="1" spans="1:7">
      <c r="A15" s="630">
        <v>4</v>
      </c>
      <c r="B15" s="631" t="s">
        <v>1824</v>
      </c>
      <c r="C15" s="632">
        <v>0</v>
      </c>
      <c r="D15" s="638">
        <v>0.08</v>
      </c>
      <c r="E15" s="631">
        <v>3</v>
      </c>
      <c r="F15" s="646">
        <v>0</v>
      </c>
      <c r="G15" s="634"/>
    </row>
    <row r="16" s="623" customFormat="1" ht="20.25" customHeight="1" spans="1:7">
      <c r="A16" s="630">
        <v>5</v>
      </c>
      <c r="B16" s="631" t="s">
        <v>1825</v>
      </c>
      <c r="C16" s="625" t="s">
        <v>1826</v>
      </c>
      <c r="E16" s="636"/>
      <c r="F16" s="636"/>
      <c r="G16" s="640"/>
    </row>
    <row r="17" s="623" customFormat="1" ht="20.25" customHeight="1" spans="1:7">
      <c r="A17" s="635"/>
      <c r="B17" s="636"/>
      <c r="C17" s="636"/>
      <c r="D17" s="636"/>
      <c r="E17" s="636"/>
      <c r="F17" s="636"/>
      <c r="G17" s="640"/>
    </row>
    <row r="18" s="623" customFormat="1" ht="20.25" customHeight="1" spans="1:7">
      <c r="A18" s="635"/>
      <c r="B18" s="636"/>
      <c r="C18" s="636"/>
      <c r="D18" s="636"/>
      <c r="E18" s="636"/>
      <c r="F18" s="636"/>
      <c r="G18" s="640"/>
    </row>
    <row r="19" s="623" customFormat="1" ht="20.25" customHeight="1" spans="1:7">
      <c r="A19" s="635"/>
      <c r="B19" s="636"/>
      <c r="C19" s="636"/>
      <c r="D19" s="636"/>
      <c r="E19" s="636"/>
      <c r="F19" s="636"/>
      <c r="G19" s="640"/>
    </row>
    <row r="20" s="623" customFormat="1" ht="20.25" customHeight="1" spans="1:7">
      <c r="A20" s="647"/>
      <c r="B20" s="636"/>
      <c r="C20" s="636"/>
      <c r="D20" s="636"/>
      <c r="E20" s="636"/>
      <c r="F20" s="636"/>
      <c r="G20" s="640"/>
    </row>
    <row r="21" ht="20.25" customHeight="1" spans="1:7">
      <c r="A21" s="648"/>
      <c r="B21" s="649" t="s">
        <v>1827</v>
      </c>
      <c r="C21" s="650"/>
      <c r="D21" s="650"/>
      <c r="E21" s="650"/>
      <c r="F21" s="651">
        <f>F5+F9+F14+F15+F16</f>
        <v>9395.376021</v>
      </c>
      <c r="G21" s="652"/>
    </row>
    <row r="23" spans="2:2">
      <c r="B23" t="s">
        <v>1828</v>
      </c>
    </row>
    <row r="24" spans="1:2">
      <c r="A24" s="653" t="s">
        <v>1804</v>
      </c>
      <c r="B24" t="s">
        <v>1829</v>
      </c>
    </row>
    <row r="25" spans="1:7">
      <c r="A25" s="653" t="s">
        <v>1806</v>
      </c>
      <c r="B25" s="654" t="s">
        <v>1830</v>
      </c>
      <c r="C25" s="654"/>
      <c r="D25" s="654"/>
      <c r="E25" s="654"/>
      <c r="F25" s="654"/>
      <c r="G25" s="654"/>
    </row>
    <row r="26" spans="1:2">
      <c r="A26" s="653"/>
      <c r="B26" s="655"/>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A189" sqref="A189"/>
    </sheetView>
  </sheetViews>
  <sheetFormatPr defaultColWidth="9" defaultRowHeight="20.1" customHeight="1" outlineLevelCol="1"/>
  <cols>
    <col min="1" max="1" width="15.25" style="617" customWidth="1"/>
    <col min="2" max="2" width="27.25" customWidth="1"/>
    <col min="3" max="3" width="31.75" customWidth="1"/>
  </cols>
  <sheetData>
    <row r="1" customHeight="1" spans="1:1">
      <c r="A1" s="617" t="s">
        <v>1831</v>
      </c>
    </row>
    <row r="2" customHeight="1" spans="1:1">
      <c r="A2" s="618" t="s">
        <v>1364</v>
      </c>
    </row>
    <row r="3" customHeight="1" spans="1:1">
      <c r="A3" s="618" t="s">
        <v>1832</v>
      </c>
    </row>
    <row r="4" customHeight="1" spans="1:1">
      <c r="A4" s="618" t="s">
        <v>1833</v>
      </c>
    </row>
    <row r="5" customHeight="1" spans="1:1">
      <c r="A5" s="618" t="s">
        <v>1834</v>
      </c>
    </row>
    <row r="6" customHeight="1" spans="1:1">
      <c r="A6" s="617" t="s">
        <v>1835</v>
      </c>
    </row>
    <row r="7" customHeight="1" spans="1:1">
      <c r="A7" s="617" t="s">
        <v>1836</v>
      </c>
    </row>
    <row r="8" customHeight="1" spans="1:1">
      <c r="A8" s="617" t="s">
        <v>1837</v>
      </c>
    </row>
    <row r="9" customHeight="1" spans="1:1">
      <c r="A9" s="617" t="s">
        <v>1838</v>
      </c>
    </row>
    <row r="10" customHeight="1" spans="1:1">
      <c r="A10" s="617" t="s">
        <v>1839</v>
      </c>
    </row>
    <row r="11" customHeight="1" spans="1:1">
      <c r="A11" s="617" t="s">
        <v>1242</v>
      </c>
    </row>
    <row r="12" customHeight="1" spans="1:1">
      <c r="A12" s="617" t="s">
        <v>1840</v>
      </c>
    </row>
    <row r="13" customHeight="1" spans="1:1">
      <c r="A13" s="617" t="s">
        <v>1841</v>
      </c>
    </row>
    <row r="14" customHeight="1" spans="1:1">
      <c r="A14" s="617" t="s">
        <v>1842</v>
      </c>
    </row>
    <row r="15" customHeight="1" spans="1:1">
      <c r="A15" s="617" t="s">
        <v>1843</v>
      </c>
    </row>
    <row r="16" customHeight="1" spans="1:1">
      <c r="A16" s="617" t="s">
        <v>1844</v>
      </c>
    </row>
    <row r="17" customHeight="1" spans="1:1">
      <c r="A17" s="617" t="s">
        <v>1845</v>
      </c>
    </row>
    <row r="18" customHeight="1" spans="1:1">
      <c r="A18" s="617" t="s">
        <v>1846</v>
      </c>
    </row>
    <row r="19" customHeight="1" spans="1:1">
      <c r="A19" s="617" t="s">
        <v>1847</v>
      </c>
    </row>
    <row r="20" customHeight="1" spans="1:1">
      <c r="A20" s="617" t="s">
        <v>1848</v>
      </c>
    </row>
    <row r="21" customHeight="1" spans="1:1">
      <c r="A21" s="617" t="s">
        <v>1849</v>
      </c>
    </row>
    <row r="22" customHeight="1" spans="1:1">
      <c r="A22" s="617" t="s">
        <v>1850</v>
      </c>
    </row>
    <row r="23" customHeight="1" spans="1:1">
      <c r="A23" s="617" t="s">
        <v>59</v>
      </c>
    </row>
    <row r="24" customHeight="1" spans="1:1">
      <c r="A24" s="617" t="s">
        <v>1851</v>
      </c>
    </row>
    <row r="25" customHeight="1" spans="1:1">
      <c r="A25" s="617" t="s">
        <v>1852</v>
      </c>
    </row>
    <row r="26" customHeight="1" spans="1:1">
      <c r="A26" s="617" t="s">
        <v>1853</v>
      </c>
    </row>
    <row r="27" customHeight="1" spans="1:1">
      <c r="A27" s="617" t="s">
        <v>1854</v>
      </c>
    </row>
    <row r="28" customHeight="1" spans="1:1">
      <c r="A28" s="617" t="s">
        <v>1855</v>
      </c>
    </row>
    <row r="29" customHeight="1" spans="1:1">
      <c r="A29" s="617" t="s">
        <v>1856</v>
      </c>
    </row>
    <row r="30" customHeight="1" spans="1:1">
      <c r="A30" s="617" t="s">
        <v>1857</v>
      </c>
    </row>
    <row r="31" customHeight="1" spans="1:1">
      <c r="A31" s="617" t="s">
        <v>1858</v>
      </c>
    </row>
    <row r="32" customHeight="1" spans="1:1">
      <c r="A32" s="617" t="s">
        <v>1859</v>
      </c>
    </row>
    <row r="33" customHeight="1" spans="1:1">
      <c r="A33" s="617" t="s">
        <v>1860</v>
      </c>
    </row>
    <row r="34" customHeight="1" spans="1:1">
      <c r="A34" s="617" t="s">
        <v>1861</v>
      </c>
    </row>
    <row r="35" customHeight="1" spans="1:1">
      <c r="A35" s="617" t="s">
        <v>1862</v>
      </c>
    </row>
    <row r="36" customHeight="1" spans="1:1">
      <c r="A36" s="617" t="s">
        <v>1863</v>
      </c>
    </row>
    <row r="37" customHeight="1" spans="1:1">
      <c r="A37" s="617" t="s">
        <v>1864</v>
      </c>
    </row>
    <row r="38" customHeight="1" spans="1:1">
      <c r="A38" s="617" t="s">
        <v>1865</v>
      </c>
    </row>
    <row r="39" customHeight="1" spans="1:1">
      <c r="A39" s="617" t="s">
        <v>1866</v>
      </c>
    </row>
    <row r="40" customHeight="1" spans="1:1">
      <c r="A40" s="617" t="s">
        <v>1867</v>
      </c>
    </row>
    <row r="41" customHeight="1" spans="1:1">
      <c r="A41" s="617" t="s">
        <v>1868</v>
      </c>
    </row>
    <row r="42" customHeight="1" spans="1:1">
      <c r="A42" s="617" t="s">
        <v>1869</v>
      </c>
    </row>
    <row r="43" customHeight="1" spans="1:1">
      <c r="A43" s="617" t="s">
        <v>1870</v>
      </c>
    </row>
    <row r="44" customHeight="1" spans="1:1">
      <c r="A44" s="617" t="s">
        <v>1871</v>
      </c>
    </row>
    <row r="45" customHeight="1" spans="1:1">
      <c r="A45" s="617" t="s">
        <v>1872</v>
      </c>
    </row>
    <row r="46" customHeight="1" spans="1:1">
      <c r="A46" s="617" t="s">
        <v>1873</v>
      </c>
    </row>
    <row r="47" customHeight="1" spans="1:1">
      <c r="A47" s="617" t="s">
        <v>1874</v>
      </c>
    </row>
    <row r="48" customHeight="1" spans="1:1">
      <c r="A48" s="617" t="s">
        <v>1875</v>
      </c>
    </row>
    <row r="49" customHeight="1" spans="1:1">
      <c r="A49" s="617" t="s">
        <v>1876</v>
      </c>
    </row>
    <row r="50" customHeight="1" spans="1:1">
      <c r="A50" s="617" t="s">
        <v>1877</v>
      </c>
    </row>
    <row r="51" customHeight="1" spans="1:1">
      <c r="A51" s="617" t="s">
        <v>1878</v>
      </c>
    </row>
    <row r="52" customHeight="1" spans="1:1">
      <c r="A52" s="617" t="s">
        <v>1879</v>
      </c>
    </row>
    <row r="53" customHeight="1" spans="1:1">
      <c r="A53" s="617" t="s">
        <v>1880</v>
      </c>
    </row>
    <row r="54" customHeight="1" spans="1:1">
      <c r="A54" s="617" t="s">
        <v>1881</v>
      </c>
    </row>
    <row r="55" customHeight="1" spans="1:1">
      <c r="A55" s="617" t="s">
        <v>1882</v>
      </c>
    </row>
    <row r="56" customHeight="1" spans="1:1">
      <c r="A56" s="617" t="s">
        <v>1883</v>
      </c>
    </row>
    <row r="57" customHeight="1" spans="1:1">
      <c r="A57" s="617" t="s">
        <v>1884</v>
      </c>
    </row>
    <row r="58" customHeight="1" spans="1:1">
      <c r="A58" s="617" t="s">
        <v>1885</v>
      </c>
    </row>
    <row r="59" customHeight="1" spans="1:1">
      <c r="A59" s="617" t="s">
        <v>1886</v>
      </c>
    </row>
    <row r="60" customHeight="1" spans="1:1">
      <c r="A60" s="617" t="s">
        <v>1887</v>
      </c>
    </row>
    <row r="61" customHeight="1" spans="1:1">
      <c r="A61" s="617" t="s">
        <v>1888</v>
      </c>
    </row>
    <row r="62" customHeight="1" spans="1:1">
      <c r="A62" s="617" t="s">
        <v>1644</v>
      </c>
    </row>
    <row r="63" customHeight="1" spans="1:1">
      <c r="A63" s="617" t="s">
        <v>1889</v>
      </c>
    </row>
    <row r="64" customHeight="1" spans="1:1">
      <c r="A64" s="617" t="s">
        <v>1890</v>
      </c>
    </row>
    <row r="65" customHeight="1" spans="1:1">
      <c r="A65" s="617" t="s">
        <v>1891</v>
      </c>
    </row>
    <row r="66" customHeight="1" spans="1:1">
      <c r="A66" s="617" t="s">
        <v>1892</v>
      </c>
    </row>
    <row r="67" customHeight="1" spans="1:1">
      <c r="A67" s="617" t="s">
        <v>1893</v>
      </c>
    </row>
    <row r="68" customHeight="1" spans="1:1">
      <c r="A68" s="617" t="s">
        <v>1894</v>
      </c>
    </row>
    <row r="69" customHeight="1" spans="1:1">
      <c r="A69" s="617" t="s">
        <v>1895</v>
      </c>
    </row>
    <row r="70" customHeight="1" spans="1:1">
      <c r="A70" s="617" t="s">
        <v>1896</v>
      </c>
    </row>
    <row r="71" customHeight="1" spans="1:1">
      <c r="A71" s="617" t="s">
        <v>1897</v>
      </c>
    </row>
    <row r="72" customHeight="1" spans="1:1">
      <c r="A72" s="617" t="s">
        <v>1898</v>
      </c>
    </row>
    <row r="73" customHeight="1" spans="1:1">
      <c r="A73" s="617" t="s">
        <v>1899</v>
      </c>
    </row>
    <row r="74" customHeight="1" spans="1:1">
      <c r="A74" s="617" t="s">
        <v>1900</v>
      </c>
    </row>
    <row r="75" customHeight="1" spans="1:1">
      <c r="A75" s="617" t="s">
        <v>1901</v>
      </c>
    </row>
    <row r="76" customHeight="1" spans="1:1">
      <c r="A76" s="617" t="s">
        <v>1902</v>
      </c>
    </row>
    <row r="77" customHeight="1" spans="1:1">
      <c r="A77" s="617" t="s">
        <v>1903</v>
      </c>
    </row>
    <row r="78" customHeight="1" spans="1:1">
      <c r="A78" s="617" t="s">
        <v>1904</v>
      </c>
    </row>
    <row r="79" customHeight="1" spans="1:1">
      <c r="A79" s="617" t="s">
        <v>1905</v>
      </c>
    </row>
    <row r="80" customHeight="1" spans="1:1">
      <c r="A80" s="617" t="s">
        <v>1906</v>
      </c>
    </row>
    <row r="81" customHeight="1" spans="1:1">
      <c r="A81" s="617" t="s">
        <v>1907</v>
      </c>
    </row>
    <row r="82" customHeight="1" spans="1:1">
      <c r="A82" s="617" t="s">
        <v>1908</v>
      </c>
    </row>
    <row r="83" customHeight="1" spans="1:1">
      <c r="A83" s="617" t="s">
        <v>1909</v>
      </c>
    </row>
    <row r="84" customHeight="1" spans="1:1">
      <c r="A84" s="617" t="s">
        <v>1910</v>
      </c>
    </row>
    <row r="85" customHeight="1" spans="1:1">
      <c r="A85" s="617" t="s">
        <v>1911</v>
      </c>
    </row>
    <row r="86" customHeight="1" spans="1:1">
      <c r="A86" s="617" t="s">
        <v>1912</v>
      </c>
    </row>
    <row r="87" customHeight="1" spans="1:1">
      <c r="A87" s="617" t="s">
        <v>1913</v>
      </c>
    </row>
    <row r="88" customHeight="1" spans="1:1">
      <c r="A88" s="617" t="s">
        <v>1914</v>
      </c>
    </row>
    <row r="89" customHeight="1" spans="1:1">
      <c r="A89" s="617" t="s">
        <v>1915</v>
      </c>
    </row>
    <row r="90" customHeight="1" spans="1:1">
      <c r="A90" s="617" t="s">
        <v>221</v>
      </c>
    </row>
    <row r="91" customHeight="1" spans="1:1">
      <c r="A91" s="617" t="s">
        <v>1916</v>
      </c>
    </row>
    <row r="92" customHeight="1" spans="1:1">
      <c r="A92" s="617" t="s">
        <v>424</v>
      </c>
    </row>
    <row r="93" customHeight="1" spans="1:1">
      <c r="A93" s="617" t="s">
        <v>1917</v>
      </c>
    </row>
    <row r="94" customHeight="1" spans="1:1">
      <c r="A94" s="617" t="s">
        <v>1918</v>
      </c>
    </row>
    <row r="95" customHeight="1" spans="1:1">
      <c r="A95" s="617" t="s">
        <v>1919</v>
      </c>
    </row>
    <row r="96" customHeight="1" spans="1:1">
      <c r="A96" s="617" t="s">
        <v>1920</v>
      </c>
    </row>
    <row r="97" customHeight="1" spans="1:1">
      <c r="A97" s="617" t="s">
        <v>1921</v>
      </c>
    </row>
    <row r="98" customHeight="1" spans="1:1">
      <c r="A98" s="617" t="s">
        <v>1922</v>
      </c>
    </row>
    <row r="99" customHeight="1" spans="1:1">
      <c r="A99" s="617" t="s">
        <v>1923</v>
      </c>
    </row>
    <row r="100" customHeight="1" spans="1:1">
      <c r="A100" s="617" t="s">
        <v>1924</v>
      </c>
    </row>
    <row r="101" customHeight="1" spans="1:1">
      <c r="A101" s="617" t="s">
        <v>1925</v>
      </c>
    </row>
    <row r="102" customHeight="1" spans="1:1">
      <c r="A102" s="617" t="s">
        <v>1926</v>
      </c>
    </row>
    <row r="103" customHeight="1" spans="1:1">
      <c r="A103" s="617" t="s">
        <v>1927</v>
      </c>
    </row>
    <row r="104" customHeight="1" spans="1:1">
      <c r="A104" s="617" t="s">
        <v>1928</v>
      </c>
    </row>
    <row r="105" customHeight="1" spans="1:1">
      <c r="A105" s="617" t="s">
        <v>1929</v>
      </c>
    </row>
    <row r="106" customHeight="1" spans="1:1">
      <c r="A106" s="617" t="s">
        <v>1930</v>
      </c>
    </row>
    <row r="107" customHeight="1" spans="1:1">
      <c r="A107" s="617" t="s">
        <v>1931</v>
      </c>
    </row>
    <row r="108" customHeight="1" spans="1:1">
      <c r="A108" s="617" t="s">
        <v>1932</v>
      </c>
    </row>
    <row r="109" customHeight="1" spans="1:1">
      <c r="A109" s="617" t="s">
        <v>1933</v>
      </c>
    </row>
    <row r="110" customHeight="1" spans="1:1">
      <c r="A110" s="617" t="s">
        <v>1934</v>
      </c>
    </row>
    <row r="111" customHeight="1" spans="1:1">
      <c r="A111" s="617" t="s">
        <v>1935</v>
      </c>
    </row>
    <row r="112" customHeight="1" spans="1:1">
      <c r="A112" s="617" t="s">
        <v>1936</v>
      </c>
    </row>
    <row r="113" customHeight="1" spans="1:1">
      <c r="A113" s="617" t="s">
        <v>1937</v>
      </c>
    </row>
    <row r="114" customHeight="1" spans="1:1">
      <c r="A114" s="617" t="s">
        <v>1938</v>
      </c>
    </row>
    <row r="115" customHeight="1" spans="1:1">
      <c r="A115" s="617" t="s">
        <v>561</v>
      </c>
    </row>
    <row r="116" customHeight="1" spans="1:1">
      <c r="A116" s="617" t="s">
        <v>1939</v>
      </c>
    </row>
    <row r="117" customHeight="1" spans="1:1">
      <c r="A117" s="617" t="s">
        <v>1940</v>
      </c>
    </row>
    <row r="118" customHeight="1" spans="1:1">
      <c r="A118" s="617" t="s">
        <v>1941</v>
      </c>
    </row>
    <row r="119" customHeight="1" spans="1:1">
      <c r="A119" s="617" t="s">
        <v>1942</v>
      </c>
    </row>
    <row r="120" customHeight="1" spans="1:1">
      <c r="A120" s="617" t="s">
        <v>1943</v>
      </c>
    </row>
    <row r="121" customHeight="1" spans="1:1">
      <c r="A121" s="617" t="s">
        <v>1944</v>
      </c>
    </row>
    <row r="122" customHeight="1" spans="1:1">
      <c r="A122" s="617" t="s">
        <v>1945</v>
      </c>
    </row>
    <row r="123" customHeight="1" spans="1:1">
      <c r="A123" s="617" t="s">
        <v>1946</v>
      </c>
    </row>
    <row r="124" customHeight="1" spans="1:1">
      <c r="A124" s="617" t="s">
        <v>1947</v>
      </c>
    </row>
    <row r="125" customHeight="1" spans="1:1">
      <c r="A125" s="617" t="s">
        <v>1948</v>
      </c>
    </row>
    <row r="126" customHeight="1" spans="1:1">
      <c r="A126" s="617" t="s">
        <v>1949</v>
      </c>
    </row>
    <row r="127" customHeight="1" spans="1:1">
      <c r="A127" s="617" t="s">
        <v>1950</v>
      </c>
    </row>
    <row r="128" customHeight="1" spans="1:1">
      <c r="A128" s="617" t="s">
        <v>1951</v>
      </c>
    </row>
    <row r="129" customHeight="1" spans="1:1">
      <c r="A129" s="617" t="s">
        <v>1952</v>
      </c>
    </row>
    <row r="130" customHeight="1" spans="1:1">
      <c r="A130" s="617" t="s">
        <v>1953</v>
      </c>
    </row>
    <row r="131" customHeight="1" spans="1:1">
      <c r="A131" s="617" t="s">
        <v>1954</v>
      </c>
    </row>
    <row r="132" customHeight="1" spans="1:1">
      <c r="A132" s="617" t="s">
        <v>1955</v>
      </c>
    </row>
    <row r="133" customHeight="1" spans="1:1">
      <c r="A133" s="617" t="s">
        <v>750</v>
      </c>
    </row>
    <row r="134" customHeight="1" spans="1:1">
      <c r="A134" s="617" t="s">
        <v>1956</v>
      </c>
    </row>
    <row r="135" customHeight="1" spans="1:1">
      <c r="A135" s="617" t="s">
        <v>1957</v>
      </c>
    </row>
    <row r="136" customHeight="1" spans="1:1">
      <c r="A136" s="617" t="s">
        <v>1958</v>
      </c>
    </row>
    <row r="137" customHeight="1" spans="1:1">
      <c r="A137" s="617" t="s">
        <v>1959</v>
      </c>
    </row>
    <row r="138" customHeight="1" spans="1:1">
      <c r="A138" s="617" t="s">
        <v>1960</v>
      </c>
    </row>
    <row r="139" customHeight="1" spans="1:1">
      <c r="A139" s="617" t="s">
        <v>1961</v>
      </c>
    </row>
    <row r="140" customHeight="1" spans="1:1">
      <c r="A140" s="617" t="s">
        <v>1962</v>
      </c>
    </row>
    <row r="141" customHeight="1" spans="1:1">
      <c r="A141" s="617" t="s">
        <v>1963</v>
      </c>
    </row>
    <row r="142" customHeight="1" spans="1:1">
      <c r="A142" s="617" t="s">
        <v>1964</v>
      </c>
    </row>
    <row r="143" customHeight="1" spans="1:1">
      <c r="A143" s="617" t="s">
        <v>1965</v>
      </c>
    </row>
    <row r="144" customHeight="1" spans="1:1">
      <c r="A144" s="617" t="s">
        <v>1966</v>
      </c>
    </row>
    <row r="145" customHeight="1" spans="1:1">
      <c r="A145" s="617" t="s">
        <v>1967</v>
      </c>
    </row>
    <row r="146" customHeight="1" spans="1:1">
      <c r="A146" s="617" t="s">
        <v>1968</v>
      </c>
    </row>
    <row r="147" customHeight="1" spans="1:1">
      <c r="A147" s="617" t="s">
        <v>1969</v>
      </c>
    </row>
    <row r="148" customHeight="1" spans="1:1">
      <c r="A148" s="617" t="s">
        <v>1970</v>
      </c>
    </row>
    <row r="149" customHeight="1" spans="1:1">
      <c r="A149" s="617" t="s">
        <v>1971</v>
      </c>
    </row>
    <row r="150" customHeight="1" spans="1:1">
      <c r="A150" s="617" t="s">
        <v>1972</v>
      </c>
    </row>
    <row r="151" customHeight="1" spans="1:1">
      <c r="A151" s="617" t="s">
        <v>1973</v>
      </c>
    </row>
    <row r="152" customHeight="1" spans="1:1">
      <c r="A152" s="617" t="s">
        <v>1974</v>
      </c>
    </row>
    <row r="153" customHeight="1" spans="1:1">
      <c r="A153" s="617" t="s">
        <v>1975</v>
      </c>
    </row>
    <row r="154" customHeight="1" spans="1:1">
      <c r="A154" s="617" t="s">
        <v>1011</v>
      </c>
    </row>
    <row r="155" customHeight="1" spans="1:1">
      <c r="A155" s="617" t="s">
        <v>1976</v>
      </c>
    </row>
    <row r="156" customHeight="1" spans="1:1">
      <c r="A156" s="617" t="s">
        <v>1977</v>
      </c>
    </row>
    <row r="157" customHeight="1" spans="1:1">
      <c r="A157" s="617" t="s">
        <v>1978</v>
      </c>
    </row>
    <row r="158" customHeight="1" spans="1:1">
      <c r="A158" s="617" t="s">
        <v>1979</v>
      </c>
    </row>
    <row r="159" customHeight="1" spans="1:1">
      <c r="A159" s="617" t="s">
        <v>1980</v>
      </c>
    </row>
    <row r="160" customHeight="1" spans="1:1">
      <c r="A160" s="617" t="s">
        <v>1981</v>
      </c>
    </row>
    <row r="161" customHeight="1" spans="1:1">
      <c r="A161" s="617" t="s">
        <v>1982</v>
      </c>
    </row>
    <row r="162" customHeight="1" spans="1:1">
      <c r="A162" s="617" t="s">
        <v>1983</v>
      </c>
    </row>
    <row r="163" customHeight="1" spans="1:1">
      <c r="A163" s="617" t="s">
        <v>667</v>
      </c>
    </row>
    <row r="164" customHeight="1" spans="1:1">
      <c r="A164" s="617" t="s">
        <v>1984</v>
      </c>
    </row>
    <row r="165" customHeight="1" spans="1:1">
      <c r="A165" s="617" t="s">
        <v>1985</v>
      </c>
    </row>
    <row r="166" customHeight="1" spans="1:1">
      <c r="A166" s="617" t="s">
        <v>1986</v>
      </c>
    </row>
    <row r="167" customHeight="1" spans="1:1">
      <c r="A167" s="617" t="s">
        <v>1987</v>
      </c>
    </row>
    <row r="168" customHeight="1" spans="1:1">
      <c r="A168" s="617" t="s">
        <v>1988</v>
      </c>
    </row>
    <row r="169" customHeight="1" spans="1:1">
      <c r="A169" s="617" t="s">
        <v>1989</v>
      </c>
    </row>
    <row r="170" customHeight="1" spans="1:1">
      <c r="A170" s="617" t="s">
        <v>1990</v>
      </c>
    </row>
    <row r="171" customHeight="1" spans="1:1">
      <c r="A171" s="617" t="s">
        <v>1991</v>
      </c>
    </row>
    <row r="172" customHeight="1" spans="1:1">
      <c r="A172" s="617" t="s">
        <v>1992</v>
      </c>
    </row>
    <row r="173" customHeight="1" spans="1:1">
      <c r="A173" s="617" t="s">
        <v>1993</v>
      </c>
    </row>
    <row r="174" customHeight="1" spans="1:1">
      <c r="A174" s="617" t="s">
        <v>1994</v>
      </c>
    </row>
    <row r="175" customHeight="1" spans="1:1">
      <c r="A175" s="617" t="s">
        <v>1995</v>
      </c>
    </row>
    <row r="176" customHeight="1" spans="1:1">
      <c r="A176" s="617" t="s">
        <v>1996</v>
      </c>
    </row>
    <row r="177" customHeight="1" spans="1:1">
      <c r="A177" s="617" t="s">
        <v>1997</v>
      </c>
    </row>
    <row r="178" customHeight="1" spans="1:1">
      <c r="A178" s="617" t="s">
        <v>1998</v>
      </c>
    </row>
    <row r="179" customHeight="1" spans="1:1">
      <c r="A179" s="617" t="s">
        <v>1999</v>
      </c>
    </row>
    <row r="180" customHeight="1" spans="1:1">
      <c r="A180" s="617" t="s">
        <v>2000</v>
      </c>
    </row>
    <row r="181" customHeight="1" spans="1:1">
      <c r="A181" s="617" t="s">
        <v>2001</v>
      </c>
    </row>
    <row r="182" customHeight="1" spans="1:1">
      <c r="A182" s="617" t="s">
        <v>2002</v>
      </c>
    </row>
    <row r="183" customHeight="1" spans="1:1">
      <c r="A183" s="617" t="s">
        <v>2003</v>
      </c>
    </row>
    <row r="184" customHeight="1" spans="1:1">
      <c r="A184" s="617" t="s">
        <v>2004</v>
      </c>
    </row>
    <row r="185" customHeight="1" spans="1:1">
      <c r="A185" s="617" t="s">
        <v>2005</v>
      </c>
    </row>
    <row r="186" customHeight="1" spans="1:1">
      <c r="A186" s="617" t="s">
        <v>2006</v>
      </c>
    </row>
    <row r="187" customHeight="1" spans="1:1">
      <c r="A187" s="617" t="s">
        <v>2007</v>
      </c>
    </row>
    <row r="188" customHeight="1" spans="1:1">
      <c r="A188" s="617" t="s">
        <v>2008</v>
      </c>
    </row>
    <row r="189" customHeight="1" spans="1:1">
      <c r="A189" s="617" t="s">
        <v>2009</v>
      </c>
    </row>
    <row r="190" customHeight="1" spans="1:1">
      <c r="A190" s="617" t="s">
        <v>2010</v>
      </c>
    </row>
    <row r="191" customHeight="1" spans="1:1">
      <c r="A191" s="617" t="s">
        <v>2011</v>
      </c>
    </row>
    <row r="192" customHeight="1" spans="1:1">
      <c r="A192" s="617" t="s">
        <v>2012</v>
      </c>
    </row>
    <row r="193" customHeight="1" spans="1:1">
      <c r="A193" s="617" t="s">
        <v>2013</v>
      </c>
    </row>
    <row r="194" customHeight="1" spans="1:1">
      <c r="A194" s="617" t="s">
        <v>2014</v>
      </c>
    </row>
    <row r="195" customHeight="1" spans="1:1">
      <c r="A195" s="617" t="s">
        <v>2015</v>
      </c>
    </row>
    <row r="196" customHeight="1" spans="1:1">
      <c r="A196" s="617" t="s">
        <v>2016</v>
      </c>
    </row>
    <row r="197" customHeight="1" spans="1:1">
      <c r="A197" s="617" t="s">
        <v>2017</v>
      </c>
    </row>
    <row r="198" customHeight="1" spans="1:1">
      <c r="A198" s="617" t="s">
        <v>2018</v>
      </c>
    </row>
    <row r="199" customHeight="1" spans="1:1">
      <c r="A199" s="617" t="s">
        <v>532</v>
      </c>
    </row>
    <row r="200" customHeight="1" spans="1:1">
      <c r="A200" s="617" t="s">
        <v>2019</v>
      </c>
    </row>
    <row r="201" customHeight="1" spans="1:1">
      <c r="A201" s="617" t="s">
        <v>2020</v>
      </c>
    </row>
    <row r="202" customHeight="1" spans="1:1">
      <c r="A202" s="617" t="s">
        <v>2021</v>
      </c>
    </row>
    <row r="203" customHeight="1" spans="1:1">
      <c r="A203" s="617" t="s">
        <v>2022</v>
      </c>
    </row>
    <row r="204" customHeight="1" spans="1:1">
      <c r="A204" s="617" t="s">
        <v>2023</v>
      </c>
    </row>
    <row r="205" customHeight="1" spans="1:1">
      <c r="A205" s="617" t="s">
        <v>2024</v>
      </c>
    </row>
    <row r="206" customHeight="1" spans="1:1">
      <c r="A206" s="617" t="s">
        <v>346</v>
      </c>
    </row>
    <row r="207" customHeight="1" spans="1:1">
      <c r="A207" s="617" t="s">
        <v>2025</v>
      </c>
    </row>
    <row r="208" customHeight="1" spans="1:1">
      <c r="A208" s="617" t="s">
        <v>2026</v>
      </c>
    </row>
    <row r="209" customHeight="1" spans="1:1">
      <c r="A209" s="617" t="s">
        <v>2027</v>
      </c>
    </row>
    <row r="210" customHeight="1" spans="1:1">
      <c r="A210" s="617" t="s">
        <v>2028</v>
      </c>
    </row>
    <row r="211" customHeight="1" spans="1:1">
      <c r="A211" s="617" t="s">
        <v>2029</v>
      </c>
    </row>
    <row r="212" customHeight="1" spans="1:1">
      <c r="A212" s="617" t="s">
        <v>2030</v>
      </c>
    </row>
    <row r="213" customHeight="1" spans="1:1">
      <c r="A213" s="617" t="s">
        <v>1097</v>
      </c>
    </row>
    <row r="214" customHeight="1" spans="1:1">
      <c r="A214" s="617" t="s">
        <v>2031</v>
      </c>
    </row>
    <row r="215" customHeight="1" spans="1:1">
      <c r="A215" s="617" t="s">
        <v>2032</v>
      </c>
    </row>
    <row r="216" customHeight="1" spans="1:1">
      <c r="A216" s="617" t="s">
        <v>2033</v>
      </c>
    </row>
    <row r="217" customHeight="1" spans="1:1">
      <c r="A217" s="617" t="s">
        <v>2034</v>
      </c>
    </row>
    <row r="218" customHeight="1" spans="1:1">
      <c r="A218" s="617" t="s">
        <v>2035</v>
      </c>
    </row>
    <row r="219" customHeight="1" spans="1:1">
      <c r="A219" s="617" t="s">
        <v>2036</v>
      </c>
    </row>
    <row r="220" customHeight="1" spans="1:1">
      <c r="A220" s="617" t="s">
        <v>2037</v>
      </c>
    </row>
    <row r="221" customHeight="1" spans="1:1">
      <c r="A221" s="617" t="s">
        <v>2038</v>
      </c>
    </row>
    <row r="222" customHeight="1" spans="1:1">
      <c r="A222" s="617" t="s">
        <v>408</v>
      </c>
    </row>
    <row r="223" customHeight="1" spans="1:1">
      <c r="A223" s="617" t="s">
        <v>2039</v>
      </c>
    </row>
    <row r="224" customHeight="1" spans="1:1">
      <c r="A224" s="617" t="s">
        <v>2040</v>
      </c>
    </row>
    <row r="225" customHeight="1" spans="1:1">
      <c r="A225" s="617" t="s">
        <v>523</v>
      </c>
    </row>
    <row r="226" customHeight="1" spans="1:1">
      <c r="A226" s="617" t="s">
        <v>363</v>
      </c>
    </row>
    <row r="227" customHeight="1" spans="1:1">
      <c r="A227" s="617" t="s">
        <v>2041</v>
      </c>
    </row>
    <row r="228" customHeight="1" spans="1:1">
      <c r="A228" s="617" t="s">
        <v>432</v>
      </c>
    </row>
    <row r="229" customHeight="1" spans="1:1">
      <c r="A229" s="617" t="s">
        <v>2042</v>
      </c>
    </row>
    <row r="230" customHeight="1" spans="1:1">
      <c r="A230" s="617" t="s">
        <v>358</v>
      </c>
    </row>
    <row r="231" customHeight="1" spans="1:1">
      <c r="A231" s="617" t="s">
        <v>354</v>
      </c>
    </row>
    <row r="232" customHeight="1" spans="1:1">
      <c r="A232" s="617" t="s">
        <v>2043</v>
      </c>
    </row>
    <row r="233" customHeight="1" spans="1:1">
      <c r="A233" s="617" t="s">
        <v>2044</v>
      </c>
    </row>
    <row r="234" customHeight="1" spans="1:1">
      <c r="A234" s="617" t="s">
        <v>2045</v>
      </c>
    </row>
    <row r="235" customHeight="1" spans="1:1">
      <c r="A235" s="617" t="s">
        <v>2046</v>
      </c>
    </row>
    <row r="236" customHeight="1" spans="1:1">
      <c r="A236" s="617" t="s">
        <v>2047</v>
      </c>
    </row>
    <row r="237" customHeight="1" spans="1:1">
      <c r="A237" s="617" t="s">
        <v>2048</v>
      </c>
    </row>
    <row r="238" customHeight="1" spans="1:1">
      <c r="A238" s="617" t="s">
        <v>368</v>
      </c>
    </row>
    <row r="239" customHeight="1" spans="1:1">
      <c r="A239" s="617" t="s">
        <v>2049</v>
      </c>
    </row>
    <row r="240" customHeight="1" spans="1:1">
      <c r="A240" s="617" t="s">
        <v>2050</v>
      </c>
    </row>
    <row r="241" customHeight="1" spans="1:1">
      <c r="A241" s="617" t="s">
        <v>2051</v>
      </c>
    </row>
    <row r="242" customHeight="1" spans="1:1">
      <c r="A242" s="617" t="s">
        <v>2052</v>
      </c>
    </row>
    <row r="243" customHeight="1" spans="1:1">
      <c r="A243" s="617" t="s">
        <v>448</v>
      </c>
    </row>
    <row r="244" customHeight="1" spans="1:1">
      <c r="A244" s="617" t="s">
        <v>2053</v>
      </c>
    </row>
    <row r="245" customHeight="1" spans="1:1">
      <c r="A245" s="617" t="s">
        <v>2054</v>
      </c>
    </row>
    <row r="246" customHeight="1" spans="1:1">
      <c r="A246" s="617" t="s">
        <v>2055</v>
      </c>
    </row>
    <row r="247" customHeight="1" spans="1:1">
      <c r="A247" s="617" t="s">
        <v>2056</v>
      </c>
    </row>
    <row r="248" customHeight="1" spans="1:1">
      <c r="A248" s="617" t="s">
        <v>2057</v>
      </c>
    </row>
    <row r="249" customHeight="1" spans="1:1">
      <c r="A249" s="617" t="s">
        <v>495</v>
      </c>
    </row>
    <row r="250" customHeight="1" spans="1:1">
      <c r="A250" s="617" t="s">
        <v>416</v>
      </c>
    </row>
    <row r="251" customHeight="1" spans="1:1">
      <c r="A251" s="617" t="s">
        <v>2058</v>
      </c>
    </row>
    <row r="252" customHeight="1" spans="1:1">
      <c r="A252" s="617" t="s">
        <v>2059</v>
      </c>
    </row>
    <row r="253" customHeight="1" spans="1:1">
      <c r="A253" s="617" t="s">
        <v>2060</v>
      </c>
    </row>
    <row r="254" customHeight="1" spans="1:1">
      <c r="A254" s="617" t="s">
        <v>2061</v>
      </c>
    </row>
    <row r="255" customHeight="1" spans="1:1">
      <c r="A255" s="617" t="s">
        <v>2062</v>
      </c>
    </row>
    <row r="256" customHeight="1" spans="1:1">
      <c r="A256" s="617" t="s">
        <v>2063</v>
      </c>
    </row>
    <row r="257" customHeight="1" spans="1:1">
      <c r="A257" s="617" t="s">
        <v>2064</v>
      </c>
    </row>
    <row r="258" customHeight="1" spans="1:1">
      <c r="A258" s="617" t="s">
        <v>2065</v>
      </c>
    </row>
    <row r="259" customHeight="1" spans="1:1">
      <c r="A259" s="617" t="s">
        <v>2066</v>
      </c>
    </row>
    <row r="260" customHeight="1" spans="1:1">
      <c r="A260" s="617" t="s">
        <v>2067</v>
      </c>
    </row>
    <row r="261" customHeight="1" spans="1:1">
      <c r="A261" s="617" t="s">
        <v>2068</v>
      </c>
    </row>
    <row r="262" customHeight="1" spans="1:1">
      <c r="A262" s="617" t="s">
        <v>2069</v>
      </c>
    </row>
    <row r="263" customHeight="1" spans="1:1">
      <c r="A263" s="617" t="s">
        <v>2070</v>
      </c>
    </row>
    <row r="264" customHeight="1" spans="1:1">
      <c r="A264" s="617" t="s">
        <v>2071</v>
      </c>
    </row>
    <row r="265" customHeight="1" spans="1:1">
      <c r="A265" s="617" t="s">
        <v>2072</v>
      </c>
    </row>
    <row r="266" customHeight="1" spans="1:1">
      <c r="A266" s="617" t="s">
        <v>483</v>
      </c>
    </row>
    <row r="267" customHeight="1" spans="1:1">
      <c r="A267" s="617" t="s">
        <v>2073</v>
      </c>
    </row>
    <row r="268" customHeight="1" spans="1:1">
      <c r="A268" s="617" t="s">
        <v>2074</v>
      </c>
    </row>
    <row r="269" customHeight="1" spans="1:1">
      <c r="A269" s="617" t="s">
        <v>507</v>
      </c>
    </row>
    <row r="270" customHeight="1" spans="1:1">
      <c r="A270" s="617" t="s">
        <v>2075</v>
      </c>
    </row>
    <row r="271" customHeight="1" spans="1:1">
      <c r="A271" s="617" t="s">
        <v>2076</v>
      </c>
    </row>
    <row r="272" customHeight="1" spans="1:1">
      <c r="A272" s="617" t="s">
        <v>1016</v>
      </c>
    </row>
    <row r="273" customHeight="1" spans="1:1">
      <c r="A273" s="617" t="s">
        <v>2077</v>
      </c>
    </row>
    <row r="274" customHeight="1" spans="1:1">
      <c r="A274" s="617" t="s">
        <v>2078</v>
      </c>
    </row>
    <row r="275" customHeight="1" spans="1:1">
      <c r="A275" s="617" t="s">
        <v>2079</v>
      </c>
    </row>
    <row r="276" customHeight="1" spans="1:1">
      <c r="A276" s="617" t="s">
        <v>2080</v>
      </c>
    </row>
    <row r="277" customHeight="1" spans="1:1">
      <c r="A277" s="617" t="s">
        <v>2081</v>
      </c>
    </row>
    <row r="278" customHeight="1" spans="1:1">
      <c r="A278" s="617" t="s">
        <v>2082</v>
      </c>
    </row>
    <row r="279" customHeight="1" spans="1:1">
      <c r="A279" s="617" t="s">
        <v>2083</v>
      </c>
    </row>
    <row r="280" customHeight="1" spans="1:1">
      <c r="A280" s="617" t="s">
        <v>2084</v>
      </c>
    </row>
    <row r="281" customHeight="1" spans="1:1">
      <c r="A281" s="617" t="s">
        <v>2085</v>
      </c>
    </row>
    <row r="282" customHeight="1" spans="1:1">
      <c r="A282" s="617" t="s">
        <v>2086</v>
      </c>
    </row>
    <row r="283" customHeight="1" spans="1:1">
      <c r="A283" s="617" t="s">
        <v>529</v>
      </c>
    </row>
    <row r="284" customHeight="1" spans="1:1">
      <c r="A284" s="617" t="s">
        <v>2087</v>
      </c>
    </row>
    <row r="285" customHeight="1" spans="1:1">
      <c r="A285" s="617" t="s">
        <v>2088</v>
      </c>
    </row>
    <row r="286" customHeight="1" spans="1:1">
      <c r="A286" s="617" t="s">
        <v>2089</v>
      </c>
    </row>
    <row r="287" customHeight="1" spans="1:1">
      <c r="A287" s="617" t="s">
        <v>2090</v>
      </c>
    </row>
    <row r="288" customHeight="1" spans="1:1">
      <c r="A288" s="617" t="s">
        <v>2091</v>
      </c>
    </row>
    <row r="289" customHeight="1" spans="1:1">
      <c r="A289" s="617" t="s">
        <v>2092</v>
      </c>
    </row>
    <row r="290" customHeight="1" spans="1:1">
      <c r="A290" s="617" t="s">
        <v>1204</v>
      </c>
    </row>
    <row r="291" customHeight="1" spans="1:1">
      <c r="A291" s="617" t="s">
        <v>2093</v>
      </c>
    </row>
    <row r="292" customHeight="1" spans="1:1">
      <c r="A292" s="617" t="s">
        <v>2094</v>
      </c>
    </row>
    <row r="293" customHeight="1" spans="1:1">
      <c r="A293" s="617" t="s">
        <v>2095</v>
      </c>
    </row>
    <row r="294" customHeight="1" spans="1:1">
      <c r="A294" s="617" t="s">
        <v>2096</v>
      </c>
    </row>
    <row r="295" customHeight="1" spans="1:1">
      <c r="A295" s="617" t="s">
        <v>2097</v>
      </c>
    </row>
    <row r="296" customHeight="1" spans="1:1">
      <c r="A296" s="617" t="s">
        <v>2098</v>
      </c>
    </row>
    <row r="297" customHeight="1" spans="1:1">
      <c r="A297" s="617" t="s">
        <v>2099</v>
      </c>
    </row>
    <row r="298" customHeight="1" spans="1:1">
      <c r="A298" s="617" t="s">
        <v>2100</v>
      </c>
    </row>
    <row r="299" customHeight="1" spans="1:1">
      <c r="A299" s="617" t="s">
        <v>2101</v>
      </c>
    </row>
    <row r="300" customHeight="1" spans="1:1">
      <c r="A300" s="617" t="s">
        <v>2102</v>
      </c>
    </row>
    <row r="301" customHeight="1" spans="1:1">
      <c r="A301" s="617" t="s">
        <v>2103</v>
      </c>
    </row>
    <row r="302" customHeight="1" spans="1:1">
      <c r="A302" s="617" t="s">
        <v>2104</v>
      </c>
    </row>
    <row r="303" customHeight="1" spans="1:1">
      <c r="A303" s="617" t="s">
        <v>2105</v>
      </c>
    </row>
    <row r="304" customHeight="1" spans="1:1">
      <c r="A304" s="617" t="s">
        <v>2106</v>
      </c>
    </row>
    <row r="305" customHeight="1" spans="1:1">
      <c r="A305" s="617" t="s">
        <v>2107</v>
      </c>
    </row>
    <row r="306" customHeight="1" spans="1:1">
      <c r="A306" s="617" t="s">
        <v>2108</v>
      </c>
    </row>
    <row r="307" customHeight="1" spans="1:1">
      <c r="A307" s="617" t="s">
        <v>2109</v>
      </c>
    </row>
    <row r="308" customHeight="1" spans="1:1">
      <c r="A308" s="617" t="s">
        <v>2110</v>
      </c>
    </row>
    <row r="309" customHeight="1" spans="1:1">
      <c r="A309" s="617" t="s">
        <v>2111</v>
      </c>
    </row>
    <row r="310" customHeight="1" spans="1:1">
      <c r="A310" s="617" t="s">
        <v>2112</v>
      </c>
    </row>
    <row r="311" customHeight="1" spans="1:1">
      <c r="A311" s="617" t="s">
        <v>2113</v>
      </c>
    </row>
    <row r="312" customHeight="1" spans="1:1">
      <c r="A312" s="617" t="s">
        <v>2114</v>
      </c>
    </row>
    <row r="313" customHeight="1" spans="1:1">
      <c r="A313" s="617" t="s">
        <v>2115</v>
      </c>
    </row>
    <row r="314" customHeight="1" spans="1:1">
      <c r="A314" s="617" t="s">
        <v>2116</v>
      </c>
    </row>
    <row r="315" customHeight="1" spans="1:1">
      <c r="A315" s="617" t="s">
        <v>2117</v>
      </c>
    </row>
    <row r="316" customHeight="1" spans="1:1">
      <c r="A316" s="617" t="s">
        <v>2118</v>
      </c>
    </row>
    <row r="317" customHeight="1" spans="1:1">
      <c r="A317" s="617" t="s">
        <v>2119</v>
      </c>
    </row>
    <row r="318" customHeight="1" spans="1:1">
      <c r="A318" s="617" t="s">
        <v>2120</v>
      </c>
    </row>
    <row r="319" customHeight="1" spans="1:1">
      <c r="A319" s="617" t="s">
        <v>64</v>
      </c>
    </row>
    <row r="320" customHeight="1" spans="1:1">
      <c r="A320" s="617" t="s">
        <v>2121</v>
      </c>
    </row>
    <row r="321" customHeight="1" spans="1:1">
      <c r="A321" s="617" t="s">
        <v>2122</v>
      </c>
    </row>
    <row r="322" customHeight="1" spans="1:1">
      <c r="A322" s="617" t="s">
        <v>2123</v>
      </c>
    </row>
    <row r="323" customHeight="1" spans="1:1">
      <c r="A323" s="617" t="s">
        <v>2124</v>
      </c>
    </row>
    <row r="324" customHeight="1" spans="1:1">
      <c r="A324" s="617" t="s">
        <v>2125</v>
      </c>
    </row>
    <row r="325" customHeight="1" spans="1:1">
      <c r="A325" s="617" t="s">
        <v>2126</v>
      </c>
    </row>
    <row r="326" customHeight="1" spans="1:1">
      <c r="A326" s="617" t="s">
        <v>2127</v>
      </c>
    </row>
    <row r="327" customHeight="1" spans="1:1">
      <c r="A327" s="619">
        <v>13</v>
      </c>
    </row>
    <row r="328" customHeight="1" spans="1:1">
      <c r="A328" s="619">
        <v>20</v>
      </c>
    </row>
    <row r="329" customHeight="1" spans="1:1">
      <c r="A329" s="619">
        <v>10</v>
      </c>
    </row>
    <row r="330" customHeight="1" spans="1:1">
      <c r="A330" s="619">
        <v>25</v>
      </c>
    </row>
    <row r="331" customHeight="1" spans="1:1">
      <c r="A331" s="617" t="s">
        <v>2128</v>
      </c>
    </row>
    <row r="332" customHeight="1" spans="1:1">
      <c r="A332" s="617" t="s">
        <v>2129</v>
      </c>
    </row>
    <row r="333" customHeight="1" spans="1:1">
      <c r="A333" s="617" t="s">
        <v>2130</v>
      </c>
    </row>
    <row r="334" customHeight="1" spans="1:1">
      <c r="A334" s="617" t="s">
        <v>2131</v>
      </c>
    </row>
    <row r="335" customHeight="1" spans="1:1">
      <c r="A335" s="617" t="s">
        <v>2132</v>
      </c>
    </row>
    <row r="336" customHeight="1" spans="1:1">
      <c r="A336" s="617" t="s">
        <v>2133</v>
      </c>
    </row>
    <row r="337" customHeight="1" spans="1:1">
      <c r="A337" s="617" t="s">
        <v>2134</v>
      </c>
    </row>
    <row r="338" customHeight="1" spans="1:1">
      <c r="A338" s="617" t="s">
        <v>2135</v>
      </c>
    </row>
    <row r="339" customHeight="1" spans="1:1">
      <c r="A339" s="617" t="s">
        <v>2136</v>
      </c>
    </row>
    <row r="340" customHeight="1" spans="1:1">
      <c r="A340" s="617" t="s">
        <v>2137</v>
      </c>
    </row>
    <row r="341" customHeight="1" spans="1:1">
      <c r="A341" s="617" t="s">
        <v>2138</v>
      </c>
    </row>
    <row r="342" customHeight="1" spans="1:1">
      <c r="A342" s="617" t="s">
        <v>2139</v>
      </c>
    </row>
    <row r="343" customHeight="1" spans="1:1">
      <c r="A343" s="617" t="s">
        <v>2140</v>
      </c>
    </row>
    <row r="344" customHeight="1" spans="1:1">
      <c r="A344" s="617" t="s">
        <v>2141</v>
      </c>
    </row>
    <row r="345" customHeight="1" spans="1:1">
      <c r="A345" s="617" t="s">
        <v>2142</v>
      </c>
    </row>
    <row r="346" customHeight="1" spans="1:1">
      <c r="A346" s="617" t="s">
        <v>2143</v>
      </c>
    </row>
    <row r="347" customHeight="1" spans="1:1">
      <c r="A347" s="617" t="s">
        <v>2144</v>
      </c>
    </row>
    <row r="348" customHeight="1" spans="1:1">
      <c r="A348" s="617" t="s">
        <v>2145</v>
      </c>
    </row>
    <row r="349" customHeight="1" spans="1:1">
      <c r="A349" s="617" t="s">
        <v>2146</v>
      </c>
    </row>
    <row r="350" customHeight="1" spans="1:1">
      <c r="A350" s="617" t="s">
        <v>2147</v>
      </c>
    </row>
    <row r="351" customHeight="1" spans="1:1">
      <c r="A351" s="617" t="s">
        <v>2148</v>
      </c>
    </row>
    <row r="352" customHeight="1" spans="1:1">
      <c r="A352" s="617" t="s">
        <v>301</v>
      </c>
    </row>
    <row r="353" customHeight="1" spans="1:1">
      <c r="A353" s="617" t="s">
        <v>420</v>
      </c>
    </row>
    <row r="354" customHeight="1" spans="1:1">
      <c r="A354" s="617" t="s">
        <v>2149</v>
      </c>
    </row>
    <row r="355" customHeight="1" spans="1:1">
      <c r="A355" s="617" t="s">
        <v>2150</v>
      </c>
    </row>
    <row r="356" customHeight="1" spans="1:1">
      <c r="A356" s="617" t="s">
        <v>2151</v>
      </c>
    </row>
    <row r="357" customHeight="1" spans="1:1">
      <c r="A357" s="617" t="s">
        <v>2152</v>
      </c>
    </row>
    <row r="358" customHeight="1" spans="1:1">
      <c r="A358" s="617" t="s">
        <v>2153</v>
      </c>
    </row>
    <row r="359" customHeight="1" spans="1:1">
      <c r="A359" s="617" t="s">
        <v>392</v>
      </c>
    </row>
    <row r="360" customHeight="1" spans="1:1">
      <c r="A360" s="617" t="s">
        <v>2154</v>
      </c>
    </row>
    <row r="361" customHeight="1" spans="1:1">
      <c r="A361" s="617" t="s">
        <v>2155</v>
      </c>
    </row>
    <row r="362" customHeight="1" spans="1:1">
      <c r="A362" s="617" t="s">
        <v>2156</v>
      </c>
    </row>
    <row r="363" customHeight="1" spans="1:1">
      <c r="A363" s="617" t="s">
        <v>888</v>
      </c>
    </row>
    <row r="364" customHeight="1" spans="1:1">
      <c r="A364" s="617" t="s">
        <v>457</v>
      </c>
    </row>
    <row r="365" customHeight="1" spans="1:1">
      <c r="A365" s="617" t="s">
        <v>2157</v>
      </c>
    </row>
    <row r="366" customHeight="1" spans="1:1">
      <c r="A366" s="617" t="s">
        <v>2158</v>
      </c>
    </row>
    <row r="367" customHeight="1" spans="1:1">
      <c r="A367" s="617" t="s">
        <v>2159</v>
      </c>
    </row>
    <row r="368" customHeight="1" spans="1:1">
      <c r="A368" s="617" t="s">
        <v>2160</v>
      </c>
    </row>
    <row r="369" customHeight="1" spans="1:1">
      <c r="A369" s="617" t="s">
        <v>2161</v>
      </c>
    </row>
    <row r="370" customHeight="1" spans="1:1">
      <c r="A370" s="617" t="s">
        <v>2162</v>
      </c>
    </row>
    <row r="371" customHeight="1" spans="1:1">
      <c r="A371" s="617" t="s">
        <v>2163</v>
      </c>
    </row>
    <row r="372" customHeight="1" spans="1:1">
      <c r="A372" s="617" t="s">
        <v>2164</v>
      </c>
    </row>
    <row r="373" customHeight="1" spans="1:1">
      <c r="A373" s="617" t="s">
        <v>2165</v>
      </c>
    </row>
    <row r="374" customHeight="1" spans="1:1">
      <c r="A374" s="617" t="s">
        <v>2166</v>
      </c>
    </row>
    <row r="375" customHeight="1" spans="1:1">
      <c r="A375" s="617">
        <v>300</v>
      </c>
    </row>
    <row r="376" customHeight="1" spans="1:1">
      <c r="A376" s="617">
        <v>400</v>
      </c>
    </row>
    <row r="377" customHeight="1" spans="1:2">
      <c r="A377" s="617">
        <v>1250</v>
      </c>
      <c r="B377" s="620"/>
    </row>
    <row r="378" customHeight="1" spans="1:2">
      <c r="A378" s="621" t="s">
        <v>2167</v>
      </c>
      <c r="B378" s="622"/>
    </row>
    <row r="379" customHeight="1" spans="1:2">
      <c r="A379" s="621" t="s">
        <v>2168</v>
      </c>
      <c r="B379" s="620"/>
    </row>
    <row r="380" customHeight="1" spans="1:2">
      <c r="A380" s="621" t="s">
        <v>2169</v>
      </c>
      <c r="B380" s="622"/>
    </row>
    <row r="381" customHeight="1" spans="1:2">
      <c r="A381" s="621" t="s">
        <v>2170</v>
      </c>
      <c r="B381" s="620"/>
    </row>
    <row r="382" customHeight="1" spans="1:2">
      <c r="A382" s="621" t="s">
        <v>2171</v>
      </c>
      <c r="B382" s="622"/>
    </row>
    <row r="383" customHeight="1" spans="1:2">
      <c r="A383" s="621" t="s">
        <v>2172</v>
      </c>
      <c r="B383" s="620"/>
    </row>
    <row r="384" customHeight="1" spans="1:1">
      <c r="A384" s="621" t="s">
        <v>2173</v>
      </c>
    </row>
    <row r="385" customHeight="1" spans="1:1">
      <c r="A385" s="617" t="s">
        <v>2174</v>
      </c>
    </row>
    <row r="386" customHeight="1" spans="1:1">
      <c r="A386" s="617" t="s">
        <v>2175</v>
      </c>
    </row>
    <row r="387" customHeight="1" spans="1:1">
      <c r="A387" s="617" t="s">
        <v>2176</v>
      </c>
    </row>
    <row r="388" customHeight="1" spans="1:1">
      <c r="A388" s="617" t="s">
        <v>2177</v>
      </c>
    </row>
    <row r="389" customHeight="1" spans="1:1">
      <c r="A389" s="617" t="s">
        <v>2178</v>
      </c>
    </row>
    <row r="390" customHeight="1" spans="1:1">
      <c r="A390" s="617">
        <v>1000</v>
      </c>
    </row>
    <row r="391" customHeight="1" spans="1:1">
      <c r="A391" s="617">
        <v>2000</v>
      </c>
    </row>
    <row r="392" customHeight="1" spans="1:1">
      <c r="A392" s="617">
        <v>3000</v>
      </c>
    </row>
    <row r="393" customHeight="1" spans="1:1">
      <c r="A393" s="617">
        <v>4000</v>
      </c>
    </row>
    <row r="394" customHeight="1" spans="1:1">
      <c r="A394" s="617">
        <v>6000</v>
      </c>
    </row>
    <row r="395" customHeight="1" spans="1:1">
      <c r="A395" s="617">
        <v>5000</v>
      </c>
    </row>
    <row r="396" customHeight="1" spans="1:1">
      <c r="A396" s="617" t="s">
        <v>2179</v>
      </c>
    </row>
    <row r="397" customHeight="1" spans="1:1">
      <c r="A397" s="617" t="s">
        <v>2180</v>
      </c>
    </row>
    <row r="398" customHeight="1" spans="1:1">
      <c r="A398" s="617" t="s">
        <v>2181</v>
      </c>
    </row>
    <row r="399" customHeight="1" spans="1:1">
      <c r="A399" s="617" t="s">
        <v>2182</v>
      </c>
    </row>
    <row r="400" customHeight="1" spans="1:1">
      <c r="A400" s="617" t="s">
        <v>2183</v>
      </c>
    </row>
    <row r="401" customHeight="1" spans="1:1">
      <c r="A401" s="617" t="s">
        <v>2184</v>
      </c>
    </row>
    <row r="402" customHeight="1" spans="1:1">
      <c r="A402" s="617" t="s">
        <v>2185</v>
      </c>
    </row>
    <row r="403" customHeight="1" spans="1:1">
      <c r="A403" s="617" t="s">
        <v>2186</v>
      </c>
    </row>
    <row r="404" customHeight="1" spans="1:1">
      <c r="A404" s="617" t="s">
        <v>2187</v>
      </c>
    </row>
    <row r="405" customHeight="1" spans="1:1">
      <c r="A405" s="617" t="s">
        <v>2188</v>
      </c>
    </row>
    <row r="406" customHeight="1" spans="1:1">
      <c r="A406" s="617" t="s">
        <v>2189</v>
      </c>
    </row>
    <row r="407" customHeight="1" spans="1:1">
      <c r="A407" s="617" t="s">
        <v>2190</v>
      </c>
    </row>
    <row r="408" customHeight="1" spans="1:1">
      <c r="A408" s="617" t="s">
        <v>2191</v>
      </c>
    </row>
    <row r="409" customHeight="1" spans="1:1">
      <c r="A409" s="617" t="s">
        <v>2192</v>
      </c>
    </row>
    <row r="410" customHeight="1" spans="1:1">
      <c r="A410" s="617" t="s">
        <v>2193</v>
      </c>
    </row>
    <row r="411" customHeight="1" spans="1:1">
      <c r="A411" s="617" t="s">
        <v>2194</v>
      </c>
    </row>
    <row r="412" customHeight="1" spans="1:1">
      <c r="A412" s="617" t="s">
        <v>2195</v>
      </c>
    </row>
    <row r="413" customHeight="1" spans="1:1">
      <c r="A413" s="617" t="s">
        <v>2196</v>
      </c>
    </row>
    <row r="414" customHeight="1" spans="1:1">
      <c r="A414" s="617" t="s">
        <v>2197</v>
      </c>
    </row>
    <row r="415" customHeight="1" spans="1:1">
      <c r="A415" s="617" t="s">
        <v>2198</v>
      </c>
    </row>
    <row r="416" customHeight="1" spans="1:1">
      <c r="A416" s="617" t="s">
        <v>2199</v>
      </c>
    </row>
    <row r="417" customHeight="1" spans="1:1">
      <c r="A417" s="617" t="s">
        <v>2200</v>
      </c>
    </row>
    <row r="418" customHeight="1" spans="1:1">
      <c r="A418" s="617" t="s">
        <v>2201</v>
      </c>
    </row>
    <row r="419" customHeight="1" spans="1:1">
      <c r="A419" s="617" t="s">
        <v>2202</v>
      </c>
    </row>
    <row r="420" customHeight="1" spans="1:1">
      <c r="A420" s="617" t="s">
        <v>2203</v>
      </c>
    </row>
    <row r="421" customHeight="1" spans="1:1">
      <c r="A421" s="617" t="s">
        <v>2204</v>
      </c>
    </row>
    <row r="422" customHeight="1" spans="1:1">
      <c r="A422" s="617" t="s">
        <v>2205</v>
      </c>
    </row>
    <row r="423" customHeight="1" spans="1:1">
      <c r="A423" s="617" t="s">
        <v>2206</v>
      </c>
    </row>
    <row r="424" customHeight="1" spans="1:1">
      <c r="A424" s="617" t="s">
        <v>2207</v>
      </c>
    </row>
    <row r="425" customHeight="1" spans="1:1">
      <c r="A425" s="617" t="s">
        <v>2208</v>
      </c>
    </row>
    <row r="426" customHeight="1" spans="1:1">
      <c r="A426" s="617" t="s">
        <v>2209</v>
      </c>
    </row>
    <row r="427" customHeight="1" spans="1:1">
      <c r="A427" s="617" t="s">
        <v>2210</v>
      </c>
    </row>
    <row r="428" customHeight="1" spans="1:1">
      <c r="A428" s="617" t="s">
        <v>2211</v>
      </c>
    </row>
    <row r="429" customHeight="1" spans="1:1">
      <c r="A429" s="617" t="s">
        <v>2212</v>
      </c>
    </row>
    <row r="430" customHeight="1" spans="1:1">
      <c r="A430" s="617" t="s">
        <v>2213</v>
      </c>
    </row>
    <row r="431" customHeight="1" spans="1:1">
      <c r="A431" s="617" t="s">
        <v>2214</v>
      </c>
    </row>
    <row r="432" customHeight="1" spans="1:1">
      <c r="A432" s="617" t="s">
        <v>2215</v>
      </c>
    </row>
    <row r="433" customHeight="1" spans="1:1">
      <c r="A433" s="617" t="s">
        <v>2216</v>
      </c>
    </row>
    <row r="434" customHeight="1" spans="1:1">
      <c r="A434" s="617" t="s">
        <v>2217</v>
      </c>
    </row>
    <row r="435" customHeight="1" spans="1:1">
      <c r="A435" s="617" t="s">
        <v>2218</v>
      </c>
    </row>
    <row r="436" customHeight="1" spans="1:1">
      <c r="A436" s="617" t="s">
        <v>200</v>
      </c>
    </row>
    <row r="437" customHeight="1" spans="1:1">
      <c r="A437" s="617" t="s">
        <v>2219</v>
      </c>
    </row>
    <row r="438" customHeight="1" spans="1:1">
      <c r="A438" s="617" t="s">
        <v>2220</v>
      </c>
    </row>
    <row r="439" customHeight="1" spans="1:1">
      <c r="A439" s="617" t="s">
        <v>2221</v>
      </c>
    </row>
    <row r="440" customHeight="1" spans="1:1">
      <c r="A440" s="617" t="s">
        <v>2222</v>
      </c>
    </row>
    <row r="441" customHeight="1" spans="1:1">
      <c r="A441" s="617" t="s">
        <v>2223</v>
      </c>
    </row>
    <row r="442" customHeight="1" spans="1:1">
      <c r="A442" s="617" t="s">
        <v>2224</v>
      </c>
    </row>
    <row r="443" customHeight="1" spans="1:1">
      <c r="A443" s="617" t="s">
        <v>2225</v>
      </c>
    </row>
    <row r="444" customHeight="1" spans="1:1">
      <c r="A444" s="617" t="s">
        <v>2226</v>
      </c>
    </row>
    <row r="445" customHeight="1" spans="1:1">
      <c r="A445" s="617" t="s">
        <v>2227</v>
      </c>
    </row>
    <row r="446" customHeight="1" spans="1:1">
      <c r="A446" s="617" t="s">
        <v>2228</v>
      </c>
    </row>
    <row r="447" customHeight="1" spans="1:1">
      <c r="A447" s="617" t="s">
        <v>2229</v>
      </c>
    </row>
    <row r="448" customHeight="1" spans="1:1">
      <c r="A448" s="617" t="s">
        <v>2230</v>
      </c>
    </row>
    <row r="449" customHeight="1" spans="1:1">
      <c r="A449" s="617" t="s">
        <v>2231</v>
      </c>
    </row>
    <row r="450" customHeight="1" spans="1:1">
      <c r="A450" s="617" t="s">
        <v>2232</v>
      </c>
    </row>
    <row r="451" customHeight="1" spans="1:1">
      <c r="A451" s="617" t="s">
        <v>2233</v>
      </c>
    </row>
    <row r="452" customHeight="1" spans="1:1">
      <c r="A452" s="617" t="s">
        <v>2234</v>
      </c>
    </row>
    <row r="453" customHeight="1" spans="1:1">
      <c r="A453" s="617" t="s">
        <v>2235</v>
      </c>
    </row>
    <row r="454" customHeight="1" spans="1:1">
      <c r="A454" s="617" t="s">
        <v>2236</v>
      </c>
    </row>
    <row r="455" customHeight="1" spans="1:1">
      <c r="A455" s="617" t="s">
        <v>2237</v>
      </c>
    </row>
    <row r="456" customHeight="1" spans="1:1">
      <c r="A456" s="617" t="s">
        <v>309</v>
      </c>
    </row>
    <row r="457" customHeight="1" spans="1:1">
      <c r="A457" s="617" t="s">
        <v>2238</v>
      </c>
    </row>
    <row r="458" customHeight="1" spans="1:1">
      <c r="A458" s="617" t="s">
        <v>2239</v>
      </c>
    </row>
    <row r="459" customHeight="1" spans="1:1">
      <c r="A459" s="617" t="s">
        <v>2240</v>
      </c>
    </row>
    <row r="460" customHeight="1" spans="1:1">
      <c r="A460" s="617" t="s">
        <v>2241</v>
      </c>
    </row>
    <row r="461" customHeight="1" spans="1:1">
      <c r="A461" s="617" t="s">
        <v>2242</v>
      </c>
    </row>
    <row r="462" customHeight="1" spans="1:1">
      <c r="A462" s="617" t="s">
        <v>452</v>
      </c>
    </row>
    <row r="463" customHeight="1" spans="1:1">
      <c r="A463" s="617" t="s">
        <v>2243</v>
      </c>
    </row>
    <row r="464" customHeight="1" spans="1:1">
      <c r="A464" s="617" t="s">
        <v>2244</v>
      </c>
    </row>
    <row r="465" customHeight="1" spans="1:1">
      <c r="A465" s="617" t="s">
        <v>2245</v>
      </c>
    </row>
    <row r="466" customHeight="1" spans="1:1">
      <c r="A466" s="617" t="s">
        <v>528</v>
      </c>
    </row>
    <row r="467" customHeight="1" spans="1:1">
      <c r="A467" s="617" t="s">
        <v>2246</v>
      </c>
    </row>
    <row r="468" customHeight="1" spans="1:1">
      <c r="A468" s="617" t="s">
        <v>2247</v>
      </c>
    </row>
    <row r="469" customHeight="1" spans="1:1">
      <c r="A469" s="617" t="s">
        <v>2248</v>
      </c>
    </row>
    <row r="470" customHeight="1" spans="1:1">
      <c r="A470" s="617" t="s">
        <v>2249</v>
      </c>
    </row>
    <row r="471" customHeight="1" spans="1:1">
      <c r="A471" s="617" t="s">
        <v>2250</v>
      </c>
    </row>
    <row r="472" customHeight="1" spans="1:1">
      <c r="A472" s="617" t="s">
        <v>2251</v>
      </c>
    </row>
    <row r="473" customHeight="1" spans="1:1">
      <c r="A473" s="617" t="s">
        <v>2252</v>
      </c>
    </row>
    <row r="474" customHeight="1" spans="1:1">
      <c r="A474" s="617" t="s">
        <v>2253</v>
      </c>
    </row>
    <row r="475" customHeight="1" spans="1:1">
      <c r="A475" s="617" t="s">
        <v>2254</v>
      </c>
    </row>
    <row r="476" customHeight="1" spans="1:1">
      <c r="A476" s="617" t="s">
        <v>2255</v>
      </c>
    </row>
    <row r="477" customHeight="1" spans="1:1">
      <c r="A477" s="617" t="s">
        <v>2256</v>
      </c>
    </row>
    <row r="478" customHeight="1" spans="1:1">
      <c r="A478" s="617" t="s">
        <v>2257</v>
      </c>
    </row>
    <row r="479" customHeight="1" spans="1:1">
      <c r="A479" s="617" t="s">
        <v>2258</v>
      </c>
    </row>
    <row r="480" customHeight="1" spans="1:1">
      <c r="A480" s="617" t="s">
        <v>2259</v>
      </c>
    </row>
    <row r="481" customHeight="1" spans="1:1">
      <c r="A481" s="617" t="s">
        <v>2260</v>
      </c>
    </row>
    <row r="482" customHeight="1" spans="1:1">
      <c r="A482" s="617" t="s">
        <v>2261</v>
      </c>
    </row>
    <row r="483" customHeight="1" spans="1:1">
      <c r="A483" s="617" t="s">
        <v>2262</v>
      </c>
    </row>
    <row r="484" customHeight="1" spans="1:1">
      <c r="A484" s="617" t="s">
        <v>2263</v>
      </c>
    </row>
    <row r="485" customHeight="1" spans="1:1">
      <c r="A485" s="617" t="s">
        <v>2264</v>
      </c>
    </row>
    <row r="486" customHeight="1" spans="1:1">
      <c r="A486" s="617" t="s">
        <v>2265</v>
      </c>
    </row>
    <row r="487" customHeight="1" spans="1:1">
      <c r="A487" s="617" t="s">
        <v>2266</v>
      </c>
    </row>
    <row r="488" customHeight="1" spans="1:1">
      <c r="A488" s="617" t="s">
        <v>2267</v>
      </c>
    </row>
    <row r="489" customHeight="1" spans="1:1">
      <c r="A489" s="617" t="s">
        <v>2268</v>
      </c>
    </row>
    <row r="490" customHeight="1" spans="1:1">
      <c r="A490" s="617" t="s">
        <v>2269</v>
      </c>
    </row>
    <row r="491" customHeight="1" spans="1:1">
      <c r="A491" s="617" t="s">
        <v>2270</v>
      </c>
    </row>
    <row r="492" customHeight="1" spans="1:1">
      <c r="A492" s="617" t="s">
        <v>330</v>
      </c>
    </row>
    <row r="493" customHeight="1" spans="1:1">
      <c r="A493" s="617" t="s">
        <v>2271</v>
      </c>
    </row>
    <row r="494" customHeight="1" spans="1:1">
      <c r="A494" s="617" t="s">
        <v>2272</v>
      </c>
    </row>
    <row r="495" customHeight="1" spans="1:1">
      <c r="A495" s="617" t="s">
        <v>2273</v>
      </c>
    </row>
    <row r="496" customHeight="1" spans="1:1">
      <c r="A496" s="617" t="s">
        <v>2274</v>
      </c>
    </row>
    <row r="497" customHeight="1" spans="1:1">
      <c r="A497" s="617" t="s">
        <v>2275</v>
      </c>
    </row>
    <row r="498" customHeight="1" spans="1:1">
      <c r="A498" s="617" t="s">
        <v>2276</v>
      </c>
    </row>
    <row r="499" customHeight="1" spans="1:1">
      <c r="A499" s="617" t="s">
        <v>2277</v>
      </c>
    </row>
    <row r="500" customHeight="1" spans="1:1">
      <c r="A500" s="617" t="s">
        <v>2278</v>
      </c>
    </row>
    <row r="501" customHeight="1" spans="1:1">
      <c r="A501" s="617" t="s">
        <v>2279</v>
      </c>
    </row>
    <row r="502" customHeight="1" spans="1:1">
      <c r="A502" s="617" t="s">
        <v>2280</v>
      </c>
    </row>
    <row r="503" customHeight="1" spans="1:1">
      <c r="A503" s="617" t="s">
        <v>2281</v>
      </c>
    </row>
    <row r="504" customHeight="1" spans="1:1">
      <c r="A504" s="617" t="s">
        <v>2282</v>
      </c>
    </row>
    <row r="505" customHeight="1" spans="1:1">
      <c r="A505" s="617" t="s">
        <v>2283</v>
      </c>
    </row>
    <row r="506" customHeight="1" spans="1:1">
      <c r="A506" s="617" t="s">
        <v>2284</v>
      </c>
    </row>
    <row r="507" customHeight="1" spans="1:1">
      <c r="A507" s="617" t="s">
        <v>2285</v>
      </c>
    </row>
    <row r="508" customHeight="1" spans="1:1">
      <c r="A508" s="617" t="s">
        <v>2286</v>
      </c>
    </row>
    <row r="509" customHeight="1" spans="1:1">
      <c r="A509" s="617" t="s">
        <v>2287</v>
      </c>
    </row>
    <row r="510" customHeight="1" spans="1:1">
      <c r="A510" s="617" t="s">
        <v>2288</v>
      </c>
    </row>
    <row r="511" customHeight="1" spans="1:1">
      <c r="A511" s="617" t="s">
        <v>2289</v>
      </c>
    </row>
    <row r="512" customHeight="1" spans="1:1">
      <c r="A512" s="617" t="s">
        <v>2290</v>
      </c>
    </row>
    <row r="513" customHeight="1" spans="1:1">
      <c r="A513" s="617" t="s">
        <v>2291</v>
      </c>
    </row>
    <row r="514" customHeight="1" spans="1:1">
      <c r="A514" s="617" t="s">
        <v>2292</v>
      </c>
    </row>
    <row r="515" customHeight="1" spans="1:1">
      <c r="A515" s="617" t="s">
        <v>2293</v>
      </c>
    </row>
    <row r="516" customHeight="1" spans="1:1">
      <c r="A516" s="617" t="s">
        <v>2294</v>
      </c>
    </row>
    <row r="517" customHeight="1" spans="1:1">
      <c r="A517" s="617" t="s">
        <v>2295</v>
      </c>
    </row>
    <row r="518" customHeight="1" spans="1:1">
      <c r="A518" s="617" t="s">
        <v>2296</v>
      </c>
    </row>
    <row r="519" customHeight="1" spans="1:1">
      <c r="A519" s="617" t="s">
        <v>2297</v>
      </c>
    </row>
    <row r="520" customHeight="1" spans="1:1">
      <c r="A520" s="617" t="s">
        <v>2298</v>
      </c>
    </row>
    <row r="521" customHeight="1" spans="1:1">
      <c r="A521" s="617" t="s">
        <v>2299</v>
      </c>
    </row>
    <row r="522" customHeight="1" spans="1:1">
      <c r="A522" s="617" t="s">
        <v>2300</v>
      </c>
    </row>
    <row r="523" customHeight="1" spans="1:1">
      <c r="A523" s="617" t="s">
        <v>2301</v>
      </c>
    </row>
    <row r="524" customHeight="1" spans="1:1">
      <c r="A524" s="617" t="s">
        <v>2302</v>
      </c>
    </row>
    <row r="525" customHeight="1" spans="1:1">
      <c r="A525" s="617" t="s">
        <v>2303</v>
      </c>
    </row>
    <row r="526" customHeight="1" spans="1:1">
      <c r="A526" s="617" t="s">
        <v>2304</v>
      </c>
    </row>
    <row r="527" customHeight="1" spans="1:1">
      <c r="A527" s="617" t="s">
        <v>2305</v>
      </c>
    </row>
    <row r="528" customHeight="1" spans="1:1">
      <c r="A528" s="617" t="s">
        <v>2306</v>
      </c>
    </row>
    <row r="529" customHeight="1" spans="1:1">
      <c r="A529" s="617" t="s">
        <v>2307</v>
      </c>
    </row>
    <row r="530" customHeight="1" spans="1:1">
      <c r="A530" s="617" t="s">
        <v>2308</v>
      </c>
    </row>
    <row r="531" customHeight="1" spans="1:1">
      <c r="A531" s="617" t="s">
        <v>2309</v>
      </c>
    </row>
    <row r="532" customHeight="1" spans="1:1">
      <c r="A532" s="617" t="s">
        <v>2310</v>
      </c>
    </row>
    <row r="533" customHeight="1" spans="1:1">
      <c r="A533" s="617" t="s">
        <v>2311</v>
      </c>
    </row>
    <row r="534" customHeight="1" spans="1:1">
      <c r="A534" s="617" t="s">
        <v>2312</v>
      </c>
    </row>
    <row r="535" customHeight="1" spans="1:1">
      <c r="A535" s="617" t="s">
        <v>2313</v>
      </c>
    </row>
    <row r="536" customHeight="1" spans="1:1">
      <c r="A536" s="617" t="s">
        <v>2314</v>
      </c>
    </row>
    <row r="537" customHeight="1" spans="1:1">
      <c r="A537" s="617" t="s">
        <v>2315</v>
      </c>
    </row>
    <row r="538" customHeight="1" spans="1:1">
      <c r="A538" s="617" t="s">
        <v>2316</v>
      </c>
    </row>
    <row r="539" customHeight="1" spans="1:1">
      <c r="A539" s="617" t="s">
        <v>663</v>
      </c>
    </row>
    <row r="540" customHeight="1" spans="1:1">
      <c r="A540" s="617" t="s">
        <v>2317</v>
      </c>
    </row>
    <row r="541" customHeight="1" spans="1:1">
      <c r="A541" s="617" t="s">
        <v>2318</v>
      </c>
    </row>
    <row r="542" customHeight="1" spans="1:1">
      <c r="A542" s="617" t="s">
        <v>1610</v>
      </c>
    </row>
    <row r="543" customHeight="1" spans="1:1">
      <c r="A543" s="617" t="s">
        <v>428</v>
      </c>
    </row>
    <row r="544" customHeight="1" spans="1:1">
      <c r="A544" s="617" t="s">
        <v>2319</v>
      </c>
    </row>
    <row r="545" customHeight="1" spans="1:1">
      <c r="A545" s="617" t="s">
        <v>2320</v>
      </c>
    </row>
    <row r="546" customHeight="1" spans="1:1">
      <c r="A546" s="617" t="s">
        <v>2321</v>
      </c>
    </row>
    <row r="547" customHeight="1" spans="1:1">
      <c r="A547" s="617" t="s">
        <v>891</v>
      </c>
    </row>
    <row r="548" customHeight="1" spans="1:1">
      <c r="A548" s="617" t="s">
        <v>2322</v>
      </c>
    </row>
    <row r="549" customHeight="1" spans="1:1">
      <c r="A549" s="617" t="s">
        <v>2323</v>
      </c>
    </row>
    <row r="550" customHeight="1" spans="1:1">
      <c r="A550" s="617" t="s">
        <v>2324</v>
      </c>
    </row>
    <row r="551" customHeight="1" spans="1:1">
      <c r="A551" s="617" t="s">
        <v>2325</v>
      </c>
    </row>
    <row r="552" customHeight="1" spans="1:1">
      <c r="A552" s="617" t="s">
        <v>2326</v>
      </c>
    </row>
    <row r="553" customHeight="1" spans="1:1">
      <c r="A553" s="617" t="s">
        <v>2327</v>
      </c>
    </row>
    <row r="554" customHeight="1" spans="1:1">
      <c r="A554" s="617" t="s">
        <v>2328</v>
      </c>
    </row>
    <row r="555" customHeight="1" spans="1:1">
      <c r="A555" s="617" t="s">
        <v>2329</v>
      </c>
    </row>
    <row r="556" customHeight="1" spans="1:1">
      <c r="A556" s="617" t="s">
        <v>2330</v>
      </c>
    </row>
    <row r="557" customHeight="1" spans="1:1">
      <c r="A557" s="617" t="s">
        <v>2331</v>
      </c>
    </row>
    <row r="558" customHeight="1" spans="1:1">
      <c r="A558" t="s">
        <v>2332</v>
      </c>
    </row>
    <row r="559" customHeight="1" spans="1:1">
      <c r="A559" s="617" t="s">
        <v>2333</v>
      </c>
    </row>
    <row r="560" customHeight="1" spans="1:1">
      <c r="A560" s="617" t="s">
        <v>2334</v>
      </c>
    </row>
    <row r="561" customHeight="1" spans="1:1">
      <c r="A561" s="617" t="s">
        <v>2335</v>
      </c>
    </row>
    <row r="562" customHeight="1" spans="1:1">
      <c r="A562" s="617" t="s">
        <v>2336</v>
      </c>
    </row>
    <row r="563" customHeight="1" spans="1:1">
      <c r="A563" s="617" t="s">
        <v>2337</v>
      </c>
    </row>
    <row r="564" customHeight="1" spans="1:1">
      <c r="A564" s="617" t="s">
        <v>2338</v>
      </c>
    </row>
    <row r="565" customHeight="1" spans="1:1">
      <c r="A565" s="617" t="s">
        <v>2339</v>
      </c>
    </row>
    <row r="566" customHeight="1" spans="1:1">
      <c r="A566" s="617" t="s">
        <v>2340</v>
      </c>
    </row>
    <row r="567" customHeight="1" spans="1:1">
      <c r="A567" t="s">
        <v>2341</v>
      </c>
    </row>
    <row r="568" customHeight="1" spans="1:1">
      <c r="A568" t="s">
        <v>940</v>
      </c>
    </row>
    <row r="569" customHeight="1" spans="1:1">
      <c r="A569" s="617" t="s">
        <v>2342</v>
      </c>
    </row>
    <row r="570" customHeight="1" spans="1:1">
      <c r="A570" s="617" t="s">
        <v>2343</v>
      </c>
    </row>
    <row r="571" customHeight="1" spans="1:1">
      <c r="A571" t="s">
        <v>2344</v>
      </c>
    </row>
    <row r="572" customHeight="1" spans="1:1">
      <c r="A572" t="s">
        <v>2345</v>
      </c>
    </row>
    <row r="573" customHeight="1" spans="1:1">
      <c r="A573" t="s">
        <v>2346</v>
      </c>
    </row>
    <row r="574" customHeight="1" spans="1:1">
      <c r="A574" s="617" t="s">
        <v>2347</v>
      </c>
    </row>
    <row r="575" customHeight="1" spans="1:1">
      <c r="A575" s="617" t="s">
        <v>2348</v>
      </c>
    </row>
    <row r="576" customHeight="1" spans="1:1">
      <c r="A576" s="617" t="s">
        <v>2349</v>
      </c>
    </row>
    <row r="577" customHeight="1" spans="1:1">
      <c r="A577" s="617" t="s">
        <v>2350</v>
      </c>
    </row>
    <row r="578" customHeight="1" spans="1:1">
      <c r="A578" s="617" t="s">
        <v>2351</v>
      </c>
    </row>
    <row r="579" customHeight="1" spans="1:1">
      <c r="A579" t="s">
        <v>2352</v>
      </c>
    </row>
    <row r="580" customHeight="1" spans="1:1">
      <c r="A580" t="s">
        <v>2353</v>
      </c>
    </row>
    <row r="581" customHeight="1" spans="1:1">
      <c r="A581" t="s">
        <v>2354</v>
      </c>
    </row>
    <row r="582" customHeight="1" spans="1:1">
      <c r="A582" t="s">
        <v>2355</v>
      </c>
    </row>
    <row r="583" customHeight="1" spans="1:1">
      <c r="A583" t="s">
        <v>2356</v>
      </c>
    </row>
    <row r="584" customHeight="1" spans="1:1">
      <c r="A584" t="s">
        <v>2357</v>
      </c>
    </row>
    <row r="585" customHeight="1" spans="1:1">
      <c r="A585" t="s">
        <v>2358</v>
      </c>
    </row>
    <row r="586" customHeight="1" spans="1:1">
      <c r="A586" t="s">
        <v>2359</v>
      </c>
    </row>
    <row r="587" customHeight="1" spans="1:1">
      <c r="A587" t="s">
        <v>2360</v>
      </c>
    </row>
    <row r="588" customHeight="1" spans="1:1">
      <c r="A588" s="617" t="s">
        <v>2361</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L21" sqref="L21"/>
    </sheetView>
  </sheetViews>
  <sheetFormatPr defaultColWidth="8.875" defaultRowHeight="14.25"/>
  <cols>
    <col min="1" max="1" width="18" style="1" customWidth="1"/>
    <col min="2" max="2" width="11.25" style="1" customWidth="1"/>
    <col min="3" max="4" width="13" style="1" customWidth="1"/>
    <col min="5" max="5" width="14.875" style="1" customWidth="1"/>
    <col min="6" max="9" width="13" style="1" customWidth="1"/>
    <col min="10" max="10" width="14.375" style="1" customWidth="1"/>
    <col min="11" max="11" width="13.375" style="1" customWidth="1"/>
    <col min="12" max="12" width="13.5" style="1" customWidth="1"/>
    <col min="13" max="13" width="13.75" style="1" customWidth="1"/>
    <col min="14" max="14" width="9.25" style="1" customWidth="1"/>
    <col min="15" max="15" width="12.125" style="1" customWidth="1"/>
    <col min="16" max="16" width="11.625" style="1" customWidth="1"/>
    <col min="17" max="17" width="12.875" style="1" customWidth="1"/>
    <col min="18" max="18" width="11.5" style="1" customWidth="1"/>
    <col min="19" max="19" width="12.375" style="1" customWidth="1"/>
    <col min="20" max="20" width="13.25" style="1" customWidth="1"/>
    <col min="21" max="21" width="12.625" style="1" customWidth="1"/>
    <col min="22" max="22" width="8.875" style="1"/>
    <col min="23" max="23" width="13.75" style="1" customWidth="1"/>
    <col min="24" max="16384" width="8.875" style="1"/>
  </cols>
  <sheetData>
    <row r="1" ht="23.1" customHeight="1" spans="1:23">
      <c r="A1" s="581" t="s">
        <v>2362</v>
      </c>
      <c r="B1" s="581" t="s">
        <v>1254</v>
      </c>
      <c r="C1" s="581" t="s">
        <v>2363</v>
      </c>
      <c r="D1" s="581" t="s">
        <v>2364</v>
      </c>
      <c r="E1" s="581" t="s">
        <v>2365</v>
      </c>
      <c r="F1" s="581" t="s">
        <v>2366</v>
      </c>
      <c r="G1" s="581" t="s">
        <v>2367</v>
      </c>
      <c r="H1" s="581" t="s">
        <v>2368</v>
      </c>
      <c r="I1" s="581" t="s">
        <v>2369</v>
      </c>
      <c r="J1" s="581" t="s">
        <v>2370</v>
      </c>
      <c r="K1" s="581" t="s">
        <v>2371</v>
      </c>
      <c r="L1" s="581" t="s">
        <v>2372</v>
      </c>
      <c r="M1" s="581" t="s">
        <v>2373</v>
      </c>
      <c r="N1" s="581" t="s">
        <v>2374</v>
      </c>
      <c r="O1" s="581" t="s">
        <v>2375</v>
      </c>
      <c r="P1" s="581" t="s">
        <v>2376</v>
      </c>
      <c r="Q1" s="581" t="s">
        <v>2377</v>
      </c>
      <c r="R1" s="616" t="s">
        <v>2378</v>
      </c>
      <c r="S1" s="616" t="s">
        <v>2379</v>
      </c>
      <c r="T1" s="616" t="s">
        <v>2380</v>
      </c>
      <c r="U1" s="616" t="s">
        <v>2381</v>
      </c>
      <c r="V1" s="616" t="s">
        <v>2382</v>
      </c>
      <c r="W1" s="616" t="s">
        <v>2383</v>
      </c>
    </row>
    <row r="2" ht="31.5" customHeight="1" spans="1:17">
      <c r="A2" s="582"/>
      <c r="B2" s="583" t="str">
        <f>工程名称</f>
        <v>az</v>
      </c>
      <c r="C2" s="583"/>
      <c r="D2" s="582"/>
      <c r="E2" s="582"/>
      <c r="F2" s="582"/>
      <c r="G2" s="582" t="str">
        <f>项目经理</f>
        <v>lu</v>
      </c>
      <c r="H2" s="582"/>
      <c r="I2" s="582"/>
      <c r="J2" s="605"/>
      <c r="K2" s="582"/>
      <c r="L2" s="606"/>
      <c r="M2" s="606"/>
      <c r="N2" s="607"/>
      <c r="O2" s="608"/>
      <c r="P2" s="609"/>
      <c r="Q2" s="609"/>
    </row>
    <row r="4" ht="40.15" customHeight="1" spans="3:10">
      <c r="C4" s="584" t="s">
        <v>2384</v>
      </c>
      <c r="D4" s="278"/>
      <c r="E4" s="278"/>
      <c r="F4" s="278"/>
      <c r="G4" s="585"/>
      <c r="H4" s="278"/>
      <c r="I4" s="278"/>
      <c r="J4" s="278"/>
    </row>
    <row r="5" ht="28.5" customHeight="1" spans="1:13">
      <c r="A5" s="586" t="s">
        <v>2385</v>
      </c>
      <c r="C5" s="587" t="s">
        <v>2386</v>
      </c>
      <c r="D5" s="588" t="s">
        <v>1406</v>
      </c>
      <c r="E5" s="588" t="s">
        <v>1408</v>
      </c>
      <c r="F5" s="588" t="s">
        <v>1423</v>
      </c>
      <c r="G5" s="588" t="s">
        <v>2387</v>
      </c>
      <c r="H5" s="588" t="s">
        <v>2388</v>
      </c>
      <c r="I5" s="588" t="s">
        <v>2389</v>
      </c>
      <c r="J5" s="610" t="s">
        <v>2390</v>
      </c>
      <c r="L5" s="600" t="s">
        <v>2391</v>
      </c>
      <c r="M5" s="600" t="s">
        <v>2392</v>
      </c>
    </row>
    <row r="6" ht="21.95" customHeight="1" spans="3:10">
      <c r="C6" s="589">
        <f ca="1">IFERROR(工程成本费用汇总表!G28/工程成本费用汇总表!D28,"")</f>
        <v>0.826912606422906</v>
      </c>
      <c r="D6" s="590">
        <f ca="1">IFERROR(工程成本费用汇总表!G7/工程成本费用汇总表!D7,"")</f>
        <v>0.312003203606016</v>
      </c>
      <c r="E6" s="590">
        <f ca="1">IFERROR(工程成本费用汇总表!G9/工程成本费用汇总表!D9,"")</f>
        <v>1</v>
      </c>
      <c r="F6" s="590">
        <f ca="1">IFERROR(工程成本费用汇总表!G13/工程成本费用汇总表!D13,"")</f>
        <v>1</v>
      </c>
      <c r="G6" s="590">
        <f ca="1">IFERROR(工程成本费用汇总表!G17/工程成本费用汇总表!D17,"")</f>
        <v>1</v>
      </c>
      <c r="H6" s="590">
        <f>IFERROR(工程成本费用汇总表!G19/工程成本费用汇总表!D19,"")</f>
        <v>1</v>
      </c>
      <c r="I6" s="590" t="str">
        <f ca="1">IFERROR(工程成本费用汇总表!G23/工程成本费用汇总表!D23,"")</f>
        <v/>
      </c>
      <c r="J6" s="611"/>
    </row>
    <row r="7" ht="29.85" customHeight="1" spans="1:13">
      <c r="A7" s="591" t="s">
        <v>2393</v>
      </c>
      <c r="B7" s="586"/>
      <c r="C7" s="592" t="str">
        <f ca="1">IF(C6="","",_xlfn.IFNA(_xlfn.IFS(C$6&lt;$L$7,C$6),""))</f>
        <v/>
      </c>
      <c r="D7" s="593" t="str">
        <f ca="1">_xlfn.IFNA(_xlfn.IFS(D$6&lt;$L$7,D$6),"")</f>
        <v/>
      </c>
      <c r="E7" s="593" t="str">
        <f ca="1">_xlfn.IFNA(_xlfn.IFS(E$6&lt;$L$7,E$6),"")</f>
        <v/>
      </c>
      <c r="F7" s="593" t="str">
        <f ca="1">_xlfn.IFNA(_xlfn.IFS(F$6&lt;$L$7,F$6),"")</f>
        <v/>
      </c>
      <c r="G7" s="594"/>
      <c r="H7" s="594" t="str">
        <f>_xlfn.IFNA(_xlfn.IFS(H$6&lt;$L$7,H$6),"")</f>
        <v/>
      </c>
      <c r="I7" s="594" t="str">
        <f ca="1">_xlfn.IFNA(_xlfn.IFS(I$6&lt;$L$7,I$6),"")</f>
        <v/>
      </c>
      <c r="J7" s="612">
        <f>COUNTIFS('03人工费预算对比表'!T:T,"&lt;"&amp;L7)+COUNTIFS('04材料费预算对比表'!T:T,"&lt;"&amp;L7)+COUNTIFS('05机械租赁费预算对比表'!T:T,"&lt;"&amp;L7)+COUNTIFS('06专业分包预算对比表'!T:T,"&lt;"&amp;L7)</f>
        <v>0</v>
      </c>
      <c r="L7" s="613">
        <v>-0.05</v>
      </c>
      <c r="M7" s="614">
        <v>-0.05</v>
      </c>
    </row>
    <row r="8" ht="29.85" customHeight="1" spans="1:13">
      <c r="A8" s="595" t="s">
        <v>2394</v>
      </c>
      <c r="B8" s="586"/>
      <c r="C8" s="592" t="str">
        <f ca="1">_xlfn.IFNA(_xlfn.IFS(AND(C$6&gt;=$L$7,C$6&lt;$L$8),C$6),"")</f>
        <v/>
      </c>
      <c r="D8" s="593" t="str">
        <f ca="1">_xlfn.IFNA(_xlfn.IFS(AND(D$6&gt;=$L$7,D$6&lt;$L$8),D$6),"")</f>
        <v/>
      </c>
      <c r="E8" s="593" t="str">
        <f ca="1">_xlfn.IFNA(_xlfn.IFS(AND(E$6&gt;=$L$7,E$6&lt;$L$8),E$6),"")</f>
        <v/>
      </c>
      <c r="F8" s="593" t="str">
        <f ca="1">_xlfn.IFNA(_xlfn.IFS(AND(F$6&gt;=$L$7,F$6&lt;$L$8),F$6),"")</f>
        <v/>
      </c>
      <c r="G8" s="594"/>
      <c r="H8" s="594" t="str">
        <f>_xlfn.IFNA(_xlfn.IFS(AND(H$6&gt;=$L$7,H$6&lt;$L$8),H$6),"")</f>
        <v/>
      </c>
      <c r="I8" s="594" t="str">
        <f ca="1">_xlfn.IFNA(_xlfn.IFS(AND(I$6&gt;=$L$7,I$6&lt;$L$8),I$6),"")</f>
        <v/>
      </c>
      <c r="J8" s="612">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14">
        <v>-0.01</v>
      </c>
      <c r="M8" s="614">
        <v>-0.01</v>
      </c>
    </row>
    <row r="9" ht="29.85" customHeight="1" spans="1:13">
      <c r="A9" s="596" t="s">
        <v>2395</v>
      </c>
      <c r="B9" s="586"/>
      <c r="C9" s="597" t="str">
        <f ca="1">IF(C$6="","",_xlfn.IFNA(_xlfn.IFS(AND(C$6&gt;=$L$8,C$6&lt;$L$10),C$6),""))</f>
        <v/>
      </c>
      <c r="D9" s="594" t="str">
        <f ca="1">IF(D$6="","",_xlfn.IFNA(_xlfn.IFS(AND(D$6&gt;=$L$8,D$6&lt;$L$10),D$6),""))</f>
        <v/>
      </c>
      <c r="E9" s="594" t="str">
        <f ca="1">IF(E$6="","",_xlfn.IFNA(_xlfn.IFS(AND(E$6&gt;=$L$8,E$6&lt;$L$10),E$6),""))</f>
        <v/>
      </c>
      <c r="F9" s="594" t="str">
        <f ca="1">IF(F$6="","",_xlfn.IFNA(_xlfn.IFS(AND(F$6&gt;=$L$8,F$6&lt;$L$10),F$6),""))</f>
        <v/>
      </c>
      <c r="G9" s="594"/>
      <c r="H9" s="594" t="str">
        <f>IF(H$6="","",_xlfn.IFNA(_xlfn.IFS(AND(H$6&gt;=$L$8,H$6&lt;$L$10),H$6),""))</f>
        <v/>
      </c>
      <c r="I9" s="594" t="str">
        <f ca="1">IF(I$6="","",_xlfn.IFNA(_xlfn.IFS(AND(I$6&gt;=$L$8,I$6&lt;$L$10),I$6),""))</f>
        <v/>
      </c>
      <c r="J9" s="612">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14"/>
      <c r="M9" s="614"/>
    </row>
    <row r="10" ht="29.85" customHeight="1" spans="1:13">
      <c r="A10" s="598" t="s">
        <v>2396</v>
      </c>
      <c r="B10" s="586"/>
      <c r="C10" s="592" t="str">
        <f ca="1">_xlfn.IFNA(_xlfn.IFS(AND(C$6&gt;=$L$10,C$6&lt;$L$11),C$6),"")</f>
        <v/>
      </c>
      <c r="D10" s="593" t="str">
        <f ca="1">_xlfn.IFNA(_xlfn.IFS(AND(D$6&gt;=$L$10,D$6&lt;$L$11),D$6),"")</f>
        <v/>
      </c>
      <c r="E10" s="593" t="str">
        <f ca="1">_xlfn.IFNA(_xlfn.IFS(AND(E$6&gt;=$L$10,E$6&lt;$L$11),E$6),"")</f>
        <v/>
      </c>
      <c r="F10" s="593" t="str">
        <f ca="1">_xlfn.IFNA(_xlfn.IFS(AND(F$6&gt;=$L$10,F$6&lt;$L$11),F$6),"")</f>
        <v/>
      </c>
      <c r="G10" s="594"/>
      <c r="H10" s="594" t="str">
        <f>_xlfn.IFNA(_xlfn.IFS(AND(H$6&gt;=$L$10,H$6&lt;$L$11),H$6),"")</f>
        <v/>
      </c>
      <c r="I10" s="594" t="str">
        <f ca="1">_xlfn.IFNA(_xlfn.IFS(AND(I$6&gt;=$L$10,I$6&lt;$L$11),I$6),"")</f>
        <v/>
      </c>
      <c r="J10" s="612">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14">
        <v>0</v>
      </c>
      <c r="M10" s="614">
        <v>0</v>
      </c>
    </row>
    <row r="11" ht="29.85" customHeight="1" spans="1:13">
      <c r="A11" s="599" t="s">
        <v>2397</v>
      </c>
      <c r="B11" s="600"/>
      <c r="C11" s="601">
        <f ca="1">_xlfn.IFNA(_xlfn.IFS(AND(C$6&gt;=$L$11),C$6),"")</f>
        <v>0.826912606422906</v>
      </c>
      <c r="D11" s="602">
        <f ca="1">_xlfn.IFNA(_xlfn.IFS(AND(D$6&gt;=$L$11),D$6),"")</f>
        <v>0.312003203606016</v>
      </c>
      <c r="E11" s="602">
        <f ca="1">_xlfn.IFNA(_xlfn.IFS(AND(E$6&gt;=$L$11),E$6),"")</f>
        <v>1</v>
      </c>
      <c r="F11" s="602">
        <f ca="1">_xlfn.IFNA(_xlfn.IFS(AND(F$6&gt;=$L$11),F$6),"")</f>
        <v>1</v>
      </c>
      <c r="G11" s="603"/>
      <c r="H11" s="602">
        <f>_xlfn.IFNA(_xlfn.IFS(AND(H$6&gt;=$L$11),H$6),"")</f>
        <v>1</v>
      </c>
      <c r="I11" s="602" t="str">
        <f ca="1">_xlfn.IFNA(_xlfn.IFS(AND(I$6&gt;=$L$11),I$6),"")</f>
        <v/>
      </c>
      <c r="J11" s="615">
        <f>COUNTIFS('03人工费预算对比表'!T:T,"&gt;"&amp;L11)+COUNTIFS('04材料费预算对比表'!T:T,"&gt;"&amp;L11)+COUNTIFS('05机械租赁费预算对比表'!T:T,"&gt;"&amp;L11)+COUNTIFS('06专业分包预算对比表'!T:T,"&gt;"&amp;L11)</f>
        <v>0</v>
      </c>
      <c r="L11" s="614">
        <v>0.05</v>
      </c>
      <c r="M11" s="614">
        <v>0.05</v>
      </c>
    </row>
    <row r="25" spans="7:7">
      <c r="G25" s="604"/>
    </row>
    <row r="26" spans="7:7">
      <c r="G26" s="604"/>
    </row>
    <row r="27" spans="7:7">
      <c r="G27" s="604"/>
    </row>
    <row r="28" spans="7:7">
      <c r="G28" s="604"/>
    </row>
    <row r="29" spans="7:7">
      <c r="G29" s="604"/>
    </row>
    <row r="30" spans="7:7">
      <c r="G30" s="604"/>
    </row>
    <row r="31" spans="7:7">
      <c r="G31" s="604"/>
    </row>
    <row r="32" spans="7:7">
      <c r="G32" s="604"/>
    </row>
    <row r="33" spans="7:7">
      <c r="G33" s="604"/>
    </row>
    <row r="34" spans="7:7">
      <c r="G34" s="604"/>
    </row>
    <row r="35" spans="7:7">
      <c r="G35" s="604"/>
    </row>
    <row r="36" spans="7:7">
      <c r="G36" s="604"/>
    </row>
    <row r="37" spans="7:7">
      <c r="G37" s="604"/>
    </row>
    <row r="38" spans="7:7">
      <c r="G38" s="604"/>
    </row>
    <row r="39" spans="7:7">
      <c r="G39" s="604"/>
    </row>
    <row r="40" spans="7:7">
      <c r="G40" s="604"/>
    </row>
    <row r="41" spans="7:7">
      <c r="G41" s="604"/>
    </row>
    <row r="42" spans="7:7">
      <c r="G42" s="604"/>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4.25"/>
  <cols>
    <col min="1" max="1" width="4.5" style="1" customWidth="1"/>
    <col min="2" max="2" width="19.875" style="1" customWidth="1"/>
    <col min="3" max="3" width="16.375" style="1" customWidth="1"/>
    <col min="4" max="4" width="18.5" style="1" customWidth="1"/>
    <col min="5" max="5" width="20.25" style="1" customWidth="1"/>
    <col min="6" max="6" width="18.25" style="1" customWidth="1"/>
    <col min="7" max="7" width="17.25" style="1" customWidth="1"/>
    <col min="8" max="8" width="10.125" style="1" customWidth="1"/>
    <col min="9" max="9" width="17" style="1" customWidth="1"/>
    <col min="10" max="10" width="15.625" style="1" customWidth="1"/>
    <col min="11" max="11" width="13.125" style="1" customWidth="1"/>
    <col min="12" max="12" width="12.75" style="1" customWidth="1"/>
    <col min="13" max="16384" width="9" style="1"/>
  </cols>
  <sheetData>
    <row r="1" ht="36" customHeight="1" spans="1:12">
      <c r="A1" s="519" t="s">
        <v>2398</v>
      </c>
      <c r="B1" s="519"/>
      <c r="C1" s="519"/>
      <c r="D1" s="519"/>
      <c r="E1" s="519"/>
      <c r="F1" s="519"/>
      <c r="G1" s="519"/>
      <c r="H1" s="519"/>
      <c r="I1" s="519"/>
      <c r="K1" s="559"/>
      <c r="L1" s="559"/>
    </row>
    <row r="2" ht="30" customHeight="1" spans="1:11">
      <c r="A2" s="520" t="s">
        <v>2399</v>
      </c>
      <c r="B2" s="521"/>
      <c r="C2" s="521"/>
      <c r="D2" s="521"/>
      <c r="E2" s="521"/>
      <c r="F2" s="521" t="e">
        <f ca="1">"所属期间：开工至 "&amp;月报日期</f>
        <v>#VALUE!</v>
      </c>
      <c r="G2" s="521"/>
      <c r="H2" s="521"/>
      <c r="I2" s="560"/>
      <c r="J2" s="561"/>
      <c r="K2" s="559"/>
    </row>
    <row r="3" ht="32.1" customHeight="1" spans="1:9">
      <c r="A3" s="522" t="s">
        <v>2400</v>
      </c>
      <c r="B3" s="523"/>
      <c r="C3" s="524">
        <f>'01工程产值对比表'!L5-'01工程产值对比表'!L114-'01工程产值对比表'!L117</f>
        <v>164915093.67475</v>
      </c>
      <c r="D3" s="525" t="s">
        <v>2401</v>
      </c>
      <c r="E3" s="526"/>
      <c r="F3" s="524">
        <f ca="1">+'01工程产值对比表'!W5</f>
        <v>0</v>
      </c>
      <c r="G3" s="527" t="s">
        <v>2402</v>
      </c>
      <c r="H3" s="528">
        <f>+项目信息表!N2</f>
        <v>0</v>
      </c>
      <c r="I3" s="562"/>
    </row>
    <row r="4" ht="36" customHeight="1" spans="1:9">
      <c r="A4" s="522" t="s">
        <v>2403</v>
      </c>
      <c r="B4" s="523"/>
      <c r="C4" s="529">
        <f ca="1">IFERROR(+F3/C3,0)</f>
        <v>0</v>
      </c>
      <c r="D4" s="525" t="s">
        <v>2404</v>
      </c>
      <c r="E4" s="526"/>
      <c r="F4" s="524">
        <f ca="1">+'01工程产值对比表'!AA5</f>
        <v>0</v>
      </c>
      <c r="G4" s="527" t="s">
        <v>2405</v>
      </c>
      <c r="H4" s="530" t="str">
        <f ca="1">IFERROR((F3-F28)/F3,"无产值")</f>
        <v>无产值</v>
      </c>
      <c r="I4" s="563"/>
    </row>
    <row r="5" ht="18" customHeight="1" spans="1:9">
      <c r="A5" s="531" t="s">
        <v>1253</v>
      </c>
      <c r="B5" s="525" t="s">
        <v>2406</v>
      </c>
      <c r="C5" s="532" t="s">
        <v>2407</v>
      </c>
      <c r="D5" s="532" t="s">
        <v>2408</v>
      </c>
      <c r="E5" s="525" t="s">
        <v>2409</v>
      </c>
      <c r="F5" s="525" t="s">
        <v>2410</v>
      </c>
      <c r="G5" s="525" t="s">
        <v>2411</v>
      </c>
      <c r="H5" s="525" t="s">
        <v>2412</v>
      </c>
      <c r="I5" s="564" t="s">
        <v>1261</v>
      </c>
    </row>
    <row r="6" ht="34.15" customHeight="1" spans="1:9">
      <c r="A6" s="531"/>
      <c r="B6" s="525"/>
      <c r="C6" s="532"/>
      <c r="D6" s="532"/>
      <c r="E6" s="525"/>
      <c r="F6" s="525"/>
      <c r="G6" s="525"/>
      <c r="H6" s="525"/>
      <c r="I6" s="564"/>
    </row>
    <row r="7" ht="20.1" customHeight="1" spans="1:13">
      <c r="A7" s="533">
        <v>1</v>
      </c>
      <c r="B7" s="534" t="s">
        <v>1406</v>
      </c>
      <c r="C7" s="535">
        <f>'03人工费预算对比表'!$I$6</f>
        <v>6209287.9217</v>
      </c>
      <c r="D7" s="535">
        <f>'03人工费预算对比表'!$K$6</f>
        <v>3416487.472</v>
      </c>
      <c r="E7" s="535">
        <f ca="1">'03人工费预算对比表'!$N$6</f>
        <v>921500</v>
      </c>
      <c r="F7" s="535">
        <f ca="1">'03人工费预算对比表'!$P$6</f>
        <v>2350532.43565618</v>
      </c>
      <c r="G7" s="535">
        <f ca="1">+D7-F7</f>
        <v>1065955.03634382</v>
      </c>
      <c r="H7" s="536">
        <f>IFERROR(D7/C7,"")</f>
        <v>0.550222105188613</v>
      </c>
      <c r="I7" s="565" t="s">
        <v>2413</v>
      </c>
      <c r="J7" s="566"/>
      <c r="L7" s="567"/>
      <c r="M7" s="568"/>
    </row>
    <row r="8" ht="20.1" customHeight="1" spans="1:12">
      <c r="A8" s="533"/>
      <c r="B8" s="537"/>
      <c r="C8" s="535"/>
      <c r="D8" s="535"/>
      <c r="E8" s="535"/>
      <c r="F8" s="535"/>
      <c r="G8" s="535"/>
      <c r="H8" s="538" t="str">
        <f>IFERROR(D8/C8,"")</f>
        <v/>
      </c>
      <c r="I8" s="565"/>
      <c r="J8" s="566"/>
      <c r="L8" s="569"/>
    </row>
    <row r="9" ht="20.1" customHeight="1" spans="1:12">
      <c r="A9" s="533">
        <v>2</v>
      </c>
      <c r="B9" s="534" t="s">
        <v>1408</v>
      </c>
      <c r="C9" s="535">
        <f>'04材料费预算对比表'!$I$6</f>
        <v>29331230.5831834</v>
      </c>
      <c r="D9" s="535">
        <f>'04材料费预算对比表'!$K$6</f>
        <v>25104497.7063746</v>
      </c>
      <c r="E9" s="535">
        <f ca="1">'04材料费预算对比表'!$N$6</f>
        <v>0</v>
      </c>
      <c r="F9" s="535">
        <f ca="1">'04材料费预算对比表'!$P$6</f>
        <v>0</v>
      </c>
      <c r="G9" s="535">
        <f ca="1" t="shared" ref="G9:G15" si="0">+D9-F9</f>
        <v>25104497.7063746</v>
      </c>
      <c r="H9" s="536">
        <f t="shared" ref="H9:H28" si="1">IFERROR(D9/C9,"")</f>
        <v>0.855896503734413</v>
      </c>
      <c r="I9" s="570" t="s">
        <v>2414</v>
      </c>
      <c r="J9" s="566"/>
      <c r="L9" s="571"/>
    </row>
    <row r="10" ht="20.1" customHeight="1" spans="1:12">
      <c r="A10" s="533"/>
      <c r="B10" s="537" t="s">
        <v>2415</v>
      </c>
      <c r="C10" s="539">
        <f ca="1">C9-C11</f>
        <v>29331230.5831834</v>
      </c>
      <c r="D10" s="539">
        <f ca="1">D9-D11</f>
        <v>25104497.7063746</v>
      </c>
      <c r="E10" s="539">
        <f ca="1">E9-E11</f>
        <v>0</v>
      </c>
      <c r="F10" s="539">
        <f ca="1">F9-F11</f>
        <v>0</v>
      </c>
      <c r="G10" s="539">
        <f ca="1" t="shared" si="0"/>
        <v>25104497.7063746</v>
      </c>
      <c r="H10" s="540">
        <f ca="1" t="shared" si="1"/>
        <v>0.855896503734414</v>
      </c>
      <c r="I10" s="572"/>
      <c r="J10" s="566"/>
      <c r="L10" s="571"/>
    </row>
    <row r="11" ht="20.1" customHeight="1" spans="1:12">
      <c r="A11" s="533"/>
      <c r="B11" s="537" t="s">
        <v>2416</v>
      </c>
      <c r="C11" s="539">
        <f ca="1">SUMIF('01工程产值对比表'!$D:$D,$B$11,'01工程产值对比表'!O:O)</f>
        <v>0</v>
      </c>
      <c r="D11" s="539">
        <f ca="1">SUMIF('04材料费预算对比表'!$D:$D,$B$11,'04材料费预算对比表'!K:K)</f>
        <v>0</v>
      </c>
      <c r="E11" s="539">
        <f ca="1">SUMIF('04材料费预算对比表'!$D:$D,$B$11,'04材料费预算对比表'!N:N)</f>
        <v>0</v>
      </c>
      <c r="F11" s="539">
        <f ca="1">SUMIF('04材料费预算对比表'!$D:$D,$B$11,'04材料费预算对比表'!P:P)</f>
        <v>0</v>
      </c>
      <c r="G11" s="539">
        <f ca="1" t="shared" si="0"/>
        <v>0</v>
      </c>
      <c r="H11" s="540" t="str">
        <f ca="1" t="shared" si="1"/>
        <v/>
      </c>
      <c r="I11" s="573"/>
      <c r="J11" s="566"/>
      <c r="L11" s="571"/>
    </row>
    <row r="12" ht="20.1" customHeight="1" spans="1:12">
      <c r="A12" s="541"/>
      <c r="B12" s="542"/>
      <c r="C12" s="535"/>
      <c r="D12" s="535"/>
      <c r="E12" s="535"/>
      <c r="F12" s="535"/>
      <c r="G12" s="535"/>
      <c r="H12" s="543" t="str">
        <f t="shared" si="1"/>
        <v/>
      </c>
      <c r="I12" s="574"/>
      <c r="J12" s="566"/>
      <c r="L12" s="567"/>
    </row>
    <row r="13" ht="20.1" customHeight="1" spans="1:12">
      <c r="A13" s="533">
        <v>3</v>
      </c>
      <c r="B13" s="534" t="s">
        <v>1423</v>
      </c>
      <c r="C13" s="535">
        <f>'05机械租赁费预算对比表'!$I$6</f>
        <v>3039331.1842</v>
      </c>
      <c r="D13" s="535">
        <f>'05机械租赁费预算对比表'!$K$6</f>
        <v>673546</v>
      </c>
      <c r="E13" s="535">
        <f ca="1">'05机械租赁费预算对比表'!$N$6</f>
        <v>0</v>
      </c>
      <c r="F13" s="535">
        <f ca="1">'05机械租赁费预算对比表'!$P$6</f>
        <v>0</v>
      </c>
      <c r="G13" s="535">
        <f ca="1" t="shared" si="0"/>
        <v>673546</v>
      </c>
      <c r="H13" s="536">
        <f t="shared" si="1"/>
        <v>0.221609939549016</v>
      </c>
      <c r="I13" s="575" t="s">
        <v>2417</v>
      </c>
      <c r="J13" s="566"/>
      <c r="L13" s="571"/>
    </row>
    <row r="14" ht="20.1" customHeight="1" spans="1:12">
      <c r="A14" s="533"/>
      <c r="B14" s="537" t="s">
        <v>2418</v>
      </c>
      <c r="C14" s="539">
        <f ca="1">C13-C15</f>
        <v>3039331.1842</v>
      </c>
      <c r="D14" s="539">
        <f ca="1">D13-D15</f>
        <v>673546</v>
      </c>
      <c r="E14" s="539">
        <f ca="1">E13-E15</f>
        <v>0</v>
      </c>
      <c r="F14" s="539">
        <f ca="1">F13-F15</f>
        <v>0</v>
      </c>
      <c r="G14" s="539">
        <f ca="1" t="shared" si="0"/>
        <v>673546</v>
      </c>
      <c r="H14" s="544">
        <f ca="1" t="shared" si="1"/>
        <v>0.221609939549016</v>
      </c>
      <c r="I14" s="576"/>
      <c r="J14" s="566"/>
      <c r="L14" s="571"/>
    </row>
    <row r="15" ht="20.1" customHeight="1" spans="1:12">
      <c r="A15" s="533"/>
      <c r="B15" s="537" t="s">
        <v>2419</v>
      </c>
      <c r="C15" s="539">
        <f ca="1">SUMIF('01工程产值对比表'!$D:$D,$B$15,'01工程产值对比表'!O:O)</f>
        <v>0</v>
      </c>
      <c r="D15" s="539">
        <f ca="1">SUMIF('05机械租赁费预算对比表'!$D:$D,$B$15,'05机械租赁费预算对比表'!K:K)</f>
        <v>0</v>
      </c>
      <c r="E15" s="539">
        <f ca="1">SUMIF('05机械租赁费预算对比表'!$D:$D,$B$15,'05机械租赁费预算对比表'!N:N)</f>
        <v>0</v>
      </c>
      <c r="F15" s="539">
        <f ca="1">SUMIF('05机械租赁费预算对比表'!$D:$D,$B$15,'05机械租赁费预算对比表'!P:P)</f>
        <v>0</v>
      </c>
      <c r="G15" s="539">
        <f ca="1" t="shared" si="0"/>
        <v>0</v>
      </c>
      <c r="H15" s="544" t="str">
        <f ca="1" t="shared" si="1"/>
        <v/>
      </c>
      <c r="I15" s="577"/>
      <c r="J15" s="566"/>
      <c r="L15" s="571"/>
    </row>
    <row r="16" ht="20.1" customHeight="1" spans="1:12">
      <c r="A16" s="541"/>
      <c r="B16" s="542"/>
      <c r="C16" s="535"/>
      <c r="D16" s="535"/>
      <c r="E16" s="535"/>
      <c r="F16" s="535"/>
      <c r="G16" s="535"/>
      <c r="H16" s="538" t="str">
        <f t="shared" si="1"/>
        <v/>
      </c>
      <c r="I16" s="565"/>
      <c r="J16" s="566"/>
      <c r="L16" s="567"/>
    </row>
    <row r="17" ht="20.1" customHeight="1" spans="1:12">
      <c r="A17" s="533">
        <v>4</v>
      </c>
      <c r="B17" s="534" t="s">
        <v>2420</v>
      </c>
      <c r="C17" s="535">
        <f>'06专业分包预算对比表'!$I$6</f>
        <v>8000</v>
      </c>
      <c r="D17" s="535">
        <f>'06专业分包预算对比表'!$K$6</f>
        <v>4000</v>
      </c>
      <c r="E17" s="535">
        <f ca="1">'06专业分包预算对比表'!$N$6</f>
        <v>0</v>
      </c>
      <c r="F17" s="535">
        <f ca="1">'06专业分包预算对比表'!$P$6</f>
        <v>0</v>
      </c>
      <c r="G17" s="535">
        <f ca="1">+D17-F17</f>
        <v>4000</v>
      </c>
      <c r="H17" s="536">
        <f t="shared" si="1"/>
        <v>0.5</v>
      </c>
      <c r="I17" s="565" t="s">
        <v>2421</v>
      </c>
      <c r="J17" s="566"/>
      <c r="L17" s="567"/>
    </row>
    <row r="18" ht="20.1" customHeight="1" spans="1:12">
      <c r="A18" s="533"/>
      <c r="B18" s="537"/>
      <c r="C18" s="535"/>
      <c r="D18" s="535"/>
      <c r="E18" s="535"/>
      <c r="F18" s="535"/>
      <c r="G18" s="535"/>
      <c r="H18" s="538" t="str">
        <f t="shared" si="1"/>
        <v/>
      </c>
      <c r="I18" s="565"/>
      <c r="J18" s="566"/>
      <c r="L18" s="569"/>
    </row>
    <row r="19" ht="28.15" customHeight="1" spans="1:12">
      <c r="A19" s="533">
        <v>5</v>
      </c>
      <c r="B19" s="534" t="s">
        <v>2422</v>
      </c>
      <c r="C19" s="535">
        <f>'07其他直接费对比表'!$I$6</f>
        <v>95760653.50932</v>
      </c>
      <c r="D19" s="535">
        <f>'07其他直接费对比表'!$K$6</f>
        <v>85829741.0960487</v>
      </c>
      <c r="E19" s="535">
        <f>'07其他直接费对比表'!$N$6</f>
        <v>164687.6</v>
      </c>
      <c r="F19" s="535">
        <f>'07其他直接费对比表'!$P$6</f>
        <v>0</v>
      </c>
      <c r="G19" s="535">
        <f t="shared" ref="G19:G25" si="2">+D19-F19</f>
        <v>85829741.0960487</v>
      </c>
      <c r="H19" s="536">
        <f t="shared" si="1"/>
        <v>0.896294437753552</v>
      </c>
      <c r="I19" s="570" t="s">
        <v>2423</v>
      </c>
      <c r="J19" s="566"/>
      <c r="L19" s="569"/>
    </row>
    <row r="20" ht="18.95" customHeight="1" spans="1:12">
      <c r="A20" s="533"/>
      <c r="B20" s="545" t="s">
        <v>1613</v>
      </c>
      <c r="C20" s="539">
        <f>SUMIF('07其他直接费对比表'!$C:$C,$B20,'07其他直接费对比表'!I:I)</f>
        <v>13870000</v>
      </c>
      <c r="D20" s="539">
        <f>SUMIF('07其他直接费对比表'!$C:$C,$B20,'07其他直接费对比表'!K:K)</f>
        <v>12431603.8516418</v>
      </c>
      <c r="E20" s="539">
        <f>SUMIF('07其他直接费对比表'!$C:$C,$B20,'07其他直接费对比表'!N:N)</f>
        <v>155937.6</v>
      </c>
      <c r="F20" s="539">
        <f>SUMIF('07其他直接费对比表'!$C:$C,$B20,'07其他直接费对比表'!P:P)</f>
        <v>0</v>
      </c>
      <c r="G20" s="539">
        <f t="shared" si="2"/>
        <v>12431603.8516418</v>
      </c>
      <c r="H20" s="546">
        <f t="shared" si="1"/>
        <v>0.896294437753551</v>
      </c>
      <c r="I20" s="572"/>
      <c r="J20" s="566"/>
      <c r="L20" s="569"/>
    </row>
    <row r="21" ht="18.95" customHeight="1" spans="1:12">
      <c r="A21" s="533"/>
      <c r="B21" s="545" t="s">
        <v>1273</v>
      </c>
      <c r="C21" s="539">
        <f>SUMIF('07其他直接费对比表'!$C:$C,$B21,'07其他直接费对比表'!I:I)</f>
        <v>40590653.50932</v>
      </c>
      <c r="D21" s="539">
        <f>SUMIF('07其他直接费对比表'!$C:$C,$B21,'07其他直接费对比表'!K:K)</f>
        <v>36381176.9651852</v>
      </c>
      <c r="E21" s="539">
        <f>SUMIF('07其他直接费对比表'!$C:$C,$B21,'07其他直接费对比表'!N:N)</f>
        <v>0</v>
      </c>
      <c r="F21" s="539">
        <f>SUMIF('07其他直接费对比表'!$C:$C,$B21,'07其他直接费对比表'!P:P)</f>
        <v>0</v>
      </c>
      <c r="G21" s="539">
        <f t="shared" si="2"/>
        <v>36381176.9651852</v>
      </c>
      <c r="H21" s="546">
        <f t="shared" si="1"/>
        <v>0.896294437753551</v>
      </c>
      <c r="I21" s="572"/>
      <c r="J21" s="566"/>
      <c r="L21" s="569"/>
    </row>
    <row r="22" ht="18.95" customHeight="1" spans="1:12">
      <c r="A22" s="533"/>
      <c r="B22" s="547" t="s">
        <v>2424</v>
      </c>
      <c r="C22" s="539">
        <f>SUMIF('07其他直接费对比表'!$C:$C,$B22,'07其他直接费对比表'!I:I)</f>
        <v>41300000</v>
      </c>
      <c r="D22" s="539">
        <f>SUMIF('07其他直接费对比表'!$C:$C,$B22,'07其他直接费对比表'!K:K)</f>
        <v>37016960.2792217</v>
      </c>
      <c r="E22" s="539">
        <f>SUMIF('07其他直接费对比表'!$C:$C,$B22,'07其他直接费对比表'!N:N)</f>
        <v>8750</v>
      </c>
      <c r="F22" s="539">
        <f>SUMIF('07其他直接费对比表'!$C:$C,$B22,'07其他直接费对比表'!P:P)</f>
        <v>0</v>
      </c>
      <c r="G22" s="539">
        <f t="shared" si="2"/>
        <v>37016960.2792217</v>
      </c>
      <c r="H22" s="546">
        <f t="shared" si="1"/>
        <v>0.896294437753551</v>
      </c>
      <c r="I22" s="572"/>
      <c r="J22" s="566"/>
      <c r="L22" s="569"/>
    </row>
    <row r="23" ht="28.15" customHeight="1" spans="1:12">
      <c r="A23" s="533">
        <v>6</v>
      </c>
      <c r="B23" s="534" t="s">
        <v>2425</v>
      </c>
      <c r="C23" s="535">
        <f>+'08期间费用对比表'!I6</f>
        <v>52730306.97</v>
      </c>
      <c r="D23" s="535">
        <f ca="1">+'08期间费用对比表'!K6</f>
        <v>0</v>
      </c>
      <c r="E23" s="535">
        <f>+'08期间费用对比表'!M6</f>
        <v>20546922.53</v>
      </c>
      <c r="F23" s="535">
        <f ca="1">+'08期间费用对比表'!P6</f>
        <v>17559411.4</v>
      </c>
      <c r="G23" s="535">
        <f ca="1" t="shared" si="2"/>
        <v>-17559411.4</v>
      </c>
      <c r="H23" s="536">
        <f ca="1" t="shared" si="1"/>
        <v>0</v>
      </c>
      <c r="I23" s="570" t="s">
        <v>2426</v>
      </c>
      <c r="J23" s="566"/>
      <c r="L23" s="569"/>
    </row>
    <row r="24" ht="18" customHeight="1" spans="1:12">
      <c r="A24" s="541" t="s">
        <v>2427</v>
      </c>
      <c r="B24" s="545" t="s">
        <v>1664</v>
      </c>
      <c r="C24" s="539">
        <f>+'08期间费用对比表'!I7</f>
        <v>34945090</v>
      </c>
      <c r="D24" s="539">
        <f ca="1">+'08期间费用对比表'!K7</f>
        <v>0</v>
      </c>
      <c r="E24" s="539">
        <f>+'08期间费用对比表'!M7</f>
        <v>11564021.07</v>
      </c>
      <c r="F24" s="539">
        <f>+'08期间费用对比表'!P7</f>
        <v>11564021.07</v>
      </c>
      <c r="G24" s="539">
        <f ca="1" t="shared" si="2"/>
        <v>-11564021.07</v>
      </c>
      <c r="H24" s="546">
        <f ca="1" t="shared" si="1"/>
        <v>0</v>
      </c>
      <c r="I24" s="572"/>
      <c r="J24" s="566"/>
      <c r="L24" s="569"/>
    </row>
    <row r="25" ht="18" customHeight="1" spans="1:12">
      <c r="A25" s="541"/>
      <c r="B25" s="545" t="s">
        <v>1735</v>
      </c>
      <c r="C25" s="539">
        <f>+'08期间费用对比表'!I39</f>
        <v>3680238.56</v>
      </c>
      <c r="D25" s="539">
        <f ca="1">+'08期间费用对比表'!K39</f>
        <v>0</v>
      </c>
      <c r="E25" s="539">
        <f>+'08期间费用对比表'!M39</f>
        <v>1706688.33</v>
      </c>
      <c r="F25" s="539">
        <f>+'08期间费用对比表'!P39</f>
        <v>1706688.33</v>
      </c>
      <c r="G25" s="539">
        <f ca="1" t="shared" si="2"/>
        <v>-1706688.33</v>
      </c>
      <c r="H25" s="546">
        <f ca="1" t="shared" si="1"/>
        <v>0</v>
      </c>
      <c r="I25" s="573"/>
      <c r="J25" s="566"/>
      <c r="L25" s="569"/>
    </row>
    <row r="26" ht="18" customHeight="1" spans="1:12">
      <c r="A26" s="541"/>
      <c r="B26" s="537"/>
      <c r="C26" s="539"/>
      <c r="D26" s="539"/>
      <c r="E26" s="539"/>
      <c r="F26" s="539"/>
      <c r="G26" s="539"/>
      <c r="H26" s="543" t="str">
        <f t="shared" si="1"/>
        <v/>
      </c>
      <c r="I26" s="565"/>
      <c r="L26" s="569"/>
    </row>
    <row r="27" ht="18" customHeight="1" spans="1:12">
      <c r="A27" s="533">
        <v>7</v>
      </c>
      <c r="B27" s="534" t="s">
        <v>2428</v>
      </c>
      <c r="C27" s="539" t="s">
        <v>2429</v>
      </c>
      <c r="D27" s="539"/>
      <c r="E27" s="539"/>
      <c r="F27" s="539"/>
      <c r="G27" s="539"/>
      <c r="H27" s="543" t="str">
        <f t="shared" si="1"/>
        <v/>
      </c>
      <c r="I27" s="578"/>
      <c r="L27" s="569"/>
    </row>
    <row r="28" ht="31.15" customHeight="1" spans="1:12">
      <c r="A28" s="548">
        <v>8</v>
      </c>
      <c r="B28" s="549" t="s">
        <v>2430</v>
      </c>
      <c r="C28" s="550">
        <f ca="1">SUMIF($A$7:$A$27,"&gt;0",C7:C27)</f>
        <v>187078810.168403</v>
      </c>
      <c r="D28" s="550">
        <f ca="1">SUMIF($A$7:$A$27,"&gt;0",D7:D27)</f>
        <v>115028272.274423</v>
      </c>
      <c r="E28" s="550">
        <f ca="1">SUMIF($A$7:$A$27,"&gt;0",E7:E27)</f>
        <v>21633110.13</v>
      </c>
      <c r="F28" s="550">
        <f ca="1">SUMIF($A$7:$A$27,"&gt;0",F7:F27)</f>
        <v>19909943.8356562</v>
      </c>
      <c r="G28" s="550">
        <f ca="1">+D28-F28</f>
        <v>95118328.4387671</v>
      </c>
      <c r="H28" s="551">
        <f ca="1" t="shared" si="1"/>
        <v>0.614865318904252</v>
      </c>
      <c r="I28" s="579"/>
      <c r="L28" s="569"/>
    </row>
    <row r="29" ht="31.15" customHeight="1" spans="1:9">
      <c r="A29" s="552"/>
      <c r="B29" s="553" t="s">
        <v>2431</v>
      </c>
      <c r="C29" s="554"/>
      <c r="D29" s="554"/>
      <c r="E29" s="554" t="s">
        <v>2432</v>
      </c>
      <c r="G29" s="555"/>
      <c r="H29" s="555" t="s">
        <v>2433</v>
      </c>
      <c r="I29" s="580"/>
    </row>
    <row r="30" ht="31.15" customHeight="1" spans="1:9">
      <c r="A30" s="552"/>
      <c r="B30" s="556" t="s">
        <v>2434</v>
      </c>
      <c r="C30" s="554"/>
      <c r="D30" s="554"/>
      <c r="E30" s="554" t="s">
        <v>2435</v>
      </c>
      <c r="F30" s="555"/>
      <c r="G30" s="555"/>
      <c r="H30" s="555" t="s">
        <v>2436</v>
      </c>
      <c r="I30" s="580"/>
    </row>
    <row r="31" ht="20.25" customHeight="1" spans="1:9">
      <c r="A31" s="557"/>
      <c r="B31" s="556" t="s">
        <v>2437</v>
      </c>
      <c r="C31" s="556"/>
      <c r="D31" s="556"/>
      <c r="E31" s="556"/>
      <c r="F31" s="556"/>
      <c r="G31" s="556"/>
      <c r="H31" s="556"/>
      <c r="I31" s="556"/>
    </row>
    <row r="32" spans="2:9">
      <c r="B32" s="556" t="s">
        <v>2438</v>
      </c>
      <c r="C32" s="556"/>
      <c r="D32" s="556"/>
      <c r="E32" s="556"/>
      <c r="F32" s="556"/>
      <c r="G32" s="556"/>
      <c r="H32" s="556"/>
      <c r="I32" s="556"/>
    </row>
    <row r="33" spans="2:9">
      <c r="B33" s="556" t="s">
        <v>2439</v>
      </c>
      <c r="C33" s="556"/>
      <c r="D33" s="556"/>
      <c r="E33" s="556"/>
      <c r="F33" s="556"/>
      <c r="G33" s="556"/>
      <c r="H33" s="556"/>
      <c r="I33" s="556"/>
    </row>
    <row r="34" spans="2:9">
      <c r="B34" s="558"/>
      <c r="C34" s="558"/>
      <c r="D34" s="558"/>
      <c r="E34" s="558"/>
      <c r="F34" s="558"/>
      <c r="G34" s="558"/>
      <c r="H34" s="558"/>
      <c r="I34" s="558"/>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1062"/>
  <sheetViews>
    <sheetView zoomScale="70" zoomScaleNormal="70" workbookViewId="0">
      <pane xSplit="7" ySplit="4" topLeftCell="M695" activePane="bottomRight" state="frozen"/>
      <selection/>
      <selection pane="topRight"/>
      <selection pane="bottomLeft"/>
      <selection pane="bottomRight" activeCell="L707" sqref="L707"/>
    </sheetView>
  </sheetViews>
  <sheetFormatPr defaultColWidth="9" defaultRowHeight="39" customHeight="1"/>
  <cols>
    <col min="1" max="1" width="25.125" style="1" customWidth="1"/>
    <col min="2" max="2" width="6" style="1" customWidth="1"/>
    <col min="3" max="3" width="8.625" style="240" customWidth="1"/>
    <col min="4" max="4" width="23.75" style="1" customWidth="1"/>
    <col min="5" max="5" width="13.75" style="1" customWidth="1"/>
    <col min="6" max="6" width="11.5" style="1" customWidth="1"/>
    <col min="7" max="7" width="10.375" style="1" customWidth="1"/>
    <col min="8" max="8" width="12.75" style="1" customWidth="1"/>
    <col min="9" max="9" width="16.375" style="1" customWidth="1"/>
    <col min="10" max="10" width="11.625" style="1" customWidth="1"/>
    <col min="11" max="11" width="11.375" style="1" customWidth="1"/>
    <col min="12" max="12" width="13.375" style="152" customWidth="1"/>
    <col min="13" max="13" width="16.625" style="1" customWidth="1"/>
    <col min="14" max="15" width="15" style="1" customWidth="1"/>
    <col min="16" max="16" width="12" style="1" customWidth="1"/>
    <col min="17" max="17" width="13.875" style="1" customWidth="1"/>
    <col min="18" max="18" width="12.375" style="1" customWidth="1"/>
    <col min="19" max="19" width="16.375" style="1" customWidth="1"/>
    <col min="20" max="20" width="12.25" style="1" customWidth="1"/>
    <col min="21" max="21" width="12.375" style="1" customWidth="1"/>
    <col min="22" max="22" width="12.75" style="1" customWidth="1"/>
    <col min="23" max="23" width="15.125" style="1" customWidth="1"/>
    <col min="24" max="24" width="13.375" style="1" customWidth="1"/>
    <col min="25" max="25" width="16.625" style="1" customWidth="1"/>
    <col min="26" max="26" width="11.5" style="1" customWidth="1"/>
    <col min="27" max="27" width="15.75" style="1" customWidth="1"/>
    <col min="28" max="28" width="9" style="1" customWidth="1"/>
    <col min="29" max="29" width="5.75" style="1" customWidth="1"/>
    <col min="30" max="16384" width="9" style="1"/>
  </cols>
  <sheetData>
    <row r="1" customHeight="1" spans="2:28">
      <c r="B1" s="469"/>
      <c r="C1" s="470"/>
      <c r="D1" s="469" t="s">
        <v>2440</v>
      </c>
      <c r="E1" s="471"/>
      <c r="F1" s="472"/>
      <c r="G1" s="473"/>
      <c r="H1" s="473"/>
      <c r="I1" s="473"/>
      <c r="J1" s="473">
        <f>+G1</f>
        <v>0</v>
      </c>
      <c r="K1" s="473">
        <f>+H1</f>
        <v>0</v>
      </c>
      <c r="L1" s="491">
        <f>+I1</f>
        <v>0</v>
      </c>
      <c r="M1" s="473"/>
      <c r="N1" s="473"/>
      <c r="O1" s="473"/>
      <c r="P1" s="473"/>
      <c r="Q1" s="473"/>
      <c r="R1" s="473">
        <f>+P1+J1</f>
        <v>0</v>
      </c>
      <c r="S1" s="473">
        <f>+Q1+L1</f>
        <v>0</v>
      </c>
      <c r="T1" s="473">
        <f>IFERROR(VLOOKUP(A1,产值统计中间表!A:F,7,FALSE),0)</f>
        <v>0</v>
      </c>
      <c r="U1" s="473">
        <f>+T1*H1</f>
        <v>0</v>
      </c>
      <c r="V1" s="189">
        <f>IFERROR(VLOOKUP(A1,产值统计中间表!A:D,4,FALSE),0)</f>
        <v>0</v>
      </c>
      <c r="W1" s="473">
        <f>+V1*H1</f>
        <v>0</v>
      </c>
      <c r="X1" s="473">
        <f>+R1-V1</f>
        <v>0</v>
      </c>
      <c r="Y1" s="473">
        <f>+S1-W1</f>
        <v>0</v>
      </c>
      <c r="Z1" s="503">
        <f>IFERROR(VLOOKUP(A1,业主统计中间表!A:D,4,FALSE),0)</f>
        <v>0</v>
      </c>
      <c r="AA1" s="473">
        <f>+Z1*H1</f>
        <v>0</v>
      </c>
      <c r="AB1" s="504"/>
    </row>
    <row r="2" s="468" customFormat="1" customHeight="1" spans="1:28">
      <c r="A2" s="474"/>
      <c r="B2" s="474"/>
      <c r="C2" s="475"/>
      <c r="D2" s="474"/>
      <c r="E2" s="474"/>
      <c r="F2" s="476" t="e">
        <f ca="1">VLOOKUP($D2,INDIRECT($C2),2,0)</f>
        <v>#REF!</v>
      </c>
      <c r="H2" s="474"/>
      <c r="I2" s="474"/>
      <c r="J2" s="474"/>
      <c r="K2" s="474"/>
      <c r="L2" s="492"/>
      <c r="M2" s="493"/>
      <c r="N2" s="473" t="e">
        <f ca="1">VLOOKUP($D2,INDIRECT($C2),3,0)</f>
        <v>#REF!</v>
      </c>
      <c r="O2" s="493"/>
      <c r="P2" s="474"/>
      <c r="Q2" s="474"/>
      <c r="R2" s="474"/>
      <c r="S2" s="493"/>
      <c r="T2" s="474" t="e">
        <f ca="1">OFFSET(T2,-RIGHT($A2,LEN($A$6)),,1,1)/OFFSET(T2,-RIGHT($A2,LEN($A$6)),-13,1,1)*$M2</f>
        <v>#VALUE!</v>
      </c>
      <c r="U2" s="474" t="e">
        <f ca="1">+$N2*T2</f>
        <v>#REF!</v>
      </c>
      <c r="V2" s="474" t="e">
        <f ca="1">OFFSET(V2,-RIGHT($A2,LEN($A$6)),,1,1)/OFFSET(V2,-RIGHT($A2,LEN($A$6)),-15,1,1)*$M2</f>
        <v>#VALUE!</v>
      </c>
      <c r="W2" s="474" t="e">
        <f ca="1">+$N2*V2</f>
        <v>#REF!</v>
      </c>
      <c r="X2" s="474" t="e">
        <f ca="1">+M2-V2</f>
        <v>#VALUE!</v>
      </c>
      <c r="Y2" s="505" t="e">
        <f ca="1">+O2-W2</f>
        <v>#REF!</v>
      </c>
      <c r="Z2" s="505" t="e">
        <f ca="1">OFFSET(Z2,-RIGHT($A2,LEN($A$6)),,1,1)/OFFSET(Z2,-RIGHT($A2,LEN($A$6)),-19,1,1)*$M2</f>
        <v>#VALUE!</v>
      </c>
      <c r="AA2" s="505" t="e">
        <f ca="1">+$N2*Z2</f>
        <v>#REF!</v>
      </c>
      <c r="AB2" s="474"/>
    </row>
    <row r="3" customHeight="1" spans="1:29">
      <c r="A3" s="477"/>
      <c r="B3" s="478"/>
      <c r="C3" s="479"/>
      <c r="D3" s="478"/>
      <c r="E3" s="478"/>
      <c r="F3" s="479"/>
      <c r="G3" s="478"/>
      <c r="H3" s="480" t="s">
        <v>2441</v>
      </c>
      <c r="I3" s="480"/>
      <c r="J3" s="494" t="s">
        <v>2442</v>
      </c>
      <c r="K3" s="494"/>
      <c r="L3" s="494"/>
      <c r="M3" s="494" t="s">
        <v>2443</v>
      </c>
      <c r="N3" s="494"/>
      <c r="O3" s="494"/>
      <c r="P3" s="480" t="s">
        <v>2444</v>
      </c>
      <c r="Q3" s="480"/>
      <c r="R3" s="494" t="s">
        <v>1283</v>
      </c>
      <c r="S3" s="494"/>
      <c r="T3" s="480" t="s">
        <v>2445</v>
      </c>
      <c r="U3" s="480"/>
      <c r="V3" s="480" t="s">
        <v>2446</v>
      </c>
      <c r="W3" s="480"/>
      <c r="X3" s="480" t="s">
        <v>2447</v>
      </c>
      <c r="Y3" s="480"/>
      <c r="Z3" s="506" t="s">
        <v>2448</v>
      </c>
      <c r="AA3" s="480"/>
      <c r="AB3" s="478"/>
      <c r="AC3" s="507"/>
    </row>
    <row r="4" s="240" customFormat="1" customHeight="1" spans="1:28">
      <c r="A4" s="481" t="s">
        <v>1253</v>
      </c>
      <c r="B4" s="482" t="s">
        <v>1290</v>
      </c>
      <c r="C4" s="482" t="s">
        <v>1291</v>
      </c>
      <c r="D4" s="482" t="s">
        <v>1254</v>
      </c>
      <c r="E4" s="482" t="s">
        <v>1293</v>
      </c>
      <c r="F4" s="482" t="s">
        <v>60</v>
      </c>
      <c r="G4" s="482" t="s">
        <v>2449</v>
      </c>
      <c r="H4" s="482" t="s">
        <v>61</v>
      </c>
      <c r="I4" s="482" t="s">
        <v>2450</v>
      </c>
      <c r="J4" s="482" t="s">
        <v>2451</v>
      </c>
      <c r="K4" s="482" t="s">
        <v>91</v>
      </c>
      <c r="L4" s="495" t="s">
        <v>2452</v>
      </c>
      <c r="M4" s="496" t="s">
        <v>2449</v>
      </c>
      <c r="N4" s="496" t="s">
        <v>61</v>
      </c>
      <c r="O4" s="496" t="s">
        <v>2450</v>
      </c>
      <c r="P4" s="482" t="s">
        <v>2453</v>
      </c>
      <c r="Q4" s="482" t="s">
        <v>2454</v>
      </c>
      <c r="R4" s="482" t="s">
        <v>2455</v>
      </c>
      <c r="S4" s="501" t="s">
        <v>2456</v>
      </c>
      <c r="T4" s="482" t="s">
        <v>2457</v>
      </c>
      <c r="U4" s="501" t="s">
        <v>2458</v>
      </c>
      <c r="V4" s="502" t="s">
        <v>2459</v>
      </c>
      <c r="W4" s="482" t="s">
        <v>2460</v>
      </c>
      <c r="X4" s="482" t="s">
        <v>2461</v>
      </c>
      <c r="Y4" s="482" t="s">
        <v>2462</v>
      </c>
      <c r="Z4" s="502" t="s">
        <v>2463</v>
      </c>
      <c r="AA4" s="482" t="s">
        <v>2464</v>
      </c>
      <c r="AB4" s="508" t="s">
        <v>1261</v>
      </c>
    </row>
    <row r="5" customHeight="1" spans="1:28">
      <c r="A5" s="483"/>
      <c r="B5" s="484"/>
      <c r="C5" s="485"/>
      <c r="D5" s="484"/>
      <c r="E5" s="484"/>
      <c r="F5" s="485"/>
      <c r="G5" s="484"/>
      <c r="H5" s="484"/>
      <c r="I5" s="497">
        <f>SUMPRODUCT((LEN($A6:$A1062)=LEN($A$6))*1,I6:I1062)</f>
        <v>198649721.889377</v>
      </c>
      <c r="J5" s="484"/>
      <c r="K5" s="484"/>
      <c r="L5" s="498">
        <f>SUMPRODUCT((LEN($A6:$A1062)=LEN($A$6))*1,L6:L1062)</f>
        <v>164983303.158511</v>
      </c>
      <c r="M5" s="499"/>
      <c r="N5" s="499"/>
      <c r="O5" s="499">
        <f ca="1">SUMPRODUCT((LEN($A6:$A1062)=LEN($A$6))*1,O6:O1062)</f>
        <v>151500523.917518</v>
      </c>
      <c r="P5" s="500" t="s">
        <v>2465</v>
      </c>
      <c r="Q5" s="500"/>
      <c r="R5" s="500"/>
      <c r="S5" s="499">
        <f>SUMPRODUCT((LEN($A6:$A118)=LEN($A$6))*1,S6:S118)</f>
        <v>0</v>
      </c>
      <c r="T5" s="500"/>
      <c r="U5" s="500">
        <f ca="1">SUMPRODUCT((LEN($A6:$A118)=LEN($A$6))*1,U6:U118)</f>
        <v>0</v>
      </c>
      <c r="V5" s="500"/>
      <c r="W5" s="499">
        <f ca="1">SUMPRODUCT((LEN($A6:$A118)=LEN($A$6))*1,W6:W118)</f>
        <v>0</v>
      </c>
      <c r="X5" s="500"/>
      <c r="Y5" s="499">
        <f ca="1">SUMPRODUCT((LEN($A6:$A118)=LEN($A$6))*1,Y6:Y118)</f>
        <v>0</v>
      </c>
      <c r="Z5" s="500"/>
      <c r="AA5" s="499">
        <f ca="1">SUMPRODUCT((LEN($A6:$A118)=LEN($A$6))*1,AA6:AA118)</f>
        <v>0</v>
      </c>
      <c r="AB5" s="484"/>
    </row>
    <row r="6" customFormat="1" customHeight="1" spans="1:28">
      <c r="A6" s="486" t="s">
        <v>1304</v>
      </c>
      <c r="B6" s="487"/>
      <c r="C6" s="487" t="s">
        <v>1305</v>
      </c>
      <c r="D6" s="487" t="s">
        <v>1264</v>
      </c>
      <c r="E6" s="487"/>
      <c r="F6" s="487"/>
      <c r="G6" s="487"/>
      <c r="H6" s="487"/>
      <c r="I6" s="487">
        <f>(+I7+I232+I417+I422+I488+I497+I514+I531+I595+I612+I629+I784+I858+I896+I911+I971)</f>
        <v>161211712.284211</v>
      </c>
      <c r="J6" s="487"/>
      <c r="K6" s="487"/>
      <c r="L6" s="487">
        <f>(+L7+L232+L417+L422+L488+L497+L514+L531+L595+L612+L629+L784+L858+L896+L911+L971)</f>
        <v>161211712.284211</v>
      </c>
      <c r="M6" s="487"/>
      <c r="N6" s="487"/>
      <c r="O6" s="487">
        <f ca="1">(+O7+O232+O417+O422+O488+O497+O514+O531+O595+O612+O629+O784+O858+O896+O911+O971)</f>
        <v>150007548.718038</v>
      </c>
      <c r="P6" s="487"/>
      <c r="Q6" s="487"/>
      <c r="R6" s="487"/>
      <c r="S6" s="487"/>
      <c r="T6" s="487"/>
      <c r="U6" s="487"/>
      <c r="V6" s="487"/>
      <c r="W6" s="487"/>
      <c r="X6" s="487"/>
      <c r="Y6" s="487"/>
      <c r="Z6" s="487"/>
      <c r="AA6" s="487"/>
      <c r="AB6" s="487"/>
    </row>
    <row r="7" customFormat="1" customHeight="1" outlineLevel="1" spans="1:28">
      <c r="A7" s="488" t="s">
        <v>1306</v>
      </c>
      <c r="B7" s="487"/>
      <c r="C7" s="487" t="s">
        <v>60</v>
      </c>
      <c r="D7" s="487" t="s">
        <v>1307</v>
      </c>
      <c r="E7" s="487"/>
      <c r="F7" s="487"/>
      <c r="G7" s="487"/>
      <c r="H7" s="487"/>
      <c r="I7" s="487">
        <f>(+I8+I18+I25+I31+I37+I43+I52+I58+I64+I70+I76+I82+I88+I93+I99+I105+I111+I117+I122+I128+I135+I141+I143+I145+I148+I151+I154+I157+I160+I166+I172+I175+I180+I185+I194+I196+I198+I200+I202+I207+I210)</f>
        <v>22220076.4888991</v>
      </c>
      <c r="J7" s="487"/>
      <c r="K7" s="487"/>
      <c r="L7" s="487">
        <f>(+L8+L18+L25+L31+L37+L43+L52+L58+L64+L70+L76+L82+L88+L93+L99+L105+L111+L117+L122+L128+L135+L141+L143+L145+L148+L151+L154+L157+L160+L166+L172+L175+L180+L185+L194+L196+L198+L200+L202+L207+L210)</f>
        <v>22220076.4888991</v>
      </c>
      <c r="M7" s="487"/>
      <c r="N7" s="487"/>
      <c r="O7" s="487">
        <f ca="1">(+O8+O18+O25+O31+O37+O43+O52+O58+O64+O70+O76+O82+O88+O93+O99+O105+O111+O117+O122+O128+O135+O141+O143+O145+O148+O151+O154+O157+O160+O166+O172+O175+O180+O185+O194+O196+O198+O200+O202+O207+O210)</f>
        <v>16914355.6839716</v>
      </c>
      <c r="P7" s="487"/>
      <c r="Q7" s="487"/>
      <c r="R7" s="487"/>
      <c r="S7" s="487"/>
      <c r="T7" s="487"/>
      <c r="U7" s="487"/>
      <c r="V7" s="487"/>
      <c r="W7" s="487"/>
      <c r="X7" s="487"/>
      <c r="Y7" s="487"/>
      <c r="Z7" s="487"/>
      <c r="AA7" s="487"/>
      <c r="AB7" s="487"/>
    </row>
    <row r="8" customFormat="1" customHeight="1" outlineLevel="2" spans="1:28">
      <c r="A8" s="489" t="s">
        <v>1308</v>
      </c>
      <c r="B8" s="487"/>
      <c r="C8" s="487" t="s">
        <v>1309</v>
      </c>
      <c r="D8" s="487" t="s">
        <v>1364</v>
      </c>
      <c r="E8" s="487" t="s">
        <v>1365</v>
      </c>
      <c r="F8" s="487" t="s">
        <v>72</v>
      </c>
      <c r="G8" s="487">
        <v>1134.3</v>
      </c>
      <c r="H8" s="487">
        <v>1444.17431192661</v>
      </c>
      <c r="I8" s="487">
        <f>G8*H8</f>
        <v>1638126.92201835</v>
      </c>
      <c r="J8" s="487">
        <f t="shared" ref="J8:L8" si="0">+G8</f>
        <v>1134.3</v>
      </c>
      <c r="K8" s="487">
        <f t="shared" si="0"/>
        <v>1444.17431192661</v>
      </c>
      <c r="L8" s="487">
        <f t="shared" si="0"/>
        <v>1638126.92201835</v>
      </c>
      <c r="M8" s="487">
        <v>1134.3</v>
      </c>
      <c r="N8" s="487">
        <f ca="1">O8/M8</f>
        <v>488.493343912545</v>
      </c>
      <c r="O8" s="487">
        <f ca="1">(+O9+O10+O11+O12+O13+O14+O15+O16+O17)</f>
        <v>554098</v>
      </c>
      <c r="P8" s="487"/>
      <c r="Q8" s="487"/>
      <c r="R8" s="487">
        <f>+P8+J8</f>
        <v>1134.3</v>
      </c>
      <c r="S8" s="487">
        <f>+Q8+L8</f>
        <v>1638126.92201835</v>
      </c>
      <c r="T8" s="487">
        <f>IFERROR(VLOOKUP(A8,产值统计中间表!A:F,7,FALSE),0)</f>
        <v>0</v>
      </c>
      <c r="U8" s="487">
        <f>+T8*H8</f>
        <v>0</v>
      </c>
      <c r="V8" s="487">
        <f>IFERROR(VLOOKUP(A8,产值统计中间表!A:D,4,FALSE),0)</f>
        <v>82569.74</v>
      </c>
      <c r="W8" s="487">
        <f>+V8*H8</f>
        <v>119245097.450459</v>
      </c>
      <c r="X8" s="487">
        <f>+R8-V8</f>
        <v>-81435.44</v>
      </c>
      <c r="Y8" s="487">
        <f>+S8-W8</f>
        <v>-117606970.528441</v>
      </c>
      <c r="Z8" s="487">
        <f>IFERROR(VLOOKUP(A8,业主统计中间表!A:D,4,FALSE),0)</f>
        <v>70000</v>
      </c>
      <c r="AA8" s="487">
        <f>+Z8*H8</f>
        <v>101092201.834863</v>
      </c>
      <c r="AB8" s="487"/>
    </row>
    <row r="9" customFormat="1" customHeight="1" outlineLevel="3" spans="1:28">
      <c r="A9" s="490" t="s">
        <v>1311</v>
      </c>
      <c r="B9" s="487"/>
      <c r="C9" s="487" t="s">
        <v>65</v>
      </c>
      <c r="D9" s="487" t="s">
        <v>687</v>
      </c>
      <c r="E9" s="487" t="s">
        <v>2466</v>
      </c>
      <c r="F9" s="487" t="str">
        <f ca="1" t="shared" ref="F9:F17" si="1">VLOOKUP($D9,INDIRECT($C9),2,0)</f>
        <v>m³</v>
      </c>
      <c r="G9" s="487"/>
      <c r="H9" s="487"/>
      <c r="I9" s="487"/>
      <c r="J9" s="487"/>
      <c r="K9" s="487"/>
      <c r="L9" s="487"/>
      <c r="M9" s="487">
        <v>1134.3</v>
      </c>
      <c r="N9" s="487">
        <f ca="1" t="shared" ref="N9:N12" si="2">VLOOKUP($D9,INDIRECT($C9),3,0)</f>
        <v>390</v>
      </c>
      <c r="O9" s="487">
        <f ca="1" t="shared" ref="O9:O17" si="3">M9*N9</f>
        <v>442377</v>
      </c>
      <c r="P9" s="487"/>
      <c r="Q9" s="487"/>
      <c r="R9" s="487"/>
      <c r="S9" s="487"/>
      <c r="T9" s="487">
        <f ca="1" t="shared" ref="T9:T17" si="4">OFFSET(T9,-RIGHT($A9,LEN($A$6)),,1,1)/OFFSET(T9,-RIGHT($A9,LEN($A$6)),-13,1,1)*$M9</f>
        <v>0</v>
      </c>
      <c r="U9" s="487">
        <f ca="1" t="shared" ref="U9:U17" si="5">+$N9*T9</f>
        <v>0</v>
      </c>
      <c r="V9" s="487">
        <f ca="1">OFFSET(V9,-RIGHT($A9,LEN($A$6)),,1,1)/OFFSET(V9,-RIGHT($A9,LEN($A$6)),-15,1,1)*$M9</f>
        <v>82569.74</v>
      </c>
      <c r="W9" s="487">
        <f ca="1" t="shared" ref="W9:W17" si="6">+$N9*V9</f>
        <v>32202198.6</v>
      </c>
      <c r="X9" s="487">
        <f ca="1" t="shared" ref="X9:X17" si="7">+M9-V9</f>
        <v>-81435.44</v>
      </c>
      <c r="Y9" s="487">
        <f ca="1" t="shared" ref="Y9:Y17" si="8">+O9-W9</f>
        <v>-31759821.6</v>
      </c>
      <c r="Z9" s="487">
        <f ca="1" t="shared" ref="Z9:Z17" si="9">OFFSET(Z9,-RIGHT($A9,LEN($A$6)),,1,1)/OFFSET(Z9,-RIGHT($A9,LEN($A$6)),-19,1,1)*$M9</f>
        <v>70000</v>
      </c>
      <c r="AA9" s="487">
        <f ca="1" t="shared" ref="AA9:AA17" si="10">+$N9*Z9</f>
        <v>27300000</v>
      </c>
      <c r="AB9" s="487"/>
    </row>
    <row r="10" customFormat="1" customHeight="1" outlineLevel="3" spans="1:28">
      <c r="A10" s="490" t="s">
        <v>1312</v>
      </c>
      <c r="B10" s="487"/>
      <c r="C10" s="487" t="s">
        <v>59</v>
      </c>
      <c r="D10" s="487" t="s">
        <v>975</v>
      </c>
      <c r="E10" s="487"/>
      <c r="F10" s="487" t="str">
        <f ca="1" t="shared" si="1"/>
        <v>m3</v>
      </c>
      <c r="G10" s="487"/>
      <c r="H10" s="487"/>
      <c r="I10" s="487"/>
      <c r="J10" s="487"/>
      <c r="K10" s="487"/>
      <c r="L10" s="487"/>
      <c r="M10" s="487">
        <v>1311.02394</v>
      </c>
      <c r="N10" s="487">
        <f ca="1" t="shared" si="2"/>
        <v>0</v>
      </c>
      <c r="O10" s="487">
        <f ca="1" t="shared" si="3"/>
        <v>0</v>
      </c>
      <c r="P10" s="487"/>
      <c r="Q10" s="487"/>
      <c r="R10" s="487"/>
      <c r="S10" s="487"/>
      <c r="T10" s="487">
        <f ca="1" t="shared" si="4"/>
        <v>0</v>
      </c>
      <c r="U10" s="487">
        <f ca="1" t="shared" si="5"/>
        <v>0</v>
      </c>
      <c r="V10" s="487">
        <f ca="1">OFFSET(V10,-RIGHT($A10,LEN($A$6)),,1,1)/OFFSET(V10,-RIGHT($A10,LEN($A$6)),-15,1,1)*$M10</f>
        <v>95434.105492</v>
      </c>
      <c r="W10" s="487">
        <f ca="1" t="shared" si="6"/>
        <v>0</v>
      </c>
      <c r="X10" s="487">
        <f ca="1" t="shared" si="7"/>
        <v>-94123.081552</v>
      </c>
      <c r="Y10" s="487">
        <f ca="1" t="shared" si="8"/>
        <v>0</v>
      </c>
      <c r="Z10" s="487">
        <f ca="1" t="shared" si="9"/>
        <v>80906</v>
      </c>
      <c r="AA10" s="487">
        <f ca="1" t="shared" si="10"/>
        <v>0</v>
      </c>
      <c r="AB10" s="487"/>
    </row>
    <row r="11" customFormat="1" customHeight="1" outlineLevel="3" spans="1:28">
      <c r="A11" s="490" t="s">
        <v>1313</v>
      </c>
      <c r="B11" s="487"/>
      <c r="C11" s="487" t="s">
        <v>59</v>
      </c>
      <c r="D11" s="487" t="s">
        <v>713</v>
      </c>
      <c r="E11" s="487" t="str">
        <f ca="1">"含钢量："&amp;ROUND($M$11/$G$8,3)&amp;$F$11&amp;"/"&amp;$F$8</f>
        <v>含钢量：0.065t/m3</v>
      </c>
      <c r="F11" s="487" t="str">
        <f ca="1" t="shared" si="1"/>
        <v>t</v>
      </c>
      <c r="G11" s="487"/>
      <c r="H11" s="487"/>
      <c r="I11" s="487"/>
      <c r="J11" s="487"/>
      <c r="K11" s="487"/>
      <c r="L11" s="487"/>
      <c r="M11" s="487">
        <v>73.485</v>
      </c>
      <c r="N11" s="487">
        <f ca="1" t="shared" si="2"/>
        <v>0</v>
      </c>
      <c r="O11" s="487">
        <f ca="1" t="shared" si="3"/>
        <v>0</v>
      </c>
      <c r="P11" s="487"/>
      <c r="Q11" s="487"/>
      <c r="R11" s="487"/>
      <c r="S11" s="487"/>
      <c r="T11" s="487">
        <f ca="1" t="shared" si="4"/>
        <v>0</v>
      </c>
      <c r="U11" s="487">
        <f ca="1" t="shared" si="5"/>
        <v>0</v>
      </c>
      <c r="V11" s="487">
        <f ca="1" t="shared" ref="V9:V17" si="11">OFFSET(V11,-RIGHT($A11,LEN($A$6)),,1,1)/OFFSET(V11,-RIGHT($A11,LEN($A$6)),-15,1,1)*$M11</f>
        <v>5349.23507352552</v>
      </c>
      <c r="W11" s="487">
        <f ca="1" t="shared" si="6"/>
        <v>0</v>
      </c>
      <c r="X11" s="487">
        <f ca="1" t="shared" si="7"/>
        <v>-5275.75007352552</v>
      </c>
      <c r="Y11" s="487">
        <f ca="1" t="shared" si="8"/>
        <v>0</v>
      </c>
      <c r="Z11" s="487">
        <f ca="1" t="shared" si="9"/>
        <v>4534.91139910077</v>
      </c>
      <c r="AA11" s="487">
        <f ca="1" t="shared" si="10"/>
        <v>0</v>
      </c>
      <c r="AB11" s="487"/>
    </row>
    <row r="12" customFormat="1" customHeight="1" outlineLevel="3" spans="1:28">
      <c r="A12" s="490" t="s">
        <v>1314</v>
      </c>
      <c r="B12" s="487"/>
      <c r="C12" s="487" t="s">
        <v>64</v>
      </c>
      <c r="D12" s="487" t="s">
        <v>1061</v>
      </c>
      <c r="E12" s="487" t="s">
        <v>2467</v>
      </c>
      <c r="F12" s="487" t="str">
        <f ca="1" t="shared" si="1"/>
        <v>根</v>
      </c>
      <c r="G12" s="487"/>
      <c r="H12" s="487"/>
      <c r="I12" s="487"/>
      <c r="J12" s="487"/>
      <c r="K12" s="487"/>
      <c r="L12" s="487"/>
      <c r="M12" s="487">
        <v>43</v>
      </c>
      <c r="N12" s="487">
        <f ca="1" t="shared" si="2"/>
        <v>200</v>
      </c>
      <c r="O12" s="487">
        <f ca="1" t="shared" si="3"/>
        <v>8600</v>
      </c>
      <c r="P12" s="487"/>
      <c r="Q12" s="487"/>
      <c r="R12" s="487"/>
      <c r="S12" s="487"/>
      <c r="T12" s="487">
        <f ca="1" t="shared" si="4"/>
        <v>0</v>
      </c>
      <c r="U12" s="487">
        <f ca="1" t="shared" si="5"/>
        <v>0</v>
      </c>
      <c r="V12" s="487">
        <f ca="1" t="shared" si="11"/>
        <v>3130.12326545006</v>
      </c>
      <c r="W12" s="487">
        <f ca="1" t="shared" si="6"/>
        <v>626024.653090012</v>
      </c>
      <c r="X12" s="487">
        <f ca="1" t="shared" si="7"/>
        <v>-3087.12326545006</v>
      </c>
      <c r="Y12" s="487">
        <f ca="1" t="shared" si="8"/>
        <v>-617424.653090012</v>
      </c>
      <c r="Z12" s="487">
        <f ca="1" t="shared" si="9"/>
        <v>2653.61897205325</v>
      </c>
      <c r="AA12" s="487">
        <f ca="1" t="shared" si="10"/>
        <v>530723.79441065</v>
      </c>
      <c r="AB12" s="487"/>
    </row>
    <row r="13" customFormat="1" customHeight="1" outlineLevel="3" spans="1:28">
      <c r="A13" s="490" t="s">
        <v>1315</v>
      </c>
      <c r="B13" s="487"/>
      <c r="C13" s="487" t="s">
        <v>65</v>
      </c>
      <c r="D13" s="487" t="s">
        <v>651</v>
      </c>
      <c r="E13" s="487"/>
      <c r="F13" s="487" t="str">
        <f ca="1" t="shared" si="1"/>
        <v>根</v>
      </c>
      <c r="G13" s="487"/>
      <c r="H13" s="487"/>
      <c r="I13" s="487"/>
      <c r="J13" s="487"/>
      <c r="K13" s="487"/>
      <c r="L13" s="487"/>
      <c r="M13" s="487">
        <v>43</v>
      </c>
      <c r="N13" s="487">
        <v>320</v>
      </c>
      <c r="O13" s="487">
        <f t="shared" si="3"/>
        <v>13760</v>
      </c>
      <c r="P13" s="487"/>
      <c r="Q13" s="487"/>
      <c r="R13" s="487"/>
      <c r="S13" s="487"/>
      <c r="T13" s="487">
        <f ca="1" t="shared" si="4"/>
        <v>0</v>
      </c>
      <c r="U13" s="487">
        <f ca="1" t="shared" si="5"/>
        <v>0</v>
      </c>
      <c r="V13" s="487">
        <f ca="1" t="shared" si="11"/>
        <v>3130.12326545006</v>
      </c>
      <c r="W13" s="487">
        <f ca="1" t="shared" si="6"/>
        <v>1001639.44494402</v>
      </c>
      <c r="X13" s="487">
        <f ca="1" t="shared" si="7"/>
        <v>-3087.12326545006</v>
      </c>
      <c r="Y13" s="487">
        <f ca="1" t="shared" si="8"/>
        <v>-987879.444944018</v>
      </c>
      <c r="Z13" s="487">
        <f ca="1" t="shared" si="9"/>
        <v>2653.61897205325</v>
      </c>
      <c r="AA13" s="487">
        <f ca="1" t="shared" si="10"/>
        <v>849158.07105704</v>
      </c>
      <c r="AB13" s="487"/>
    </row>
    <row r="14" customFormat="1" customHeight="1" outlineLevel="3" spans="1:28">
      <c r="A14" s="490" t="s">
        <v>2468</v>
      </c>
      <c r="B14" s="487"/>
      <c r="C14" s="487" t="s">
        <v>65</v>
      </c>
      <c r="D14" s="487" t="s">
        <v>655</v>
      </c>
      <c r="E14" s="487"/>
      <c r="F14" s="487" t="str">
        <f ca="1" t="shared" si="1"/>
        <v>根</v>
      </c>
      <c r="G14" s="487"/>
      <c r="H14" s="487"/>
      <c r="I14" s="487"/>
      <c r="J14" s="487"/>
      <c r="K14" s="487"/>
      <c r="L14" s="487"/>
      <c r="M14" s="487">
        <v>43</v>
      </c>
      <c r="N14" s="487">
        <f ca="1" t="shared" ref="N14:N17" si="12">VLOOKUP($D14,INDIRECT($C14),3,0)</f>
        <v>750</v>
      </c>
      <c r="O14" s="487">
        <f ca="1" t="shared" si="3"/>
        <v>32250</v>
      </c>
      <c r="P14" s="487"/>
      <c r="Q14" s="487"/>
      <c r="R14" s="487"/>
      <c r="S14" s="487"/>
      <c r="T14" s="487">
        <f ca="1" t="shared" si="4"/>
        <v>0</v>
      </c>
      <c r="U14" s="487">
        <f ca="1" t="shared" si="5"/>
        <v>0</v>
      </c>
      <c r="V14" s="487">
        <f ca="1" t="shared" si="11"/>
        <v>3130.12326545006</v>
      </c>
      <c r="W14" s="487">
        <f ca="1" t="shared" si="6"/>
        <v>2347592.44908754</v>
      </c>
      <c r="X14" s="487">
        <f ca="1" t="shared" si="7"/>
        <v>-3087.12326545006</v>
      </c>
      <c r="Y14" s="487">
        <f ca="1" t="shared" si="8"/>
        <v>-2315342.44908754</v>
      </c>
      <c r="Z14" s="487">
        <f ca="1" t="shared" si="9"/>
        <v>2653.61897205325</v>
      </c>
      <c r="AA14" s="487">
        <f ca="1" t="shared" si="10"/>
        <v>1990214.22903994</v>
      </c>
      <c r="AB14" s="487"/>
    </row>
    <row r="15" customFormat="1" customHeight="1" outlineLevel="3" spans="1:28">
      <c r="A15" s="490" t="s">
        <v>2469</v>
      </c>
      <c r="B15" s="487"/>
      <c r="C15" s="487" t="s">
        <v>59</v>
      </c>
      <c r="D15" s="487" t="s">
        <v>754</v>
      </c>
      <c r="E15" s="487"/>
      <c r="F15" s="487" t="str">
        <f ca="1" t="shared" si="1"/>
        <v>t</v>
      </c>
      <c r="G15" s="487"/>
      <c r="H15" s="487"/>
      <c r="I15" s="487"/>
      <c r="J15" s="487"/>
      <c r="K15" s="487"/>
      <c r="L15" s="487"/>
      <c r="M15" s="487">
        <v>7.83</v>
      </c>
      <c r="N15" s="487">
        <f ca="1" t="shared" si="12"/>
        <v>0</v>
      </c>
      <c r="O15" s="487">
        <f ca="1" t="shared" si="3"/>
        <v>0</v>
      </c>
      <c r="P15" s="487"/>
      <c r="Q15" s="487"/>
      <c r="R15" s="487"/>
      <c r="S15" s="487"/>
      <c r="T15" s="487">
        <f ca="1" t="shared" si="4"/>
        <v>0</v>
      </c>
      <c r="U15" s="487">
        <f ca="1" t="shared" si="5"/>
        <v>0</v>
      </c>
      <c r="V15" s="487">
        <f ca="1" t="shared" si="11"/>
        <v>569.973608569162</v>
      </c>
      <c r="W15" s="487">
        <f ca="1" t="shared" si="6"/>
        <v>0</v>
      </c>
      <c r="X15" s="487">
        <f ca="1" t="shared" si="7"/>
        <v>-562.143608569162</v>
      </c>
      <c r="Y15" s="487">
        <f ca="1" t="shared" si="8"/>
        <v>0</v>
      </c>
      <c r="Z15" s="487">
        <f ca="1" t="shared" si="9"/>
        <v>483.205501190161</v>
      </c>
      <c r="AA15" s="487">
        <f ca="1" t="shared" si="10"/>
        <v>0</v>
      </c>
      <c r="AB15" s="487"/>
    </row>
    <row r="16" customFormat="1" customHeight="1" outlineLevel="3" spans="1:28">
      <c r="A16" s="490" t="s">
        <v>2470</v>
      </c>
      <c r="B16" s="487"/>
      <c r="C16" s="487" t="s">
        <v>63</v>
      </c>
      <c r="D16" s="487" t="s">
        <v>344</v>
      </c>
      <c r="E16" s="487" t="s">
        <v>1375</v>
      </c>
      <c r="F16" s="487" t="str">
        <f ca="1" t="shared" si="1"/>
        <v>m3</v>
      </c>
      <c r="G16" s="487"/>
      <c r="H16" s="487"/>
      <c r="I16" s="487"/>
      <c r="J16" s="487"/>
      <c r="K16" s="487"/>
      <c r="L16" s="487"/>
      <c r="M16" s="487">
        <v>1134.3</v>
      </c>
      <c r="N16" s="487">
        <f ca="1" t="shared" si="12"/>
        <v>5</v>
      </c>
      <c r="O16" s="487">
        <f ca="1" t="shared" si="3"/>
        <v>5671.5</v>
      </c>
      <c r="P16" s="487"/>
      <c r="Q16" s="487"/>
      <c r="R16" s="487"/>
      <c r="S16" s="487"/>
      <c r="T16" s="487">
        <f ca="1" t="shared" si="4"/>
        <v>0</v>
      </c>
      <c r="U16" s="487">
        <f ca="1" t="shared" si="5"/>
        <v>0</v>
      </c>
      <c r="V16" s="487">
        <f ca="1" t="shared" si="11"/>
        <v>82569.74</v>
      </c>
      <c r="W16" s="487">
        <f ca="1" t="shared" si="6"/>
        <v>412848.7</v>
      </c>
      <c r="X16" s="487">
        <f ca="1" t="shared" si="7"/>
        <v>-81435.44</v>
      </c>
      <c r="Y16" s="487">
        <f ca="1" t="shared" si="8"/>
        <v>-407177.2</v>
      </c>
      <c r="Z16" s="487">
        <f ca="1" t="shared" si="9"/>
        <v>70000</v>
      </c>
      <c r="AA16" s="487">
        <f ca="1" t="shared" si="10"/>
        <v>350000</v>
      </c>
      <c r="AB16" s="487"/>
    </row>
    <row r="17" customFormat="1" customHeight="1" outlineLevel="3" spans="1:28">
      <c r="A17" s="490" t="s">
        <v>2471</v>
      </c>
      <c r="B17" s="487"/>
      <c r="C17" s="487" t="s">
        <v>64</v>
      </c>
      <c r="D17" s="487" t="s">
        <v>296</v>
      </c>
      <c r="E17" s="487"/>
      <c r="F17" s="487" t="str">
        <f ca="1" t="shared" si="1"/>
        <v>t</v>
      </c>
      <c r="G17" s="487"/>
      <c r="H17" s="487"/>
      <c r="I17" s="487"/>
      <c r="J17" s="487"/>
      <c r="K17" s="487"/>
      <c r="L17" s="487"/>
      <c r="M17" s="487">
        <v>73.485</v>
      </c>
      <c r="N17" s="487">
        <f ca="1" t="shared" si="12"/>
        <v>700</v>
      </c>
      <c r="O17" s="487">
        <f ca="1" t="shared" si="3"/>
        <v>51439.5</v>
      </c>
      <c r="P17" s="487"/>
      <c r="Q17" s="487"/>
      <c r="R17" s="487"/>
      <c r="S17" s="487"/>
      <c r="T17" s="487">
        <f ca="1" t="shared" si="4"/>
        <v>0</v>
      </c>
      <c r="U17" s="487">
        <f ca="1" t="shared" si="5"/>
        <v>0</v>
      </c>
      <c r="V17" s="487">
        <f ca="1" t="shared" si="11"/>
        <v>5349.23507352552</v>
      </c>
      <c r="W17" s="487">
        <f ca="1" t="shared" si="6"/>
        <v>3744464.55146787</v>
      </c>
      <c r="X17" s="487">
        <f ca="1" t="shared" si="7"/>
        <v>-5275.75007352552</v>
      </c>
      <c r="Y17" s="487">
        <f ca="1" t="shared" si="8"/>
        <v>-3693025.05146787</v>
      </c>
      <c r="Z17" s="487">
        <f ca="1" t="shared" si="9"/>
        <v>4534.91139910077</v>
      </c>
      <c r="AA17" s="487">
        <f ca="1" t="shared" si="10"/>
        <v>3174437.97937054</v>
      </c>
      <c r="AB17" s="487"/>
    </row>
    <row r="18" customFormat="1" customHeight="1" outlineLevel="2" spans="1:28">
      <c r="A18" s="489" t="s">
        <v>1316</v>
      </c>
      <c r="B18" s="487"/>
      <c r="C18" s="487" t="s">
        <v>1309</v>
      </c>
      <c r="D18" s="487" t="s">
        <v>1310</v>
      </c>
      <c r="E18" s="487" t="s">
        <v>2472</v>
      </c>
      <c r="F18" s="487" t="s">
        <v>72</v>
      </c>
      <c r="G18" s="487">
        <v>778.5</v>
      </c>
      <c r="H18" s="487">
        <v>1241.84403669725</v>
      </c>
      <c r="I18" s="487">
        <f>G18*H18</f>
        <v>966775.582568809</v>
      </c>
      <c r="J18" s="487">
        <f t="shared" ref="J18:L18" si="13">+G18</f>
        <v>778.5</v>
      </c>
      <c r="K18" s="487">
        <f t="shared" si="13"/>
        <v>1241.84403669725</v>
      </c>
      <c r="L18" s="487">
        <f t="shared" si="13"/>
        <v>966775.582568809</v>
      </c>
      <c r="M18" s="487">
        <f>G18</f>
        <v>778.5</v>
      </c>
      <c r="N18" s="487">
        <f ca="1">O18/M18</f>
        <v>800.524970870917</v>
      </c>
      <c r="O18" s="487">
        <f ca="1">(+O19+O20+O21+O22+O23+O24)</f>
        <v>623208.689823009</v>
      </c>
      <c r="P18" s="487"/>
      <c r="Q18" s="487"/>
      <c r="R18" s="487">
        <f>+P18+J18</f>
        <v>778.5</v>
      </c>
      <c r="S18" s="487">
        <f>+Q18+L18</f>
        <v>966775.582568809</v>
      </c>
      <c r="T18" s="487">
        <f>IFERROR(VLOOKUP(A18,产值统计中间表!A:F,7,FALSE),0)</f>
        <v>0</v>
      </c>
      <c r="U18" s="487">
        <f>+T18*H18</f>
        <v>0</v>
      </c>
      <c r="V18" s="487">
        <f>IFERROR(VLOOKUP(A18,产值统计中间表!A:D,4,FALSE),0)</f>
        <v>45000</v>
      </c>
      <c r="W18" s="487">
        <f>+V18*H18</f>
        <v>55882981.6513762</v>
      </c>
      <c r="X18" s="487">
        <f>+R18-V18</f>
        <v>-44221.5</v>
      </c>
      <c r="Y18" s="487">
        <f>+S18-W18</f>
        <v>-54916206.0688074</v>
      </c>
      <c r="Z18" s="487">
        <f>IFERROR(VLOOKUP(A18,业主统计中间表!A:D,4,FALSE),0)</f>
        <v>50000</v>
      </c>
      <c r="AA18" s="487">
        <f>+Z18*H18</f>
        <v>62092201.8348625</v>
      </c>
      <c r="AB18" s="487"/>
    </row>
    <row r="19" customFormat="1" customHeight="1" outlineLevel="3" spans="1:28">
      <c r="A19" s="490" t="s">
        <v>1318</v>
      </c>
      <c r="B19" s="487"/>
      <c r="C19" s="487" t="s">
        <v>64</v>
      </c>
      <c r="D19" s="487" t="s">
        <v>752</v>
      </c>
      <c r="E19" s="487"/>
      <c r="F19" s="487" t="str">
        <f ca="1" t="shared" ref="F19:F24" si="14">VLOOKUP($D19,INDIRECT($C19),2,0)</f>
        <v>m3</v>
      </c>
      <c r="G19" s="487"/>
      <c r="H19" s="487"/>
      <c r="I19" s="487"/>
      <c r="J19" s="487"/>
      <c r="K19" s="487"/>
      <c r="L19" s="487"/>
      <c r="M19" s="487">
        <v>782.3925</v>
      </c>
      <c r="N19" s="487">
        <f ca="1" t="shared" ref="N19:N24" si="15">VLOOKUP($D19,INDIRECT($C19),3,0)</f>
        <v>30</v>
      </c>
      <c r="O19" s="487">
        <f ca="1" t="shared" ref="O19:O24" si="16">M19*N19</f>
        <v>23471.775</v>
      </c>
      <c r="P19" s="487"/>
      <c r="Q19" s="487"/>
      <c r="R19" s="487"/>
      <c r="S19" s="487"/>
      <c r="T19" s="487">
        <f ca="1" t="shared" ref="T19:T24" si="17">OFFSET(T19,-RIGHT($A19,LEN($A$6)),,1,1)/OFFSET(T19,-RIGHT($A19,LEN($A$6)),-13,1,1)*$M19</f>
        <v>0</v>
      </c>
      <c r="U19" s="487">
        <f ca="1" t="shared" ref="U19:U24" si="18">+$N19*T19</f>
        <v>0</v>
      </c>
      <c r="V19" s="487">
        <f ca="1" t="shared" ref="V19:V24" si="19">OFFSET(V19,-RIGHT($A19,LEN($A$6)),,1,1)/OFFSET(V19,-RIGHT($A19,LEN($A$6)),-15,1,1)*$M19</f>
        <v>45225</v>
      </c>
      <c r="W19" s="487">
        <f ca="1" t="shared" ref="W19:W24" si="20">+$N19*V19</f>
        <v>1356750</v>
      </c>
      <c r="X19" s="487">
        <f ca="1" t="shared" ref="X19:X24" si="21">+M19-V19</f>
        <v>-44442.6075</v>
      </c>
      <c r="Y19" s="487">
        <f ca="1" t="shared" ref="Y19:Y24" si="22">+O19-W19</f>
        <v>-1333278.225</v>
      </c>
      <c r="Z19" s="487">
        <f ca="1" t="shared" ref="Z19:Z24" si="23">OFFSET(Z19,-RIGHT($A19,LEN($A$6)),,1,1)/OFFSET(Z19,-RIGHT($A19,LEN($A$6)),-19,1,1)*$M19</f>
        <v>50250</v>
      </c>
      <c r="AA19" s="487">
        <f ca="1" t="shared" ref="AA19:AA24" si="24">+$N19*Z19</f>
        <v>1507500</v>
      </c>
      <c r="AB19" s="487"/>
    </row>
    <row r="20" customFormat="1" customHeight="1" outlineLevel="3" spans="1:28">
      <c r="A20" s="490" t="s">
        <v>1319</v>
      </c>
      <c r="B20" s="487"/>
      <c r="C20" s="487" t="s">
        <v>64</v>
      </c>
      <c r="D20" s="487" t="s">
        <v>262</v>
      </c>
      <c r="E20" s="487" t="s">
        <v>2473</v>
      </c>
      <c r="F20" s="487" t="str">
        <f ca="1" t="shared" si="14"/>
        <v>m2</v>
      </c>
      <c r="G20" s="487"/>
      <c r="H20" s="487"/>
      <c r="I20" s="487"/>
      <c r="J20" s="487"/>
      <c r="K20" s="487"/>
      <c r="L20" s="487"/>
      <c r="M20" s="487">
        <v>502.18</v>
      </c>
      <c r="N20" s="487">
        <f ca="1" t="shared" si="15"/>
        <v>55</v>
      </c>
      <c r="O20" s="487">
        <f ca="1" t="shared" si="16"/>
        <v>27619.9</v>
      </c>
      <c r="P20" s="487"/>
      <c r="Q20" s="487"/>
      <c r="R20" s="487"/>
      <c r="S20" s="487"/>
      <c r="T20" s="487">
        <f ca="1" t="shared" si="17"/>
        <v>0</v>
      </c>
      <c r="U20" s="487">
        <f ca="1" t="shared" si="18"/>
        <v>0</v>
      </c>
      <c r="V20" s="487">
        <f ca="1" t="shared" si="19"/>
        <v>29027.7456647399</v>
      </c>
      <c r="W20" s="487">
        <f ca="1" t="shared" si="20"/>
        <v>1596526.01156069</v>
      </c>
      <c r="X20" s="487">
        <f ca="1" t="shared" si="21"/>
        <v>-28525.5656647399</v>
      </c>
      <c r="Y20" s="487">
        <f ca="1" t="shared" si="22"/>
        <v>-1568906.11156069</v>
      </c>
      <c r="Z20" s="487">
        <f ca="1" t="shared" si="23"/>
        <v>32253.0507385999</v>
      </c>
      <c r="AA20" s="487">
        <f ca="1" t="shared" si="24"/>
        <v>1773917.79062299</v>
      </c>
      <c r="AB20" s="487"/>
    </row>
    <row r="21" customFormat="1" customHeight="1" outlineLevel="3" spans="1:28">
      <c r="A21" s="490" t="s">
        <v>1321</v>
      </c>
      <c r="B21" s="487"/>
      <c r="C21" s="487" t="s">
        <v>64</v>
      </c>
      <c r="D21" s="487" t="s">
        <v>296</v>
      </c>
      <c r="E21" s="487"/>
      <c r="F21" s="487" t="str">
        <f ca="1" t="shared" si="14"/>
        <v>t</v>
      </c>
      <c r="G21" s="487"/>
      <c r="H21" s="487"/>
      <c r="I21" s="487"/>
      <c r="J21" s="487"/>
      <c r="K21" s="487"/>
      <c r="L21" s="487"/>
      <c r="M21" s="487">
        <v>101.175</v>
      </c>
      <c r="N21" s="487">
        <f ca="1" t="shared" si="15"/>
        <v>700</v>
      </c>
      <c r="O21" s="487">
        <f ca="1" t="shared" si="16"/>
        <v>70822.5</v>
      </c>
      <c r="P21" s="487"/>
      <c r="Q21" s="487"/>
      <c r="R21" s="487"/>
      <c r="S21" s="487"/>
      <c r="T21" s="487">
        <f ca="1" t="shared" si="17"/>
        <v>0</v>
      </c>
      <c r="U21" s="487">
        <f ca="1" t="shared" si="18"/>
        <v>0</v>
      </c>
      <c r="V21" s="487">
        <f ca="1" t="shared" si="19"/>
        <v>5848.26589595376</v>
      </c>
      <c r="W21" s="487">
        <f ca="1" t="shared" si="20"/>
        <v>4093786.12716763</v>
      </c>
      <c r="X21" s="487">
        <f ca="1" t="shared" si="21"/>
        <v>-5747.09089595376</v>
      </c>
      <c r="Y21" s="487">
        <f ca="1" t="shared" si="22"/>
        <v>-4022963.62716763</v>
      </c>
      <c r="Z21" s="487">
        <f ca="1" t="shared" si="23"/>
        <v>6498.0732177264</v>
      </c>
      <c r="AA21" s="487">
        <f ca="1" t="shared" si="24"/>
        <v>4548651.25240848</v>
      </c>
      <c r="AB21" s="487"/>
    </row>
    <row r="22" customFormat="1" customHeight="1" outlineLevel="3" spans="1:28">
      <c r="A22" s="490" t="s">
        <v>1322</v>
      </c>
      <c r="B22" s="487"/>
      <c r="C22" s="487" t="s">
        <v>59</v>
      </c>
      <c r="D22" s="487" t="s">
        <v>792</v>
      </c>
      <c r="E22" s="487"/>
      <c r="F22" s="487" t="str">
        <f ca="1" t="shared" si="14"/>
        <v>m³</v>
      </c>
      <c r="G22" s="487"/>
      <c r="H22" s="487"/>
      <c r="I22" s="487"/>
      <c r="J22" s="487"/>
      <c r="K22" s="487"/>
      <c r="L22" s="487"/>
      <c r="M22" s="487">
        <v>782.3925</v>
      </c>
      <c r="N22" s="487">
        <f ca="1" t="shared" si="15"/>
        <v>450</v>
      </c>
      <c r="O22" s="487">
        <f ca="1" t="shared" si="16"/>
        <v>352076.625</v>
      </c>
      <c r="P22" s="487"/>
      <c r="Q22" s="487"/>
      <c r="R22" s="487"/>
      <c r="S22" s="487"/>
      <c r="T22" s="487">
        <f ca="1" t="shared" si="17"/>
        <v>0</v>
      </c>
      <c r="U22" s="487">
        <f ca="1" t="shared" si="18"/>
        <v>0</v>
      </c>
      <c r="V22" s="487">
        <f ca="1" t="shared" si="19"/>
        <v>45225</v>
      </c>
      <c r="W22" s="487">
        <f ca="1" t="shared" si="20"/>
        <v>20351250</v>
      </c>
      <c r="X22" s="487">
        <f ca="1" t="shared" si="21"/>
        <v>-44442.6075</v>
      </c>
      <c r="Y22" s="487">
        <f ca="1" t="shared" si="22"/>
        <v>-19999173.375</v>
      </c>
      <c r="Z22" s="487">
        <f ca="1" t="shared" si="23"/>
        <v>50250</v>
      </c>
      <c r="AA22" s="487">
        <f ca="1" t="shared" si="24"/>
        <v>22612500</v>
      </c>
      <c r="AB22" s="487"/>
    </row>
    <row r="23" customFormat="1" customHeight="1" outlineLevel="3" spans="1:28">
      <c r="A23" s="490" t="s">
        <v>1323</v>
      </c>
      <c r="B23" s="487"/>
      <c r="C23" s="487" t="s">
        <v>59</v>
      </c>
      <c r="D23" s="487" t="s">
        <v>191</v>
      </c>
      <c r="E23" s="487"/>
      <c r="F23" s="487" t="str">
        <f ca="1" t="shared" si="14"/>
        <v>m3</v>
      </c>
      <c r="G23" s="487"/>
      <c r="H23" s="487"/>
      <c r="I23" s="487"/>
      <c r="J23" s="487"/>
      <c r="K23" s="487"/>
      <c r="L23" s="487"/>
      <c r="M23" s="487">
        <v>48.5</v>
      </c>
      <c r="N23" s="487">
        <f ca="1" t="shared" si="15"/>
        <v>3076.65752212389</v>
      </c>
      <c r="O23" s="487">
        <f ca="1" t="shared" si="16"/>
        <v>149217.889823009</v>
      </c>
      <c r="P23" s="487"/>
      <c r="Q23" s="487"/>
      <c r="R23" s="487"/>
      <c r="S23" s="487"/>
      <c r="T23" s="487">
        <f ca="1" t="shared" si="17"/>
        <v>0</v>
      </c>
      <c r="U23" s="487">
        <f ca="1" t="shared" si="18"/>
        <v>0</v>
      </c>
      <c r="V23" s="487">
        <f ca="1" t="shared" si="19"/>
        <v>2803.46820809249</v>
      </c>
      <c r="W23" s="487">
        <f ca="1" t="shared" si="20"/>
        <v>8625311.55046293</v>
      </c>
      <c r="X23" s="487">
        <f ca="1" t="shared" si="21"/>
        <v>-2754.96820809249</v>
      </c>
      <c r="Y23" s="487">
        <f ca="1" t="shared" si="22"/>
        <v>-8476093.66063992</v>
      </c>
      <c r="Z23" s="487">
        <f ca="1" t="shared" si="23"/>
        <v>3114.96467565832</v>
      </c>
      <c r="AA23" s="487">
        <f ca="1" t="shared" si="24"/>
        <v>9583679.50051437</v>
      </c>
      <c r="AB23" s="487"/>
    </row>
    <row r="24" customFormat="1" customHeight="1" outlineLevel="3" spans="1:28">
      <c r="A24" s="490" t="s">
        <v>2474</v>
      </c>
      <c r="B24" s="487"/>
      <c r="C24" s="487" t="s">
        <v>59</v>
      </c>
      <c r="D24" s="487" t="s">
        <v>978</v>
      </c>
      <c r="E24" s="487" t="str">
        <f ca="1">"含钢量："&amp;ROUND($M$24/$G$18,3)&amp;$F$24&amp;"/"&amp;$F$18</f>
        <v>含钢量：0.13t/m3</v>
      </c>
      <c r="F24" s="487" t="str">
        <f ca="1" t="shared" si="14"/>
        <v>t</v>
      </c>
      <c r="G24" s="487"/>
      <c r="H24" s="487"/>
      <c r="I24" s="487"/>
      <c r="J24" s="487"/>
      <c r="K24" s="487"/>
      <c r="L24" s="487"/>
      <c r="M24" s="487">
        <v>101.175</v>
      </c>
      <c r="N24" s="487">
        <f ca="1" t="shared" si="15"/>
        <v>0</v>
      </c>
      <c r="O24" s="487">
        <f ca="1" t="shared" si="16"/>
        <v>0</v>
      </c>
      <c r="P24" s="487"/>
      <c r="Q24" s="487"/>
      <c r="R24" s="487"/>
      <c r="S24" s="487"/>
      <c r="T24" s="487">
        <f ca="1" t="shared" si="17"/>
        <v>0</v>
      </c>
      <c r="U24" s="487">
        <f ca="1" t="shared" si="18"/>
        <v>0</v>
      </c>
      <c r="V24" s="487">
        <f ca="1" t="shared" si="19"/>
        <v>5848.26589595376</v>
      </c>
      <c r="W24" s="487">
        <f ca="1" t="shared" si="20"/>
        <v>0</v>
      </c>
      <c r="X24" s="487">
        <f ca="1" t="shared" si="21"/>
        <v>-5747.09089595376</v>
      </c>
      <c r="Y24" s="487">
        <f ca="1" t="shared" si="22"/>
        <v>0</v>
      </c>
      <c r="Z24" s="487">
        <f ca="1" t="shared" si="23"/>
        <v>6498.0732177264</v>
      </c>
      <c r="AA24" s="487">
        <f ca="1" t="shared" si="24"/>
        <v>0</v>
      </c>
      <c r="AB24" s="487"/>
    </row>
    <row r="25" customFormat="1" customHeight="1" outlineLevel="2" spans="1:28">
      <c r="A25" s="489" t="s">
        <v>1324</v>
      </c>
      <c r="B25" s="487"/>
      <c r="C25" s="487" t="s">
        <v>1309</v>
      </c>
      <c r="D25" s="487" t="s">
        <v>1317</v>
      </c>
      <c r="E25" s="487" t="s">
        <v>2472</v>
      </c>
      <c r="F25" s="487" t="s">
        <v>72</v>
      </c>
      <c r="G25" s="487">
        <v>29.6</v>
      </c>
      <c r="H25" s="487">
        <v>1663.11009174312</v>
      </c>
      <c r="I25" s="487">
        <f>G25*H25</f>
        <v>49228.0587155964</v>
      </c>
      <c r="J25" s="487">
        <f t="shared" ref="J25:L25" si="25">+G25</f>
        <v>29.6</v>
      </c>
      <c r="K25" s="487">
        <f t="shared" si="25"/>
        <v>1663.11009174312</v>
      </c>
      <c r="L25" s="487">
        <f t="shared" si="25"/>
        <v>49228.0587155964</v>
      </c>
      <c r="M25" s="487">
        <f>G25</f>
        <v>29.6</v>
      </c>
      <c r="N25" s="487">
        <f ca="1">O25/M25</f>
        <v>1504.92466216216</v>
      </c>
      <c r="O25" s="487">
        <f ca="1">(+O26+O27+O28+O29+O30)</f>
        <v>44545.77</v>
      </c>
      <c r="P25" s="487"/>
      <c r="Q25" s="487"/>
      <c r="R25" s="487">
        <f>+P25+J25</f>
        <v>29.6</v>
      </c>
      <c r="S25" s="487">
        <f>+Q25+L25</f>
        <v>49228.0587155964</v>
      </c>
      <c r="T25" s="487">
        <f>IFERROR(VLOOKUP(A25,产值统计中间表!A:F,7,FALSE),0)</f>
        <v>0</v>
      </c>
      <c r="U25" s="487">
        <f>+T25*H25</f>
        <v>0</v>
      </c>
      <c r="V25" s="487">
        <f>IFERROR(VLOOKUP(A25,产值统计中间表!A:D,4,FALSE),0)</f>
        <v>0</v>
      </c>
      <c r="W25" s="487">
        <f>+V25*H25</f>
        <v>0</v>
      </c>
      <c r="X25" s="487">
        <f>+R25-V25</f>
        <v>29.6</v>
      </c>
      <c r="Y25" s="487">
        <f>+S25-W25</f>
        <v>49228.0587155964</v>
      </c>
      <c r="Z25" s="487">
        <f>IFERROR(VLOOKUP(A25,业主统计中间表!A:D,4,FALSE),0)</f>
        <v>0</v>
      </c>
      <c r="AA25" s="487">
        <f>+Z25*H25</f>
        <v>0</v>
      </c>
      <c r="AB25" s="487"/>
    </row>
    <row r="26" customFormat="1" customHeight="1" outlineLevel="3" spans="1:28">
      <c r="A26" s="490" t="s">
        <v>1326</v>
      </c>
      <c r="B26" s="487"/>
      <c r="C26" s="487" t="s">
        <v>64</v>
      </c>
      <c r="D26" s="487" t="s">
        <v>752</v>
      </c>
      <c r="E26" s="487"/>
      <c r="F26" s="487" t="str">
        <f ca="1" t="shared" ref="F26:F30" si="26">VLOOKUP($D26,INDIRECT($C26),2,0)</f>
        <v>m3</v>
      </c>
      <c r="G26" s="487"/>
      <c r="H26" s="487"/>
      <c r="I26" s="487"/>
      <c r="J26" s="487"/>
      <c r="K26" s="487"/>
      <c r="L26" s="487"/>
      <c r="M26" s="487">
        <v>29.6</v>
      </c>
      <c r="N26" s="487">
        <f ca="1" t="shared" ref="N26:N30" si="27">VLOOKUP($D26,INDIRECT($C26),3,0)</f>
        <v>30</v>
      </c>
      <c r="O26" s="487">
        <f ca="1">M26*N26</f>
        <v>888</v>
      </c>
      <c r="P26" s="487"/>
      <c r="Q26" s="487"/>
      <c r="R26" s="487"/>
      <c r="S26" s="487"/>
      <c r="T26" s="487">
        <f ca="1" t="shared" ref="T26:T30" si="28">OFFSET(T26,-RIGHT($A26,LEN($A$6)),,1,1)/OFFSET(T26,-RIGHT($A26,LEN($A$6)),-13,1,1)*$M26</f>
        <v>0</v>
      </c>
      <c r="U26" s="487">
        <f ca="1" t="shared" ref="U26:U30" si="29">+$N26*T26</f>
        <v>0</v>
      </c>
      <c r="V26" s="487">
        <f ca="1" t="shared" ref="V26:V30" si="30">OFFSET(V26,-RIGHT($A26,LEN($A$6)),,1,1)/OFFSET(V26,-RIGHT($A26,LEN($A$6)),-15,1,1)*$M26</f>
        <v>0</v>
      </c>
      <c r="W26" s="487">
        <f ca="1" t="shared" ref="W26:W30" si="31">+$N26*V26</f>
        <v>0</v>
      </c>
      <c r="X26" s="487">
        <f ca="1" t="shared" ref="X26:X30" si="32">+M26-V26</f>
        <v>29.6</v>
      </c>
      <c r="Y26" s="487">
        <f ca="1" t="shared" ref="Y26:Y30" si="33">+O26-W26</f>
        <v>888</v>
      </c>
      <c r="Z26" s="487">
        <f ca="1" t="shared" ref="Z26:Z30" si="34">OFFSET(Z26,-RIGHT($A26,LEN($A$6)),,1,1)/OFFSET(Z26,-RIGHT($A26,LEN($A$6)),-19,1,1)*$M26</f>
        <v>0</v>
      </c>
      <c r="AA26" s="487">
        <f ca="1" t="shared" ref="AA26:AA30" si="35">+$N26*Z26</f>
        <v>0</v>
      </c>
      <c r="AB26" s="487"/>
    </row>
    <row r="27" customFormat="1" customHeight="1" outlineLevel="3" spans="1:28">
      <c r="A27" s="490" t="s">
        <v>1327</v>
      </c>
      <c r="B27" s="487"/>
      <c r="C27" s="487" t="s">
        <v>64</v>
      </c>
      <c r="D27" s="487" t="s">
        <v>1109</v>
      </c>
      <c r="E27" s="487" t="s">
        <v>1320</v>
      </c>
      <c r="F27" s="487" t="str">
        <f ca="1" t="shared" si="26"/>
        <v>m2</v>
      </c>
      <c r="G27" s="487"/>
      <c r="H27" s="487"/>
      <c r="I27" s="487"/>
      <c r="J27" s="487"/>
      <c r="K27" s="487"/>
      <c r="L27" s="487"/>
      <c r="M27" s="487">
        <v>9.872</v>
      </c>
      <c r="N27" s="487">
        <f ca="1" t="shared" si="27"/>
        <v>60</v>
      </c>
      <c r="O27" s="487">
        <f ca="1">M27*N27</f>
        <v>592.32</v>
      </c>
      <c r="P27" s="487"/>
      <c r="Q27" s="487"/>
      <c r="R27" s="487"/>
      <c r="S27" s="487"/>
      <c r="T27" s="487">
        <f ca="1" t="shared" si="28"/>
        <v>0</v>
      </c>
      <c r="U27" s="487">
        <f ca="1" t="shared" si="29"/>
        <v>0</v>
      </c>
      <c r="V27" s="487">
        <f ca="1" t="shared" si="30"/>
        <v>0</v>
      </c>
      <c r="W27" s="487">
        <f ca="1" t="shared" si="31"/>
        <v>0</v>
      </c>
      <c r="X27" s="487">
        <f ca="1" t="shared" si="32"/>
        <v>9.872</v>
      </c>
      <c r="Y27" s="487">
        <f ca="1" t="shared" si="33"/>
        <v>592.32</v>
      </c>
      <c r="Z27" s="487">
        <f ca="1" t="shared" si="34"/>
        <v>0</v>
      </c>
      <c r="AA27" s="487">
        <f ca="1" t="shared" si="35"/>
        <v>0</v>
      </c>
      <c r="AB27" s="487"/>
    </row>
    <row r="28" customFormat="1" customHeight="1" outlineLevel="3" spans="1:28">
      <c r="A28" s="490" t="s">
        <v>1329</v>
      </c>
      <c r="B28" s="487"/>
      <c r="C28" s="487" t="s">
        <v>64</v>
      </c>
      <c r="D28" s="487" t="s">
        <v>296</v>
      </c>
      <c r="E28" s="487"/>
      <c r="F28" s="487" t="str">
        <f ca="1" t="shared" si="26"/>
        <v>t</v>
      </c>
      <c r="G28" s="487"/>
      <c r="H28" s="487"/>
      <c r="I28" s="487"/>
      <c r="J28" s="487"/>
      <c r="K28" s="487"/>
      <c r="L28" s="487"/>
      <c r="M28" s="487">
        <v>6.0705</v>
      </c>
      <c r="N28" s="487">
        <f ca="1" t="shared" si="27"/>
        <v>700</v>
      </c>
      <c r="O28" s="487">
        <f ca="1">M28*N28</f>
        <v>4249.35</v>
      </c>
      <c r="P28" s="487"/>
      <c r="Q28" s="487"/>
      <c r="R28" s="487"/>
      <c r="S28" s="487"/>
      <c r="T28" s="487">
        <f ca="1" t="shared" si="28"/>
        <v>0</v>
      </c>
      <c r="U28" s="487">
        <f ca="1" t="shared" si="29"/>
        <v>0</v>
      </c>
      <c r="V28" s="487">
        <f ca="1" t="shared" si="30"/>
        <v>0</v>
      </c>
      <c r="W28" s="487">
        <f ca="1" t="shared" si="31"/>
        <v>0</v>
      </c>
      <c r="X28" s="487">
        <f ca="1" t="shared" si="32"/>
        <v>6.0705</v>
      </c>
      <c r="Y28" s="487">
        <f ca="1" t="shared" si="33"/>
        <v>4249.35</v>
      </c>
      <c r="Z28" s="487">
        <f ca="1" t="shared" si="34"/>
        <v>0</v>
      </c>
      <c r="AA28" s="487">
        <f ca="1" t="shared" si="35"/>
        <v>0</v>
      </c>
      <c r="AB28" s="487"/>
    </row>
    <row r="29" customFormat="1" customHeight="1" outlineLevel="3" spans="1:28">
      <c r="A29" s="490" t="s">
        <v>1330</v>
      </c>
      <c r="B29" s="487"/>
      <c r="C29" s="487" t="s">
        <v>59</v>
      </c>
      <c r="D29" s="487" t="s">
        <v>792</v>
      </c>
      <c r="E29" s="487"/>
      <c r="F29" s="487" t="str">
        <f ca="1" t="shared" si="26"/>
        <v>m³</v>
      </c>
      <c r="G29" s="487"/>
      <c r="H29" s="487"/>
      <c r="I29" s="487"/>
      <c r="J29" s="487"/>
      <c r="K29" s="487"/>
      <c r="L29" s="487"/>
      <c r="M29" s="487">
        <v>29.6</v>
      </c>
      <c r="N29" s="487">
        <f ca="1" t="shared" si="27"/>
        <v>450</v>
      </c>
      <c r="O29" s="487">
        <f ca="1">M29*N29</f>
        <v>13320</v>
      </c>
      <c r="P29" s="487"/>
      <c r="Q29" s="487"/>
      <c r="R29" s="487"/>
      <c r="S29" s="487"/>
      <c r="T29" s="487">
        <f ca="1" t="shared" si="28"/>
        <v>0</v>
      </c>
      <c r="U29" s="487">
        <f ca="1" t="shared" si="29"/>
        <v>0</v>
      </c>
      <c r="V29" s="487">
        <f ca="1" t="shared" si="30"/>
        <v>0</v>
      </c>
      <c r="W29" s="487">
        <f ca="1" t="shared" si="31"/>
        <v>0</v>
      </c>
      <c r="X29" s="487">
        <f ca="1" t="shared" si="32"/>
        <v>29.6</v>
      </c>
      <c r="Y29" s="487">
        <f ca="1" t="shared" si="33"/>
        <v>13320</v>
      </c>
      <c r="Z29" s="487">
        <f ca="1" t="shared" si="34"/>
        <v>0</v>
      </c>
      <c r="AA29" s="487">
        <f ca="1" t="shared" si="35"/>
        <v>0</v>
      </c>
      <c r="AB29" s="487"/>
    </row>
    <row r="30" customFormat="1" customHeight="1" outlineLevel="3" spans="1:28">
      <c r="A30" s="490" t="s">
        <v>1331</v>
      </c>
      <c r="B30" s="487"/>
      <c r="C30" s="487" t="s">
        <v>59</v>
      </c>
      <c r="D30" s="487" t="s">
        <v>480</v>
      </c>
      <c r="E30" s="487" t="str">
        <f ca="1">"含钢量："&amp;ROUND($M$30/$G$25,3)&amp;$F$30&amp;"/"&amp;$F$25</f>
        <v>含钢量：0.205t/m3</v>
      </c>
      <c r="F30" s="487" t="str">
        <f ca="1" t="shared" si="26"/>
        <v>t</v>
      </c>
      <c r="G30" s="487"/>
      <c r="H30" s="487"/>
      <c r="I30" s="487"/>
      <c r="J30" s="487"/>
      <c r="K30" s="487"/>
      <c r="L30" s="487"/>
      <c r="M30" s="487">
        <v>6.0705</v>
      </c>
      <c r="N30" s="487">
        <f ca="1" t="shared" si="27"/>
        <v>4200</v>
      </c>
      <c r="O30" s="487">
        <f ca="1">M30*N30</f>
        <v>25496.1</v>
      </c>
      <c r="P30" s="487"/>
      <c r="Q30" s="487"/>
      <c r="R30" s="487"/>
      <c r="S30" s="487"/>
      <c r="T30" s="487">
        <f ca="1" t="shared" si="28"/>
        <v>0</v>
      </c>
      <c r="U30" s="487">
        <f ca="1" t="shared" si="29"/>
        <v>0</v>
      </c>
      <c r="V30" s="487">
        <f ca="1" t="shared" si="30"/>
        <v>0</v>
      </c>
      <c r="W30" s="487">
        <f ca="1" t="shared" si="31"/>
        <v>0</v>
      </c>
      <c r="X30" s="487">
        <f ca="1" t="shared" si="32"/>
        <v>6.0705</v>
      </c>
      <c r="Y30" s="487">
        <f ca="1" t="shared" si="33"/>
        <v>25496.1</v>
      </c>
      <c r="Z30" s="487">
        <f ca="1" t="shared" si="34"/>
        <v>0</v>
      </c>
      <c r="AA30" s="487">
        <f ca="1" t="shared" si="35"/>
        <v>0</v>
      </c>
      <c r="AB30" s="487"/>
    </row>
    <row r="31" customFormat="1" customHeight="1" outlineLevel="2" spans="1:28">
      <c r="A31" s="489" t="s">
        <v>2475</v>
      </c>
      <c r="B31" s="487"/>
      <c r="C31" s="487" t="s">
        <v>1309</v>
      </c>
      <c r="D31" s="487" t="s">
        <v>1325</v>
      </c>
      <c r="E31" s="487" t="s">
        <v>2472</v>
      </c>
      <c r="F31" s="487" t="s">
        <v>72</v>
      </c>
      <c r="G31" s="487">
        <v>119</v>
      </c>
      <c r="H31" s="487">
        <v>5923.66055045872</v>
      </c>
      <c r="I31" s="487">
        <f>G31*H31</f>
        <v>704915.605504588</v>
      </c>
      <c r="J31" s="487">
        <f t="shared" ref="J31:L31" si="36">+G31</f>
        <v>119</v>
      </c>
      <c r="K31" s="487">
        <f t="shared" si="36"/>
        <v>5923.66055045872</v>
      </c>
      <c r="L31" s="487">
        <f t="shared" si="36"/>
        <v>704915.605504588</v>
      </c>
      <c r="M31" s="487">
        <f>G31</f>
        <v>119</v>
      </c>
      <c r="N31" s="487">
        <f ca="1">O31/M31</f>
        <v>5239.85546218487</v>
      </c>
      <c r="O31" s="487">
        <f ca="1">(+O32+O33+O34+O35+O36)</f>
        <v>623542.8</v>
      </c>
      <c r="P31" s="487"/>
      <c r="Q31" s="487"/>
      <c r="R31" s="487">
        <f>+P31+J31</f>
        <v>119</v>
      </c>
      <c r="S31" s="487">
        <f>+Q31+L31</f>
        <v>704915.605504588</v>
      </c>
      <c r="T31" s="487">
        <f>IFERROR(VLOOKUP(A31,产值统计中间表!A:F,7,FALSE),0)</f>
        <v>0</v>
      </c>
      <c r="U31" s="487">
        <f>+T31*H31</f>
        <v>0</v>
      </c>
      <c r="V31" s="487">
        <f>IFERROR(VLOOKUP(A31,产值统计中间表!A:D,4,FALSE),0)</f>
        <v>15000</v>
      </c>
      <c r="W31" s="487">
        <f>+V31*H31</f>
        <v>88854908.2568808</v>
      </c>
      <c r="X31" s="487">
        <f>+R31-V31</f>
        <v>-14881</v>
      </c>
      <c r="Y31" s="487">
        <f>+S31-W31</f>
        <v>-88149992.6513762</v>
      </c>
      <c r="Z31" s="487">
        <f>IFERROR(VLOOKUP(A31,业主统计中间表!A:D,4,FALSE),0)</f>
        <v>16500</v>
      </c>
      <c r="AA31" s="487">
        <f>+Z31*H31</f>
        <v>97740399.0825689</v>
      </c>
      <c r="AB31" s="487"/>
    </row>
    <row r="32" customFormat="1" customHeight="1" outlineLevel="3" spans="1:28">
      <c r="A32" s="490" t="s">
        <v>2476</v>
      </c>
      <c r="B32" s="487"/>
      <c r="C32" s="487" t="s">
        <v>64</v>
      </c>
      <c r="D32" s="487" t="s">
        <v>752</v>
      </c>
      <c r="E32" s="487"/>
      <c r="F32" s="487" t="str">
        <f ca="1" t="shared" ref="F32:F36" si="37">VLOOKUP($D32,INDIRECT($C32),2,0)</f>
        <v>m3</v>
      </c>
      <c r="G32" s="487"/>
      <c r="H32" s="487"/>
      <c r="I32" s="487"/>
      <c r="J32" s="487"/>
      <c r="K32" s="487"/>
      <c r="L32" s="487"/>
      <c r="M32" s="487">
        <v>119.595</v>
      </c>
      <c r="N32" s="487">
        <f ca="1" t="shared" ref="N32:N36" si="38">VLOOKUP($D32,INDIRECT($C32),3,0)</f>
        <v>30</v>
      </c>
      <c r="O32" s="487">
        <f ca="1">M32*N32</f>
        <v>3587.85</v>
      </c>
      <c r="P32" s="487"/>
      <c r="Q32" s="487"/>
      <c r="R32" s="487"/>
      <c r="S32" s="487"/>
      <c r="T32" s="487">
        <f ca="1" t="shared" ref="T32:T36" si="39">OFFSET(T32,-RIGHT($A32,LEN($A$6)),,1,1)/OFFSET(T32,-RIGHT($A32,LEN($A$6)),-13,1,1)*$M32</f>
        <v>0</v>
      </c>
      <c r="U32" s="487">
        <f ca="1" t="shared" ref="U32:U36" si="40">+$N32*T32</f>
        <v>0</v>
      </c>
      <c r="V32" s="487">
        <f ca="1" t="shared" ref="V32:V36" si="41">OFFSET(V32,-RIGHT($A32,LEN($A$6)),,1,1)/OFFSET(V32,-RIGHT($A32,LEN($A$6)),-15,1,1)*$M32</f>
        <v>15075</v>
      </c>
      <c r="W32" s="487">
        <f ca="1" t="shared" ref="W32:W36" si="42">+$N32*V32</f>
        <v>452250</v>
      </c>
      <c r="X32" s="487">
        <f ca="1" t="shared" ref="X32:X36" si="43">+M32-V32</f>
        <v>-14955.405</v>
      </c>
      <c r="Y32" s="487">
        <f ca="1" t="shared" ref="Y32:Y36" si="44">+O32-W32</f>
        <v>-448662.15</v>
      </c>
      <c r="Z32" s="487">
        <f ca="1" t="shared" ref="Z32:Z36" si="45">OFFSET(Z32,-RIGHT($A32,LEN($A$6)),,1,1)/OFFSET(Z32,-RIGHT($A32,LEN($A$6)),-19,1,1)*$M32</f>
        <v>16582.5</v>
      </c>
      <c r="AA32" s="487">
        <f ca="1" t="shared" ref="AA32:AA36" si="46">+$N32*Z32</f>
        <v>497475</v>
      </c>
      <c r="AB32" s="487"/>
    </row>
    <row r="33" customFormat="1" customHeight="1" outlineLevel="3" spans="1:28">
      <c r="A33" s="490" t="s">
        <v>2477</v>
      </c>
      <c r="B33" s="487"/>
      <c r="C33" s="487" t="s">
        <v>64</v>
      </c>
      <c r="D33" s="487" t="s">
        <v>1109</v>
      </c>
      <c r="E33" s="487" t="s">
        <v>1328</v>
      </c>
      <c r="F33" s="487" t="str">
        <f ca="1" t="shared" si="37"/>
        <v>m2</v>
      </c>
      <c r="G33" s="487"/>
      <c r="H33" s="487"/>
      <c r="I33" s="487"/>
      <c r="J33" s="487"/>
      <c r="K33" s="487"/>
      <c r="L33" s="487"/>
      <c r="M33" s="487">
        <v>193.8</v>
      </c>
      <c r="N33" s="487">
        <f ca="1" t="shared" si="38"/>
        <v>60</v>
      </c>
      <c r="O33" s="487">
        <f ca="1">M33*N33</f>
        <v>11628</v>
      </c>
      <c r="P33" s="487"/>
      <c r="Q33" s="487"/>
      <c r="R33" s="487"/>
      <c r="S33" s="487"/>
      <c r="T33" s="487">
        <f ca="1" t="shared" si="39"/>
        <v>0</v>
      </c>
      <c r="U33" s="487">
        <f ca="1" t="shared" si="40"/>
        <v>0</v>
      </c>
      <c r="V33" s="487">
        <f ca="1" t="shared" si="41"/>
        <v>24428.5714285714</v>
      </c>
      <c r="W33" s="487">
        <f ca="1" t="shared" si="42"/>
        <v>1465714.28571429</v>
      </c>
      <c r="X33" s="487">
        <f ca="1" t="shared" si="43"/>
        <v>-24234.7714285714</v>
      </c>
      <c r="Y33" s="487">
        <f ca="1" t="shared" si="44"/>
        <v>-1454086.28571429</v>
      </c>
      <c r="Z33" s="487">
        <f ca="1" t="shared" si="45"/>
        <v>26871.4285714286</v>
      </c>
      <c r="AA33" s="487">
        <f ca="1" t="shared" si="46"/>
        <v>1612285.71428571</v>
      </c>
      <c r="AB33" s="487"/>
    </row>
    <row r="34" customFormat="1" customHeight="1" outlineLevel="3" spans="1:28">
      <c r="A34" s="490" t="s">
        <v>2478</v>
      </c>
      <c r="B34" s="487"/>
      <c r="C34" s="487" t="s">
        <v>64</v>
      </c>
      <c r="D34" s="487" t="s">
        <v>296</v>
      </c>
      <c r="E34" s="487"/>
      <c r="F34" s="487" t="str">
        <f ca="1" t="shared" si="37"/>
        <v>t</v>
      </c>
      <c r="G34" s="487"/>
      <c r="H34" s="487"/>
      <c r="I34" s="487"/>
      <c r="J34" s="487"/>
      <c r="K34" s="487"/>
      <c r="L34" s="487"/>
      <c r="M34" s="487">
        <v>112.677</v>
      </c>
      <c r="N34" s="487">
        <f ca="1" t="shared" si="38"/>
        <v>700</v>
      </c>
      <c r="O34" s="487">
        <f ca="1">M34*N34</f>
        <v>78873.9</v>
      </c>
      <c r="P34" s="487"/>
      <c r="Q34" s="487"/>
      <c r="R34" s="487"/>
      <c r="S34" s="487"/>
      <c r="T34" s="487">
        <f ca="1" t="shared" si="39"/>
        <v>0</v>
      </c>
      <c r="U34" s="487">
        <f ca="1" t="shared" si="40"/>
        <v>0</v>
      </c>
      <c r="V34" s="487">
        <f ca="1" t="shared" si="41"/>
        <v>14202.9831932773</v>
      </c>
      <c r="W34" s="487">
        <f ca="1" t="shared" si="42"/>
        <v>9942088.23529412</v>
      </c>
      <c r="X34" s="487">
        <f ca="1" t="shared" si="43"/>
        <v>-14090.3061932773</v>
      </c>
      <c r="Y34" s="487">
        <f ca="1" t="shared" si="44"/>
        <v>-9863214.33529412</v>
      </c>
      <c r="Z34" s="487">
        <f ca="1" t="shared" si="45"/>
        <v>15623.281512605</v>
      </c>
      <c r="AA34" s="487">
        <f ca="1" t="shared" si="46"/>
        <v>10936297.0588235</v>
      </c>
      <c r="AB34" s="487"/>
    </row>
    <row r="35" customFormat="1" customHeight="1" outlineLevel="3" spans="1:28">
      <c r="A35" s="490" t="s">
        <v>2479</v>
      </c>
      <c r="B35" s="487"/>
      <c r="C35" s="487" t="s">
        <v>59</v>
      </c>
      <c r="D35" s="487" t="s">
        <v>796</v>
      </c>
      <c r="E35" s="487"/>
      <c r="F35" s="487" t="str">
        <f ca="1" t="shared" si="37"/>
        <v>m³</v>
      </c>
      <c r="G35" s="487"/>
      <c r="H35" s="487"/>
      <c r="I35" s="487"/>
      <c r="J35" s="487"/>
      <c r="K35" s="487"/>
      <c r="L35" s="487"/>
      <c r="M35" s="487">
        <v>119.595</v>
      </c>
      <c r="N35" s="487">
        <f ca="1" t="shared" si="38"/>
        <v>470</v>
      </c>
      <c r="O35" s="487">
        <f ca="1">M35*N35</f>
        <v>56209.65</v>
      </c>
      <c r="P35" s="487"/>
      <c r="Q35" s="487"/>
      <c r="R35" s="487"/>
      <c r="S35" s="487"/>
      <c r="T35" s="487">
        <f ca="1" t="shared" si="39"/>
        <v>0</v>
      </c>
      <c r="U35" s="487">
        <f ca="1" t="shared" si="40"/>
        <v>0</v>
      </c>
      <c r="V35" s="487">
        <f ca="1" t="shared" si="41"/>
        <v>15075</v>
      </c>
      <c r="W35" s="487">
        <f ca="1" t="shared" si="42"/>
        <v>7085250</v>
      </c>
      <c r="X35" s="487">
        <f ca="1" t="shared" si="43"/>
        <v>-14955.405</v>
      </c>
      <c r="Y35" s="487">
        <f ca="1" t="shared" si="44"/>
        <v>-7029040.35</v>
      </c>
      <c r="Z35" s="487">
        <f ca="1" t="shared" si="45"/>
        <v>16582.5</v>
      </c>
      <c r="AA35" s="487">
        <f ca="1" t="shared" si="46"/>
        <v>7793775</v>
      </c>
      <c r="AB35" s="487"/>
    </row>
    <row r="36" customFormat="1" customHeight="1" outlineLevel="3" spans="1:28">
      <c r="A36" s="490" t="s">
        <v>2480</v>
      </c>
      <c r="B36" s="487"/>
      <c r="C36" s="487" t="s">
        <v>59</v>
      </c>
      <c r="D36" s="487" t="s">
        <v>480</v>
      </c>
      <c r="E36" s="487" t="str">
        <f ca="1">"含钢量："&amp;ROUND($M$36/$G$31,3)&amp;$F$36&amp;"/"&amp;$F$31</f>
        <v>含钢量：0.947t/m3</v>
      </c>
      <c r="F36" s="487" t="str">
        <f ca="1" t="shared" si="37"/>
        <v>t</v>
      </c>
      <c r="G36" s="487"/>
      <c r="H36" s="487"/>
      <c r="I36" s="487"/>
      <c r="J36" s="487"/>
      <c r="K36" s="487"/>
      <c r="L36" s="487"/>
      <c r="M36" s="487">
        <v>112.677</v>
      </c>
      <c r="N36" s="487">
        <f ca="1" t="shared" si="38"/>
        <v>4200</v>
      </c>
      <c r="O36" s="487">
        <f ca="1">M36*N36</f>
        <v>473243.4</v>
      </c>
      <c r="P36" s="487"/>
      <c r="Q36" s="487"/>
      <c r="R36" s="487"/>
      <c r="S36" s="487"/>
      <c r="T36" s="487">
        <f ca="1" t="shared" si="39"/>
        <v>0</v>
      </c>
      <c r="U36" s="487">
        <f ca="1" t="shared" si="40"/>
        <v>0</v>
      </c>
      <c r="V36" s="487">
        <f ca="1" t="shared" si="41"/>
        <v>14202.9831932773</v>
      </c>
      <c r="W36" s="487">
        <f ca="1" t="shared" si="42"/>
        <v>59652529.4117647</v>
      </c>
      <c r="X36" s="487">
        <f ca="1" t="shared" si="43"/>
        <v>-14090.3061932773</v>
      </c>
      <c r="Y36" s="487">
        <f ca="1" t="shared" si="44"/>
        <v>-59179286.0117647</v>
      </c>
      <c r="Z36" s="487">
        <f ca="1" t="shared" si="45"/>
        <v>15623.281512605</v>
      </c>
      <c r="AA36" s="487">
        <f ca="1" t="shared" si="46"/>
        <v>65617782.3529412</v>
      </c>
      <c r="AB36" s="487"/>
    </row>
    <row r="37" customFormat="1" customHeight="1" outlineLevel="2" spans="1:28">
      <c r="A37" s="489" t="s">
        <v>2481</v>
      </c>
      <c r="B37" s="487"/>
      <c r="C37" s="487" t="s">
        <v>1309</v>
      </c>
      <c r="D37" s="487" t="s">
        <v>1335</v>
      </c>
      <c r="E37" s="487" t="s">
        <v>2472</v>
      </c>
      <c r="F37" s="487" t="s">
        <v>72</v>
      </c>
      <c r="G37" s="487">
        <v>12.52</v>
      </c>
      <c r="H37" s="487">
        <v>1351.76146788991</v>
      </c>
      <c r="I37" s="487">
        <f>G37*H37</f>
        <v>16924.0535779817</v>
      </c>
      <c r="J37" s="487">
        <f t="shared" ref="J37:L37" si="47">+G37</f>
        <v>12.52</v>
      </c>
      <c r="K37" s="487">
        <f t="shared" si="47"/>
        <v>1351.76146788991</v>
      </c>
      <c r="L37" s="487">
        <f t="shared" si="47"/>
        <v>16924.0535779817</v>
      </c>
      <c r="M37" s="487">
        <f>G37</f>
        <v>12.52</v>
      </c>
      <c r="N37" s="487">
        <f ca="1">O37/M37</f>
        <v>1289.42635782748</v>
      </c>
      <c r="O37" s="487">
        <f ca="1">(+O38+O39+O40+O41+O42)</f>
        <v>16143.618</v>
      </c>
      <c r="P37" s="487"/>
      <c r="Q37" s="487"/>
      <c r="R37" s="487">
        <f>+P37+J37</f>
        <v>12.52</v>
      </c>
      <c r="S37" s="487">
        <f>+Q37+L37</f>
        <v>16924.0535779817</v>
      </c>
      <c r="T37" s="487">
        <f>IFERROR(VLOOKUP(A37,产值统计中间表!A:F,7,FALSE),0)</f>
        <v>0</v>
      </c>
      <c r="U37" s="487">
        <f>+T37*H37</f>
        <v>0</v>
      </c>
      <c r="V37" s="487">
        <f>IFERROR(VLOOKUP(A37,产值统计中间表!A:D,4,FALSE),0)</f>
        <v>15000</v>
      </c>
      <c r="W37" s="487">
        <f>+V37*H37</f>
        <v>20276422.0183486</v>
      </c>
      <c r="X37" s="487">
        <f>+R37-V37</f>
        <v>-14987.48</v>
      </c>
      <c r="Y37" s="487">
        <f>+S37-W37</f>
        <v>-20259497.9647707</v>
      </c>
      <c r="Z37" s="487">
        <f>IFERROR(VLOOKUP(A37,业主统计中间表!A:D,4,FALSE),0)</f>
        <v>16500</v>
      </c>
      <c r="AA37" s="487">
        <f>+Z37*H37</f>
        <v>22304064.2201835</v>
      </c>
      <c r="AB37" s="487"/>
    </row>
    <row r="38" customFormat="1" customHeight="1" outlineLevel="3" spans="1:28">
      <c r="A38" s="490" t="s">
        <v>2482</v>
      </c>
      <c r="B38" s="487"/>
      <c r="C38" s="487" t="s">
        <v>64</v>
      </c>
      <c r="D38" s="487" t="s">
        <v>752</v>
      </c>
      <c r="E38" s="487"/>
      <c r="F38" s="487" t="str">
        <f ca="1" t="shared" ref="F38:F42" si="48">VLOOKUP($D38,INDIRECT($C38),2,0)</f>
        <v>m3</v>
      </c>
      <c r="G38" s="487"/>
      <c r="H38" s="487"/>
      <c r="I38" s="487"/>
      <c r="J38" s="487"/>
      <c r="K38" s="487"/>
      <c r="L38" s="487"/>
      <c r="M38" s="487">
        <v>12.5826</v>
      </c>
      <c r="N38" s="487">
        <f ca="1" t="shared" ref="N38:N42" si="49">VLOOKUP($D38,INDIRECT($C38),3,0)</f>
        <v>30</v>
      </c>
      <c r="O38" s="487">
        <f ca="1">M38*N38</f>
        <v>377.478</v>
      </c>
      <c r="P38" s="487"/>
      <c r="Q38" s="487"/>
      <c r="R38" s="487"/>
      <c r="S38" s="487"/>
      <c r="T38" s="487">
        <f ca="1" t="shared" ref="T38:T42" si="50">OFFSET(T38,-RIGHT($A38,LEN($A$6)),,1,1)/OFFSET(T38,-RIGHT($A38,LEN($A$6)),-13,1,1)*$M38</f>
        <v>0</v>
      </c>
      <c r="U38" s="487">
        <f ca="1" t="shared" ref="U38:U42" si="51">+$N38*T38</f>
        <v>0</v>
      </c>
      <c r="V38" s="487">
        <f ca="1" t="shared" ref="V38:V42" si="52">OFFSET(V38,-RIGHT($A38,LEN($A$6)),,1,1)/OFFSET(V38,-RIGHT($A38,LEN($A$6)),-15,1,1)*$M38</f>
        <v>15075</v>
      </c>
      <c r="W38" s="487">
        <f ca="1" t="shared" ref="W38:W42" si="53">+$N38*V38</f>
        <v>452250</v>
      </c>
      <c r="X38" s="487">
        <f ca="1" t="shared" ref="X38:X42" si="54">+M38-V38</f>
        <v>-15062.4174</v>
      </c>
      <c r="Y38" s="487">
        <f ca="1" t="shared" ref="Y38:Y42" si="55">+O38-W38</f>
        <v>-451872.522</v>
      </c>
      <c r="Z38" s="487">
        <f ca="1" t="shared" ref="Z38:Z42" si="56">OFFSET(Z38,-RIGHT($A38,LEN($A$6)),,1,1)/OFFSET(Z38,-RIGHT($A38,LEN($A$6)),-19,1,1)*$M38</f>
        <v>16582.5</v>
      </c>
      <c r="AA38" s="487">
        <f ca="1" t="shared" ref="AA38:AA42" si="57">+$N38*Z38</f>
        <v>497475</v>
      </c>
      <c r="AB38" s="487"/>
    </row>
    <row r="39" customFormat="1" customHeight="1" outlineLevel="3" spans="1:28">
      <c r="A39" s="490" t="s">
        <v>2483</v>
      </c>
      <c r="B39" s="487"/>
      <c r="C39" s="487" t="s">
        <v>64</v>
      </c>
      <c r="D39" s="487" t="s">
        <v>262</v>
      </c>
      <c r="E39" s="487"/>
      <c r="F39" s="487" t="str">
        <f ca="1" t="shared" si="48"/>
        <v>m2</v>
      </c>
      <c r="G39" s="487"/>
      <c r="H39" s="487"/>
      <c r="I39" s="487"/>
      <c r="J39" s="487"/>
      <c r="K39" s="487"/>
      <c r="L39" s="487"/>
      <c r="M39" s="487">
        <v>30</v>
      </c>
      <c r="N39" s="487">
        <f ca="1" t="shared" si="49"/>
        <v>55</v>
      </c>
      <c r="O39" s="487">
        <f ca="1">M39*N39</f>
        <v>1650</v>
      </c>
      <c r="P39" s="487"/>
      <c r="Q39" s="487"/>
      <c r="R39" s="487"/>
      <c r="S39" s="487"/>
      <c r="T39" s="487">
        <f ca="1" t="shared" si="50"/>
        <v>0</v>
      </c>
      <c r="U39" s="487">
        <f ca="1" t="shared" si="51"/>
        <v>0</v>
      </c>
      <c r="V39" s="487">
        <f ca="1" t="shared" si="52"/>
        <v>35942.4920127796</v>
      </c>
      <c r="W39" s="487">
        <f ca="1" t="shared" si="53"/>
        <v>1976837.06070288</v>
      </c>
      <c r="X39" s="487">
        <f ca="1" t="shared" si="54"/>
        <v>-35912.4920127796</v>
      </c>
      <c r="Y39" s="487">
        <f ca="1" t="shared" si="55"/>
        <v>-1975187.06070288</v>
      </c>
      <c r="Z39" s="487">
        <f ca="1" t="shared" si="56"/>
        <v>39536.7412140575</v>
      </c>
      <c r="AA39" s="487">
        <f ca="1" t="shared" si="57"/>
        <v>2174520.76677316</v>
      </c>
      <c r="AB39" s="487"/>
    </row>
    <row r="40" customFormat="1" customHeight="1" outlineLevel="3" spans="1:28">
      <c r="A40" s="490" t="s">
        <v>2484</v>
      </c>
      <c r="B40" s="487"/>
      <c r="C40" s="487" t="s">
        <v>59</v>
      </c>
      <c r="D40" s="487" t="s">
        <v>792</v>
      </c>
      <c r="E40" s="487"/>
      <c r="F40" s="487" t="str">
        <f ca="1" t="shared" si="48"/>
        <v>m³</v>
      </c>
      <c r="G40" s="487"/>
      <c r="H40" s="487"/>
      <c r="I40" s="487"/>
      <c r="J40" s="487"/>
      <c r="K40" s="487"/>
      <c r="L40" s="487"/>
      <c r="M40" s="487">
        <v>12.5826</v>
      </c>
      <c r="N40" s="487">
        <f ca="1" t="shared" si="49"/>
        <v>450</v>
      </c>
      <c r="O40" s="487">
        <f ca="1">M40*N40</f>
        <v>5662.17</v>
      </c>
      <c r="P40" s="487"/>
      <c r="Q40" s="487"/>
      <c r="R40" s="487"/>
      <c r="S40" s="487"/>
      <c r="T40" s="487">
        <f ca="1" t="shared" si="50"/>
        <v>0</v>
      </c>
      <c r="U40" s="487">
        <f ca="1" t="shared" si="51"/>
        <v>0</v>
      </c>
      <c r="V40" s="487">
        <f ca="1" t="shared" si="52"/>
        <v>15075</v>
      </c>
      <c r="W40" s="487">
        <f ca="1" t="shared" si="53"/>
        <v>6783750</v>
      </c>
      <c r="X40" s="487">
        <f ca="1" t="shared" si="54"/>
        <v>-15062.4174</v>
      </c>
      <c r="Y40" s="487">
        <f ca="1" t="shared" si="55"/>
        <v>-6778087.83</v>
      </c>
      <c r="Z40" s="487">
        <f ca="1" t="shared" si="56"/>
        <v>16582.5</v>
      </c>
      <c r="AA40" s="487">
        <f ca="1" t="shared" si="57"/>
        <v>7462125</v>
      </c>
      <c r="AB40" s="487"/>
    </row>
    <row r="41" customFormat="1" customHeight="1" outlineLevel="3" spans="1:28">
      <c r="A41" s="490" t="s">
        <v>2485</v>
      </c>
      <c r="B41" s="487"/>
      <c r="C41" s="487" t="s">
        <v>59</v>
      </c>
      <c r="D41" s="487" t="s">
        <v>480</v>
      </c>
      <c r="E41" s="487" t="str">
        <f ca="1">"含钢量："&amp;ROUND($M$41/$G$37,3)&amp;$F$41&amp;"/"&amp;$F$37</f>
        <v>含钢量：0.138t/m3</v>
      </c>
      <c r="F41" s="487" t="str">
        <f ca="1" t="shared" si="48"/>
        <v>t</v>
      </c>
      <c r="G41" s="487"/>
      <c r="H41" s="487"/>
      <c r="I41" s="487"/>
      <c r="J41" s="487"/>
      <c r="K41" s="487"/>
      <c r="L41" s="487"/>
      <c r="M41" s="487">
        <v>1.7253</v>
      </c>
      <c r="N41" s="487">
        <f ca="1" t="shared" si="49"/>
        <v>4200</v>
      </c>
      <c r="O41" s="487">
        <f ca="1">M41*N41</f>
        <v>7246.26</v>
      </c>
      <c r="P41" s="487"/>
      <c r="Q41" s="487"/>
      <c r="R41" s="487"/>
      <c r="S41" s="487"/>
      <c r="T41" s="487">
        <f ca="1" t="shared" si="50"/>
        <v>0</v>
      </c>
      <c r="U41" s="487">
        <f ca="1" t="shared" si="51"/>
        <v>0</v>
      </c>
      <c r="V41" s="487">
        <f ca="1" t="shared" si="52"/>
        <v>2067.05271565495</v>
      </c>
      <c r="W41" s="487">
        <f ca="1" t="shared" si="53"/>
        <v>8681621.4057508</v>
      </c>
      <c r="X41" s="487">
        <f ca="1" t="shared" si="54"/>
        <v>-2065.32741565495</v>
      </c>
      <c r="Y41" s="487">
        <f ca="1" t="shared" si="55"/>
        <v>-8674375.1457508</v>
      </c>
      <c r="Z41" s="487">
        <f ca="1" t="shared" si="56"/>
        <v>2273.75798722045</v>
      </c>
      <c r="AA41" s="487">
        <f ca="1" t="shared" si="57"/>
        <v>9549783.54632588</v>
      </c>
      <c r="AB41" s="487"/>
    </row>
    <row r="42" customFormat="1" customHeight="1" outlineLevel="3" spans="1:28">
      <c r="A42" s="490" t="s">
        <v>2486</v>
      </c>
      <c r="B42" s="487"/>
      <c r="C42" s="487" t="s">
        <v>64</v>
      </c>
      <c r="D42" s="487" t="s">
        <v>296</v>
      </c>
      <c r="E42" s="487"/>
      <c r="F42" s="487" t="str">
        <f ca="1" t="shared" si="48"/>
        <v>t</v>
      </c>
      <c r="G42" s="487"/>
      <c r="H42" s="487"/>
      <c r="I42" s="487"/>
      <c r="J42" s="487"/>
      <c r="K42" s="487"/>
      <c r="L42" s="487"/>
      <c r="M42" s="487">
        <v>1.7253</v>
      </c>
      <c r="N42" s="487">
        <f ca="1" t="shared" si="49"/>
        <v>700</v>
      </c>
      <c r="O42" s="487">
        <f ca="1">M42*N42</f>
        <v>1207.71</v>
      </c>
      <c r="P42" s="487"/>
      <c r="Q42" s="487"/>
      <c r="R42" s="487"/>
      <c r="S42" s="487"/>
      <c r="T42" s="487">
        <f ca="1" t="shared" si="50"/>
        <v>0</v>
      </c>
      <c r="U42" s="487">
        <f ca="1" t="shared" si="51"/>
        <v>0</v>
      </c>
      <c r="V42" s="487">
        <f ca="1" t="shared" si="52"/>
        <v>2067.05271565495</v>
      </c>
      <c r="W42" s="487">
        <f ca="1" t="shared" si="53"/>
        <v>1446936.90095847</v>
      </c>
      <c r="X42" s="487">
        <f ca="1" t="shared" si="54"/>
        <v>-2065.32741565495</v>
      </c>
      <c r="Y42" s="487">
        <f ca="1" t="shared" si="55"/>
        <v>-1445729.19095847</v>
      </c>
      <c r="Z42" s="487">
        <f ca="1" t="shared" si="56"/>
        <v>2273.75798722045</v>
      </c>
      <c r="AA42" s="487">
        <f ca="1" t="shared" si="57"/>
        <v>1591630.59105431</v>
      </c>
      <c r="AB42" s="487"/>
    </row>
    <row r="43" customFormat="1" customHeight="1" outlineLevel="2" spans="1:28">
      <c r="A43" s="489" t="s">
        <v>2487</v>
      </c>
      <c r="B43" s="487"/>
      <c r="C43" s="487" t="s">
        <v>1309</v>
      </c>
      <c r="D43" s="487" t="s">
        <v>2488</v>
      </c>
      <c r="E43" s="487" t="s">
        <v>2472</v>
      </c>
      <c r="F43" s="487" t="s">
        <v>72</v>
      </c>
      <c r="G43" s="487">
        <v>232.66</v>
      </c>
      <c r="H43" s="487">
        <v>1352.40366972477</v>
      </c>
      <c r="I43" s="487">
        <f>G43*H43</f>
        <v>314650.237798165</v>
      </c>
      <c r="J43" s="487">
        <f t="shared" ref="J43:L43" si="58">+G43</f>
        <v>232.66</v>
      </c>
      <c r="K43" s="487">
        <f t="shared" si="58"/>
        <v>1352.40366972477</v>
      </c>
      <c r="L43" s="487">
        <f t="shared" si="58"/>
        <v>314650.237798165</v>
      </c>
      <c r="M43" s="487">
        <f>G43</f>
        <v>232.66</v>
      </c>
      <c r="N43" s="487">
        <f ca="1">O43/M43</f>
        <v>2177.66863233904</v>
      </c>
      <c r="O43" s="487">
        <f ca="1">(+O44+O45+O46+O47+O48+O49+O50+O51)</f>
        <v>506656.384</v>
      </c>
      <c r="P43" s="487"/>
      <c r="Q43" s="487"/>
      <c r="R43" s="487">
        <f>+P43+J43</f>
        <v>232.66</v>
      </c>
      <c r="S43" s="487">
        <f>+Q43+L43</f>
        <v>314650.237798165</v>
      </c>
      <c r="T43" s="487">
        <f>IFERROR(VLOOKUP(A43,产值统计中间表!A:F,7,FALSE),0)</f>
        <v>0</v>
      </c>
      <c r="U43" s="487">
        <f>+T43*H43</f>
        <v>0</v>
      </c>
      <c r="V43" s="487">
        <f>IFERROR(VLOOKUP(A43,产值统计中间表!A:D,4,FALSE),0)</f>
        <v>0</v>
      </c>
      <c r="W43" s="487">
        <f>+V43*H43</f>
        <v>0</v>
      </c>
      <c r="X43" s="487">
        <f>+R43-V43</f>
        <v>232.66</v>
      </c>
      <c r="Y43" s="487">
        <f>+S43-W43</f>
        <v>314650.237798165</v>
      </c>
      <c r="Z43" s="487">
        <f>IFERROR(VLOOKUP(A43,业主统计中间表!A:D,4,FALSE),0)</f>
        <v>0</v>
      </c>
      <c r="AA43" s="487">
        <f>+Z43*H43</f>
        <v>0</v>
      </c>
      <c r="AB43" s="487"/>
    </row>
    <row r="44" customFormat="1" customHeight="1" outlineLevel="3" spans="1:28">
      <c r="A44" s="490" t="s">
        <v>2489</v>
      </c>
      <c r="B44" s="487"/>
      <c r="C44" s="487" t="s">
        <v>64</v>
      </c>
      <c r="D44" s="487" t="s">
        <v>752</v>
      </c>
      <c r="E44" s="487"/>
      <c r="F44" s="487" t="str">
        <f ca="1" t="shared" ref="F44:F51" si="59">VLOOKUP($D44,INDIRECT($C44),2,0)</f>
        <v>m3</v>
      </c>
      <c r="G44" s="487"/>
      <c r="H44" s="487"/>
      <c r="I44" s="487"/>
      <c r="J44" s="487"/>
      <c r="K44" s="487"/>
      <c r="L44" s="487"/>
      <c r="M44" s="487">
        <v>233.8233</v>
      </c>
      <c r="N44" s="487">
        <f ca="1" t="shared" ref="N44:N51" si="60">VLOOKUP($D44,INDIRECT($C44),3,0)</f>
        <v>30</v>
      </c>
      <c r="O44" s="487">
        <f ca="1" t="shared" ref="O44:O51" si="61">M44*N44</f>
        <v>7014.699</v>
      </c>
      <c r="P44" s="487"/>
      <c r="Q44" s="487"/>
      <c r="R44" s="487"/>
      <c r="S44" s="487"/>
      <c r="T44" s="487">
        <f ca="1" t="shared" ref="T44:T51" si="62">OFFSET(T44,-RIGHT($A44,LEN($A$6)),,1,1)/OFFSET(T44,-RIGHT($A44,LEN($A$6)),-13,1,1)*$M44</f>
        <v>0</v>
      </c>
      <c r="U44" s="487">
        <f ca="1" t="shared" ref="U44:U51" si="63">+$N44*T44</f>
        <v>0</v>
      </c>
      <c r="V44" s="487">
        <f ca="1" t="shared" ref="V44:V51" si="64">OFFSET(V44,-RIGHT($A44,LEN($A$6)),,1,1)/OFFSET(V44,-RIGHT($A44,LEN($A$6)),-15,1,1)*$M44</f>
        <v>0</v>
      </c>
      <c r="W44" s="487">
        <f ca="1" t="shared" ref="W44:W51" si="65">+$N44*V44</f>
        <v>0</v>
      </c>
      <c r="X44" s="487">
        <f ca="1" t="shared" ref="X44:X51" si="66">+M44-V44</f>
        <v>233.8233</v>
      </c>
      <c r="Y44" s="487">
        <f ca="1" t="shared" ref="Y44:Y51" si="67">+O44-W44</f>
        <v>7014.699</v>
      </c>
      <c r="Z44" s="487">
        <f ca="1" t="shared" ref="Z44:Z51" si="68">OFFSET(Z44,-RIGHT($A44,LEN($A$6)),,1,1)/OFFSET(Z44,-RIGHT($A44,LEN($A$6)),-19,1,1)*$M44</f>
        <v>0</v>
      </c>
      <c r="AA44" s="487">
        <f ca="1" t="shared" ref="AA44:AA51" si="69">+$N44*Z44</f>
        <v>0</v>
      </c>
      <c r="AB44" s="487"/>
    </row>
    <row r="45" customFormat="1" customHeight="1" outlineLevel="3" spans="1:28">
      <c r="A45" s="490" t="s">
        <v>2490</v>
      </c>
      <c r="B45" s="487"/>
      <c r="C45" s="487" t="s">
        <v>64</v>
      </c>
      <c r="D45" s="487" t="s">
        <v>1109</v>
      </c>
      <c r="E45" s="487"/>
      <c r="F45" s="487" t="str">
        <f ca="1" t="shared" si="59"/>
        <v>m2</v>
      </c>
      <c r="G45" s="487"/>
      <c r="H45" s="487"/>
      <c r="I45" s="487"/>
      <c r="J45" s="487"/>
      <c r="K45" s="487"/>
      <c r="L45" s="487"/>
      <c r="M45" s="487">
        <v>50</v>
      </c>
      <c r="N45" s="487">
        <f ca="1" t="shared" si="60"/>
        <v>60</v>
      </c>
      <c r="O45" s="487">
        <f ca="1" t="shared" si="61"/>
        <v>3000</v>
      </c>
      <c r="P45" s="487"/>
      <c r="Q45" s="487"/>
      <c r="R45" s="487"/>
      <c r="S45" s="487"/>
      <c r="T45" s="487">
        <f ca="1" t="shared" si="62"/>
        <v>0</v>
      </c>
      <c r="U45" s="487">
        <f ca="1" t="shared" si="63"/>
        <v>0</v>
      </c>
      <c r="V45" s="487">
        <f ca="1" t="shared" si="64"/>
        <v>0</v>
      </c>
      <c r="W45" s="487">
        <f ca="1" t="shared" si="65"/>
        <v>0</v>
      </c>
      <c r="X45" s="487">
        <f ca="1" t="shared" si="66"/>
        <v>50</v>
      </c>
      <c r="Y45" s="487">
        <f ca="1" t="shared" si="67"/>
        <v>3000</v>
      </c>
      <c r="Z45" s="487">
        <f ca="1" t="shared" si="68"/>
        <v>0</v>
      </c>
      <c r="AA45" s="487">
        <f ca="1" t="shared" si="69"/>
        <v>0</v>
      </c>
      <c r="AB45" s="487"/>
    </row>
    <row r="46" customFormat="1" customHeight="1" outlineLevel="3" spans="1:28">
      <c r="A46" s="490" t="s">
        <v>2491</v>
      </c>
      <c r="B46" s="487"/>
      <c r="C46" s="487" t="s">
        <v>59</v>
      </c>
      <c r="D46" s="487" t="s">
        <v>800</v>
      </c>
      <c r="E46" s="487"/>
      <c r="F46" s="487" t="str">
        <f ca="1" t="shared" si="59"/>
        <v>t</v>
      </c>
      <c r="G46" s="487"/>
      <c r="H46" s="487"/>
      <c r="I46" s="487"/>
      <c r="J46" s="487"/>
      <c r="K46" s="487"/>
      <c r="L46" s="487"/>
      <c r="M46" s="487">
        <v>23.245</v>
      </c>
      <c r="N46" s="487">
        <f ca="1" t="shared" si="60"/>
        <v>7000</v>
      </c>
      <c r="O46" s="487">
        <f ca="1" t="shared" si="61"/>
        <v>162715</v>
      </c>
      <c r="P46" s="487"/>
      <c r="Q46" s="487"/>
      <c r="R46" s="487"/>
      <c r="S46" s="487"/>
      <c r="T46" s="487">
        <f ca="1" t="shared" si="62"/>
        <v>0</v>
      </c>
      <c r="U46" s="487">
        <f ca="1" t="shared" si="63"/>
        <v>0</v>
      </c>
      <c r="V46" s="487">
        <f ca="1" t="shared" si="64"/>
        <v>0</v>
      </c>
      <c r="W46" s="487">
        <f ca="1" t="shared" si="65"/>
        <v>0</v>
      </c>
      <c r="X46" s="487">
        <f ca="1" t="shared" si="66"/>
        <v>23.245</v>
      </c>
      <c r="Y46" s="487">
        <f ca="1" t="shared" si="67"/>
        <v>162715</v>
      </c>
      <c r="Z46" s="487">
        <f ca="1" t="shared" si="68"/>
        <v>0</v>
      </c>
      <c r="AA46" s="487">
        <f ca="1" t="shared" si="69"/>
        <v>0</v>
      </c>
      <c r="AB46" s="487"/>
    </row>
    <row r="47" customFormat="1" customHeight="1" outlineLevel="3" spans="1:28">
      <c r="A47" s="490" t="s">
        <v>2492</v>
      </c>
      <c r="B47" s="487"/>
      <c r="C47" s="487" t="s">
        <v>59</v>
      </c>
      <c r="D47" s="487" t="s">
        <v>804</v>
      </c>
      <c r="E47" s="487"/>
      <c r="F47" s="487" t="str">
        <f ca="1" t="shared" si="59"/>
        <v>m</v>
      </c>
      <c r="G47" s="487"/>
      <c r="H47" s="487"/>
      <c r="I47" s="487"/>
      <c r="J47" s="487"/>
      <c r="K47" s="487"/>
      <c r="L47" s="487"/>
      <c r="M47" s="487">
        <v>1260.6</v>
      </c>
      <c r="N47" s="487">
        <f ca="1" t="shared" si="60"/>
        <v>20</v>
      </c>
      <c r="O47" s="487">
        <f ca="1" t="shared" si="61"/>
        <v>25212</v>
      </c>
      <c r="P47" s="487"/>
      <c r="Q47" s="487"/>
      <c r="R47" s="487"/>
      <c r="S47" s="487"/>
      <c r="T47" s="487">
        <f ca="1" t="shared" si="62"/>
        <v>0</v>
      </c>
      <c r="U47" s="487">
        <f ca="1" t="shared" si="63"/>
        <v>0</v>
      </c>
      <c r="V47" s="487">
        <f ca="1" t="shared" si="64"/>
        <v>0</v>
      </c>
      <c r="W47" s="487">
        <f ca="1" t="shared" si="65"/>
        <v>0</v>
      </c>
      <c r="X47" s="487">
        <f ca="1" t="shared" si="66"/>
        <v>1260.6</v>
      </c>
      <c r="Y47" s="487">
        <f ca="1" t="shared" si="67"/>
        <v>25212</v>
      </c>
      <c r="Z47" s="487">
        <f ca="1" t="shared" si="68"/>
        <v>0</v>
      </c>
      <c r="AA47" s="487">
        <f ca="1" t="shared" si="69"/>
        <v>0</v>
      </c>
      <c r="AB47" s="487"/>
    </row>
    <row r="48" customFormat="1" customHeight="1" outlineLevel="3" spans="1:28">
      <c r="A48" s="490" t="s">
        <v>2493</v>
      </c>
      <c r="B48" s="487"/>
      <c r="C48" s="487" t="s">
        <v>59</v>
      </c>
      <c r="D48" s="487" t="s">
        <v>808</v>
      </c>
      <c r="E48" s="487"/>
      <c r="F48" s="487" t="str">
        <f ca="1" t="shared" si="59"/>
        <v>套</v>
      </c>
      <c r="G48" s="487"/>
      <c r="H48" s="487"/>
      <c r="I48" s="487"/>
      <c r="J48" s="487"/>
      <c r="K48" s="487"/>
      <c r="L48" s="487"/>
      <c r="M48" s="487">
        <v>168</v>
      </c>
      <c r="N48" s="487">
        <f ca="1" t="shared" si="60"/>
        <v>180</v>
      </c>
      <c r="O48" s="487">
        <f ca="1" t="shared" si="61"/>
        <v>30240</v>
      </c>
      <c r="P48" s="487"/>
      <c r="Q48" s="487"/>
      <c r="R48" s="487"/>
      <c r="S48" s="487"/>
      <c r="T48" s="487">
        <f ca="1" t="shared" si="62"/>
        <v>0</v>
      </c>
      <c r="U48" s="487">
        <f ca="1" t="shared" si="63"/>
        <v>0</v>
      </c>
      <c r="V48" s="487">
        <f ca="1" t="shared" si="64"/>
        <v>0</v>
      </c>
      <c r="W48" s="487">
        <f ca="1" t="shared" si="65"/>
        <v>0</v>
      </c>
      <c r="X48" s="487">
        <f ca="1" t="shared" si="66"/>
        <v>168</v>
      </c>
      <c r="Y48" s="487">
        <f ca="1" t="shared" si="67"/>
        <v>30240</v>
      </c>
      <c r="Z48" s="487">
        <f ca="1" t="shared" si="68"/>
        <v>0</v>
      </c>
      <c r="AA48" s="487">
        <f ca="1" t="shared" si="69"/>
        <v>0</v>
      </c>
      <c r="AB48" s="487"/>
    </row>
    <row r="49" customFormat="1" customHeight="1" outlineLevel="3" spans="1:28">
      <c r="A49" s="490" t="s">
        <v>2494</v>
      </c>
      <c r="B49" s="487"/>
      <c r="C49" s="487" t="s">
        <v>64</v>
      </c>
      <c r="D49" s="487" t="s">
        <v>296</v>
      </c>
      <c r="E49" s="487"/>
      <c r="F49" s="487" t="str">
        <f ca="1" t="shared" si="59"/>
        <v>t</v>
      </c>
      <c r="G49" s="487"/>
      <c r="H49" s="487"/>
      <c r="I49" s="487"/>
      <c r="J49" s="487"/>
      <c r="K49" s="487"/>
      <c r="L49" s="487"/>
      <c r="M49" s="487">
        <v>35.358</v>
      </c>
      <c r="N49" s="487">
        <f ca="1" t="shared" si="60"/>
        <v>700</v>
      </c>
      <c r="O49" s="487">
        <f ca="1" t="shared" si="61"/>
        <v>24750.6</v>
      </c>
      <c r="P49" s="487"/>
      <c r="Q49" s="487"/>
      <c r="R49" s="487"/>
      <c r="S49" s="487"/>
      <c r="T49" s="487">
        <f ca="1" t="shared" si="62"/>
        <v>0</v>
      </c>
      <c r="U49" s="487">
        <f ca="1" t="shared" si="63"/>
        <v>0</v>
      </c>
      <c r="V49" s="487">
        <f ca="1" t="shared" si="64"/>
        <v>0</v>
      </c>
      <c r="W49" s="487">
        <f ca="1" t="shared" si="65"/>
        <v>0</v>
      </c>
      <c r="X49" s="487">
        <f ca="1" t="shared" si="66"/>
        <v>35.358</v>
      </c>
      <c r="Y49" s="487">
        <f ca="1" t="shared" si="67"/>
        <v>24750.6</v>
      </c>
      <c r="Z49" s="487">
        <f ca="1" t="shared" si="68"/>
        <v>0</v>
      </c>
      <c r="AA49" s="487">
        <f ca="1" t="shared" si="69"/>
        <v>0</v>
      </c>
      <c r="AB49" s="487"/>
    </row>
    <row r="50" customFormat="1" customHeight="1" outlineLevel="3" spans="1:28">
      <c r="A50" s="490" t="s">
        <v>2495</v>
      </c>
      <c r="B50" s="487"/>
      <c r="C50" s="487" t="s">
        <v>59</v>
      </c>
      <c r="D50" s="487" t="s">
        <v>792</v>
      </c>
      <c r="E50" s="487"/>
      <c r="F50" s="487" t="str">
        <f ca="1" t="shared" si="59"/>
        <v>m³</v>
      </c>
      <c r="G50" s="487"/>
      <c r="H50" s="487"/>
      <c r="I50" s="487"/>
      <c r="J50" s="487"/>
      <c r="K50" s="487"/>
      <c r="L50" s="487"/>
      <c r="M50" s="487">
        <v>233.8233</v>
      </c>
      <c r="N50" s="487">
        <f ca="1" t="shared" si="60"/>
        <v>450</v>
      </c>
      <c r="O50" s="487">
        <f ca="1" t="shared" si="61"/>
        <v>105220.485</v>
      </c>
      <c r="P50" s="487"/>
      <c r="Q50" s="487"/>
      <c r="R50" s="487"/>
      <c r="S50" s="487"/>
      <c r="T50" s="487">
        <f ca="1" t="shared" si="62"/>
        <v>0</v>
      </c>
      <c r="U50" s="487">
        <f ca="1" t="shared" si="63"/>
        <v>0</v>
      </c>
      <c r="V50" s="487">
        <f ca="1" t="shared" si="64"/>
        <v>0</v>
      </c>
      <c r="W50" s="487">
        <f ca="1" t="shared" si="65"/>
        <v>0</v>
      </c>
      <c r="X50" s="487">
        <f ca="1" t="shared" si="66"/>
        <v>233.8233</v>
      </c>
      <c r="Y50" s="487">
        <f ca="1" t="shared" si="67"/>
        <v>105220.485</v>
      </c>
      <c r="Z50" s="487">
        <f ca="1" t="shared" si="68"/>
        <v>0</v>
      </c>
      <c r="AA50" s="487">
        <f ca="1" t="shared" si="69"/>
        <v>0</v>
      </c>
      <c r="AB50" s="487"/>
    </row>
    <row r="51" customFormat="1" customHeight="1" outlineLevel="3" spans="1:28">
      <c r="A51" s="490" t="s">
        <v>2496</v>
      </c>
      <c r="B51" s="487"/>
      <c r="C51" s="487" t="s">
        <v>59</v>
      </c>
      <c r="D51" s="487" t="s">
        <v>480</v>
      </c>
      <c r="E51" s="487" t="str">
        <f ca="1">"含钢量："&amp;ROUND($M$51/$G$43,3)&amp;$F$51&amp;"/"&amp;$F$43</f>
        <v>含钢量：0.152t/m3</v>
      </c>
      <c r="F51" s="487" t="str">
        <f ca="1" t="shared" si="59"/>
        <v>t</v>
      </c>
      <c r="G51" s="487"/>
      <c r="H51" s="487"/>
      <c r="I51" s="487"/>
      <c r="J51" s="487"/>
      <c r="K51" s="487"/>
      <c r="L51" s="487"/>
      <c r="M51" s="487">
        <v>35.358</v>
      </c>
      <c r="N51" s="487">
        <f ca="1" t="shared" si="60"/>
        <v>4200</v>
      </c>
      <c r="O51" s="487">
        <f ca="1" t="shared" si="61"/>
        <v>148503.6</v>
      </c>
      <c r="P51" s="487"/>
      <c r="Q51" s="487"/>
      <c r="R51" s="487"/>
      <c r="S51" s="487"/>
      <c r="T51" s="487">
        <f ca="1" t="shared" si="62"/>
        <v>0</v>
      </c>
      <c r="U51" s="487">
        <f ca="1" t="shared" si="63"/>
        <v>0</v>
      </c>
      <c r="V51" s="487">
        <f ca="1" t="shared" si="64"/>
        <v>0</v>
      </c>
      <c r="W51" s="487">
        <f ca="1" t="shared" si="65"/>
        <v>0</v>
      </c>
      <c r="X51" s="487">
        <f ca="1" t="shared" si="66"/>
        <v>35.358</v>
      </c>
      <c r="Y51" s="487">
        <f ca="1" t="shared" si="67"/>
        <v>148503.6</v>
      </c>
      <c r="Z51" s="487">
        <f ca="1" t="shared" si="68"/>
        <v>0</v>
      </c>
      <c r="AA51" s="487">
        <f ca="1" t="shared" si="69"/>
        <v>0</v>
      </c>
      <c r="AB51" s="487"/>
    </row>
    <row r="52" customFormat="1" customHeight="1" outlineLevel="2" spans="1:28">
      <c r="A52" s="489" t="s">
        <v>2497</v>
      </c>
      <c r="B52" s="487"/>
      <c r="C52" s="487" t="s">
        <v>1309</v>
      </c>
      <c r="D52" s="487" t="s">
        <v>2498</v>
      </c>
      <c r="E52" s="487" t="s">
        <v>2472</v>
      </c>
      <c r="F52" s="487" t="s">
        <v>72</v>
      </c>
      <c r="G52" s="487">
        <v>425.7</v>
      </c>
      <c r="H52" s="487">
        <v>2000.15596330275</v>
      </c>
      <c r="I52" s="487">
        <f>G52*H52</f>
        <v>851466.393577981</v>
      </c>
      <c r="J52" s="487">
        <f t="shared" ref="J52:L52" si="70">+G52</f>
        <v>425.7</v>
      </c>
      <c r="K52" s="487">
        <f t="shared" si="70"/>
        <v>2000.15596330275</v>
      </c>
      <c r="L52" s="487">
        <f t="shared" si="70"/>
        <v>851466.393577981</v>
      </c>
      <c r="M52" s="487">
        <f>G52</f>
        <v>425.7</v>
      </c>
      <c r="N52" s="487">
        <f ca="1">O52/M52</f>
        <v>1884.02396053559</v>
      </c>
      <c r="O52" s="487">
        <f ca="1">(+O53+O54+O55+O56+O57)</f>
        <v>802029</v>
      </c>
      <c r="P52" s="487"/>
      <c r="Q52" s="487"/>
      <c r="R52" s="487">
        <f>+P52+J52</f>
        <v>425.7</v>
      </c>
      <c r="S52" s="487">
        <f>+Q52+L52</f>
        <v>851466.393577981</v>
      </c>
      <c r="T52" s="487">
        <f>IFERROR(VLOOKUP(A52,产值统计中间表!A:F,7,FALSE),0)</f>
        <v>0</v>
      </c>
      <c r="U52" s="487">
        <f>+T52*H52</f>
        <v>0</v>
      </c>
      <c r="V52" s="487">
        <f>IFERROR(VLOOKUP(A52,产值统计中间表!A:D,4,FALSE),0)</f>
        <v>7000</v>
      </c>
      <c r="W52" s="487">
        <f>+V52*H52</f>
        <v>14001091.7431193</v>
      </c>
      <c r="X52" s="487">
        <f>+R52-V52</f>
        <v>-6574.3</v>
      </c>
      <c r="Y52" s="487">
        <f>+S52-W52</f>
        <v>-13149625.3495413</v>
      </c>
      <c r="Z52" s="487">
        <f>IFERROR(VLOOKUP(A52,业主统计中间表!A:D,4,FALSE),0)</f>
        <v>6500</v>
      </c>
      <c r="AA52" s="487">
        <f>+Z52*H52</f>
        <v>13001013.7614679</v>
      </c>
      <c r="AB52" s="487"/>
    </row>
    <row r="53" customFormat="1" customHeight="1" outlineLevel="3" spans="1:28">
      <c r="A53" s="490" t="s">
        <v>2499</v>
      </c>
      <c r="B53" s="487"/>
      <c r="C53" s="487" t="s">
        <v>64</v>
      </c>
      <c r="D53" s="487" t="s">
        <v>752</v>
      </c>
      <c r="E53" s="487"/>
      <c r="F53" s="487" t="str">
        <f ca="1" t="shared" ref="F53:F57" si="71">VLOOKUP($D53,INDIRECT($C53),2,0)</f>
        <v>m3</v>
      </c>
      <c r="G53" s="487"/>
      <c r="H53" s="487"/>
      <c r="I53" s="487"/>
      <c r="J53" s="487"/>
      <c r="K53" s="487"/>
      <c r="L53" s="487"/>
      <c r="M53" s="487">
        <v>427.8285</v>
      </c>
      <c r="N53" s="487">
        <f ca="1" t="shared" ref="N53:N57" si="72">VLOOKUP($D53,INDIRECT($C53),3,0)</f>
        <v>30</v>
      </c>
      <c r="O53" s="487">
        <f ca="1">M53*N53</f>
        <v>12834.855</v>
      </c>
      <c r="P53" s="487"/>
      <c r="Q53" s="487"/>
      <c r="R53" s="487"/>
      <c r="S53" s="487"/>
      <c r="T53" s="487">
        <f ca="1" t="shared" ref="T53:T57" si="73">OFFSET(T53,-RIGHT($A53,LEN($A$6)),,1,1)/OFFSET(T53,-RIGHT($A53,LEN($A$6)),-13,1,1)*$M53</f>
        <v>0</v>
      </c>
      <c r="U53" s="487">
        <f ca="1" t="shared" ref="U53:U57" si="74">+$N53*T53</f>
        <v>0</v>
      </c>
      <c r="V53" s="487">
        <f ca="1" t="shared" ref="V53:V57" si="75">OFFSET(V53,-RIGHT($A53,LEN($A$6)),,1,1)/OFFSET(V53,-RIGHT($A53,LEN($A$6)),-15,1,1)*$M53</f>
        <v>7035</v>
      </c>
      <c r="W53" s="487">
        <f ca="1" t="shared" ref="W53:W57" si="76">+$N53*V53</f>
        <v>211050</v>
      </c>
      <c r="X53" s="487">
        <f ca="1" t="shared" ref="X53:X57" si="77">+M53-V53</f>
        <v>-6607.1715</v>
      </c>
      <c r="Y53" s="487">
        <f ca="1" t="shared" ref="Y53:Y57" si="78">+O53-W53</f>
        <v>-198215.145</v>
      </c>
      <c r="Z53" s="487">
        <f ca="1" t="shared" ref="Z53:Z57" si="79">OFFSET(Z53,-RIGHT($A53,LEN($A$6)),,1,1)/OFFSET(Z53,-RIGHT($A53,LEN($A$6)),-19,1,1)*$M53</f>
        <v>6532.5</v>
      </c>
      <c r="AA53" s="487">
        <f ca="1" t="shared" ref="AA53:AA57" si="80">+$N53*Z53</f>
        <v>195975</v>
      </c>
      <c r="AB53" s="487"/>
    </row>
    <row r="54" customFormat="1" customHeight="1" outlineLevel="3" spans="1:28">
      <c r="A54" s="490" t="s">
        <v>2500</v>
      </c>
      <c r="B54" s="487"/>
      <c r="C54" s="487" t="s">
        <v>64</v>
      </c>
      <c r="D54" s="487" t="s">
        <v>1109</v>
      </c>
      <c r="E54" s="487" t="s">
        <v>1328</v>
      </c>
      <c r="F54" s="487" t="str">
        <f ca="1" t="shared" si="71"/>
        <v>m2</v>
      </c>
      <c r="G54" s="487"/>
      <c r="H54" s="487"/>
      <c r="I54" s="487"/>
      <c r="J54" s="487"/>
      <c r="K54" s="487"/>
      <c r="L54" s="487"/>
      <c r="M54" s="487">
        <v>800</v>
      </c>
      <c r="N54" s="487">
        <f ca="1" t="shared" si="72"/>
        <v>60</v>
      </c>
      <c r="O54" s="487">
        <f ca="1">M54*N54</f>
        <v>48000</v>
      </c>
      <c r="P54" s="487"/>
      <c r="Q54" s="487"/>
      <c r="R54" s="487"/>
      <c r="S54" s="487"/>
      <c r="T54" s="487">
        <f ca="1" t="shared" si="73"/>
        <v>0</v>
      </c>
      <c r="U54" s="487">
        <f ca="1" t="shared" si="74"/>
        <v>0</v>
      </c>
      <c r="V54" s="487">
        <f ca="1" t="shared" si="75"/>
        <v>13154.8038524783</v>
      </c>
      <c r="W54" s="487">
        <f ca="1" t="shared" si="76"/>
        <v>789288.231148696</v>
      </c>
      <c r="X54" s="487">
        <f ca="1" t="shared" si="77"/>
        <v>-12354.8038524783</v>
      </c>
      <c r="Y54" s="487">
        <f ca="1" t="shared" si="78"/>
        <v>-741288.231148696</v>
      </c>
      <c r="Z54" s="487">
        <f ca="1" t="shared" si="79"/>
        <v>12215.1750058727</v>
      </c>
      <c r="AA54" s="487">
        <f ca="1" t="shared" si="80"/>
        <v>732910.500352361</v>
      </c>
      <c r="AB54" s="487"/>
    </row>
    <row r="55" customFormat="1" customHeight="1" outlineLevel="3" spans="1:28">
      <c r="A55" s="490" t="s">
        <v>2501</v>
      </c>
      <c r="B55" s="487"/>
      <c r="C55" s="487" t="s">
        <v>64</v>
      </c>
      <c r="D55" s="487" t="s">
        <v>296</v>
      </c>
      <c r="E55" s="487"/>
      <c r="F55" s="487" t="str">
        <f ca="1" t="shared" si="71"/>
        <v>t</v>
      </c>
      <c r="G55" s="487"/>
      <c r="H55" s="487"/>
      <c r="I55" s="487"/>
      <c r="J55" s="487"/>
      <c r="K55" s="487"/>
      <c r="L55" s="487"/>
      <c r="M55" s="487">
        <v>110.2275</v>
      </c>
      <c r="N55" s="487">
        <f ca="1" t="shared" si="72"/>
        <v>700</v>
      </c>
      <c r="O55" s="487">
        <f ca="1">M55*N55</f>
        <v>77159.25</v>
      </c>
      <c r="P55" s="487"/>
      <c r="Q55" s="487"/>
      <c r="R55" s="487"/>
      <c r="S55" s="487"/>
      <c r="T55" s="487">
        <f ca="1" t="shared" si="73"/>
        <v>0</v>
      </c>
      <c r="U55" s="487">
        <f ca="1" t="shared" si="74"/>
        <v>0</v>
      </c>
      <c r="V55" s="487">
        <f ca="1" t="shared" si="75"/>
        <v>1812.52642706131</v>
      </c>
      <c r="W55" s="487">
        <f ca="1" t="shared" si="76"/>
        <v>1268768.49894292</v>
      </c>
      <c r="X55" s="487">
        <f ca="1" t="shared" si="77"/>
        <v>-1702.29892706131</v>
      </c>
      <c r="Y55" s="487">
        <f ca="1" t="shared" si="78"/>
        <v>-1191609.24894292</v>
      </c>
      <c r="Z55" s="487">
        <f ca="1" t="shared" si="79"/>
        <v>1683.06025369979</v>
      </c>
      <c r="AA55" s="487">
        <f ca="1" t="shared" si="80"/>
        <v>1178142.17758985</v>
      </c>
      <c r="AB55" s="487"/>
    </row>
    <row r="56" customFormat="1" customHeight="1" outlineLevel="3" spans="1:28">
      <c r="A56" s="490" t="s">
        <v>2502</v>
      </c>
      <c r="B56" s="487"/>
      <c r="C56" s="487" t="s">
        <v>59</v>
      </c>
      <c r="D56" s="487" t="s">
        <v>796</v>
      </c>
      <c r="E56" s="487"/>
      <c r="F56" s="487" t="str">
        <f ca="1" t="shared" si="71"/>
        <v>m³</v>
      </c>
      <c r="G56" s="487"/>
      <c r="H56" s="487"/>
      <c r="I56" s="487"/>
      <c r="J56" s="487"/>
      <c r="K56" s="487"/>
      <c r="L56" s="487"/>
      <c r="M56" s="487">
        <v>427.8285</v>
      </c>
      <c r="N56" s="487">
        <f ca="1" t="shared" si="72"/>
        <v>470</v>
      </c>
      <c r="O56" s="487">
        <f ca="1">M56*N56</f>
        <v>201079.395</v>
      </c>
      <c r="P56" s="487"/>
      <c r="Q56" s="487"/>
      <c r="R56" s="487"/>
      <c r="S56" s="487"/>
      <c r="T56" s="487">
        <f ca="1" t="shared" si="73"/>
        <v>0</v>
      </c>
      <c r="U56" s="487">
        <f ca="1" t="shared" si="74"/>
        <v>0</v>
      </c>
      <c r="V56" s="487">
        <f ca="1" t="shared" si="75"/>
        <v>7035</v>
      </c>
      <c r="W56" s="487">
        <f ca="1" t="shared" si="76"/>
        <v>3306450</v>
      </c>
      <c r="X56" s="487">
        <f ca="1" t="shared" si="77"/>
        <v>-6607.1715</v>
      </c>
      <c r="Y56" s="487">
        <f ca="1" t="shared" si="78"/>
        <v>-3105370.605</v>
      </c>
      <c r="Z56" s="487">
        <f ca="1" t="shared" si="79"/>
        <v>6532.5</v>
      </c>
      <c r="AA56" s="487">
        <f ca="1" t="shared" si="80"/>
        <v>3070275</v>
      </c>
      <c r="AB56" s="487"/>
    </row>
    <row r="57" customFormat="1" customHeight="1" outlineLevel="3" spans="1:28">
      <c r="A57" s="490" t="s">
        <v>2503</v>
      </c>
      <c r="B57" s="487"/>
      <c r="C57" s="487" t="s">
        <v>59</v>
      </c>
      <c r="D57" s="487" t="s">
        <v>480</v>
      </c>
      <c r="E57" s="487" t="str">
        <f ca="1">"含钢量："&amp;ROUND($M$57/$G$52,3)&amp;$F$57&amp;"/"&amp;$F$52</f>
        <v>含钢量：0.259t/m3</v>
      </c>
      <c r="F57" s="487" t="str">
        <f ca="1" t="shared" si="71"/>
        <v>t</v>
      </c>
      <c r="G57" s="487"/>
      <c r="H57" s="487"/>
      <c r="I57" s="487"/>
      <c r="J57" s="487"/>
      <c r="K57" s="487"/>
      <c r="L57" s="487"/>
      <c r="M57" s="487">
        <v>110.2275</v>
      </c>
      <c r="N57" s="487">
        <f ca="1" t="shared" si="72"/>
        <v>4200</v>
      </c>
      <c r="O57" s="487">
        <f ca="1">M57*N57</f>
        <v>462955.5</v>
      </c>
      <c r="P57" s="487"/>
      <c r="Q57" s="487"/>
      <c r="R57" s="487"/>
      <c r="S57" s="487"/>
      <c r="T57" s="487">
        <f ca="1" t="shared" si="73"/>
        <v>0</v>
      </c>
      <c r="U57" s="487">
        <f ca="1" t="shared" si="74"/>
        <v>0</v>
      </c>
      <c r="V57" s="487">
        <f ca="1" t="shared" si="75"/>
        <v>1812.52642706131</v>
      </c>
      <c r="W57" s="487">
        <f ca="1" t="shared" si="76"/>
        <v>7612610.99365751</v>
      </c>
      <c r="X57" s="487">
        <f ca="1" t="shared" si="77"/>
        <v>-1702.29892706131</v>
      </c>
      <c r="Y57" s="487">
        <f ca="1" t="shared" si="78"/>
        <v>-7149655.49365751</v>
      </c>
      <c r="Z57" s="487">
        <f ca="1" t="shared" si="79"/>
        <v>1683.06025369979</v>
      </c>
      <c r="AA57" s="487">
        <f ca="1" t="shared" si="80"/>
        <v>7068853.06553911</v>
      </c>
      <c r="AB57" s="487"/>
    </row>
    <row r="58" customFormat="1" customHeight="1" outlineLevel="2" spans="1:28">
      <c r="A58" s="489" t="s">
        <v>2504</v>
      </c>
      <c r="B58" s="487"/>
      <c r="C58" s="487" t="s">
        <v>1309</v>
      </c>
      <c r="D58" s="487" t="s">
        <v>1349</v>
      </c>
      <c r="E58" s="487" t="s">
        <v>2472</v>
      </c>
      <c r="F58" s="487" t="s">
        <v>72</v>
      </c>
      <c r="G58" s="487">
        <v>217.6</v>
      </c>
      <c r="H58" s="487">
        <v>1340.78899082569</v>
      </c>
      <c r="I58" s="487">
        <f>G58*H58</f>
        <v>291755.68440367</v>
      </c>
      <c r="J58" s="487">
        <f t="shared" ref="J58:L58" si="81">+G58</f>
        <v>217.6</v>
      </c>
      <c r="K58" s="487">
        <f t="shared" si="81"/>
        <v>1340.78899082569</v>
      </c>
      <c r="L58" s="487">
        <f t="shared" si="81"/>
        <v>291755.68440367</v>
      </c>
      <c r="M58" s="487">
        <f>G58</f>
        <v>217.6</v>
      </c>
      <c r="N58" s="487">
        <f ca="1">O58/M58</f>
        <v>1243.27867647059</v>
      </c>
      <c r="O58" s="487">
        <f ca="1">(+O59+O60+O61+O62+O63)</f>
        <v>270537.44</v>
      </c>
      <c r="P58" s="487"/>
      <c r="Q58" s="487"/>
      <c r="R58" s="487">
        <f>+P58+J58</f>
        <v>217.6</v>
      </c>
      <c r="S58" s="487">
        <f>+Q58+L58</f>
        <v>291755.68440367</v>
      </c>
      <c r="T58" s="487">
        <f>IFERROR(VLOOKUP(A58,产值统计中间表!A:F,7,FALSE),0)</f>
        <v>0</v>
      </c>
      <c r="U58" s="487">
        <f>+T58*H58</f>
        <v>0</v>
      </c>
      <c r="V58" s="487">
        <f>IFERROR(VLOOKUP(A58,产值统计中间表!A:D,4,FALSE),0)</f>
        <v>8000</v>
      </c>
      <c r="W58" s="487">
        <f>+V58*H58</f>
        <v>10726311.9266055</v>
      </c>
      <c r="X58" s="487">
        <f>+R58-V58</f>
        <v>-7782.4</v>
      </c>
      <c r="Y58" s="487">
        <f>+S58-W58</f>
        <v>-10434556.2422018</v>
      </c>
      <c r="Z58" s="487">
        <f>IFERROR(VLOOKUP(A58,业主统计中间表!A:D,4,FALSE),0)</f>
        <v>8500</v>
      </c>
      <c r="AA58" s="487">
        <f>+Z58*H58</f>
        <v>11396706.4220184</v>
      </c>
      <c r="AB58" s="487"/>
    </row>
    <row r="59" customFormat="1" customHeight="1" outlineLevel="3" spans="1:28">
      <c r="A59" s="490" t="s">
        <v>2505</v>
      </c>
      <c r="B59" s="487"/>
      <c r="C59" s="487" t="s">
        <v>64</v>
      </c>
      <c r="D59" s="487" t="s">
        <v>752</v>
      </c>
      <c r="E59" s="487"/>
      <c r="F59" s="487" t="str">
        <f ca="1" t="shared" ref="F59:F63" si="82">VLOOKUP($D59,INDIRECT($C59),2,0)</f>
        <v>m3</v>
      </c>
      <c r="G59" s="487"/>
      <c r="H59" s="487"/>
      <c r="I59" s="487"/>
      <c r="J59" s="487"/>
      <c r="K59" s="487"/>
      <c r="L59" s="487"/>
      <c r="M59" s="487">
        <v>218.688</v>
      </c>
      <c r="N59" s="487">
        <f ca="1" t="shared" ref="N59:N63" si="83">VLOOKUP($D59,INDIRECT($C59),3,0)</f>
        <v>30</v>
      </c>
      <c r="O59" s="487">
        <f ca="1">M59*N59</f>
        <v>6560.64</v>
      </c>
      <c r="P59" s="487"/>
      <c r="Q59" s="487"/>
      <c r="R59" s="487"/>
      <c r="S59" s="487"/>
      <c r="T59" s="487">
        <f ca="1" t="shared" ref="T59:T63" si="84">OFFSET(T59,-RIGHT($A59,LEN($A$6)),,1,1)/OFFSET(T59,-RIGHT($A59,LEN($A$6)),-13,1,1)*$M59</f>
        <v>0</v>
      </c>
      <c r="U59" s="487">
        <f ca="1" t="shared" ref="U59:U63" si="85">+$N59*T59</f>
        <v>0</v>
      </c>
      <c r="V59" s="487">
        <f ca="1" t="shared" ref="V59:V63" si="86">OFFSET(V59,-RIGHT($A59,LEN($A$6)),,1,1)/OFFSET(V59,-RIGHT($A59,LEN($A$6)),-15,1,1)*$M59</f>
        <v>8040</v>
      </c>
      <c r="W59" s="487">
        <f ca="1" t="shared" ref="W59:W63" si="87">+$N59*V59</f>
        <v>241200</v>
      </c>
      <c r="X59" s="487">
        <f ca="1" t="shared" ref="X59:X63" si="88">+M59-V59</f>
        <v>-7821.312</v>
      </c>
      <c r="Y59" s="487">
        <f ca="1" t="shared" ref="Y59:Y63" si="89">+O59-W59</f>
        <v>-234639.36</v>
      </c>
      <c r="Z59" s="487">
        <f ca="1" t="shared" ref="Z59:Z63" si="90">OFFSET(Z59,-RIGHT($A59,LEN($A$6)),,1,1)/OFFSET(Z59,-RIGHT($A59,LEN($A$6)),-19,1,1)*$M59</f>
        <v>8542.5</v>
      </c>
      <c r="AA59" s="487">
        <f ca="1" t="shared" ref="AA59:AA63" si="91">+$N59*Z59</f>
        <v>256275</v>
      </c>
      <c r="AB59" s="487"/>
    </row>
    <row r="60" customFormat="1" customHeight="1" outlineLevel="3" spans="1:28">
      <c r="A60" s="490" t="s">
        <v>2506</v>
      </c>
      <c r="B60" s="487"/>
      <c r="C60" s="487" t="s">
        <v>64</v>
      </c>
      <c r="D60" s="487" t="s">
        <v>262</v>
      </c>
      <c r="E60" s="487" t="s">
        <v>1352</v>
      </c>
      <c r="F60" s="487" t="str">
        <f ca="1" t="shared" si="82"/>
        <v>m2</v>
      </c>
      <c r="G60" s="487"/>
      <c r="H60" s="487"/>
      <c r="I60" s="487"/>
      <c r="J60" s="487"/>
      <c r="K60" s="487"/>
      <c r="L60" s="487"/>
      <c r="M60" s="487">
        <v>50</v>
      </c>
      <c r="N60" s="487">
        <f ca="1" t="shared" si="83"/>
        <v>55</v>
      </c>
      <c r="O60" s="487">
        <f ca="1">M60*N60</f>
        <v>2750</v>
      </c>
      <c r="P60" s="487"/>
      <c r="Q60" s="487"/>
      <c r="R60" s="487"/>
      <c r="S60" s="487"/>
      <c r="T60" s="487">
        <f ca="1" t="shared" si="84"/>
        <v>0</v>
      </c>
      <c r="U60" s="487">
        <f ca="1" t="shared" si="85"/>
        <v>0</v>
      </c>
      <c r="V60" s="487">
        <f ca="1" t="shared" si="86"/>
        <v>1838.23529411765</v>
      </c>
      <c r="W60" s="487">
        <f ca="1" t="shared" si="87"/>
        <v>101102.941176471</v>
      </c>
      <c r="X60" s="487">
        <f ca="1" t="shared" si="88"/>
        <v>-1788.23529411765</v>
      </c>
      <c r="Y60" s="487">
        <f ca="1" t="shared" si="89"/>
        <v>-98352.9411764706</v>
      </c>
      <c r="Z60" s="487">
        <f ca="1" t="shared" si="90"/>
        <v>1953.125</v>
      </c>
      <c r="AA60" s="487">
        <f ca="1" t="shared" si="91"/>
        <v>107421.875</v>
      </c>
      <c r="AB60" s="487"/>
    </row>
    <row r="61" customFormat="1" customHeight="1" outlineLevel="3" spans="1:28">
      <c r="A61" s="490" t="s">
        <v>2507</v>
      </c>
      <c r="B61" s="487"/>
      <c r="C61" s="487" t="s">
        <v>59</v>
      </c>
      <c r="D61" s="487" t="s">
        <v>792</v>
      </c>
      <c r="E61" s="487"/>
      <c r="F61" s="487" t="str">
        <f ca="1" t="shared" si="82"/>
        <v>m³</v>
      </c>
      <c r="G61" s="487"/>
      <c r="H61" s="487"/>
      <c r="I61" s="487"/>
      <c r="J61" s="487"/>
      <c r="K61" s="487"/>
      <c r="L61" s="487"/>
      <c r="M61" s="487">
        <v>218.688</v>
      </c>
      <c r="N61" s="487">
        <f ca="1" t="shared" si="83"/>
        <v>450</v>
      </c>
      <c r="O61" s="487">
        <f ca="1">M61*N61</f>
        <v>98409.6</v>
      </c>
      <c r="P61" s="487"/>
      <c r="Q61" s="487"/>
      <c r="R61" s="487"/>
      <c r="S61" s="487"/>
      <c r="T61" s="487">
        <f ca="1" t="shared" si="84"/>
        <v>0</v>
      </c>
      <c r="U61" s="487">
        <f ca="1" t="shared" si="85"/>
        <v>0</v>
      </c>
      <c r="V61" s="487">
        <f ca="1" t="shared" si="86"/>
        <v>8040</v>
      </c>
      <c r="W61" s="487">
        <f ca="1" t="shared" si="87"/>
        <v>3618000</v>
      </c>
      <c r="X61" s="487">
        <f ca="1" t="shared" si="88"/>
        <v>-7821.312</v>
      </c>
      <c r="Y61" s="487">
        <f ca="1" t="shared" si="89"/>
        <v>-3519590.4</v>
      </c>
      <c r="Z61" s="487">
        <f ca="1" t="shared" si="90"/>
        <v>8542.5</v>
      </c>
      <c r="AA61" s="487">
        <f ca="1" t="shared" si="91"/>
        <v>3844125</v>
      </c>
      <c r="AB61" s="487"/>
    </row>
    <row r="62" customFormat="1" customHeight="1" outlineLevel="3" spans="1:28">
      <c r="A62" s="490" t="s">
        <v>2508</v>
      </c>
      <c r="B62" s="487"/>
      <c r="C62" s="487" t="s">
        <v>59</v>
      </c>
      <c r="D62" s="487" t="s">
        <v>480</v>
      </c>
      <c r="E62" s="487" t="str">
        <f ca="1">"含钢量："&amp;ROUND($M$62/$G$58,3)&amp;$F$62&amp;"/"&amp;$F$58</f>
        <v>含钢量：0.153t/m3</v>
      </c>
      <c r="F62" s="487" t="str">
        <f ca="1" t="shared" si="82"/>
        <v>t</v>
      </c>
      <c r="G62" s="487"/>
      <c r="H62" s="487"/>
      <c r="I62" s="487"/>
      <c r="J62" s="487"/>
      <c r="K62" s="487"/>
      <c r="L62" s="487"/>
      <c r="M62" s="487">
        <v>33.228</v>
      </c>
      <c r="N62" s="487">
        <f ca="1" t="shared" si="83"/>
        <v>4200</v>
      </c>
      <c r="O62" s="487">
        <f ca="1">M62*N62</f>
        <v>139557.6</v>
      </c>
      <c r="P62" s="487"/>
      <c r="Q62" s="487"/>
      <c r="R62" s="487"/>
      <c r="S62" s="487"/>
      <c r="T62" s="487">
        <f ca="1" t="shared" si="84"/>
        <v>0</v>
      </c>
      <c r="U62" s="487">
        <f ca="1" t="shared" si="85"/>
        <v>0</v>
      </c>
      <c r="V62" s="487">
        <f ca="1" t="shared" si="86"/>
        <v>1221.61764705882</v>
      </c>
      <c r="W62" s="487">
        <f ca="1" t="shared" si="87"/>
        <v>5130794.11764706</v>
      </c>
      <c r="X62" s="487">
        <f ca="1" t="shared" si="88"/>
        <v>-1188.38964705882</v>
      </c>
      <c r="Y62" s="487">
        <f ca="1" t="shared" si="89"/>
        <v>-4991236.51764706</v>
      </c>
      <c r="Z62" s="487">
        <f ca="1" t="shared" si="90"/>
        <v>1297.96875</v>
      </c>
      <c r="AA62" s="487">
        <f ca="1" t="shared" si="91"/>
        <v>5451468.75</v>
      </c>
      <c r="AB62" s="487"/>
    </row>
    <row r="63" customFormat="1" customHeight="1" outlineLevel="3" spans="1:28">
      <c r="A63" s="490" t="s">
        <v>2509</v>
      </c>
      <c r="B63" s="487"/>
      <c r="C63" s="487" t="s">
        <v>64</v>
      </c>
      <c r="D63" s="487" t="s">
        <v>296</v>
      </c>
      <c r="E63" s="487"/>
      <c r="F63" s="487" t="str">
        <f ca="1" t="shared" si="82"/>
        <v>t</v>
      </c>
      <c r="G63" s="487"/>
      <c r="H63" s="487"/>
      <c r="I63" s="487"/>
      <c r="J63" s="487"/>
      <c r="K63" s="487"/>
      <c r="L63" s="487"/>
      <c r="M63" s="487">
        <v>33.228</v>
      </c>
      <c r="N63" s="487">
        <f ca="1" t="shared" si="83"/>
        <v>700</v>
      </c>
      <c r="O63" s="487">
        <f ca="1">M63*N63</f>
        <v>23259.6</v>
      </c>
      <c r="P63" s="487"/>
      <c r="Q63" s="487"/>
      <c r="R63" s="487"/>
      <c r="S63" s="487"/>
      <c r="T63" s="487">
        <f ca="1" t="shared" si="84"/>
        <v>0</v>
      </c>
      <c r="U63" s="487">
        <f ca="1" t="shared" si="85"/>
        <v>0</v>
      </c>
      <c r="V63" s="487">
        <f ca="1" t="shared" si="86"/>
        <v>1221.61764705882</v>
      </c>
      <c r="W63" s="487">
        <f ca="1" t="shared" si="87"/>
        <v>855132.352941177</v>
      </c>
      <c r="X63" s="487">
        <f ca="1" t="shared" si="88"/>
        <v>-1188.38964705882</v>
      </c>
      <c r="Y63" s="487">
        <f ca="1" t="shared" si="89"/>
        <v>-831872.752941177</v>
      </c>
      <c r="Z63" s="487">
        <f ca="1" t="shared" si="90"/>
        <v>1297.96875</v>
      </c>
      <c r="AA63" s="487">
        <f ca="1" t="shared" si="91"/>
        <v>908578.125</v>
      </c>
      <c r="AB63" s="487"/>
    </row>
    <row r="64" customFormat="1" customHeight="1" outlineLevel="2" spans="1:28">
      <c r="A64" s="489" t="s">
        <v>2510</v>
      </c>
      <c r="B64" s="487"/>
      <c r="C64" s="487" t="s">
        <v>1309</v>
      </c>
      <c r="D64" s="487" t="s">
        <v>1357</v>
      </c>
      <c r="E64" s="487" t="s">
        <v>2472</v>
      </c>
      <c r="F64" s="487" t="s">
        <v>72</v>
      </c>
      <c r="G64" s="487">
        <v>8.71</v>
      </c>
      <c r="H64" s="487">
        <v>2611.22018348624</v>
      </c>
      <c r="I64" s="487">
        <f>G64*H64</f>
        <v>22743.7277981652</v>
      </c>
      <c r="J64" s="487">
        <f t="shared" ref="J64:L64" si="92">+G64</f>
        <v>8.71</v>
      </c>
      <c r="K64" s="487">
        <f t="shared" si="92"/>
        <v>2611.22018348624</v>
      </c>
      <c r="L64" s="487">
        <f t="shared" si="92"/>
        <v>22743.7277981652</v>
      </c>
      <c r="M64" s="487">
        <f>G64</f>
        <v>8.71</v>
      </c>
      <c r="N64" s="487">
        <f ca="1">O64/M64</f>
        <v>2409.91676234214</v>
      </c>
      <c r="O64" s="487">
        <f ca="1">(+O65+O66+O67+O68+O69)</f>
        <v>20990.375</v>
      </c>
      <c r="P64" s="487"/>
      <c r="Q64" s="487"/>
      <c r="R64" s="487">
        <f>+P64+J64</f>
        <v>8.71</v>
      </c>
      <c r="S64" s="487">
        <f>+Q64+L64</f>
        <v>22743.7277981652</v>
      </c>
      <c r="T64" s="487">
        <f>IFERROR(VLOOKUP(A64,产值统计中间表!A:F,7,FALSE),0)</f>
        <v>0</v>
      </c>
      <c r="U64" s="487">
        <f>+T64*H64</f>
        <v>0</v>
      </c>
      <c r="V64" s="487">
        <f>IFERROR(VLOOKUP(A64,产值统计中间表!A:D,4,FALSE),0)</f>
        <v>4000</v>
      </c>
      <c r="W64" s="487">
        <f>+V64*H64</f>
        <v>10444880.733945</v>
      </c>
      <c r="X64" s="487">
        <f>+R64-V64</f>
        <v>-3991.29</v>
      </c>
      <c r="Y64" s="487">
        <f>+S64-W64</f>
        <v>-10422137.0061468</v>
      </c>
      <c r="Z64" s="487">
        <f>IFERROR(VLOOKUP(A64,业主统计中间表!A:D,4,FALSE),0)</f>
        <v>4200</v>
      </c>
      <c r="AA64" s="487">
        <f>+Z64*H64</f>
        <v>10967124.7706422</v>
      </c>
      <c r="AB64" s="487"/>
    </row>
    <row r="65" customFormat="1" customHeight="1" outlineLevel="3" spans="1:28">
      <c r="A65" s="490" t="s">
        <v>2511</v>
      </c>
      <c r="B65" s="487"/>
      <c r="C65" s="487" t="s">
        <v>64</v>
      </c>
      <c r="D65" s="487" t="s">
        <v>752</v>
      </c>
      <c r="E65" s="487"/>
      <c r="F65" s="487" t="str">
        <f ca="1" t="shared" ref="F65:F69" si="93">VLOOKUP($D65,INDIRECT($C65),2,0)</f>
        <v>m3</v>
      </c>
      <c r="G65" s="487"/>
      <c r="H65" s="487"/>
      <c r="I65" s="487"/>
      <c r="J65" s="487"/>
      <c r="K65" s="487"/>
      <c r="L65" s="487"/>
      <c r="M65" s="487">
        <v>8.75355</v>
      </c>
      <c r="N65" s="487">
        <f ca="1" t="shared" ref="N65:N69" si="94">VLOOKUP($D65,INDIRECT($C65),3,0)</f>
        <v>30</v>
      </c>
      <c r="O65" s="487">
        <f ca="1">M65*N65</f>
        <v>262.6065</v>
      </c>
      <c r="P65" s="487"/>
      <c r="Q65" s="487"/>
      <c r="R65" s="487"/>
      <c r="S65" s="487"/>
      <c r="T65" s="487">
        <f ca="1" t="shared" ref="T65:T69" si="95">OFFSET(T65,-RIGHT($A65,LEN($A$6)),,1,1)/OFFSET(T65,-RIGHT($A65,LEN($A$6)),-13,1,1)*$M65</f>
        <v>0</v>
      </c>
      <c r="U65" s="487">
        <f ca="1" t="shared" ref="U65:U69" si="96">+$N65*T65</f>
        <v>0</v>
      </c>
      <c r="V65" s="487">
        <f ca="1" t="shared" ref="V65:V69" si="97">OFFSET(V65,-RIGHT($A65,LEN($A$6)),,1,1)/OFFSET(V65,-RIGHT($A65,LEN($A$6)),-15,1,1)*$M65</f>
        <v>4020</v>
      </c>
      <c r="W65" s="487">
        <f ca="1" t="shared" ref="W65:W69" si="98">+$N65*V65</f>
        <v>120600</v>
      </c>
      <c r="X65" s="487">
        <f ca="1" t="shared" ref="X65:X69" si="99">+M65-V65</f>
        <v>-4011.24645</v>
      </c>
      <c r="Y65" s="487">
        <f ca="1" t="shared" ref="Y65:Y69" si="100">+O65-W65</f>
        <v>-120337.3935</v>
      </c>
      <c r="Z65" s="487">
        <f ca="1" t="shared" ref="Z65:Z69" si="101">OFFSET(Z65,-RIGHT($A65,LEN($A$6)),,1,1)/OFFSET(Z65,-RIGHT($A65,LEN($A$6)),-19,1,1)*$M65</f>
        <v>4221</v>
      </c>
      <c r="AA65" s="487">
        <f ca="1" t="shared" ref="AA65:AA69" si="102">+$N65*Z65</f>
        <v>126630</v>
      </c>
      <c r="AB65" s="487"/>
    </row>
    <row r="66" customFormat="1" customHeight="1" outlineLevel="3" spans="1:28">
      <c r="A66" s="490" t="s">
        <v>2512</v>
      </c>
      <c r="B66" s="487"/>
      <c r="C66" s="487" t="s">
        <v>64</v>
      </c>
      <c r="D66" s="487" t="s">
        <v>262</v>
      </c>
      <c r="E66" s="487" t="s">
        <v>1352</v>
      </c>
      <c r="F66" s="487" t="str">
        <f ca="1" t="shared" si="93"/>
        <v>m2</v>
      </c>
      <c r="G66" s="487"/>
      <c r="H66" s="487"/>
      <c r="I66" s="487"/>
      <c r="J66" s="487"/>
      <c r="K66" s="487"/>
      <c r="L66" s="487"/>
      <c r="M66" s="487">
        <v>17.42</v>
      </c>
      <c r="N66" s="487">
        <f ca="1" t="shared" si="94"/>
        <v>55</v>
      </c>
      <c r="O66" s="487">
        <f ca="1">M66*N66</f>
        <v>958.1</v>
      </c>
      <c r="P66" s="487"/>
      <c r="Q66" s="487"/>
      <c r="R66" s="487"/>
      <c r="S66" s="487"/>
      <c r="T66" s="487">
        <f ca="1" t="shared" si="95"/>
        <v>0</v>
      </c>
      <c r="U66" s="487">
        <f ca="1" t="shared" si="96"/>
        <v>0</v>
      </c>
      <c r="V66" s="487">
        <f ca="1" t="shared" si="97"/>
        <v>8000</v>
      </c>
      <c r="W66" s="487">
        <f ca="1" t="shared" si="98"/>
        <v>440000</v>
      </c>
      <c r="X66" s="487">
        <f ca="1" t="shared" si="99"/>
        <v>-7982.58</v>
      </c>
      <c r="Y66" s="487">
        <f ca="1" t="shared" si="100"/>
        <v>-439041.9</v>
      </c>
      <c r="Z66" s="487">
        <f ca="1" t="shared" si="101"/>
        <v>8400</v>
      </c>
      <c r="AA66" s="487">
        <f ca="1" t="shared" si="102"/>
        <v>462000</v>
      </c>
      <c r="AB66" s="487"/>
    </row>
    <row r="67" customFormat="1" customHeight="1" outlineLevel="3" spans="1:28">
      <c r="A67" s="490" t="s">
        <v>2513</v>
      </c>
      <c r="B67" s="487"/>
      <c r="C67" s="487" t="s">
        <v>59</v>
      </c>
      <c r="D67" s="487" t="s">
        <v>796</v>
      </c>
      <c r="E67" s="487"/>
      <c r="F67" s="487" t="str">
        <f ca="1" t="shared" si="93"/>
        <v>m³</v>
      </c>
      <c r="G67" s="487"/>
      <c r="H67" s="487"/>
      <c r="I67" s="487"/>
      <c r="J67" s="487"/>
      <c r="K67" s="487"/>
      <c r="L67" s="487"/>
      <c r="M67" s="487">
        <v>8.75355</v>
      </c>
      <c r="N67" s="487">
        <f ca="1" t="shared" si="94"/>
        <v>470</v>
      </c>
      <c r="O67" s="487">
        <f ca="1">M67*N67</f>
        <v>4114.1685</v>
      </c>
      <c r="P67" s="487"/>
      <c r="Q67" s="487"/>
      <c r="R67" s="487"/>
      <c r="S67" s="487"/>
      <c r="T67" s="487">
        <f ca="1" t="shared" si="95"/>
        <v>0</v>
      </c>
      <c r="U67" s="487">
        <f ca="1" t="shared" si="96"/>
        <v>0</v>
      </c>
      <c r="V67" s="487">
        <f ca="1" t="shared" si="97"/>
        <v>4020</v>
      </c>
      <c r="W67" s="487">
        <f ca="1" t="shared" si="98"/>
        <v>1889400</v>
      </c>
      <c r="X67" s="487">
        <f ca="1" t="shared" si="99"/>
        <v>-4011.24645</v>
      </c>
      <c r="Y67" s="487">
        <f ca="1" t="shared" si="100"/>
        <v>-1885285.8315</v>
      </c>
      <c r="Z67" s="487">
        <f ca="1" t="shared" si="101"/>
        <v>4221</v>
      </c>
      <c r="AA67" s="487">
        <f ca="1" t="shared" si="102"/>
        <v>1983870</v>
      </c>
      <c r="AB67" s="487"/>
    </row>
    <row r="68" customFormat="1" customHeight="1" outlineLevel="3" spans="1:28">
      <c r="A68" s="490" t="s">
        <v>2514</v>
      </c>
      <c r="B68" s="487"/>
      <c r="C68" s="487" t="s">
        <v>59</v>
      </c>
      <c r="D68" s="487" t="s">
        <v>480</v>
      </c>
      <c r="E68" s="487" t="str">
        <f ca="1">"含钢量："&amp;ROUND($M$68/$G$64,3)&amp;$F$68&amp;"/"&amp;$F$64</f>
        <v>含钢量：0.367t/m3</v>
      </c>
      <c r="F68" s="487" t="str">
        <f ca="1" t="shared" si="93"/>
        <v>t</v>
      </c>
      <c r="G68" s="487"/>
      <c r="H68" s="487"/>
      <c r="I68" s="487"/>
      <c r="J68" s="487"/>
      <c r="K68" s="487"/>
      <c r="L68" s="487"/>
      <c r="M68" s="487">
        <v>3.195</v>
      </c>
      <c r="N68" s="487">
        <f ca="1" t="shared" si="94"/>
        <v>4200</v>
      </c>
      <c r="O68" s="487">
        <f ca="1">M68*N68</f>
        <v>13419</v>
      </c>
      <c r="P68" s="487"/>
      <c r="Q68" s="487"/>
      <c r="R68" s="487"/>
      <c r="S68" s="487"/>
      <c r="T68" s="487">
        <f ca="1" t="shared" si="95"/>
        <v>0</v>
      </c>
      <c r="U68" s="487">
        <f ca="1" t="shared" si="96"/>
        <v>0</v>
      </c>
      <c r="V68" s="487">
        <f ca="1" t="shared" si="97"/>
        <v>1467.27898966705</v>
      </c>
      <c r="W68" s="487">
        <f ca="1" t="shared" si="98"/>
        <v>6162571.75660161</v>
      </c>
      <c r="X68" s="487">
        <f ca="1" t="shared" si="99"/>
        <v>-1464.08398966705</v>
      </c>
      <c r="Y68" s="487">
        <f ca="1" t="shared" si="100"/>
        <v>-6149152.75660161</v>
      </c>
      <c r="Z68" s="487">
        <f ca="1" t="shared" si="101"/>
        <v>1540.6429391504</v>
      </c>
      <c r="AA68" s="487">
        <f ca="1" t="shared" si="102"/>
        <v>6470700.34443169</v>
      </c>
      <c r="AB68" s="487"/>
    </row>
    <row r="69" customFormat="1" customHeight="1" outlineLevel="3" spans="1:28">
      <c r="A69" s="490" t="s">
        <v>2515</v>
      </c>
      <c r="B69" s="487"/>
      <c r="C69" s="487" t="s">
        <v>64</v>
      </c>
      <c r="D69" s="487" t="s">
        <v>296</v>
      </c>
      <c r="E69" s="487"/>
      <c r="F69" s="487" t="str">
        <f ca="1" t="shared" si="93"/>
        <v>t</v>
      </c>
      <c r="G69" s="487"/>
      <c r="H69" s="487"/>
      <c r="I69" s="487"/>
      <c r="J69" s="487"/>
      <c r="K69" s="487"/>
      <c r="L69" s="487"/>
      <c r="M69" s="487">
        <v>3.195</v>
      </c>
      <c r="N69" s="487">
        <f ca="1" t="shared" si="94"/>
        <v>700</v>
      </c>
      <c r="O69" s="487">
        <f ca="1">M69*N69</f>
        <v>2236.5</v>
      </c>
      <c r="P69" s="487"/>
      <c r="Q69" s="487"/>
      <c r="R69" s="487"/>
      <c r="S69" s="487"/>
      <c r="T69" s="487">
        <f ca="1" t="shared" si="95"/>
        <v>0</v>
      </c>
      <c r="U69" s="487">
        <f ca="1" t="shared" si="96"/>
        <v>0</v>
      </c>
      <c r="V69" s="487">
        <f ca="1" t="shared" si="97"/>
        <v>1467.27898966705</v>
      </c>
      <c r="W69" s="487">
        <f ca="1" t="shared" si="98"/>
        <v>1027095.29276693</v>
      </c>
      <c r="X69" s="487">
        <f ca="1" t="shared" si="99"/>
        <v>-1464.08398966705</v>
      </c>
      <c r="Y69" s="487">
        <f ca="1" t="shared" si="100"/>
        <v>-1024858.79276693</v>
      </c>
      <c r="Z69" s="487">
        <f ca="1" t="shared" si="101"/>
        <v>1540.6429391504</v>
      </c>
      <c r="AA69" s="487">
        <f ca="1" t="shared" si="102"/>
        <v>1078450.05740528</v>
      </c>
      <c r="AB69" s="487"/>
    </row>
    <row r="70" customFormat="1" customHeight="1" outlineLevel="2" spans="1:28">
      <c r="A70" s="489" t="s">
        <v>2516</v>
      </c>
      <c r="B70" s="487"/>
      <c r="C70" s="487" t="s">
        <v>1309</v>
      </c>
      <c r="D70" s="487" t="s">
        <v>2517</v>
      </c>
      <c r="E70" s="487" t="s">
        <v>2472</v>
      </c>
      <c r="F70" s="487" t="s">
        <v>72</v>
      </c>
      <c r="G70" s="487">
        <v>8.71</v>
      </c>
      <c r="H70" s="487">
        <v>3045.66055045872</v>
      </c>
      <c r="I70" s="487">
        <f>G70*H70</f>
        <v>26527.7033944955</v>
      </c>
      <c r="J70" s="487">
        <f t="shared" ref="J70:L70" si="103">+G70</f>
        <v>8.71</v>
      </c>
      <c r="K70" s="487">
        <f t="shared" si="103"/>
        <v>3045.66055045872</v>
      </c>
      <c r="L70" s="487">
        <f t="shared" si="103"/>
        <v>26527.7033944955</v>
      </c>
      <c r="M70" s="487">
        <f>G70</f>
        <v>8.71</v>
      </c>
      <c r="N70" s="487">
        <f ca="1">O70/M70</f>
        <v>2819.26400688863</v>
      </c>
      <c r="O70" s="487">
        <f ca="1">(+O71+O72+O73+O74+O75)</f>
        <v>24555.7895</v>
      </c>
      <c r="P70" s="487"/>
      <c r="Q70" s="487"/>
      <c r="R70" s="487">
        <f>+P70+J70</f>
        <v>8.71</v>
      </c>
      <c r="S70" s="487">
        <f>+Q70+L70</f>
        <v>26527.7033944955</v>
      </c>
      <c r="T70" s="487">
        <f>IFERROR(VLOOKUP(A70,产值统计中间表!A:F,7,FALSE),0)</f>
        <v>0</v>
      </c>
      <c r="U70" s="487">
        <f>+T70*H70</f>
        <v>0</v>
      </c>
      <c r="V70" s="487">
        <f>IFERROR(VLOOKUP(A70,产值统计中间表!A:D,4,FALSE),0)</f>
        <v>2500</v>
      </c>
      <c r="W70" s="487">
        <f>+V70*H70</f>
        <v>7614151.3761468</v>
      </c>
      <c r="X70" s="487">
        <f>+R70-V70</f>
        <v>-2491.29</v>
      </c>
      <c r="Y70" s="487">
        <f>+S70-W70</f>
        <v>-7587623.6727523</v>
      </c>
      <c r="Z70" s="487">
        <f>IFERROR(VLOOKUP(A70,业主统计中间表!A:D,4,FALSE),0)</f>
        <v>2000</v>
      </c>
      <c r="AA70" s="487">
        <f>+Z70*H70</f>
        <v>6091321.10091744</v>
      </c>
      <c r="AB70" s="487"/>
    </row>
    <row r="71" customFormat="1" customHeight="1" outlineLevel="3" spans="1:28">
      <c r="A71" s="490" t="s">
        <v>2518</v>
      </c>
      <c r="B71" s="487"/>
      <c r="C71" s="487" t="s">
        <v>64</v>
      </c>
      <c r="D71" s="487" t="s">
        <v>752</v>
      </c>
      <c r="E71" s="487"/>
      <c r="F71" s="487" t="str">
        <f ca="1" t="shared" ref="F71:F75" si="104">VLOOKUP($D71,INDIRECT($C71),2,0)</f>
        <v>m3</v>
      </c>
      <c r="G71" s="487"/>
      <c r="H71" s="487"/>
      <c r="I71" s="487"/>
      <c r="J71" s="487"/>
      <c r="K71" s="487"/>
      <c r="L71" s="487"/>
      <c r="M71" s="487">
        <v>8.75355</v>
      </c>
      <c r="N71" s="487">
        <f ca="1" t="shared" ref="N71:N75" si="105">VLOOKUP($D71,INDIRECT($C71),3,0)</f>
        <v>30</v>
      </c>
      <c r="O71" s="487">
        <f ca="1">M71*N71</f>
        <v>262.6065</v>
      </c>
      <c r="P71" s="487"/>
      <c r="Q71" s="487"/>
      <c r="R71" s="487"/>
      <c r="S71" s="487"/>
      <c r="T71" s="487">
        <f ca="1" t="shared" ref="T71:T75" si="106">OFFSET(T71,-RIGHT($A71,LEN($A$6)),,1,1)/OFFSET(T71,-RIGHT($A71,LEN($A$6)),-13,1,1)*$M71</f>
        <v>0</v>
      </c>
      <c r="U71" s="487">
        <f ca="1" t="shared" ref="U71:U75" si="107">+$N71*T71</f>
        <v>0</v>
      </c>
      <c r="V71" s="487">
        <f ca="1" t="shared" ref="V71:V75" si="108">OFFSET(V71,-RIGHT($A71,LEN($A$6)),,1,1)/OFFSET(V71,-RIGHT($A71,LEN($A$6)),-15,1,1)*$M71</f>
        <v>2512.5</v>
      </c>
      <c r="W71" s="487">
        <f ca="1" t="shared" ref="W71:W75" si="109">+$N71*V71</f>
        <v>75375</v>
      </c>
      <c r="X71" s="487">
        <f ca="1" t="shared" ref="X71:X75" si="110">+M71-V71</f>
        <v>-2503.74645</v>
      </c>
      <c r="Y71" s="487">
        <f ca="1" t="shared" ref="Y71:Y75" si="111">+O71-W71</f>
        <v>-75112.3935</v>
      </c>
      <c r="Z71" s="487">
        <f ca="1" t="shared" ref="Z71:Z75" si="112">OFFSET(Z71,-RIGHT($A71,LEN($A$6)),,1,1)/OFFSET(Z71,-RIGHT($A71,LEN($A$6)),-19,1,1)*$M71</f>
        <v>2010</v>
      </c>
      <c r="AA71" s="487">
        <f ca="1" t="shared" ref="AA71:AA75" si="113">+$N71*Z71</f>
        <v>60300</v>
      </c>
      <c r="AB71" s="487"/>
    </row>
    <row r="72" customFormat="1" customHeight="1" outlineLevel="3" spans="1:28">
      <c r="A72" s="490" t="s">
        <v>2519</v>
      </c>
      <c r="B72" s="487"/>
      <c r="C72" s="487" t="s">
        <v>64</v>
      </c>
      <c r="D72" s="487" t="s">
        <v>262</v>
      </c>
      <c r="E72" s="487" t="s">
        <v>1352</v>
      </c>
      <c r="F72" s="487" t="str">
        <f ca="1" t="shared" si="104"/>
        <v>m2</v>
      </c>
      <c r="G72" s="487"/>
      <c r="H72" s="487"/>
      <c r="I72" s="487"/>
      <c r="J72" s="487"/>
      <c r="K72" s="487"/>
      <c r="L72" s="487"/>
      <c r="M72" s="487">
        <f>G70*2</f>
        <v>17.42</v>
      </c>
      <c r="N72" s="487">
        <f ca="1" t="shared" si="105"/>
        <v>55</v>
      </c>
      <c r="O72" s="487">
        <f ca="1">M72*N72</f>
        <v>958.1</v>
      </c>
      <c r="P72" s="487"/>
      <c r="Q72" s="487"/>
      <c r="R72" s="487"/>
      <c r="S72" s="487"/>
      <c r="T72" s="487">
        <f ca="1" t="shared" si="106"/>
        <v>0</v>
      </c>
      <c r="U72" s="487">
        <f ca="1" t="shared" si="107"/>
        <v>0</v>
      </c>
      <c r="V72" s="487">
        <f ca="1" t="shared" si="108"/>
        <v>5000</v>
      </c>
      <c r="W72" s="487">
        <f ca="1" t="shared" si="109"/>
        <v>275000</v>
      </c>
      <c r="X72" s="487">
        <f ca="1" t="shared" si="110"/>
        <v>-4982.58</v>
      </c>
      <c r="Y72" s="487">
        <f ca="1" t="shared" si="111"/>
        <v>-274041.9</v>
      </c>
      <c r="Z72" s="487">
        <f ca="1" t="shared" si="112"/>
        <v>4000</v>
      </c>
      <c r="AA72" s="487">
        <f ca="1" t="shared" si="113"/>
        <v>220000</v>
      </c>
      <c r="AB72" s="487"/>
    </row>
    <row r="73" customFormat="1" customHeight="1" outlineLevel="3" spans="1:28">
      <c r="A73" s="490" t="s">
        <v>2520</v>
      </c>
      <c r="B73" s="487"/>
      <c r="C73" s="487" t="s">
        <v>59</v>
      </c>
      <c r="D73" s="487" t="s">
        <v>812</v>
      </c>
      <c r="E73" s="487"/>
      <c r="F73" s="487" t="str">
        <f ca="1" t="shared" si="104"/>
        <v>m³</v>
      </c>
      <c r="G73" s="487"/>
      <c r="H73" s="487"/>
      <c r="I73" s="487"/>
      <c r="J73" s="487"/>
      <c r="K73" s="487"/>
      <c r="L73" s="487"/>
      <c r="M73" s="487">
        <v>8.75355</v>
      </c>
      <c r="N73" s="487">
        <f ca="1" t="shared" si="105"/>
        <v>460</v>
      </c>
      <c r="O73" s="487">
        <f ca="1">M73*N73</f>
        <v>4026.633</v>
      </c>
      <c r="P73" s="487"/>
      <c r="Q73" s="487"/>
      <c r="R73" s="487"/>
      <c r="S73" s="487"/>
      <c r="T73" s="487">
        <f ca="1" t="shared" si="106"/>
        <v>0</v>
      </c>
      <c r="U73" s="487">
        <f ca="1" t="shared" si="107"/>
        <v>0</v>
      </c>
      <c r="V73" s="487">
        <f ca="1" t="shared" si="108"/>
        <v>2512.5</v>
      </c>
      <c r="W73" s="487">
        <f ca="1" t="shared" si="109"/>
        <v>1155750</v>
      </c>
      <c r="X73" s="487">
        <f ca="1" t="shared" si="110"/>
        <v>-2503.74645</v>
      </c>
      <c r="Y73" s="487">
        <f ca="1" t="shared" si="111"/>
        <v>-1151723.367</v>
      </c>
      <c r="Z73" s="487">
        <f ca="1" t="shared" si="112"/>
        <v>2010</v>
      </c>
      <c r="AA73" s="487">
        <f ca="1" t="shared" si="113"/>
        <v>924600</v>
      </c>
      <c r="AB73" s="487"/>
    </row>
    <row r="74" customFormat="1" customHeight="1" outlineLevel="3" spans="1:28">
      <c r="A74" s="490" t="s">
        <v>2521</v>
      </c>
      <c r="B74" s="487"/>
      <c r="C74" s="487" t="s">
        <v>59</v>
      </c>
      <c r="D74" s="487" t="s">
        <v>480</v>
      </c>
      <c r="E74" s="487" t="str">
        <f ca="1">"含钢量："&amp;ROUND($M$74/$G$70,3)&amp;$F$74&amp;"/"&amp;$F$70</f>
        <v>含钢量：0.452t/m3</v>
      </c>
      <c r="F74" s="487" t="str">
        <f ca="1" t="shared" si="104"/>
        <v>t</v>
      </c>
      <c r="G74" s="487"/>
      <c r="H74" s="487"/>
      <c r="I74" s="487"/>
      <c r="J74" s="487"/>
      <c r="K74" s="487"/>
      <c r="L74" s="487"/>
      <c r="M74" s="487">
        <v>3.9405</v>
      </c>
      <c r="N74" s="487">
        <f ca="1" t="shared" si="105"/>
        <v>4200</v>
      </c>
      <c r="O74" s="487">
        <f ca="1">M74*N74</f>
        <v>16550.1</v>
      </c>
      <c r="P74" s="487"/>
      <c r="Q74" s="487"/>
      <c r="R74" s="487"/>
      <c r="S74" s="487"/>
      <c r="T74" s="487">
        <f ca="1" t="shared" si="106"/>
        <v>0</v>
      </c>
      <c r="U74" s="487">
        <f ca="1" t="shared" si="107"/>
        <v>0</v>
      </c>
      <c r="V74" s="487">
        <f ca="1" t="shared" si="108"/>
        <v>1131.02755453502</v>
      </c>
      <c r="W74" s="487">
        <f ca="1" t="shared" si="109"/>
        <v>4750315.72904707</v>
      </c>
      <c r="X74" s="487">
        <f ca="1" t="shared" si="110"/>
        <v>-1127.08705453502</v>
      </c>
      <c r="Y74" s="487">
        <f ca="1" t="shared" si="111"/>
        <v>-4733765.62904707</v>
      </c>
      <c r="Z74" s="487">
        <f ca="1" t="shared" si="112"/>
        <v>904.822043628014</v>
      </c>
      <c r="AA74" s="487">
        <f ca="1" t="shared" si="113"/>
        <v>3800252.58323766</v>
      </c>
      <c r="AB74" s="487"/>
    </row>
    <row r="75" customFormat="1" customHeight="1" outlineLevel="3" spans="1:28">
      <c r="A75" s="490" t="s">
        <v>2522</v>
      </c>
      <c r="B75" s="487"/>
      <c r="C75" s="487" t="s">
        <v>64</v>
      </c>
      <c r="D75" s="487" t="s">
        <v>296</v>
      </c>
      <c r="E75" s="487"/>
      <c r="F75" s="487" t="str">
        <f ca="1" t="shared" si="104"/>
        <v>t</v>
      </c>
      <c r="G75" s="487"/>
      <c r="H75" s="487"/>
      <c r="I75" s="487"/>
      <c r="J75" s="487"/>
      <c r="K75" s="487"/>
      <c r="L75" s="487"/>
      <c r="M75" s="487">
        <v>3.9405</v>
      </c>
      <c r="N75" s="487">
        <f ca="1" t="shared" si="105"/>
        <v>700</v>
      </c>
      <c r="O75" s="487">
        <f ca="1">M75*N75</f>
        <v>2758.35</v>
      </c>
      <c r="P75" s="487"/>
      <c r="Q75" s="487"/>
      <c r="R75" s="487"/>
      <c r="S75" s="487"/>
      <c r="T75" s="487">
        <f ca="1" t="shared" si="106"/>
        <v>0</v>
      </c>
      <c r="U75" s="487">
        <f ca="1" t="shared" si="107"/>
        <v>0</v>
      </c>
      <c r="V75" s="487">
        <f ca="1" t="shared" si="108"/>
        <v>1131.02755453502</v>
      </c>
      <c r="W75" s="487">
        <f ca="1" t="shared" si="109"/>
        <v>791719.288174512</v>
      </c>
      <c r="X75" s="487">
        <f ca="1" t="shared" si="110"/>
        <v>-1127.08705453502</v>
      </c>
      <c r="Y75" s="487">
        <f ca="1" t="shared" si="111"/>
        <v>-788960.938174512</v>
      </c>
      <c r="Z75" s="487">
        <f ca="1" t="shared" si="112"/>
        <v>904.822043628014</v>
      </c>
      <c r="AA75" s="487">
        <f ca="1" t="shared" si="113"/>
        <v>633375.43053961</v>
      </c>
      <c r="AB75" s="487"/>
    </row>
    <row r="76" customFormat="1" customHeight="1" outlineLevel="2" spans="1:28">
      <c r="A76" s="489" t="s">
        <v>2523</v>
      </c>
      <c r="B76" s="487"/>
      <c r="C76" s="487" t="s">
        <v>1309</v>
      </c>
      <c r="D76" s="487" t="s">
        <v>2524</v>
      </c>
      <c r="E76" s="487" t="s">
        <v>2472</v>
      </c>
      <c r="F76" s="487" t="s">
        <v>72</v>
      </c>
      <c r="G76" s="487">
        <v>6</v>
      </c>
      <c r="H76" s="487">
        <v>3833.79816513761</v>
      </c>
      <c r="I76" s="487">
        <f>G76*H76</f>
        <v>23002.7889908257</v>
      </c>
      <c r="J76" s="487">
        <f t="shared" ref="J76:L76" si="114">+G76</f>
        <v>6</v>
      </c>
      <c r="K76" s="487">
        <f t="shared" si="114"/>
        <v>3833.79816513761</v>
      </c>
      <c r="L76" s="487">
        <f t="shared" si="114"/>
        <v>23002.7889908257</v>
      </c>
      <c r="M76" s="487">
        <f>G76</f>
        <v>6</v>
      </c>
      <c r="N76" s="487">
        <f ca="1">O76/M76</f>
        <v>3537.675</v>
      </c>
      <c r="O76" s="487">
        <f ca="1">(+O77+O78+O79+O80+O81)</f>
        <v>21226.05</v>
      </c>
      <c r="P76" s="487"/>
      <c r="Q76" s="487"/>
      <c r="R76" s="487">
        <f>+P76+J76</f>
        <v>6</v>
      </c>
      <c r="S76" s="487">
        <f>+Q76+L76</f>
        <v>23002.7889908257</v>
      </c>
      <c r="T76" s="487">
        <f>IFERROR(VLOOKUP(A76,产值统计中间表!A:F,7,FALSE),0)</f>
        <v>0</v>
      </c>
      <c r="U76" s="487">
        <f>+T76*H76</f>
        <v>0</v>
      </c>
      <c r="V76" s="487">
        <f>IFERROR(VLOOKUP(A76,产值统计中间表!A:D,4,FALSE),0)</f>
        <v>0</v>
      </c>
      <c r="W76" s="487">
        <f>+V76*H76</f>
        <v>0</v>
      </c>
      <c r="X76" s="487">
        <f>+R76-V76</f>
        <v>6</v>
      </c>
      <c r="Y76" s="487">
        <f>+S76-W76</f>
        <v>23002.7889908257</v>
      </c>
      <c r="Z76" s="487">
        <f>IFERROR(VLOOKUP(A76,业主统计中间表!A:D,4,FALSE),0)</f>
        <v>0</v>
      </c>
      <c r="AA76" s="487">
        <f>+Z76*H76</f>
        <v>0</v>
      </c>
      <c r="AB76" s="487"/>
    </row>
    <row r="77" customFormat="1" customHeight="1" outlineLevel="3" spans="1:28">
      <c r="A77" s="490" t="s">
        <v>2525</v>
      </c>
      <c r="B77" s="487"/>
      <c r="C77" s="487" t="s">
        <v>64</v>
      </c>
      <c r="D77" s="487" t="s">
        <v>752</v>
      </c>
      <c r="E77" s="487"/>
      <c r="F77" s="487" t="str">
        <f ca="1" t="shared" ref="F77:F81" si="115">VLOOKUP($D77,INDIRECT($C77),2,0)</f>
        <v>m3</v>
      </c>
      <c r="G77" s="487"/>
      <c r="H77" s="487"/>
      <c r="I77" s="487"/>
      <c r="J77" s="487"/>
      <c r="K77" s="487"/>
      <c r="L77" s="487"/>
      <c r="M77" s="487">
        <v>6.03</v>
      </c>
      <c r="N77" s="487">
        <f ca="1" t="shared" ref="N77:N81" si="116">VLOOKUP($D77,INDIRECT($C77),3,0)</f>
        <v>30</v>
      </c>
      <c r="O77" s="487">
        <f ca="1">M77*N77</f>
        <v>180.9</v>
      </c>
      <c r="P77" s="487"/>
      <c r="Q77" s="487"/>
      <c r="R77" s="487"/>
      <c r="S77" s="487"/>
      <c r="T77" s="487">
        <f ca="1" t="shared" ref="T77:T81" si="117">OFFSET(T77,-RIGHT($A77,LEN($A$6)),,1,1)/OFFSET(T77,-RIGHT($A77,LEN($A$6)),-13,1,1)*$M77</f>
        <v>0</v>
      </c>
      <c r="U77" s="487">
        <f ca="1" t="shared" ref="U77:U81" si="118">+$N77*T77</f>
        <v>0</v>
      </c>
      <c r="V77" s="487">
        <f ca="1" t="shared" ref="V77:V81" si="119">OFFSET(V77,-RIGHT($A77,LEN($A$6)),,1,1)/OFFSET(V77,-RIGHT($A77,LEN($A$6)),-15,1,1)*$M77</f>
        <v>0</v>
      </c>
      <c r="W77" s="487">
        <f ca="1" t="shared" ref="W77:W81" si="120">+$N77*V77</f>
        <v>0</v>
      </c>
      <c r="X77" s="487">
        <f ca="1" t="shared" ref="X77:X81" si="121">+M77-V77</f>
        <v>6.03</v>
      </c>
      <c r="Y77" s="487">
        <f ca="1" t="shared" ref="Y77:Y81" si="122">+O77-W77</f>
        <v>180.9</v>
      </c>
      <c r="Z77" s="487">
        <f ca="1" t="shared" ref="Z77:Z81" si="123">OFFSET(Z77,-RIGHT($A77,LEN($A$6)),,1,1)/OFFSET(Z77,-RIGHT($A77,LEN($A$6)),-19,1,1)*$M77</f>
        <v>0</v>
      </c>
      <c r="AA77" s="487">
        <f ca="1" t="shared" ref="AA77:AA81" si="124">+$N77*Z77</f>
        <v>0</v>
      </c>
      <c r="AB77" s="487"/>
    </row>
    <row r="78" customFormat="1" customHeight="1" outlineLevel="3" spans="1:28">
      <c r="A78" s="490" t="s">
        <v>2526</v>
      </c>
      <c r="B78" s="487"/>
      <c r="C78" s="487" t="s">
        <v>64</v>
      </c>
      <c r="D78" s="487" t="s">
        <v>262</v>
      </c>
      <c r="E78" s="487"/>
      <c r="F78" s="487" t="str">
        <f ca="1" t="shared" si="115"/>
        <v>m2</v>
      </c>
      <c r="G78" s="487"/>
      <c r="H78" s="487"/>
      <c r="I78" s="487"/>
      <c r="J78" s="487"/>
      <c r="K78" s="487"/>
      <c r="L78" s="487"/>
      <c r="M78" s="487">
        <v>18</v>
      </c>
      <c r="N78" s="487">
        <f ca="1" t="shared" si="116"/>
        <v>55</v>
      </c>
      <c r="O78" s="487">
        <f ca="1">M78*N78</f>
        <v>990</v>
      </c>
      <c r="P78" s="487"/>
      <c r="Q78" s="487"/>
      <c r="R78" s="487"/>
      <c r="S78" s="487"/>
      <c r="T78" s="487">
        <f ca="1" t="shared" si="117"/>
        <v>0</v>
      </c>
      <c r="U78" s="487">
        <f ca="1" t="shared" si="118"/>
        <v>0</v>
      </c>
      <c r="V78" s="487">
        <f ca="1" t="shared" si="119"/>
        <v>0</v>
      </c>
      <c r="W78" s="487">
        <f ca="1" t="shared" si="120"/>
        <v>0</v>
      </c>
      <c r="X78" s="487">
        <f ca="1" t="shared" si="121"/>
        <v>18</v>
      </c>
      <c r="Y78" s="487">
        <f ca="1" t="shared" si="122"/>
        <v>990</v>
      </c>
      <c r="Z78" s="487">
        <f ca="1" t="shared" si="123"/>
        <v>0</v>
      </c>
      <c r="AA78" s="487">
        <f ca="1" t="shared" si="124"/>
        <v>0</v>
      </c>
      <c r="AB78" s="487"/>
    </row>
    <row r="79" customFormat="1" customHeight="1" outlineLevel="3" spans="1:28">
      <c r="A79" s="490" t="s">
        <v>2527</v>
      </c>
      <c r="B79" s="487"/>
      <c r="C79" s="487" t="s">
        <v>64</v>
      </c>
      <c r="D79" s="487" t="s">
        <v>296</v>
      </c>
      <c r="E79" s="487"/>
      <c r="F79" s="487" t="str">
        <f ca="1" t="shared" si="115"/>
        <v>t</v>
      </c>
      <c r="G79" s="487"/>
      <c r="H79" s="487"/>
      <c r="I79" s="487"/>
      <c r="J79" s="487"/>
      <c r="K79" s="487"/>
      <c r="L79" s="487"/>
      <c r="M79" s="487">
        <v>3.5145</v>
      </c>
      <c r="N79" s="487">
        <f ca="1" t="shared" si="116"/>
        <v>700</v>
      </c>
      <c r="O79" s="487">
        <f ca="1">M79*N79</f>
        <v>2460.15</v>
      </c>
      <c r="P79" s="487"/>
      <c r="Q79" s="487"/>
      <c r="R79" s="487"/>
      <c r="S79" s="487"/>
      <c r="T79" s="487">
        <f ca="1" t="shared" si="117"/>
        <v>0</v>
      </c>
      <c r="U79" s="487">
        <f ca="1" t="shared" si="118"/>
        <v>0</v>
      </c>
      <c r="V79" s="487">
        <f ca="1" t="shared" si="119"/>
        <v>0</v>
      </c>
      <c r="W79" s="487">
        <f ca="1" t="shared" si="120"/>
        <v>0</v>
      </c>
      <c r="X79" s="487">
        <f ca="1" t="shared" si="121"/>
        <v>3.5145</v>
      </c>
      <c r="Y79" s="487">
        <f ca="1" t="shared" si="122"/>
        <v>2460.15</v>
      </c>
      <c r="Z79" s="487">
        <f ca="1" t="shared" si="123"/>
        <v>0</v>
      </c>
      <c r="AA79" s="487">
        <f ca="1" t="shared" si="124"/>
        <v>0</v>
      </c>
      <c r="AB79" s="487"/>
    </row>
    <row r="80" customFormat="1" customHeight="1" outlineLevel="3" spans="1:28">
      <c r="A80" s="490" t="s">
        <v>2528</v>
      </c>
      <c r="B80" s="487"/>
      <c r="C80" s="487" t="s">
        <v>59</v>
      </c>
      <c r="D80" s="487" t="s">
        <v>480</v>
      </c>
      <c r="E80" s="487" t="str">
        <f ca="1">"含钢量："&amp;ROUND($M$80/$G$76,3)&amp;$F$80&amp;"/"&amp;$F$76</f>
        <v>含钢量：0.586t/m3</v>
      </c>
      <c r="F80" s="487" t="str">
        <f ca="1" t="shared" si="115"/>
        <v>t</v>
      </c>
      <c r="G80" s="487"/>
      <c r="H80" s="487"/>
      <c r="I80" s="487"/>
      <c r="J80" s="487"/>
      <c r="K80" s="487"/>
      <c r="L80" s="487"/>
      <c r="M80" s="487">
        <v>3.5145</v>
      </c>
      <c r="N80" s="487">
        <f ca="1" t="shared" si="116"/>
        <v>4200</v>
      </c>
      <c r="O80" s="487">
        <f ca="1">M80*N80</f>
        <v>14760.9</v>
      </c>
      <c r="P80" s="487"/>
      <c r="Q80" s="487"/>
      <c r="R80" s="487"/>
      <c r="S80" s="487"/>
      <c r="T80" s="487">
        <f ca="1" t="shared" si="117"/>
        <v>0</v>
      </c>
      <c r="U80" s="487">
        <f ca="1" t="shared" si="118"/>
        <v>0</v>
      </c>
      <c r="V80" s="487">
        <f ca="1" t="shared" si="119"/>
        <v>0</v>
      </c>
      <c r="W80" s="487">
        <f ca="1" t="shared" si="120"/>
        <v>0</v>
      </c>
      <c r="X80" s="487">
        <f ca="1" t="shared" si="121"/>
        <v>3.5145</v>
      </c>
      <c r="Y80" s="487">
        <f ca="1" t="shared" si="122"/>
        <v>14760.9</v>
      </c>
      <c r="Z80" s="487">
        <f ca="1" t="shared" si="123"/>
        <v>0</v>
      </c>
      <c r="AA80" s="487">
        <f ca="1" t="shared" si="124"/>
        <v>0</v>
      </c>
      <c r="AB80" s="487"/>
    </row>
    <row r="81" customFormat="1" customHeight="1" outlineLevel="3" spans="1:28">
      <c r="A81" s="490" t="s">
        <v>2529</v>
      </c>
      <c r="B81" s="487"/>
      <c r="C81" s="487" t="s">
        <v>59</v>
      </c>
      <c r="D81" s="487" t="s">
        <v>796</v>
      </c>
      <c r="E81" s="487"/>
      <c r="F81" s="487" t="str">
        <f ca="1" t="shared" si="115"/>
        <v>m³</v>
      </c>
      <c r="G81" s="487"/>
      <c r="H81" s="487"/>
      <c r="I81" s="487"/>
      <c r="J81" s="487"/>
      <c r="K81" s="487"/>
      <c r="L81" s="487"/>
      <c r="M81" s="487">
        <v>6.03</v>
      </c>
      <c r="N81" s="487">
        <f ca="1" t="shared" si="116"/>
        <v>470</v>
      </c>
      <c r="O81" s="487">
        <f ca="1">M81*N81</f>
        <v>2834.1</v>
      </c>
      <c r="P81" s="487"/>
      <c r="Q81" s="487"/>
      <c r="R81" s="487"/>
      <c r="S81" s="487"/>
      <c r="T81" s="487">
        <f ca="1" t="shared" si="117"/>
        <v>0</v>
      </c>
      <c r="U81" s="487">
        <f ca="1" t="shared" si="118"/>
        <v>0</v>
      </c>
      <c r="V81" s="487">
        <f ca="1" t="shared" si="119"/>
        <v>0</v>
      </c>
      <c r="W81" s="487">
        <f ca="1" t="shared" si="120"/>
        <v>0</v>
      </c>
      <c r="X81" s="487">
        <f ca="1" t="shared" si="121"/>
        <v>6.03</v>
      </c>
      <c r="Y81" s="487">
        <f ca="1" t="shared" si="122"/>
        <v>2834.1</v>
      </c>
      <c r="Z81" s="487">
        <f ca="1" t="shared" si="123"/>
        <v>0</v>
      </c>
      <c r="AA81" s="487">
        <f ca="1" t="shared" si="124"/>
        <v>0</v>
      </c>
      <c r="AB81" s="487"/>
    </row>
    <row r="82" customFormat="1" customHeight="1" outlineLevel="2" spans="1:28">
      <c r="A82" s="489" t="s">
        <v>2530</v>
      </c>
      <c r="B82" s="487"/>
      <c r="C82" s="487" t="s">
        <v>1309</v>
      </c>
      <c r="D82" s="487" t="s">
        <v>2531</v>
      </c>
      <c r="E82" s="487" t="s">
        <v>2472</v>
      </c>
      <c r="F82" s="487" t="s">
        <v>72</v>
      </c>
      <c r="G82" s="487">
        <v>6</v>
      </c>
      <c r="H82" s="487">
        <v>3823.7247706422</v>
      </c>
      <c r="I82" s="487">
        <f>G82*H82</f>
        <v>22942.3486238532</v>
      </c>
      <c r="J82" s="487">
        <f t="shared" ref="J82:L82" si="125">+G82</f>
        <v>6</v>
      </c>
      <c r="K82" s="487">
        <f t="shared" si="125"/>
        <v>3823.7247706422</v>
      </c>
      <c r="L82" s="487">
        <f t="shared" si="125"/>
        <v>22942.3486238532</v>
      </c>
      <c r="M82" s="487">
        <f>G82</f>
        <v>6</v>
      </c>
      <c r="N82" s="487">
        <f ca="1">O82/M82</f>
        <v>3527.625</v>
      </c>
      <c r="O82" s="487">
        <f ca="1">(+O83+O84+O85+O86+O87)</f>
        <v>21165.75</v>
      </c>
      <c r="P82" s="487"/>
      <c r="Q82" s="487"/>
      <c r="R82" s="487">
        <f>+P82+J82</f>
        <v>6</v>
      </c>
      <c r="S82" s="487">
        <f>+Q82+L82</f>
        <v>22942.3486238532</v>
      </c>
      <c r="T82" s="487">
        <f>IFERROR(VLOOKUP(A82,产值统计中间表!A:F,7,FALSE),0)</f>
        <v>0</v>
      </c>
      <c r="U82" s="487">
        <f>+T82*H82</f>
        <v>0</v>
      </c>
      <c r="V82" s="487">
        <f>IFERROR(VLOOKUP(A82,产值统计中间表!A:D,4,FALSE),0)</f>
        <v>1500</v>
      </c>
      <c r="W82" s="487">
        <f>+V82*H82</f>
        <v>5735587.1559633</v>
      </c>
      <c r="X82" s="487">
        <f>+R82-V82</f>
        <v>-1494</v>
      </c>
      <c r="Y82" s="487">
        <f>+S82-W82</f>
        <v>-5712644.80733945</v>
      </c>
      <c r="Z82" s="487">
        <f>IFERROR(VLOOKUP(A82,业主统计中间表!A:D,4,FALSE),0)</f>
        <v>1500</v>
      </c>
      <c r="AA82" s="487">
        <f>+Z82*H82</f>
        <v>5735587.1559633</v>
      </c>
      <c r="AB82" s="487"/>
    </row>
    <row r="83" customFormat="1" customHeight="1" outlineLevel="3" spans="1:28">
      <c r="A83" s="490" t="s">
        <v>2532</v>
      </c>
      <c r="B83" s="487"/>
      <c r="C83" s="487" t="s">
        <v>64</v>
      </c>
      <c r="D83" s="487" t="s">
        <v>752</v>
      </c>
      <c r="E83" s="487"/>
      <c r="F83" s="487" t="str">
        <f ca="1" t="shared" ref="F83:F87" si="126">VLOOKUP($D83,INDIRECT($C83),2,0)</f>
        <v>m3</v>
      </c>
      <c r="G83" s="487"/>
      <c r="H83" s="487"/>
      <c r="I83" s="487"/>
      <c r="J83" s="487"/>
      <c r="K83" s="487"/>
      <c r="L83" s="487"/>
      <c r="M83" s="487">
        <v>6.03</v>
      </c>
      <c r="N83" s="487">
        <f ca="1" t="shared" ref="N83:N87" si="127">VLOOKUP($D83,INDIRECT($C83),3,0)</f>
        <v>30</v>
      </c>
      <c r="O83" s="487">
        <f ca="1">M83*N83</f>
        <v>180.9</v>
      </c>
      <c r="P83" s="487"/>
      <c r="Q83" s="487"/>
      <c r="R83" s="487"/>
      <c r="S83" s="487"/>
      <c r="T83" s="487">
        <f ca="1" t="shared" ref="T83:T87" si="128">OFFSET(T83,-RIGHT($A83,LEN($A$6)),,1,1)/OFFSET(T83,-RIGHT($A83,LEN($A$6)),-13,1,1)*$M83</f>
        <v>0</v>
      </c>
      <c r="U83" s="487">
        <f ca="1" t="shared" ref="U83:U87" si="129">+$N83*T83</f>
        <v>0</v>
      </c>
      <c r="V83" s="487">
        <f ca="1" t="shared" ref="V83:V87" si="130">OFFSET(V83,-RIGHT($A83,LEN($A$6)),,1,1)/OFFSET(V83,-RIGHT($A83,LEN($A$6)),-15,1,1)*$M83</f>
        <v>1507.5</v>
      </c>
      <c r="W83" s="487">
        <f ca="1" t="shared" ref="W83:W87" si="131">+$N83*V83</f>
        <v>45225</v>
      </c>
      <c r="X83" s="487">
        <f ca="1" t="shared" ref="X83:X87" si="132">+M83-V83</f>
        <v>-1501.47</v>
      </c>
      <c r="Y83" s="487">
        <f ca="1" t="shared" ref="Y83:Y87" si="133">+O83-W83</f>
        <v>-45044.1</v>
      </c>
      <c r="Z83" s="487">
        <f ca="1" t="shared" ref="Z83:Z87" si="134">OFFSET(Z83,-RIGHT($A83,LEN($A$6)),,1,1)/OFFSET(Z83,-RIGHT($A83,LEN($A$6)),-19,1,1)*$M83</f>
        <v>1507.5</v>
      </c>
      <c r="AA83" s="487">
        <f ca="1" t="shared" ref="AA83:AA87" si="135">+$N83*Z83</f>
        <v>45225</v>
      </c>
      <c r="AB83" s="487"/>
    </row>
    <row r="84" customFormat="1" customHeight="1" outlineLevel="3" spans="1:28">
      <c r="A84" s="490" t="s">
        <v>2533</v>
      </c>
      <c r="B84" s="487"/>
      <c r="C84" s="487" t="s">
        <v>64</v>
      </c>
      <c r="D84" s="487" t="s">
        <v>262</v>
      </c>
      <c r="E84" s="487"/>
      <c r="F84" s="487" t="str">
        <f ca="1" t="shared" si="126"/>
        <v>m2</v>
      </c>
      <c r="G84" s="487"/>
      <c r="H84" s="487"/>
      <c r="I84" s="487"/>
      <c r="J84" s="487"/>
      <c r="K84" s="487"/>
      <c r="L84" s="487"/>
      <c r="M84" s="487">
        <v>18</v>
      </c>
      <c r="N84" s="487">
        <f ca="1" t="shared" si="127"/>
        <v>55</v>
      </c>
      <c r="O84" s="487">
        <f ca="1">M84*N84</f>
        <v>990</v>
      </c>
      <c r="P84" s="487"/>
      <c r="Q84" s="487"/>
      <c r="R84" s="487"/>
      <c r="S84" s="487"/>
      <c r="T84" s="487">
        <f ca="1" t="shared" si="128"/>
        <v>0</v>
      </c>
      <c r="U84" s="487">
        <f ca="1" t="shared" si="129"/>
        <v>0</v>
      </c>
      <c r="V84" s="487">
        <f ca="1" t="shared" si="130"/>
        <v>4500</v>
      </c>
      <c r="W84" s="487">
        <f ca="1" t="shared" si="131"/>
        <v>247500</v>
      </c>
      <c r="X84" s="487">
        <f ca="1" t="shared" si="132"/>
        <v>-4482</v>
      </c>
      <c r="Y84" s="487">
        <f ca="1" t="shared" si="133"/>
        <v>-246510</v>
      </c>
      <c r="Z84" s="487">
        <f ca="1" t="shared" si="134"/>
        <v>4500</v>
      </c>
      <c r="AA84" s="487">
        <f ca="1" t="shared" si="135"/>
        <v>247500</v>
      </c>
      <c r="AB84" s="487"/>
    </row>
    <row r="85" customFormat="1" customHeight="1" outlineLevel="3" spans="1:28">
      <c r="A85" s="490" t="s">
        <v>2534</v>
      </c>
      <c r="B85" s="487"/>
      <c r="C85" s="487" t="s">
        <v>64</v>
      </c>
      <c r="D85" s="487" t="s">
        <v>296</v>
      </c>
      <c r="E85" s="487"/>
      <c r="F85" s="487" t="str">
        <f ca="1" t="shared" si="126"/>
        <v>t</v>
      </c>
      <c r="G85" s="487"/>
      <c r="H85" s="487"/>
      <c r="I85" s="487"/>
      <c r="J85" s="487"/>
      <c r="K85" s="487"/>
      <c r="L85" s="487"/>
      <c r="M85" s="487">
        <v>3.5145</v>
      </c>
      <c r="N85" s="487">
        <f ca="1" t="shared" si="127"/>
        <v>700</v>
      </c>
      <c r="O85" s="487">
        <f ca="1">M85*N85</f>
        <v>2460.15</v>
      </c>
      <c r="P85" s="487"/>
      <c r="Q85" s="487"/>
      <c r="R85" s="487"/>
      <c r="S85" s="487"/>
      <c r="T85" s="487">
        <f ca="1" t="shared" si="128"/>
        <v>0</v>
      </c>
      <c r="U85" s="487">
        <f ca="1" t="shared" si="129"/>
        <v>0</v>
      </c>
      <c r="V85" s="487">
        <f ca="1" t="shared" si="130"/>
        <v>878.625</v>
      </c>
      <c r="W85" s="487">
        <f ca="1" t="shared" si="131"/>
        <v>615037.5</v>
      </c>
      <c r="X85" s="487">
        <f ca="1" t="shared" si="132"/>
        <v>-875.1105</v>
      </c>
      <c r="Y85" s="487">
        <f ca="1" t="shared" si="133"/>
        <v>-612577.35</v>
      </c>
      <c r="Z85" s="487">
        <f ca="1" t="shared" si="134"/>
        <v>878.625</v>
      </c>
      <c r="AA85" s="487">
        <f ca="1" t="shared" si="135"/>
        <v>615037.5</v>
      </c>
      <c r="AB85" s="487"/>
    </row>
    <row r="86" customFormat="1" customHeight="1" outlineLevel="3" spans="1:28">
      <c r="A86" s="490" t="s">
        <v>2535</v>
      </c>
      <c r="B86" s="487"/>
      <c r="C86" s="487" t="s">
        <v>59</v>
      </c>
      <c r="D86" s="487" t="s">
        <v>480</v>
      </c>
      <c r="E86" s="487" t="str">
        <f ca="1">"含钢量："&amp;ROUND($M$86/$G$82,3)&amp;$F$86&amp;"/"&amp;$F$82</f>
        <v>含钢量：0.586t/m3</v>
      </c>
      <c r="F86" s="487" t="str">
        <f ca="1" t="shared" si="126"/>
        <v>t</v>
      </c>
      <c r="G86" s="487"/>
      <c r="H86" s="487"/>
      <c r="I86" s="487"/>
      <c r="J86" s="487"/>
      <c r="K86" s="487"/>
      <c r="L86" s="487"/>
      <c r="M86" s="487">
        <v>3.5145</v>
      </c>
      <c r="N86" s="487">
        <f ca="1" t="shared" si="127"/>
        <v>4200</v>
      </c>
      <c r="O86" s="487">
        <f ca="1">M86*N86</f>
        <v>14760.9</v>
      </c>
      <c r="P86" s="487"/>
      <c r="Q86" s="487"/>
      <c r="R86" s="487"/>
      <c r="S86" s="487"/>
      <c r="T86" s="487">
        <f ca="1" t="shared" si="128"/>
        <v>0</v>
      </c>
      <c r="U86" s="487">
        <f ca="1" t="shared" si="129"/>
        <v>0</v>
      </c>
      <c r="V86" s="487">
        <f ca="1" t="shared" si="130"/>
        <v>878.625</v>
      </c>
      <c r="W86" s="487">
        <f ca="1" t="shared" si="131"/>
        <v>3690225</v>
      </c>
      <c r="X86" s="487">
        <f ca="1" t="shared" si="132"/>
        <v>-875.1105</v>
      </c>
      <c r="Y86" s="487">
        <f ca="1" t="shared" si="133"/>
        <v>-3675464.1</v>
      </c>
      <c r="Z86" s="487">
        <f ca="1" t="shared" si="134"/>
        <v>878.625</v>
      </c>
      <c r="AA86" s="487">
        <f ca="1" t="shared" si="135"/>
        <v>3690225</v>
      </c>
      <c r="AB86" s="487"/>
    </row>
    <row r="87" customFormat="1" customHeight="1" outlineLevel="3" spans="1:28">
      <c r="A87" s="490" t="s">
        <v>2536</v>
      </c>
      <c r="B87" s="487"/>
      <c r="C87" s="487" t="s">
        <v>59</v>
      </c>
      <c r="D87" s="487" t="s">
        <v>812</v>
      </c>
      <c r="E87" s="487"/>
      <c r="F87" s="487" t="str">
        <f ca="1" t="shared" si="126"/>
        <v>m³</v>
      </c>
      <c r="G87" s="487"/>
      <c r="H87" s="487"/>
      <c r="I87" s="487"/>
      <c r="J87" s="487"/>
      <c r="K87" s="487"/>
      <c r="L87" s="487"/>
      <c r="M87" s="487">
        <v>6.03</v>
      </c>
      <c r="N87" s="487">
        <f ca="1" t="shared" si="127"/>
        <v>460</v>
      </c>
      <c r="O87" s="487">
        <f ca="1">M87*N87</f>
        <v>2773.8</v>
      </c>
      <c r="P87" s="487"/>
      <c r="Q87" s="487"/>
      <c r="R87" s="487"/>
      <c r="S87" s="487"/>
      <c r="T87" s="487">
        <f ca="1" t="shared" si="128"/>
        <v>0</v>
      </c>
      <c r="U87" s="487">
        <f ca="1" t="shared" si="129"/>
        <v>0</v>
      </c>
      <c r="V87" s="487">
        <f ca="1" t="shared" si="130"/>
        <v>1507.5</v>
      </c>
      <c r="W87" s="487">
        <f ca="1" t="shared" si="131"/>
        <v>693450</v>
      </c>
      <c r="X87" s="487">
        <f ca="1" t="shared" si="132"/>
        <v>-1501.47</v>
      </c>
      <c r="Y87" s="487">
        <f ca="1" t="shared" si="133"/>
        <v>-690676.2</v>
      </c>
      <c r="Z87" s="487">
        <f ca="1" t="shared" si="134"/>
        <v>1507.5</v>
      </c>
      <c r="AA87" s="487">
        <f ca="1" t="shared" si="135"/>
        <v>693450</v>
      </c>
      <c r="AB87" s="487"/>
    </row>
    <row r="88" customFormat="1" customHeight="1" outlineLevel="2" spans="1:28">
      <c r="A88" s="489" t="s">
        <v>2537</v>
      </c>
      <c r="B88" s="487"/>
      <c r="C88" s="487" t="s">
        <v>1309</v>
      </c>
      <c r="D88" s="487" t="s">
        <v>2538</v>
      </c>
      <c r="E88" s="487" t="s">
        <v>2472</v>
      </c>
      <c r="F88" s="487" t="s">
        <v>72</v>
      </c>
      <c r="G88" s="487">
        <v>2166.3</v>
      </c>
      <c r="H88" s="487">
        <v>4120.40366972477</v>
      </c>
      <c r="I88" s="487">
        <f>G88*H88</f>
        <v>8926030.46972477</v>
      </c>
      <c r="J88" s="487">
        <f t="shared" ref="J88:L88" si="136">+G88</f>
        <v>2166.3</v>
      </c>
      <c r="K88" s="487">
        <f t="shared" si="136"/>
        <v>4120.40366972477</v>
      </c>
      <c r="L88" s="487">
        <f t="shared" si="136"/>
        <v>8926030.46972477</v>
      </c>
      <c r="M88" s="487">
        <f>G88</f>
        <v>2166.3</v>
      </c>
      <c r="N88" s="487">
        <f ca="1">O88/M88</f>
        <v>3208.26649125237</v>
      </c>
      <c r="O88" s="487">
        <f ca="1">(+O89+O90+O91+O92)</f>
        <v>6950067.7</v>
      </c>
      <c r="P88" s="487"/>
      <c r="Q88" s="487"/>
      <c r="R88" s="487">
        <f>+P88+J88</f>
        <v>2166.3</v>
      </c>
      <c r="S88" s="487">
        <f>+Q88+L88</f>
        <v>8926030.46972477</v>
      </c>
      <c r="T88" s="487">
        <f>IFERROR(VLOOKUP(A88,产值统计中间表!A:F,7,FALSE),0)</f>
        <v>0</v>
      </c>
      <c r="U88" s="487">
        <f>+T88*H88</f>
        <v>0</v>
      </c>
      <c r="V88" s="487">
        <f>IFERROR(VLOOKUP(A88,产值统计中间表!A:D,4,FALSE),0)</f>
        <v>1500</v>
      </c>
      <c r="W88" s="487">
        <f>+V88*H88</f>
        <v>6180605.50458716</v>
      </c>
      <c r="X88" s="487">
        <f>+R88-V88</f>
        <v>666.3</v>
      </c>
      <c r="Y88" s="487">
        <f>+S88-W88</f>
        <v>2745424.96513761</v>
      </c>
      <c r="Z88" s="487">
        <f>IFERROR(VLOOKUP(A88,业主统计中间表!A:D,4,FALSE),0)</f>
        <v>1500</v>
      </c>
      <c r="AA88" s="487">
        <f>+Z88*H88</f>
        <v>6180605.50458716</v>
      </c>
      <c r="AB88" s="487"/>
    </row>
    <row r="89" customFormat="1" customHeight="1" outlineLevel="3" spans="1:28">
      <c r="A89" s="490" t="s">
        <v>2539</v>
      </c>
      <c r="B89" s="487"/>
      <c r="C89" s="487" t="s">
        <v>64</v>
      </c>
      <c r="D89" s="487" t="s">
        <v>1127</v>
      </c>
      <c r="E89" s="487"/>
      <c r="F89" s="487" t="str">
        <f ca="1" t="shared" ref="F89:F92" si="137">VLOOKUP($D89,INDIRECT($C89),2,0)</f>
        <v>m3</v>
      </c>
      <c r="G89" s="487"/>
      <c r="H89" s="487"/>
      <c r="I89" s="487"/>
      <c r="J89" s="487"/>
      <c r="K89" s="487"/>
      <c r="L89" s="487"/>
      <c r="M89" s="487">
        <v>2228.3</v>
      </c>
      <c r="N89" s="487">
        <f ca="1" t="shared" ref="N89:N92" si="138">VLOOKUP($D89,INDIRECT($C89),3,0)</f>
        <v>160</v>
      </c>
      <c r="O89" s="487">
        <f ca="1">M89*N89</f>
        <v>356528</v>
      </c>
      <c r="P89" s="487"/>
      <c r="Q89" s="487"/>
      <c r="R89" s="487"/>
      <c r="S89" s="487"/>
      <c r="T89" s="487">
        <f ca="1" t="shared" ref="T89:T92" si="139">OFFSET(T89,-RIGHT($A89,LEN($A$6)),,1,1)/OFFSET(T89,-RIGHT($A89,LEN($A$6)),-13,1,1)*$M89</f>
        <v>0</v>
      </c>
      <c r="U89" s="487">
        <f ca="1" t="shared" ref="U89:U92" si="140">+$N89*T89</f>
        <v>0</v>
      </c>
      <c r="V89" s="487">
        <f ca="1" t="shared" ref="V89:V92" si="141">OFFSET(V89,-RIGHT($A89,LEN($A$6)),,1,1)/OFFSET(V89,-RIGHT($A89,LEN($A$6)),-15,1,1)*$M89</f>
        <v>1542.93034205789</v>
      </c>
      <c r="W89" s="487">
        <f ca="1" t="shared" ref="W89:W92" si="142">+$N89*V89</f>
        <v>246868.854729262</v>
      </c>
      <c r="X89" s="487">
        <f ca="1" t="shared" ref="X89:X92" si="143">+M89-V89</f>
        <v>685.369657942113</v>
      </c>
      <c r="Y89" s="487">
        <f ca="1" t="shared" ref="Y89:Y92" si="144">+O89-W89</f>
        <v>109659.145270738</v>
      </c>
      <c r="Z89" s="487">
        <f ca="1" t="shared" ref="Z89:Z92" si="145">OFFSET(Z89,-RIGHT($A89,LEN($A$6)),,1,1)/OFFSET(Z89,-RIGHT($A89,LEN($A$6)),-19,1,1)*$M89</f>
        <v>1542.93034205789</v>
      </c>
      <c r="AA89" s="487">
        <f ca="1" t="shared" ref="AA89:AA92" si="146">+$N89*Z89</f>
        <v>246868.854729262</v>
      </c>
      <c r="AB89" s="487"/>
    </row>
    <row r="90" customFormat="1" customHeight="1" outlineLevel="3" spans="1:28">
      <c r="A90" s="490" t="s">
        <v>2540</v>
      </c>
      <c r="B90" s="487"/>
      <c r="C90" s="487" t="s">
        <v>63</v>
      </c>
      <c r="D90" s="487" t="s">
        <v>1189</v>
      </c>
      <c r="E90" s="487"/>
      <c r="F90" s="487" t="str">
        <f ca="1" t="shared" si="137"/>
        <v>m3</v>
      </c>
      <c r="G90" s="487"/>
      <c r="H90" s="487"/>
      <c r="I90" s="487"/>
      <c r="J90" s="487"/>
      <c r="K90" s="487"/>
      <c r="L90" s="487"/>
      <c r="M90" s="487">
        <v>2228.3</v>
      </c>
      <c r="N90" s="487">
        <f ca="1" t="shared" si="138"/>
        <v>170</v>
      </c>
      <c r="O90" s="487">
        <f ca="1">M90*N90</f>
        <v>378811</v>
      </c>
      <c r="P90" s="487"/>
      <c r="Q90" s="487"/>
      <c r="R90" s="487"/>
      <c r="S90" s="487"/>
      <c r="T90" s="487">
        <f ca="1" t="shared" si="139"/>
        <v>0</v>
      </c>
      <c r="U90" s="487">
        <f ca="1" t="shared" si="140"/>
        <v>0</v>
      </c>
      <c r="V90" s="487">
        <f ca="1" t="shared" si="141"/>
        <v>1542.93034205789</v>
      </c>
      <c r="W90" s="487">
        <f ca="1" t="shared" si="142"/>
        <v>262298.158149841</v>
      </c>
      <c r="X90" s="487">
        <f ca="1" t="shared" si="143"/>
        <v>685.369657942113</v>
      </c>
      <c r="Y90" s="487">
        <f ca="1" t="shared" si="144"/>
        <v>116512.841850159</v>
      </c>
      <c r="Z90" s="487">
        <f ca="1" t="shared" si="145"/>
        <v>1542.93034205789</v>
      </c>
      <c r="AA90" s="487">
        <f ca="1" t="shared" si="146"/>
        <v>262298.158149841</v>
      </c>
      <c r="AB90" s="487"/>
    </row>
    <row r="91" customFormat="1" customHeight="1" outlineLevel="3" spans="1:28">
      <c r="A91" s="490" t="s">
        <v>2541</v>
      </c>
      <c r="B91" s="487"/>
      <c r="C91" s="487" t="s">
        <v>63</v>
      </c>
      <c r="D91" s="487" t="s">
        <v>1190</v>
      </c>
      <c r="E91" s="487"/>
      <c r="F91" s="487" t="str">
        <f ca="1" t="shared" si="137"/>
        <v>m3</v>
      </c>
      <c r="G91" s="487"/>
      <c r="H91" s="487"/>
      <c r="I91" s="487"/>
      <c r="J91" s="487"/>
      <c r="K91" s="487"/>
      <c r="L91" s="487"/>
      <c r="M91" s="487">
        <v>2228.3</v>
      </c>
      <c r="N91" s="487">
        <f ca="1" t="shared" si="138"/>
        <v>0</v>
      </c>
      <c r="O91" s="487">
        <f ca="1">M91*N91</f>
        <v>0</v>
      </c>
      <c r="P91" s="487"/>
      <c r="Q91" s="487"/>
      <c r="R91" s="487"/>
      <c r="S91" s="487"/>
      <c r="T91" s="487">
        <f ca="1" t="shared" si="139"/>
        <v>0</v>
      </c>
      <c r="U91" s="487">
        <f ca="1" t="shared" si="140"/>
        <v>0</v>
      </c>
      <c r="V91" s="487">
        <f ca="1" t="shared" si="141"/>
        <v>1542.93034205789</v>
      </c>
      <c r="W91" s="487">
        <f ca="1" t="shared" si="142"/>
        <v>0</v>
      </c>
      <c r="X91" s="487">
        <f ca="1" t="shared" si="143"/>
        <v>685.369657942113</v>
      </c>
      <c r="Y91" s="487">
        <f ca="1" t="shared" si="144"/>
        <v>0</v>
      </c>
      <c r="Z91" s="487">
        <f ca="1" t="shared" si="145"/>
        <v>1542.93034205789</v>
      </c>
      <c r="AA91" s="487">
        <f ca="1" t="shared" si="146"/>
        <v>0</v>
      </c>
      <c r="AB91" s="487"/>
    </row>
    <row r="92" customFormat="1" customHeight="1" outlineLevel="3" spans="1:28">
      <c r="A92" s="490" t="s">
        <v>2542</v>
      </c>
      <c r="B92" s="487"/>
      <c r="C92" s="487" t="s">
        <v>65</v>
      </c>
      <c r="D92" s="487" t="s">
        <v>830</v>
      </c>
      <c r="E92" s="487"/>
      <c r="F92" s="487" t="str">
        <f ca="1" t="shared" si="137"/>
        <v>m3</v>
      </c>
      <c r="G92" s="487"/>
      <c r="H92" s="487"/>
      <c r="I92" s="487"/>
      <c r="J92" s="487"/>
      <c r="K92" s="487"/>
      <c r="L92" s="487"/>
      <c r="M92" s="487">
        <v>2228.3</v>
      </c>
      <c r="N92" s="487">
        <f ca="1" t="shared" si="138"/>
        <v>2789</v>
      </c>
      <c r="O92" s="487">
        <f ca="1">M92*N92</f>
        <v>6214728.7</v>
      </c>
      <c r="P92" s="487"/>
      <c r="Q92" s="487"/>
      <c r="R92" s="487"/>
      <c r="S92" s="487"/>
      <c r="T92" s="487">
        <f ca="1" t="shared" si="139"/>
        <v>0</v>
      </c>
      <c r="U92" s="487">
        <f ca="1" t="shared" si="140"/>
        <v>0</v>
      </c>
      <c r="V92" s="487">
        <f ca="1" t="shared" si="141"/>
        <v>1542.93034205789</v>
      </c>
      <c r="W92" s="487">
        <f ca="1" t="shared" si="142"/>
        <v>4303232.72399945</v>
      </c>
      <c r="X92" s="487">
        <f ca="1" t="shared" si="143"/>
        <v>685.369657942113</v>
      </c>
      <c r="Y92" s="487">
        <f ca="1" t="shared" si="144"/>
        <v>1911495.97600055</v>
      </c>
      <c r="Z92" s="487">
        <f ca="1" t="shared" si="145"/>
        <v>1542.93034205789</v>
      </c>
      <c r="AA92" s="487">
        <f ca="1" t="shared" si="146"/>
        <v>4303232.72399945</v>
      </c>
      <c r="AB92" s="487"/>
    </row>
    <row r="93" customFormat="1" customHeight="1" outlineLevel="2" spans="1:28">
      <c r="A93" s="489" t="s">
        <v>2543</v>
      </c>
      <c r="B93" s="487"/>
      <c r="C93" s="487" t="s">
        <v>1309</v>
      </c>
      <c r="D93" s="487" t="s">
        <v>2544</v>
      </c>
      <c r="E93" s="487" t="s">
        <v>2472</v>
      </c>
      <c r="F93" s="487" t="s">
        <v>72</v>
      </c>
      <c r="G93" s="487">
        <v>228.09</v>
      </c>
      <c r="H93" s="487">
        <v>3557.69724770642</v>
      </c>
      <c r="I93" s="487">
        <f>G93*H93</f>
        <v>811475.165229357</v>
      </c>
      <c r="J93" s="487">
        <f t="shared" ref="J93:L93" si="147">+G93</f>
        <v>228.09</v>
      </c>
      <c r="K93" s="487">
        <f t="shared" si="147"/>
        <v>3557.69724770642</v>
      </c>
      <c r="L93" s="487">
        <f t="shared" si="147"/>
        <v>811475.165229357</v>
      </c>
      <c r="M93" s="487">
        <f>G93</f>
        <v>228.09</v>
      </c>
      <c r="N93" s="487">
        <f ca="1">O93/M93</f>
        <v>3237.45769213907</v>
      </c>
      <c r="O93" s="487">
        <f ca="1">(+O94+O95+O96+O97+O98)</f>
        <v>738431.725</v>
      </c>
      <c r="P93" s="487"/>
      <c r="Q93" s="487"/>
      <c r="R93" s="487">
        <f>+P93+J93</f>
        <v>228.09</v>
      </c>
      <c r="S93" s="487">
        <f>+Q93+L93</f>
        <v>811475.165229357</v>
      </c>
      <c r="T93" s="487">
        <f>IFERROR(VLOOKUP(A93,产值统计中间表!A:F,7,FALSE),0)</f>
        <v>0</v>
      </c>
      <c r="U93" s="487">
        <f>+T93*H93</f>
        <v>0</v>
      </c>
      <c r="V93" s="487">
        <f>IFERROR(VLOOKUP(A93,产值统计中间表!A:D,4,FALSE),0)</f>
        <v>0</v>
      </c>
      <c r="W93" s="487">
        <f>+V93*H93</f>
        <v>0</v>
      </c>
      <c r="X93" s="487">
        <f>+R93-V93</f>
        <v>228.09</v>
      </c>
      <c r="Y93" s="487">
        <f>+S93-W93</f>
        <v>811475.165229357</v>
      </c>
      <c r="Z93" s="487">
        <f>IFERROR(VLOOKUP(A93,业主统计中间表!A:D,4,FALSE),0)</f>
        <v>0</v>
      </c>
      <c r="AA93" s="487">
        <f>+Z93*H93</f>
        <v>0</v>
      </c>
      <c r="AB93" s="487"/>
    </row>
    <row r="94" customFormat="1" customHeight="1" outlineLevel="3" spans="1:28">
      <c r="A94" s="490" t="s">
        <v>2545</v>
      </c>
      <c r="B94" s="487"/>
      <c r="C94" s="487" t="s">
        <v>64</v>
      </c>
      <c r="D94" s="487" t="s">
        <v>752</v>
      </c>
      <c r="E94" s="487"/>
      <c r="F94" s="487" t="str">
        <f ca="1" t="shared" ref="F94:F98" si="148">VLOOKUP($D94,INDIRECT($C94),2,0)</f>
        <v>m3</v>
      </c>
      <c r="G94" s="487"/>
      <c r="H94" s="487"/>
      <c r="I94" s="487"/>
      <c r="J94" s="487"/>
      <c r="K94" s="487"/>
      <c r="L94" s="487"/>
      <c r="M94" s="487">
        <v>229.23045</v>
      </c>
      <c r="N94" s="487">
        <f ca="1" t="shared" ref="N94:N98" si="149">VLOOKUP($D94,INDIRECT($C94),3,0)</f>
        <v>30</v>
      </c>
      <c r="O94" s="487">
        <f ca="1">M94*N94</f>
        <v>6876.9135</v>
      </c>
      <c r="P94" s="487"/>
      <c r="Q94" s="487"/>
      <c r="R94" s="487"/>
      <c r="S94" s="487"/>
      <c r="T94" s="487">
        <f ca="1" t="shared" ref="T94:T98" si="150">OFFSET(T94,-RIGHT($A94,LEN($A$6)),,1,1)/OFFSET(T94,-RIGHT($A94,LEN($A$6)),-13,1,1)*$M94</f>
        <v>0</v>
      </c>
      <c r="U94" s="487">
        <f ca="1" t="shared" ref="U94:U98" si="151">+$N94*T94</f>
        <v>0</v>
      </c>
      <c r="V94" s="487">
        <f ca="1" t="shared" ref="V94:V98" si="152">OFFSET(V94,-RIGHT($A94,LEN($A$6)),,1,1)/OFFSET(V94,-RIGHT($A94,LEN($A$6)),-15,1,1)*$M94</f>
        <v>0</v>
      </c>
      <c r="W94" s="487">
        <f ca="1" t="shared" ref="W94:W98" si="153">+$N94*V94</f>
        <v>0</v>
      </c>
      <c r="X94" s="487">
        <f ca="1" t="shared" ref="X94:X98" si="154">+M94-V94</f>
        <v>229.23045</v>
      </c>
      <c r="Y94" s="487">
        <f ca="1" t="shared" ref="Y94:Y98" si="155">+O94-W94</f>
        <v>6876.9135</v>
      </c>
      <c r="Z94" s="487">
        <f ca="1" t="shared" ref="Z94:Z98" si="156">OFFSET(Z94,-RIGHT($A94,LEN($A$6)),,1,1)/OFFSET(Z94,-RIGHT($A94,LEN($A$6)),-19,1,1)*$M94</f>
        <v>0</v>
      </c>
      <c r="AA94" s="487">
        <f ca="1" t="shared" ref="AA94:AA98" si="157">+$N94*Z94</f>
        <v>0</v>
      </c>
      <c r="AB94" s="487"/>
    </row>
    <row r="95" customFormat="1" customHeight="1" outlineLevel="3" spans="1:28">
      <c r="A95" s="490" t="s">
        <v>2546</v>
      </c>
      <c r="B95" s="487"/>
      <c r="C95" s="487" t="s">
        <v>59</v>
      </c>
      <c r="D95" s="487" t="s">
        <v>796</v>
      </c>
      <c r="E95" s="487"/>
      <c r="F95" s="487" t="str">
        <f ca="1" t="shared" si="148"/>
        <v>m³</v>
      </c>
      <c r="G95" s="487"/>
      <c r="H95" s="487"/>
      <c r="I95" s="487"/>
      <c r="J95" s="487"/>
      <c r="K95" s="487"/>
      <c r="L95" s="487"/>
      <c r="M95" s="487">
        <v>229.23045</v>
      </c>
      <c r="N95" s="487">
        <f ca="1" t="shared" si="149"/>
        <v>470</v>
      </c>
      <c r="O95" s="487">
        <f ca="1">M95*N95</f>
        <v>107738.3115</v>
      </c>
      <c r="P95" s="487"/>
      <c r="Q95" s="487"/>
      <c r="R95" s="487"/>
      <c r="S95" s="487"/>
      <c r="T95" s="487">
        <f ca="1" t="shared" si="150"/>
        <v>0</v>
      </c>
      <c r="U95" s="487">
        <f ca="1" t="shared" si="151"/>
        <v>0</v>
      </c>
      <c r="V95" s="487">
        <f ca="1" t="shared" si="152"/>
        <v>0</v>
      </c>
      <c r="W95" s="487">
        <f ca="1" t="shared" si="153"/>
        <v>0</v>
      </c>
      <c r="X95" s="487">
        <f ca="1" t="shared" si="154"/>
        <v>229.23045</v>
      </c>
      <c r="Y95" s="487">
        <f ca="1" t="shared" si="155"/>
        <v>107738.3115</v>
      </c>
      <c r="Z95" s="487">
        <f ca="1" t="shared" si="156"/>
        <v>0</v>
      </c>
      <c r="AA95" s="487">
        <f ca="1" t="shared" si="157"/>
        <v>0</v>
      </c>
      <c r="AB95" s="487"/>
    </row>
    <row r="96" customFormat="1" customHeight="1" outlineLevel="3" spans="1:28">
      <c r="A96" s="490" t="s">
        <v>2547</v>
      </c>
      <c r="B96" s="487"/>
      <c r="C96" s="487" t="s">
        <v>64</v>
      </c>
      <c r="D96" s="487" t="s">
        <v>262</v>
      </c>
      <c r="E96" s="487"/>
      <c r="F96" s="487" t="str">
        <f ca="1" t="shared" si="148"/>
        <v>m2</v>
      </c>
      <c r="G96" s="487"/>
      <c r="H96" s="487"/>
      <c r="I96" s="487"/>
      <c r="J96" s="487"/>
      <c r="K96" s="487"/>
      <c r="L96" s="487"/>
      <c r="M96" s="487">
        <v>1000</v>
      </c>
      <c r="N96" s="487">
        <f ca="1" t="shared" si="149"/>
        <v>55</v>
      </c>
      <c r="O96" s="487">
        <f ca="1">M96*N96</f>
        <v>55000</v>
      </c>
      <c r="P96" s="487"/>
      <c r="Q96" s="487"/>
      <c r="R96" s="487"/>
      <c r="S96" s="487"/>
      <c r="T96" s="487">
        <f ca="1" t="shared" si="150"/>
        <v>0</v>
      </c>
      <c r="U96" s="487">
        <f ca="1" t="shared" si="151"/>
        <v>0</v>
      </c>
      <c r="V96" s="487">
        <f ca="1" t="shared" si="152"/>
        <v>0</v>
      </c>
      <c r="W96" s="487">
        <f ca="1" t="shared" si="153"/>
        <v>0</v>
      </c>
      <c r="X96" s="487">
        <f ca="1" t="shared" si="154"/>
        <v>1000</v>
      </c>
      <c r="Y96" s="487">
        <f ca="1" t="shared" si="155"/>
        <v>55000</v>
      </c>
      <c r="Z96" s="487">
        <f ca="1" t="shared" si="156"/>
        <v>0</v>
      </c>
      <c r="AA96" s="487">
        <f ca="1" t="shared" si="157"/>
        <v>0</v>
      </c>
      <c r="AB96" s="487"/>
    </row>
    <row r="97" customFormat="1" customHeight="1" outlineLevel="3" spans="1:28">
      <c r="A97" s="490" t="s">
        <v>2548</v>
      </c>
      <c r="B97" s="487"/>
      <c r="C97" s="487" t="s">
        <v>59</v>
      </c>
      <c r="D97" s="487" t="s">
        <v>480</v>
      </c>
      <c r="E97" s="487" t="str">
        <f ca="1">"含钢量："&amp;ROUND($M$97/$G$93,3)&amp;$F$97&amp;"/"&amp;$F$93</f>
        <v>含钢量：0.509t/m3</v>
      </c>
      <c r="F97" s="487" t="str">
        <f ca="1" t="shared" si="148"/>
        <v>t</v>
      </c>
      <c r="G97" s="487"/>
      <c r="H97" s="487"/>
      <c r="I97" s="487"/>
      <c r="J97" s="487"/>
      <c r="K97" s="487"/>
      <c r="L97" s="487"/>
      <c r="M97" s="487">
        <v>116.085</v>
      </c>
      <c r="N97" s="487">
        <f ca="1" t="shared" si="149"/>
        <v>4200</v>
      </c>
      <c r="O97" s="487">
        <f ca="1">M97*N97</f>
        <v>487557</v>
      </c>
      <c r="P97" s="487"/>
      <c r="Q97" s="487"/>
      <c r="R97" s="487"/>
      <c r="S97" s="487"/>
      <c r="T97" s="487">
        <f ca="1" t="shared" si="150"/>
        <v>0</v>
      </c>
      <c r="U97" s="487">
        <f ca="1" t="shared" si="151"/>
        <v>0</v>
      </c>
      <c r="V97" s="487">
        <f ca="1" t="shared" si="152"/>
        <v>0</v>
      </c>
      <c r="W97" s="487">
        <f ca="1" t="shared" si="153"/>
        <v>0</v>
      </c>
      <c r="X97" s="487">
        <f ca="1" t="shared" si="154"/>
        <v>116.085</v>
      </c>
      <c r="Y97" s="487">
        <f ca="1" t="shared" si="155"/>
        <v>487557</v>
      </c>
      <c r="Z97" s="487">
        <f ca="1" t="shared" si="156"/>
        <v>0</v>
      </c>
      <c r="AA97" s="487">
        <f ca="1" t="shared" si="157"/>
        <v>0</v>
      </c>
      <c r="AB97" s="487"/>
    </row>
    <row r="98" customFormat="1" customHeight="1" outlineLevel="3" spans="1:28">
      <c r="A98" s="490" t="s">
        <v>2549</v>
      </c>
      <c r="B98" s="487"/>
      <c r="C98" s="487" t="s">
        <v>64</v>
      </c>
      <c r="D98" s="487" t="s">
        <v>296</v>
      </c>
      <c r="E98" s="487"/>
      <c r="F98" s="487" t="str">
        <f ca="1" t="shared" si="148"/>
        <v>t</v>
      </c>
      <c r="G98" s="487"/>
      <c r="H98" s="487"/>
      <c r="I98" s="487"/>
      <c r="J98" s="487"/>
      <c r="K98" s="487"/>
      <c r="L98" s="487"/>
      <c r="M98" s="487">
        <v>116.085</v>
      </c>
      <c r="N98" s="487">
        <f ca="1" t="shared" si="149"/>
        <v>700</v>
      </c>
      <c r="O98" s="487">
        <f ca="1">M98*N98</f>
        <v>81259.5</v>
      </c>
      <c r="P98" s="487"/>
      <c r="Q98" s="487"/>
      <c r="R98" s="487"/>
      <c r="S98" s="487"/>
      <c r="T98" s="487">
        <f ca="1" t="shared" si="150"/>
        <v>0</v>
      </c>
      <c r="U98" s="487">
        <f ca="1" t="shared" si="151"/>
        <v>0</v>
      </c>
      <c r="V98" s="487">
        <f ca="1" t="shared" si="152"/>
        <v>0</v>
      </c>
      <c r="W98" s="487">
        <f ca="1" t="shared" si="153"/>
        <v>0</v>
      </c>
      <c r="X98" s="487">
        <f ca="1" t="shared" si="154"/>
        <v>116.085</v>
      </c>
      <c r="Y98" s="487">
        <f ca="1" t="shared" si="155"/>
        <v>81259.5</v>
      </c>
      <c r="Z98" s="487">
        <f ca="1" t="shared" si="156"/>
        <v>0</v>
      </c>
      <c r="AA98" s="487">
        <f ca="1" t="shared" si="157"/>
        <v>0</v>
      </c>
      <c r="AB98" s="487"/>
    </row>
    <row r="99" customFormat="1" customHeight="1" outlineLevel="2" spans="1:28">
      <c r="A99" s="489" t="s">
        <v>2550</v>
      </c>
      <c r="B99" s="487"/>
      <c r="C99" s="487" t="s">
        <v>1309</v>
      </c>
      <c r="D99" s="487" t="s">
        <v>2551</v>
      </c>
      <c r="E99" s="487" t="s">
        <v>2472</v>
      </c>
      <c r="F99" s="487" t="s">
        <v>72</v>
      </c>
      <c r="G99" s="487">
        <v>145.2</v>
      </c>
      <c r="H99" s="487">
        <v>2030.62385321101</v>
      </c>
      <c r="I99" s="487">
        <f>G99*H99</f>
        <v>294846.583486239</v>
      </c>
      <c r="J99" s="487">
        <f t="shared" ref="J99:L99" si="158">+G99</f>
        <v>145.2</v>
      </c>
      <c r="K99" s="487">
        <f t="shared" si="158"/>
        <v>2030.62385321101</v>
      </c>
      <c r="L99" s="487">
        <f t="shared" si="158"/>
        <v>294846.583486239</v>
      </c>
      <c r="M99" s="487">
        <v>145.2</v>
      </c>
      <c r="N99" s="487">
        <f ca="1">O99/M99</f>
        <v>4639.57640301446</v>
      </c>
      <c r="O99" s="487">
        <f ca="1">(+O100+O101+O102+O103+O104)</f>
        <v>673666.493717699</v>
      </c>
      <c r="P99" s="487"/>
      <c r="Q99" s="487"/>
      <c r="R99" s="487">
        <f>+P99+J99</f>
        <v>145.2</v>
      </c>
      <c r="S99" s="487">
        <f>+Q99+L99</f>
        <v>294846.583486239</v>
      </c>
      <c r="T99" s="487">
        <f>IFERROR(VLOOKUP(A99,产值统计中间表!A:F,7,FALSE),0)</f>
        <v>0</v>
      </c>
      <c r="U99" s="487">
        <f>+T99*H99</f>
        <v>0</v>
      </c>
      <c r="V99" s="487">
        <f>IFERROR(VLOOKUP(A99,产值统计中间表!A:D,4,FALSE),0)</f>
        <v>0</v>
      </c>
      <c r="W99" s="487">
        <f>+V99*H99</f>
        <v>0</v>
      </c>
      <c r="X99" s="487">
        <f>+R99-V99</f>
        <v>145.2</v>
      </c>
      <c r="Y99" s="487">
        <f>+S99-W99</f>
        <v>294846.583486239</v>
      </c>
      <c r="Z99" s="487">
        <f>IFERROR(VLOOKUP(A99,业主统计中间表!A:D,4,FALSE),0)</f>
        <v>0</v>
      </c>
      <c r="AA99" s="487">
        <f>+Z99*H99</f>
        <v>0</v>
      </c>
      <c r="AB99" s="487"/>
    </row>
    <row r="100" customFormat="1" customHeight="1" outlineLevel="3" spans="1:28">
      <c r="A100" s="490" t="s">
        <v>2552</v>
      </c>
      <c r="B100" s="487"/>
      <c r="C100" s="487" t="s">
        <v>64</v>
      </c>
      <c r="D100" s="487" t="s">
        <v>752</v>
      </c>
      <c r="E100" s="487"/>
      <c r="F100" s="487" t="str">
        <f ca="1" t="shared" ref="F100:F104" si="159">VLOOKUP($D100,INDIRECT($C100),2,0)</f>
        <v>m3</v>
      </c>
      <c r="G100" s="487"/>
      <c r="H100" s="487"/>
      <c r="I100" s="487"/>
      <c r="J100" s="487"/>
      <c r="K100" s="487"/>
      <c r="L100" s="487"/>
      <c r="M100" s="487">
        <v>145.926</v>
      </c>
      <c r="N100" s="487">
        <f ca="1" t="shared" ref="N100:N104" si="160">VLOOKUP($D100,INDIRECT($C100),3,0)</f>
        <v>30</v>
      </c>
      <c r="O100" s="487">
        <f ca="1">M100*N100</f>
        <v>4377.78</v>
      </c>
      <c r="P100" s="487"/>
      <c r="Q100" s="487"/>
      <c r="R100" s="487"/>
      <c r="S100" s="487"/>
      <c r="T100" s="487">
        <f ca="1" t="shared" ref="T100:T104" si="161">OFFSET(T100,-RIGHT($A100,LEN($A$6)),,1,1)/OFFSET(T100,-RIGHT($A100,LEN($A$6)),-13,1,1)*$M100</f>
        <v>0</v>
      </c>
      <c r="U100" s="487">
        <f ca="1" t="shared" ref="U100:U104" si="162">+$N100*T100</f>
        <v>0</v>
      </c>
      <c r="V100" s="487">
        <f ca="1" t="shared" ref="V100:V104" si="163">OFFSET(V100,-RIGHT($A100,LEN($A$6)),,1,1)/OFFSET(V100,-RIGHT($A100,LEN($A$6)),-15,1,1)*$M100</f>
        <v>0</v>
      </c>
      <c r="W100" s="487">
        <f ca="1" t="shared" ref="W100:W104" si="164">+$N100*V100</f>
        <v>0</v>
      </c>
      <c r="X100" s="487">
        <f ca="1" t="shared" ref="X100:X104" si="165">+M100-V100</f>
        <v>145.926</v>
      </c>
      <c r="Y100" s="487">
        <f ca="1" t="shared" ref="Y100:Y104" si="166">+O100-W100</f>
        <v>4377.78</v>
      </c>
      <c r="Z100" s="487">
        <f ca="1" t="shared" ref="Z100:Z104" si="167">OFFSET(Z100,-RIGHT($A100,LEN($A$6)),,1,1)/OFFSET(Z100,-RIGHT($A100,LEN($A$6)),-19,1,1)*$M100</f>
        <v>0</v>
      </c>
      <c r="AA100" s="487">
        <f ca="1" t="shared" ref="AA100:AA104" si="168">+$N100*Z100</f>
        <v>0</v>
      </c>
      <c r="AB100" s="487"/>
    </row>
    <row r="101" customFormat="1" customHeight="1" outlineLevel="3" spans="1:28">
      <c r="A101" s="490" t="s">
        <v>2553</v>
      </c>
      <c r="B101" s="487"/>
      <c r="C101" s="487" t="s">
        <v>64</v>
      </c>
      <c r="D101" s="487" t="s">
        <v>262</v>
      </c>
      <c r="E101" s="487"/>
      <c r="F101" s="487" t="str">
        <f ca="1" t="shared" si="159"/>
        <v>m2</v>
      </c>
      <c r="G101" s="487"/>
      <c r="H101" s="487"/>
      <c r="I101" s="487"/>
      <c r="J101" s="487"/>
      <c r="K101" s="487"/>
      <c r="L101" s="487"/>
      <c r="M101" s="487">
        <v>250</v>
      </c>
      <c r="N101" s="487">
        <f ca="1" t="shared" si="160"/>
        <v>55</v>
      </c>
      <c r="O101" s="487">
        <f ca="1">M101*N101</f>
        <v>13750</v>
      </c>
      <c r="P101" s="487"/>
      <c r="Q101" s="487"/>
      <c r="R101" s="487"/>
      <c r="S101" s="487"/>
      <c r="T101" s="487">
        <f ca="1" t="shared" si="161"/>
        <v>0</v>
      </c>
      <c r="U101" s="487">
        <f ca="1" t="shared" si="162"/>
        <v>0</v>
      </c>
      <c r="V101" s="487">
        <f ca="1" t="shared" si="163"/>
        <v>0</v>
      </c>
      <c r="W101" s="487">
        <f ca="1" t="shared" si="164"/>
        <v>0</v>
      </c>
      <c r="X101" s="487">
        <f ca="1" t="shared" si="165"/>
        <v>250</v>
      </c>
      <c r="Y101" s="487">
        <f ca="1" t="shared" si="166"/>
        <v>13750</v>
      </c>
      <c r="Z101" s="487">
        <f ca="1" t="shared" si="167"/>
        <v>0</v>
      </c>
      <c r="AA101" s="487">
        <f ca="1" t="shared" si="168"/>
        <v>0</v>
      </c>
      <c r="AB101" s="487"/>
    </row>
    <row r="102" customFormat="1" customHeight="1" outlineLevel="3" spans="1:28">
      <c r="A102" s="490" t="s">
        <v>2554</v>
      </c>
      <c r="B102" s="487"/>
      <c r="C102" s="487" t="s">
        <v>59</v>
      </c>
      <c r="D102" s="487" t="s">
        <v>206</v>
      </c>
      <c r="E102" s="487"/>
      <c r="F102" s="487" t="str">
        <f ca="1" t="shared" si="159"/>
        <v>m3</v>
      </c>
      <c r="G102" s="487"/>
      <c r="H102" s="487"/>
      <c r="I102" s="487"/>
      <c r="J102" s="487"/>
      <c r="K102" s="487"/>
      <c r="L102" s="487"/>
      <c r="M102" s="487">
        <v>145.926</v>
      </c>
      <c r="N102" s="487">
        <f ca="1" t="shared" si="160"/>
        <v>3097.57831858407</v>
      </c>
      <c r="O102" s="487">
        <f ca="1">M102*N102</f>
        <v>452017.213717699</v>
      </c>
      <c r="P102" s="487"/>
      <c r="Q102" s="487"/>
      <c r="R102" s="487"/>
      <c r="S102" s="487"/>
      <c r="T102" s="487">
        <f ca="1" t="shared" si="161"/>
        <v>0</v>
      </c>
      <c r="U102" s="487">
        <f ca="1" t="shared" si="162"/>
        <v>0</v>
      </c>
      <c r="V102" s="487">
        <f ca="1" t="shared" si="163"/>
        <v>0</v>
      </c>
      <c r="W102" s="487">
        <f ca="1" t="shared" si="164"/>
        <v>0</v>
      </c>
      <c r="X102" s="487">
        <f ca="1" t="shared" si="165"/>
        <v>145.926</v>
      </c>
      <c r="Y102" s="487">
        <f ca="1" t="shared" si="166"/>
        <v>452017.213717699</v>
      </c>
      <c r="Z102" s="487">
        <f ca="1" t="shared" si="167"/>
        <v>0</v>
      </c>
      <c r="AA102" s="487">
        <f ca="1" t="shared" si="168"/>
        <v>0</v>
      </c>
      <c r="AB102" s="487"/>
    </row>
    <row r="103" customFormat="1" customHeight="1" outlineLevel="3" spans="1:28">
      <c r="A103" s="490" t="s">
        <v>2555</v>
      </c>
      <c r="B103" s="487"/>
      <c r="C103" s="487" t="s">
        <v>59</v>
      </c>
      <c r="D103" s="487" t="s">
        <v>480</v>
      </c>
      <c r="E103" s="487" t="str">
        <f ca="1">"含钢量："&amp;ROUND($M$103/$G$99,3)&amp;$F$103&amp;"/"&amp;$F$99</f>
        <v>含钢量：0.286t/m3</v>
      </c>
      <c r="F103" s="487" t="str">
        <f ca="1" t="shared" si="159"/>
        <v>t</v>
      </c>
      <c r="G103" s="487"/>
      <c r="H103" s="487"/>
      <c r="I103" s="487"/>
      <c r="J103" s="487"/>
      <c r="K103" s="487"/>
      <c r="L103" s="487"/>
      <c r="M103" s="487">
        <v>41.535</v>
      </c>
      <c r="N103" s="487">
        <f ca="1" t="shared" si="160"/>
        <v>4200</v>
      </c>
      <c r="O103" s="487">
        <f ca="1">M103*N103</f>
        <v>174447</v>
      </c>
      <c r="P103" s="487"/>
      <c r="Q103" s="487"/>
      <c r="R103" s="487"/>
      <c r="S103" s="487"/>
      <c r="T103" s="487">
        <f ca="1" t="shared" si="161"/>
        <v>0</v>
      </c>
      <c r="U103" s="487">
        <f ca="1" t="shared" si="162"/>
        <v>0</v>
      </c>
      <c r="V103" s="487">
        <f ca="1" t="shared" si="163"/>
        <v>0</v>
      </c>
      <c r="W103" s="487">
        <f ca="1" t="shared" si="164"/>
        <v>0</v>
      </c>
      <c r="X103" s="487">
        <f ca="1" t="shared" si="165"/>
        <v>41.535</v>
      </c>
      <c r="Y103" s="487">
        <f ca="1" t="shared" si="166"/>
        <v>174447</v>
      </c>
      <c r="Z103" s="487">
        <f ca="1" t="shared" si="167"/>
        <v>0</v>
      </c>
      <c r="AA103" s="487">
        <f ca="1" t="shared" si="168"/>
        <v>0</v>
      </c>
      <c r="AB103" s="487"/>
    </row>
    <row r="104" customFormat="1" customHeight="1" outlineLevel="3" spans="1:28">
      <c r="A104" s="490" t="s">
        <v>2556</v>
      </c>
      <c r="B104" s="487"/>
      <c r="C104" s="487" t="s">
        <v>64</v>
      </c>
      <c r="D104" s="487" t="s">
        <v>296</v>
      </c>
      <c r="E104" s="487"/>
      <c r="F104" s="487" t="str">
        <f ca="1" t="shared" si="159"/>
        <v>t</v>
      </c>
      <c r="G104" s="487"/>
      <c r="H104" s="487"/>
      <c r="I104" s="487"/>
      <c r="J104" s="487"/>
      <c r="K104" s="487"/>
      <c r="L104" s="487"/>
      <c r="M104" s="487">
        <v>41.535</v>
      </c>
      <c r="N104" s="487">
        <f ca="1" t="shared" si="160"/>
        <v>700</v>
      </c>
      <c r="O104" s="487">
        <f ca="1">M104*N104</f>
        <v>29074.5</v>
      </c>
      <c r="P104" s="487"/>
      <c r="Q104" s="487"/>
      <c r="R104" s="487"/>
      <c r="S104" s="487"/>
      <c r="T104" s="487">
        <f ca="1" t="shared" si="161"/>
        <v>0</v>
      </c>
      <c r="U104" s="487">
        <f ca="1" t="shared" si="162"/>
        <v>0</v>
      </c>
      <c r="V104" s="487">
        <f ca="1" t="shared" si="163"/>
        <v>0</v>
      </c>
      <c r="W104" s="487">
        <f ca="1" t="shared" si="164"/>
        <v>0</v>
      </c>
      <c r="X104" s="487">
        <f ca="1" t="shared" si="165"/>
        <v>41.535</v>
      </c>
      <c r="Y104" s="487">
        <f ca="1" t="shared" si="166"/>
        <v>29074.5</v>
      </c>
      <c r="Z104" s="487">
        <f ca="1" t="shared" si="167"/>
        <v>0</v>
      </c>
      <c r="AA104" s="487">
        <f ca="1" t="shared" si="168"/>
        <v>0</v>
      </c>
      <c r="AB104" s="487"/>
    </row>
    <row r="105" customFormat="1" customHeight="1" outlineLevel="2" spans="1:28">
      <c r="A105" s="489" t="s">
        <v>2557</v>
      </c>
      <c r="B105" s="487"/>
      <c r="C105" s="487" t="s">
        <v>1309</v>
      </c>
      <c r="D105" s="487" t="s">
        <v>2558</v>
      </c>
      <c r="E105" s="487" t="s">
        <v>2559</v>
      </c>
      <c r="F105" s="487" t="s">
        <v>69</v>
      </c>
      <c r="G105" s="487">
        <v>4848.25</v>
      </c>
      <c r="H105" s="487">
        <v>187.229357798165</v>
      </c>
      <c r="I105" s="487">
        <f>G105*H105</f>
        <v>907734.733944954</v>
      </c>
      <c r="J105" s="487">
        <f t="shared" ref="J105:L105" si="169">+G105</f>
        <v>4848.25</v>
      </c>
      <c r="K105" s="487">
        <f t="shared" si="169"/>
        <v>187.229357798165</v>
      </c>
      <c r="L105" s="487">
        <f t="shared" si="169"/>
        <v>907734.733944954</v>
      </c>
      <c r="M105" s="487">
        <v>4848.25</v>
      </c>
      <c r="N105" s="487">
        <f ca="1">O105/M105</f>
        <v>171.359939153303</v>
      </c>
      <c r="O105" s="487">
        <f ca="1">(+O106+O107+O108+O109+O110)</f>
        <v>830795.825</v>
      </c>
      <c r="P105" s="487"/>
      <c r="Q105" s="487"/>
      <c r="R105" s="487">
        <f>+P105+J105</f>
        <v>4848.25</v>
      </c>
      <c r="S105" s="487">
        <f>+Q105+L105</f>
        <v>907734.733944954</v>
      </c>
      <c r="T105" s="487">
        <f>IFERROR(VLOOKUP(A105,产值统计中间表!A:F,7,FALSE),0)</f>
        <v>0</v>
      </c>
      <c r="U105" s="487">
        <f>+T105*H105</f>
        <v>0</v>
      </c>
      <c r="V105" s="487">
        <f>IFERROR(VLOOKUP(A105,产值统计中间表!A:D,4,FALSE),0)</f>
        <v>0</v>
      </c>
      <c r="W105" s="487">
        <f>+V105*H105</f>
        <v>0</v>
      </c>
      <c r="X105" s="487">
        <f>+R105-V105</f>
        <v>4848.25</v>
      </c>
      <c r="Y105" s="487">
        <f>+S105-W105</f>
        <v>907734.733944954</v>
      </c>
      <c r="Z105" s="487">
        <f>IFERROR(VLOOKUP(A105,业主统计中间表!A:D,4,FALSE),0)</f>
        <v>0</v>
      </c>
      <c r="AA105" s="487">
        <f>+Z105*H105</f>
        <v>0</v>
      </c>
      <c r="AB105" s="487"/>
    </row>
    <row r="106" customFormat="1" customHeight="1" outlineLevel="3" spans="1:28">
      <c r="A106" s="490" t="s">
        <v>2560</v>
      </c>
      <c r="B106" s="487"/>
      <c r="C106" s="487" t="s">
        <v>64</v>
      </c>
      <c r="D106" s="487" t="s">
        <v>1064</v>
      </c>
      <c r="E106" s="487"/>
      <c r="F106" s="487" t="str">
        <f ca="1" t="shared" ref="F106:F110" si="170">VLOOKUP($D106,INDIRECT($C106),2,0)</f>
        <v>m2</v>
      </c>
      <c r="G106" s="487"/>
      <c r="H106" s="487"/>
      <c r="I106" s="487"/>
      <c r="J106" s="487"/>
      <c r="K106" s="487"/>
      <c r="L106" s="487"/>
      <c r="M106" s="487">
        <v>4848.25</v>
      </c>
      <c r="N106" s="487">
        <f ca="1" t="shared" ref="N106:N110" si="171">VLOOKUP($D106,INDIRECT($C106),3,0)</f>
        <v>10</v>
      </c>
      <c r="O106" s="487">
        <f ca="1">M106*N106</f>
        <v>48482.5</v>
      </c>
      <c r="P106" s="487"/>
      <c r="Q106" s="487"/>
      <c r="R106" s="487"/>
      <c r="S106" s="487"/>
      <c r="T106" s="487">
        <f ca="1" t="shared" ref="T106:T110" si="172">OFFSET(T106,-RIGHT($A106,LEN($A$6)),,1,1)/OFFSET(T106,-RIGHT($A106,LEN($A$6)),-13,1,1)*$M106</f>
        <v>0</v>
      </c>
      <c r="U106" s="487">
        <f ca="1" t="shared" ref="U106:U110" si="173">+$N106*T106</f>
        <v>0</v>
      </c>
      <c r="V106" s="487">
        <f ca="1" t="shared" ref="V106:V110" si="174">OFFSET(V106,-RIGHT($A106,LEN($A$6)),,1,1)/OFFSET(V106,-RIGHT($A106,LEN($A$6)),-15,1,1)*$M106</f>
        <v>0</v>
      </c>
      <c r="W106" s="487">
        <f ca="1" t="shared" ref="W106:W110" si="175">+$N106*V106</f>
        <v>0</v>
      </c>
      <c r="X106" s="487">
        <f ca="1" t="shared" ref="X106:X110" si="176">+M106-V106</f>
        <v>4848.25</v>
      </c>
      <c r="Y106" s="487">
        <f ca="1" t="shared" ref="Y106:Y110" si="177">+O106-W106</f>
        <v>48482.5</v>
      </c>
      <c r="Z106" s="487">
        <f ca="1" t="shared" ref="Z106:Z110" si="178">OFFSET(Z106,-RIGHT($A106,LEN($A$6)),,1,1)/OFFSET(Z106,-RIGHT($A106,LEN($A$6)),-19,1,1)*$M106</f>
        <v>0</v>
      </c>
      <c r="AA106" s="487">
        <f ca="1" t="shared" ref="AA106:AA110" si="179">+$N106*Z106</f>
        <v>0</v>
      </c>
      <c r="AB106" s="487"/>
    </row>
    <row r="107" customFormat="1" customHeight="1" outlineLevel="3" spans="1:28">
      <c r="A107" s="490" t="s">
        <v>2561</v>
      </c>
      <c r="B107" s="487"/>
      <c r="C107" s="487" t="s">
        <v>64</v>
      </c>
      <c r="D107" s="487" t="s">
        <v>296</v>
      </c>
      <c r="E107" s="487"/>
      <c r="F107" s="487" t="str">
        <f ca="1" t="shared" si="170"/>
        <v>t</v>
      </c>
      <c r="G107" s="487"/>
      <c r="H107" s="487"/>
      <c r="I107" s="487"/>
      <c r="J107" s="487"/>
      <c r="K107" s="487"/>
      <c r="L107" s="487"/>
      <c r="M107" s="487">
        <v>85.2</v>
      </c>
      <c r="N107" s="487">
        <f ca="1" t="shared" si="171"/>
        <v>700</v>
      </c>
      <c r="O107" s="487">
        <f ca="1">M107*N107</f>
        <v>59640</v>
      </c>
      <c r="P107" s="487"/>
      <c r="Q107" s="487"/>
      <c r="R107" s="487"/>
      <c r="S107" s="487"/>
      <c r="T107" s="487">
        <f ca="1" t="shared" si="172"/>
        <v>0</v>
      </c>
      <c r="U107" s="487">
        <f ca="1" t="shared" si="173"/>
        <v>0</v>
      </c>
      <c r="V107" s="487">
        <f ca="1" t="shared" si="174"/>
        <v>0</v>
      </c>
      <c r="W107" s="487">
        <f ca="1" t="shared" si="175"/>
        <v>0</v>
      </c>
      <c r="X107" s="487">
        <f ca="1" t="shared" si="176"/>
        <v>85.2</v>
      </c>
      <c r="Y107" s="487">
        <f ca="1" t="shared" si="177"/>
        <v>59640</v>
      </c>
      <c r="Z107" s="487">
        <f ca="1" t="shared" si="178"/>
        <v>0</v>
      </c>
      <c r="AA107" s="487">
        <f ca="1" t="shared" si="179"/>
        <v>0</v>
      </c>
      <c r="AB107" s="487"/>
    </row>
    <row r="108" customFormat="1" customHeight="1" outlineLevel="3" spans="1:28">
      <c r="A108" s="490" t="s">
        <v>2562</v>
      </c>
      <c r="B108" s="487"/>
      <c r="C108" s="487" t="s">
        <v>59</v>
      </c>
      <c r="D108" s="487" t="s">
        <v>834</v>
      </c>
      <c r="E108" s="487"/>
      <c r="F108" s="487" t="str">
        <f ca="1" t="shared" si="170"/>
        <v>m³</v>
      </c>
      <c r="G108" s="487"/>
      <c r="H108" s="487"/>
      <c r="I108" s="487"/>
      <c r="J108" s="487"/>
      <c r="K108" s="487"/>
      <c r="L108" s="487"/>
      <c r="M108" s="487">
        <v>487.25415</v>
      </c>
      <c r="N108" s="487">
        <f ca="1" t="shared" si="171"/>
        <v>500</v>
      </c>
      <c r="O108" s="487">
        <f ca="1">M108*N108</f>
        <v>243627.075</v>
      </c>
      <c r="P108" s="487"/>
      <c r="Q108" s="487"/>
      <c r="R108" s="487"/>
      <c r="S108" s="487"/>
      <c r="T108" s="487">
        <f ca="1" t="shared" si="172"/>
        <v>0</v>
      </c>
      <c r="U108" s="487">
        <f ca="1" t="shared" si="173"/>
        <v>0</v>
      </c>
      <c r="V108" s="487">
        <f ca="1" t="shared" si="174"/>
        <v>0</v>
      </c>
      <c r="W108" s="487">
        <f ca="1" t="shared" si="175"/>
        <v>0</v>
      </c>
      <c r="X108" s="487">
        <f ca="1" t="shared" si="176"/>
        <v>487.25415</v>
      </c>
      <c r="Y108" s="487">
        <f ca="1" t="shared" si="177"/>
        <v>243627.075</v>
      </c>
      <c r="Z108" s="487">
        <f ca="1" t="shared" si="178"/>
        <v>0</v>
      </c>
      <c r="AA108" s="487">
        <f ca="1" t="shared" si="179"/>
        <v>0</v>
      </c>
      <c r="AB108" s="487"/>
    </row>
    <row r="109" customFormat="1" customHeight="1" outlineLevel="3" spans="1:28">
      <c r="A109" s="490" t="s">
        <v>2563</v>
      </c>
      <c r="B109" s="487"/>
      <c r="C109" s="487" t="s">
        <v>59</v>
      </c>
      <c r="D109" s="487" t="s">
        <v>480</v>
      </c>
      <c r="E109" s="487" t="str">
        <f ca="1">"含钢量："&amp;ROUND($M$109/$G$105,3)&amp;$F$109&amp;"/"&amp;$F$105</f>
        <v>含钢量：0.018t/m2</v>
      </c>
      <c r="F109" s="487" t="str">
        <f ca="1" t="shared" si="170"/>
        <v>t</v>
      </c>
      <c r="G109" s="487"/>
      <c r="H109" s="487"/>
      <c r="I109" s="487"/>
      <c r="J109" s="487"/>
      <c r="K109" s="487"/>
      <c r="L109" s="487"/>
      <c r="M109" s="487">
        <v>85.2</v>
      </c>
      <c r="N109" s="487">
        <f ca="1" t="shared" si="171"/>
        <v>4200</v>
      </c>
      <c r="O109" s="487">
        <f ca="1">M109*N109</f>
        <v>357840</v>
      </c>
      <c r="P109" s="487"/>
      <c r="Q109" s="487"/>
      <c r="R109" s="487"/>
      <c r="S109" s="487"/>
      <c r="T109" s="487">
        <f ca="1" t="shared" si="172"/>
        <v>0</v>
      </c>
      <c r="U109" s="487">
        <f ca="1" t="shared" si="173"/>
        <v>0</v>
      </c>
      <c r="V109" s="487">
        <f ca="1" t="shared" si="174"/>
        <v>0</v>
      </c>
      <c r="W109" s="487">
        <f ca="1" t="shared" si="175"/>
        <v>0</v>
      </c>
      <c r="X109" s="487">
        <f ca="1" t="shared" si="176"/>
        <v>85.2</v>
      </c>
      <c r="Y109" s="487">
        <f ca="1" t="shared" si="177"/>
        <v>357840</v>
      </c>
      <c r="Z109" s="487">
        <f ca="1" t="shared" si="178"/>
        <v>0</v>
      </c>
      <c r="AA109" s="487">
        <f ca="1" t="shared" si="179"/>
        <v>0</v>
      </c>
      <c r="AB109" s="487"/>
    </row>
    <row r="110" customFormat="1" customHeight="1" outlineLevel="3" spans="1:28">
      <c r="A110" s="490" t="s">
        <v>2564</v>
      </c>
      <c r="B110" s="487"/>
      <c r="C110" s="487" t="s">
        <v>65</v>
      </c>
      <c r="D110" s="487" t="s">
        <v>811</v>
      </c>
      <c r="E110" s="487" t="s">
        <v>2565</v>
      </c>
      <c r="F110" s="487" t="str">
        <f ca="1" t="shared" si="170"/>
        <v>m2</v>
      </c>
      <c r="G110" s="487"/>
      <c r="H110" s="487"/>
      <c r="I110" s="487"/>
      <c r="J110" s="487"/>
      <c r="K110" s="487"/>
      <c r="L110" s="487"/>
      <c r="M110" s="487">
        <v>4848.25</v>
      </c>
      <c r="N110" s="487">
        <f ca="1" t="shared" si="171"/>
        <v>25</v>
      </c>
      <c r="O110" s="487">
        <f ca="1">M110*N110</f>
        <v>121206.25</v>
      </c>
      <c r="P110" s="487"/>
      <c r="Q110" s="487"/>
      <c r="R110" s="487"/>
      <c r="S110" s="487"/>
      <c r="T110" s="487">
        <f ca="1" t="shared" si="172"/>
        <v>0</v>
      </c>
      <c r="U110" s="487">
        <f ca="1" t="shared" si="173"/>
        <v>0</v>
      </c>
      <c r="V110" s="487">
        <f ca="1" t="shared" si="174"/>
        <v>0</v>
      </c>
      <c r="W110" s="487">
        <f ca="1" t="shared" si="175"/>
        <v>0</v>
      </c>
      <c r="X110" s="487">
        <f ca="1" t="shared" si="176"/>
        <v>4848.25</v>
      </c>
      <c r="Y110" s="487">
        <f ca="1" t="shared" si="177"/>
        <v>121206.25</v>
      </c>
      <c r="Z110" s="487">
        <f ca="1" t="shared" si="178"/>
        <v>0</v>
      </c>
      <c r="AA110" s="487">
        <f ca="1" t="shared" si="179"/>
        <v>0</v>
      </c>
      <c r="AB110" s="487"/>
    </row>
    <row r="111" customFormat="1" customHeight="1" outlineLevel="2" spans="1:28">
      <c r="A111" s="489" t="s">
        <v>2566</v>
      </c>
      <c r="B111" s="487"/>
      <c r="C111" s="487" t="s">
        <v>1309</v>
      </c>
      <c r="D111" s="487" t="s">
        <v>2567</v>
      </c>
      <c r="E111" s="487" t="s">
        <v>2568</v>
      </c>
      <c r="F111" s="487" t="s">
        <v>69</v>
      </c>
      <c r="G111" s="487">
        <v>3909.88</v>
      </c>
      <c r="H111" s="487">
        <v>136.009174311927</v>
      </c>
      <c r="I111" s="487">
        <f>G111*H111</f>
        <v>531779.550458717</v>
      </c>
      <c r="J111" s="487">
        <f t="shared" ref="J111:L111" si="180">+G111</f>
        <v>3909.88</v>
      </c>
      <c r="K111" s="487">
        <f t="shared" si="180"/>
        <v>136.009174311927</v>
      </c>
      <c r="L111" s="487">
        <f t="shared" si="180"/>
        <v>531779.550458717</v>
      </c>
      <c r="M111" s="487">
        <v>3909.88</v>
      </c>
      <c r="N111" s="487">
        <f ca="1">O111/M111</f>
        <v>82.4918196594269</v>
      </c>
      <c r="O111" s="487">
        <f ca="1">(+O112+O113+O114+O115+O116)</f>
        <v>322533.11585</v>
      </c>
      <c r="P111" s="487"/>
      <c r="Q111" s="487"/>
      <c r="R111" s="487">
        <f>+P111+J111</f>
        <v>3909.88</v>
      </c>
      <c r="S111" s="487">
        <f>+Q111+L111</f>
        <v>531779.550458717</v>
      </c>
      <c r="T111" s="487">
        <f>IFERROR(VLOOKUP(A111,产值统计中间表!A:F,7,FALSE),0)</f>
        <v>0</v>
      </c>
      <c r="U111" s="487">
        <f>+T111*H111</f>
        <v>0</v>
      </c>
      <c r="V111" s="487">
        <f>IFERROR(VLOOKUP(A111,产值统计中间表!A:D,4,FALSE),0)</f>
        <v>0</v>
      </c>
      <c r="W111" s="487">
        <f>+V111*H111</f>
        <v>0</v>
      </c>
      <c r="X111" s="487">
        <f>+R111-V111</f>
        <v>3909.88</v>
      </c>
      <c r="Y111" s="487">
        <f>+S111-W111</f>
        <v>531779.550458717</v>
      </c>
      <c r="Z111" s="487">
        <f>IFERROR(VLOOKUP(A111,业主统计中间表!A:D,4,FALSE),0)</f>
        <v>0</v>
      </c>
      <c r="AA111" s="487">
        <f>+Z111*H111</f>
        <v>0</v>
      </c>
      <c r="AB111" s="487"/>
    </row>
    <row r="112" customFormat="1" customHeight="1" outlineLevel="3" spans="1:28">
      <c r="A112" s="490" t="s">
        <v>2569</v>
      </c>
      <c r="B112" s="487"/>
      <c r="C112" s="487" t="s">
        <v>59</v>
      </c>
      <c r="D112" s="487" t="s">
        <v>981</v>
      </c>
      <c r="E112" s="487"/>
      <c r="F112" s="487" t="str">
        <f ca="1" t="shared" ref="F112:F116" si="181">VLOOKUP($D112,INDIRECT($C112),2,0)</f>
        <v>m3</v>
      </c>
      <c r="G112" s="487"/>
      <c r="H112" s="487"/>
      <c r="I112" s="487"/>
      <c r="J112" s="487"/>
      <c r="K112" s="487"/>
      <c r="L112" s="487"/>
      <c r="M112" s="487">
        <v>238.11291</v>
      </c>
      <c r="N112" s="487">
        <f ca="1" t="shared" ref="N112:N116" si="182">VLOOKUP($D112,INDIRECT($C112),3,0)</f>
        <v>0</v>
      </c>
      <c r="O112" s="487">
        <f ca="1">M112*N112</f>
        <v>0</v>
      </c>
      <c r="P112" s="487"/>
      <c r="Q112" s="487"/>
      <c r="R112" s="487"/>
      <c r="S112" s="487"/>
      <c r="T112" s="487">
        <f ca="1" t="shared" ref="T112:T116" si="183">OFFSET(T112,-RIGHT($A112,LEN($A$6)),,1,1)/OFFSET(T112,-RIGHT($A112,LEN($A$6)),-13,1,1)*$M112</f>
        <v>0</v>
      </c>
      <c r="U112" s="487">
        <f ca="1" t="shared" ref="U112:U116" si="184">+$N112*T112</f>
        <v>0</v>
      </c>
      <c r="V112" s="487">
        <f ca="1" t="shared" ref="V112:V116" si="185">OFFSET(V112,-RIGHT($A112,LEN($A$6)),,1,1)/OFFSET(V112,-RIGHT($A112,LEN($A$6)),-15,1,1)*$M112</f>
        <v>0</v>
      </c>
      <c r="W112" s="487">
        <f ca="1" t="shared" ref="W112:W116" si="186">+$N112*V112</f>
        <v>0</v>
      </c>
      <c r="X112" s="487">
        <f ca="1" t="shared" ref="X112:X116" si="187">+M112-V112</f>
        <v>238.11291</v>
      </c>
      <c r="Y112" s="487">
        <f ca="1" t="shared" ref="Y112:Y116" si="188">+O112-W112</f>
        <v>0</v>
      </c>
      <c r="Z112" s="487">
        <f ca="1" t="shared" ref="Z112:Z116" si="189">OFFSET(Z112,-RIGHT($A112,LEN($A$6)),,1,1)/OFFSET(Z112,-RIGHT($A112,LEN($A$6)),-19,1,1)*$M112</f>
        <v>0</v>
      </c>
      <c r="AA112" s="487">
        <f ca="1" t="shared" ref="AA112:AA116" si="190">+$N112*Z112</f>
        <v>0</v>
      </c>
      <c r="AB112" s="487"/>
    </row>
    <row r="113" customFormat="1" customHeight="1" outlineLevel="3" spans="1:28">
      <c r="A113" s="490" t="s">
        <v>2570</v>
      </c>
      <c r="B113" s="487"/>
      <c r="C113" s="487" t="s">
        <v>59</v>
      </c>
      <c r="D113" s="487" t="s">
        <v>264</v>
      </c>
      <c r="E113" s="487"/>
      <c r="F113" s="487" t="str">
        <f ca="1" t="shared" si="181"/>
        <v>m3</v>
      </c>
      <c r="G113" s="487"/>
      <c r="H113" s="487"/>
      <c r="I113" s="487"/>
      <c r="J113" s="487"/>
      <c r="K113" s="487"/>
      <c r="L113" s="487"/>
      <c r="M113" s="487">
        <v>158.35095</v>
      </c>
      <c r="N113" s="487">
        <v>1543</v>
      </c>
      <c r="O113" s="487">
        <f>M113*N113</f>
        <v>244335.51585</v>
      </c>
      <c r="P113" s="487"/>
      <c r="Q113" s="487"/>
      <c r="R113" s="487"/>
      <c r="S113" s="487"/>
      <c r="T113" s="487">
        <f ca="1" t="shared" si="183"/>
        <v>0</v>
      </c>
      <c r="U113" s="487">
        <f ca="1" t="shared" si="184"/>
        <v>0</v>
      </c>
      <c r="V113" s="487">
        <f ca="1" t="shared" si="185"/>
        <v>0</v>
      </c>
      <c r="W113" s="487">
        <f ca="1" t="shared" si="186"/>
        <v>0</v>
      </c>
      <c r="X113" s="487">
        <f ca="1" t="shared" si="187"/>
        <v>158.35095</v>
      </c>
      <c r="Y113" s="487">
        <f ca="1" t="shared" si="188"/>
        <v>244335.51585</v>
      </c>
      <c r="Z113" s="487">
        <f ca="1" t="shared" si="189"/>
        <v>0</v>
      </c>
      <c r="AA113" s="487">
        <f ca="1" t="shared" si="190"/>
        <v>0</v>
      </c>
      <c r="AB113" s="487"/>
    </row>
    <row r="114" customFormat="1" customHeight="1" outlineLevel="3" spans="1:28">
      <c r="A114" s="490" t="s">
        <v>2571</v>
      </c>
      <c r="B114" s="487"/>
      <c r="C114" s="487" t="s">
        <v>59</v>
      </c>
      <c r="D114" s="487" t="s">
        <v>984</v>
      </c>
      <c r="E114" s="487"/>
      <c r="F114" s="487" t="str">
        <f ca="1" t="shared" si="181"/>
        <v>t</v>
      </c>
      <c r="G114" s="487"/>
      <c r="H114" s="487"/>
      <c r="I114" s="487"/>
      <c r="J114" s="487"/>
      <c r="K114" s="487"/>
      <c r="L114" s="487"/>
      <c r="M114" s="487">
        <v>2.033</v>
      </c>
      <c r="N114" s="487">
        <f ca="1" t="shared" si="182"/>
        <v>0</v>
      </c>
      <c r="O114" s="487">
        <f ca="1">M114*N114</f>
        <v>0</v>
      </c>
      <c r="P114" s="487"/>
      <c r="Q114" s="487"/>
      <c r="R114" s="487"/>
      <c r="S114" s="487"/>
      <c r="T114" s="487">
        <f ca="1" t="shared" si="183"/>
        <v>0</v>
      </c>
      <c r="U114" s="487">
        <f ca="1" t="shared" si="184"/>
        <v>0</v>
      </c>
      <c r="V114" s="487">
        <f ca="1" t="shared" si="185"/>
        <v>0</v>
      </c>
      <c r="W114" s="487">
        <f ca="1" t="shared" si="186"/>
        <v>0</v>
      </c>
      <c r="X114" s="487">
        <f ca="1" t="shared" si="187"/>
        <v>2.033</v>
      </c>
      <c r="Y114" s="487">
        <f ca="1" t="shared" si="188"/>
        <v>0</v>
      </c>
      <c r="Z114" s="487">
        <f ca="1" t="shared" si="189"/>
        <v>0</v>
      </c>
      <c r="AA114" s="487">
        <f ca="1" t="shared" si="190"/>
        <v>0</v>
      </c>
      <c r="AB114" s="487"/>
    </row>
    <row r="115" customFormat="1" customHeight="1" outlineLevel="3" spans="1:28">
      <c r="A115" s="490" t="s">
        <v>2572</v>
      </c>
      <c r="B115" s="487"/>
      <c r="C115" s="487" t="s">
        <v>63</v>
      </c>
      <c r="D115" s="487" t="s">
        <v>1182</v>
      </c>
      <c r="E115" s="487"/>
      <c r="F115" s="487" t="str">
        <f ca="1" t="shared" si="181"/>
        <v>m2</v>
      </c>
      <c r="G115" s="487"/>
      <c r="H115" s="487"/>
      <c r="I115" s="487"/>
      <c r="J115" s="487"/>
      <c r="K115" s="487"/>
      <c r="L115" s="487"/>
      <c r="M115" s="487">
        <v>7819.76</v>
      </c>
      <c r="N115" s="487">
        <f ca="1" t="shared" si="182"/>
        <v>8</v>
      </c>
      <c r="O115" s="487">
        <f ca="1">M115*N115</f>
        <v>62558.08</v>
      </c>
      <c r="P115" s="487"/>
      <c r="Q115" s="487"/>
      <c r="R115" s="487"/>
      <c r="S115" s="487"/>
      <c r="T115" s="487">
        <f ca="1" t="shared" si="183"/>
        <v>0</v>
      </c>
      <c r="U115" s="487">
        <f ca="1" t="shared" si="184"/>
        <v>0</v>
      </c>
      <c r="V115" s="487">
        <f ca="1" t="shared" si="185"/>
        <v>0</v>
      </c>
      <c r="W115" s="487">
        <f ca="1" t="shared" si="186"/>
        <v>0</v>
      </c>
      <c r="X115" s="487">
        <f ca="1" t="shared" si="187"/>
        <v>7819.76</v>
      </c>
      <c r="Y115" s="487">
        <f ca="1" t="shared" si="188"/>
        <v>62558.08</v>
      </c>
      <c r="Z115" s="487">
        <f ca="1" t="shared" si="189"/>
        <v>0</v>
      </c>
      <c r="AA115" s="487">
        <f ca="1" t="shared" si="190"/>
        <v>0</v>
      </c>
      <c r="AB115" s="487"/>
    </row>
    <row r="116" customFormat="1" customHeight="1" outlineLevel="3" spans="1:28">
      <c r="A116" s="490" t="s">
        <v>2573</v>
      </c>
      <c r="B116" s="487"/>
      <c r="C116" s="487" t="s">
        <v>63</v>
      </c>
      <c r="D116" s="487" t="s">
        <v>1186</v>
      </c>
      <c r="E116" s="487"/>
      <c r="F116" s="487" t="str">
        <f ca="1" t="shared" si="181"/>
        <v>m2</v>
      </c>
      <c r="G116" s="487"/>
      <c r="H116" s="487"/>
      <c r="I116" s="487"/>
      <c r="J116" s="487"/>
      <c r="K116" s="487"/>
      <c r="L116" s="487"/>
      <c r="M116" s="487">
        <v>7819.76</v>
      </c>
      <c r="N116" s="487">
        <f ca="1" t="shared" si="182"/>
        <v>2</v>
      </c>
      <c r="O116" s="487">
        <f ca="1">M116*N116</f>
        <v>15639.52</v>
      </c>
      <c r="P116" s="487"/>
      <c r="Q116" s="487"/>
      <c r="R116" s="487"/>
      <c r="S116" s="487"/>
      <c r="T116" s="487">
        <f ca="1" t="shared" si="183"/>
        <v>0</v>
      </c>
      <c r="U116" s="487">
        <f ca="1" t="shared" si="184"/>
        <v>0</v>
      </c>
      <c r="V116" s="487">
        <f ca="1" t="shared" si="185"/>
        <v>0</v>
      </c>
      <c r="W116" s="487">
        <f ca="1" t="shared" si="186"/>
        <v>0</v>
      </c>
      <c r="X116" s="487">
        <f ca="1" t="shared" si="187"/>
        <v>7819.76</v>
      </c>
      <c r="Y116" s="487">
        <f ca="1" t="shared" si="188"/>
        <v>15639.52</v>
      </c>
      <c r="Z116" s="487">
        <f ca="1" t="shared" si="189"/>
        <v>0</v>
      </c>
      <c r="AA116" s="487">
        <f ca="1" t="shared" si="190"/>
        <v>0</v>
      </c>
      <c r="AB116" s="487"/>
    </row>
    <row r="117" customFormat="1" customHeight="1" outlineLevel="2" spans="1:28">
      <c r="A117" s="489" t="s">
        <v>2574</v>
      </c>
      <c r="B117" s="487"/>
      <c r="C117" s="487" t="s">
        <v>1309</v>
      </c>
      <c r="D117" s="487" t="s">
        <v>2575</v>
      </c>
      <c r="E117" s="487" t="s">
        <v>2576</v>
      </c>
      <c r="F117" s="487" t="s">
        <v>69</v>
      </c>
      <c r="G117" s="487">
        <v>694.39</v>
      </c>
      <c r="H117" s="487">
        <v>98.2293577981651</v>
      </c>
      <c r="I117" s="487">
        <f>G117*H117</f>
        <v>68209.4837614679</v>
      </c>
      <c r="J117" s="487">
        <f t="shared" ref="J117:L117" si="191">+G117</f>
        <v>694.39</v>
      </c>
      <c r="K117" s="487">
        <f t="shared" si="191"/>
        <v>98.2293577981651</v>
      </c>
      <c r="L117" s="487">
        <f t="shared" si="191"/>
        <v>68209.4837614679</v>
      </c>
      <c r="M117" s="487">
        <v>694.39</v>
      </c>
      <c r="N117" s="487">
        <f ca="1">O117/M117</f>
        <v>100.001296101614</v>
      </c>
      <c r="O117" s="487">
        <f ca="1">(+O118+O119+O120+O121)</f>
        <v>69439.9</v>
      </c>
      <c r="P117" s="487"/>
      <c r="Q117" s="487"/>
      <c r="R117" s="487">
        <f>+P117+J117</f>
        <v>694.39</v>
      </c>
      <c r="S117" s="487">
        <f>+Q117+L117</f>
        <v>68209.4837614679</v>
      </c>
      <c r="T117" s="487">
        <f>IFERROR(VLOOKUP(A117,产值统计中间表!A:F,7,FALSE),0)</f>
        <v>0</v>
      </c>
      <c r="U117" s="487">
        <f>+T117*H117</f>
        <v>0</v>
      </c>
      <c r="V117" s="487">
        <f>IFERROR(VLOOKUP(A117,产值统计中间表!A:D,4,FALSE),0)</f>
        <v>40</v>
      </c>
      <c r="W117" s="487">
        <f>+V117*H117</f>
        <v>3929.1743119266</v>
      </c>
      <c r="X117" s="487">
        <f>+R117-V117</f>
        <v>654.39</v>
      </c>
      <c r="Y117" s="487">
        <f>+S117-W117</f>
        <v>64280.3094495413</v>
      </c>
      <c r="Z117" s="487">
        <f>IFERROR(VLOOKUP(A117,业主统计中间表!A:D,4,FALSE),0)</f>
        <v>40</v>
      </c>
      <c r="AA117" s="487">
        <f>+Z117*H117</f>
        <v>3929.1743119266</v>
      </c>
      <c r="AB117" s="487"/>
    </row>
    <row r="118" customFormat="1" customHeight="1" outlineLevel="3" spans="1:28">
      <c r="A118" s="490" t="s">
        <v>2577</v>
      </c>
      <c r="B118" s="487"/>
      <c r="C118" s="487" t="s">
        <v>59</v>
      </c>
      <c r="D118" s="487" t="s">
        <v>840</v>
      </c>
      <c r="E118" s="487"/>
      <c r="F118" s="487" t="str">
        <f ca="1" t="shared" ref="F118:F121" si="192">VLOOKUP($D118,INDIRECT($C118),2,0)</f>
        <v>m3</v>
      </c>
      <c r="G118" s="487"/>
      <c r="H118" s="487"/>
      <c r="I118" s="487"/>
      <c r="J118" s="487"/>
      <c r="K118" s="487"/>
      <c r="L118" s="487"/>
      <c r="M118" s="487">
        <v>34.72</v>
      </c>
      <c r="N118" s="487">
        <f ca="1" t="shared" ref="N118:N121" si="193">VLOOKUP($D118,INDIRECT($C118),3,0)</f>
        <v>1800</v>
      </c>
      <c r="O118" s="487">
        <f ca="1">M118*N118</f>
        <v>62496</v>
      </c>
      <c r="P118" s="487"/>
      <c r="Q118" s="487"/>
      <c r="R118" s="487"/>
      <c r="S118" s="487"/>
      <c r="T118" s="487">
        <f ca="1" t="shared" ref="T118:T121" si="194">OFFSET(T118,-RIGHT($A118,LEN($A$6)),,1,1)/OFFSET(T118,-RIGHT($A118,LEN($A$6)),-13,1,1)*$M118</f>
        <v>0</v>
      </c>
      <c r="U118" s="487">
        <f ca="1" t="shared" ref="U118:U121" si="195">+$N118*T118</f>
        <v>0</v>
      </c>
      <c r="V118" s="487">
        <f ca="1" t="shared" ref="V118:V121" si="196">OFFSET(V118,-RIGHT($A118,LEN($A$6)),,1,1)/OFFSET(V118,-RIGHT($A118,LEN($A$6)),-15,1,1)*$M118</f>
        <v>2.0000288022581</v>
      </c>
      <c r="W118" s="487">
        <f ca="1" t="shared" ref="W118:W121" si="197">+$N118*V118</f>
        <v>3600.05184406458</v>
      </c>
      <c r="X118" s="487">
        <f ca="1" t="shared" ref="X118:X121" si="198">+M118-V118</f>
        <v>32.7199711977419</v>
      </c>
      <c r="Y118" s="487">
        <f ca="1" t="shared" ref="Y118:Y121" si="199">+O118-W118</f>
        <v>58895.9481559354</v>
      </c>
      <c r="Z118" s="487">
        <f ca="1" t="shared" ref="Z118:Z121" si="200">OFFSET(Z118,-RIGHT($A118,LEN($A$6)),,1,1)/OFFSET(Z118,-RIGHT($A118,LEN($A$6)),-19,1,1)*$M118</f>
        <v>2.0000288022581</v>
      </c>
      <c r="AA118" s="487">
        <f ca="1" t="shared" ref="AA118:AA121" si="201">+$N118*Z118</f>
        <v>3600.05184406458</v>
      </c>
      <c r="AB118" s="487"/>
    </row>
    <row r="119" customHeight="1" outlineLevel="3" spans="1:28">
      <c r="A119" s="509" t="s">
        <v>2578</v>
      </c>
      <c r="B119" s="4"/>
      <c r="C119" s="510" t="s">
        <v>59</v>
      </c>
      <c r="D119" s="511" t="s">
        <v>984</v>
      </c>
      <c r="E119" s="511"/>
      <c r="F119" s="512" t="str">
        <f ca="1" t="shared" si="192"/>
        <v>t</v>
      </c>
      <c r="G119" s="511"/>
      <c r="H119" s="511"/>
      <c r="I119" s="511"/>
      <c r="J119" s="511"/>
      <c r="K119" s="511"/>
      <c r="L119" s="516"/>
      <c r="M119" s="4">
        <v>1.736</v>
      </c>
      <c r="N119" s="4">
        <f ca="1" t="shared" si="193"/>
        <v>0</v>
      </c>
      <c r="O119" s="4">
        <f ca="1">M119*N119</f>
        <v>0</v>
      </c>
      <c r="P119" s="4"/>
      <c r="Q119" s="4"/>
      <c r="R119" s="4"/>
      <c r="S119" s="4"/>
      <c r="T119" s="4">
        <f ca="1" t="shared" si="194"/>
        <v>0</v>
      </c>
      <c r="U119" s="4">
        <f ca="1" t="shared" si="195"/>
        <v>0</v>
      </c>
      <c r="V119" s="4">
        <f ca="1" t="shared" si="196"/>
        <v>0.100001440112905</v>
      </c>
      <c r="W119" s="4">
        <f ca="1" t="shared" si="197"/>
        <v>0</v>
      </c>
      <c r="X119" s="4">
        <f ca="1" t="shared" si="198"/>
        <v>1.6359985598871</v>
      </c>
      <c r="Y119" s="4">
        <f ca="1" t="shared" si="199"/>
        <v>0</v>
      </c>
      <c r="Z119" s="4">
        <f ca="1" t="shared" si="200"/>
        <v>0.100001440112905</v>
      </c>
      <c r="AA119" s="4">
        <f ca="1" t="shared" si="201"/>
        <v>0</v>
      </c>
      <c r="AB119" s="4"/>
    </row>
    <row r="120" customHeight="1" outlineLevel="3" spans="1:28">
      <c r="A120" s="509" t="s">
        <v>2579</v>
      </c>
      <c r="B120" s="4"/>
      <c r="C120" s="510" t="s">
        <v>63</v>
      </c>
      <c r="D120" s="511" t="s">
        <v>1182</v>
      </c>
      <c r="E120" s="511"/>
      <c r="F120" s="512" t="str">
        <f ca="1" t="shared" si="192"/>
        <v>m2</v>
      </c>
      <c r="G120" s="511"/>
      <c r="H120" s="511"/>
      <c r="I120" s="511"/>
      <c r="J120" s="511"/>
      <c r="K120" s="511"/>
      <c r="L120" s="516"/>
      <c r="M120" s="4">
        <v>694.39</v>
      </c>
      <c r="N120" s="4">
        <f ca="1" t="shared" si="193"/>
        <v>8</v>
      </c>
      <c r="O120" s="4">
        <f ca="1">M120*N120</f>
        <v>5555.12</v>
      </c>
      <c r="P120" s="4"/>
      <c r="Q120" s="4"/>
      <c r="R120" s="4"/>
      <c r="S120" s="4"/>
      <c r="T120" s="4">
        <f ca="1" t="shared" si="194"/>
        <v>0</v>
      </c>
      <c r="U120" s="4">
        <f ca="1" t="shared" si="195"/>
        <v>0</v>
      </c>
      <c r="V120" s="4">
        <f ca="1" t="shared" si="196"/>
        <v>40</v>
      </c>
      <c r="W120" s="4">
        <f ca="1" t="shared" si="197"/>
        <v>320</v>
      </c>
      <c r="X120" s="4">
        <f ca="1" t="shared" si="198"/>
        <v>654.39</v>
      </c>
      <c r="Y120" s="4">
        <f ca="1" t="shared" si="199"/>
        <v>5235.12</v>
      </c>
      <c r="Z120" s="4">
        <f ca="1" t="shared" si="200"/>
        <v>40</v>
      </c>
      <c r="AA120" s="4">
        <f ca="1" t="shared" si="201"/>
        <v>320</v>
      </c>
      <c r="AB120" s="4"/>
    </row>
    <row r="121" customHeight="1" outlineLevel="3" spans="1:28">
      <c r="A121" s="509" t="s">
        <v>2580</v>
      </c>
      <c r="B121" s="4"/>
      <c r="C121" s="510" t="s">
        <v>63</v>
      </c>
      <c r="D121" s="511" t="s">
        <v>1186</v>
      </c>
      <c r="E121" s="511"/>
      <c r="F121" s="512" t="str">
        <f ca="1" t="shared" si="192"/>
        <v>m2</v>
      </c>
      <c r="G121" s="511"/>
      <c r="H121" s="511"/>
      <c r="I121" s="511"/>
      <c r="J121" s="511"/>
      <c r="K121" s="511"/>
      <c r="L121" s="516"/>
      <c r="M121" s="4">
        <v>694.39</v>
      </c>
      <c r="N121" s="4">
        <f ca="1" t="shared" si="193"/>
        <v>2</v>
      </c>
      <c r="O121" s="4">
        <f ca="1">M121*N121</f>
        <v>1388.78</v>
      </c>
      <c r="P121" s="4"/>
      <c r="Q121" s="4"/>
      <c r="R121" s="4"/>
      <c r="S121" s="4"/>
      <c r="T121" s="4">
        <f ca="1" t="shared" si="194"/>
        <v>0</v>
      </c>
      <c r="U121" s="4">
        <f ca="1" t="shared" si="195"/>
        <v>0</v>
      </c>
      <c r="V121" s="4">
        <f ca="1" t="shared" si="196"/>
        <v>40</v>
      </c>
      <c r="W121" s="4">
        <f ca="1" t="shared" si="197"/>
        <v>80</v>
      </c>
      <c r="X121" s="4">
        <f ca="1" t="shared" si="198"/>
        <v>654.39</v>
      </c>
      <c r="Y121" s="4">
        <f ca="1" t="shared" si="199"/>
        <v>1308.78</v>
      </c>
      <c r="Z121" s="4">
        <f ca="1" t="shared" si="200"/>
        <v>40</v>
      </c>
      <c r="AA121" s="4">
        <f ca="1" t="shared" si="201"/>
        <v>80</v>
      </c>
      <c r="AB121" s="4"/>
    </row>
    <row r="122" customHeight="1" outlineLevel="2" spans="1:28">
      <c r="A122" s="513" t="s">
        <v>2581</v>
      </c>
      <c r="B122" s="4"/>
      <c r="C122" s="510" t="s">
        <v>1309</v>
      </c>
      <c r="D122" s="511" t="s">
        <v>2582</v>
      </c>
      <c r="E122" s="511" t="s">
        <v>2472</v>
      </c>
      <c r="F122" s="512" t="s">
        <v>72</v>
      </c>
      <c r="G122" s="511">
        <v>62.56</v>
      </c>
      <c r="H122" s="511">
        <v>1635.01834862385</v>
      </c>
      <c r="I122" s="511">
        <f>G122*H122</f>
        <v>102286.747889908</v>
      </c>
      <c r="J122" s="511">
        <f t="shared" ref="J122:L122" si="202">+G122</f>
        <v>62.56</v>
      </c>
      <c r="K122" s="511">
        <f t="shared" si="202"/>
        <v>1635.01834862385</v>
      </c>
      <c r="L122" s="516">
        <f t="shared" si="202"/>
        <v>102286.747889908</v>
      </c>
      <c r="M122" s="4">
        <v>62.56</v>
      </c>
      <c r="N122" s="4">
        <f ca="1">O122/M122</f>
        <v>3355.19910659643</v>
      </c>
      <c r="O122" s="4">
        <f ca="1">(+O123+O124+O125+O126+O127)</f>
        <v>209901.256108673</v>
      </c>
      <c r="P122" s="4"/>
      <c r="Q122" s="4"/>
      <c r="R122" s="4">
        <f>+P122+J122</f>
        <v>62.56</v>
      </c>
      <c r="S122" s="4">
        <f>+Q122+L122</f>
        <v>102286.747889908</v>
      </c>
      <c r="T122" s="4">
        <f>IFERROR(VLOOKUP(A122,产值统计中间表!A:F,7,FALSE),0)</f>
        <v>0</v>
      </c>
      <c r="U122" s="4">
        <f>+T122*H122</f>
        <v>0</v>
      </c>
      <c r="V122" s="4">
        <f>IFERROR(VLOOKUP(A122,产值统计中间表!A:D,4,FALSE),0)</f>
        <v>10</v>
      </c>
      <c r="W122" s="4">
        <f>+V122*H122</f>
        <v>16350.1834862385</v>
      </c>
      <c r="X122" s="4">
        <f>+R122-V122</f>
        <v>52.56</v>
      </c>
      <c r="Y122" s="4">
        <f>+S122-W122</f>
        <v>85936.5644036696</v>
      </c>
      <c r="Z122" s="4">
        <f>IFERROR(VLOOKUP(A122,业主统计中间表!A:D,4,FALSE),0)</f>
        <v>10</v>
      </c>
      <c r="AA122" s="4">
        <f>+Z122*H122</f>
        <v>16350.1834862385</v>
      </c>
      <c r="AB122" s="4"/>
    </row>
    <row r="123" customHeight="1" outlineLevel="3" spans="1:28">
      <c r="A123" s="509" t="s">
        <v>2583</v>
      </c>
      <c r="B123" s="4"/>
      <c r="C123" s="510" t="s">
        <v>64</v>
      </c>
      <c r="D123" s="511" t="s">
        <v>752</v>
      </c>
      <c r="E123" s="511"/>
      <c r="F123" s="512" t="str">
        <f ca="1" t="shared" ref="F123:F127" si="203">VLOOKUP($D123,INDIRECT($C123),2,0)</f>
        <v>m3</v>
      </c>
      <c r="G123" s="511"/>
      <c r="H123" s="511"/>
      <c r="I123" s="511"/>
      <c r="J123" s="511"/>
      <c r="K123" s="511"/>
      <c r="L123" s="516"/>
      <c r="M123" s="4">
        <v>62.8728</v>
      </c>
      <c r="N123" s="4">
        <f ca="1" t="shared" ref="N123:N127" si="204">VLOOKUP($D123,INDIRECT($C123),3,0)</f>
        <v>30</v>
      </c>
      <c r="O123" s="4">
        <f ca="1">M123*N123</f>
        <v>1886.184</v>
      </c>
      <c r="P123" s="4"/>
      <c r="Q123" s="4"/>
      <c r="R123" s="4"/>
      <c r="S123" s="4"/>
      <c r="T123" s="4">
        <f ca="1" t="shared" ref="T123:T127" si="205">OFFSET(T123,-RIGHT($A123,LEN($A$6)),,1,1)/OFFSET(T123,-RIGHT($A123,LEN($A$6)),-13,1,1)*$M123</f>
        <v>0</v>
      </c>
      <c r="U123" s="4">
        <f ca="1" t="shared" ref="U123:U127" si="206">+$N123*T123</f>
        <v>0</v>
      </c>
      <c r="V123" s="4">
        <f ca="1" t="shared" ref="V123:V127" si="207">OFFSET(V123,-RIGHT($A123,LEN($A$6)),,1,1)/OFFSET(V123,-RIGHT($A123,LEN($A$6)),-15,1,1)*$M123</f>
        <v>10.05</v>
      </c>
      <c r="W123" s="4">
        <f ca="1" t="shared" ref="W123:W127" si="208">+$N123*V123</f>
        <v>301.5</v>
      </c>
      <c r="X123" s="4">
        <f ca="1" t="shared" ref="X123:X127" si="209">+M123-V123</f>
        <v>52.8228</v>
      </c>
      <c r="Y123" s="4">
        <f ca="1" t="shared" ref="Y123:Y127" si="210">+O123-W123</f>
        <v>1584.684</v>
      </c>
      <c r="Z123" s="4">
        <f ca="1" t="shared" ref="Z123:Z127" si="211">OFFSET(Z123,-RIGHT($A123,LEN($A$6)),,1,1)/OFFSET(Z123,-RIGHT($A123,LEN($A$6)),-19,1,1)*$M123</f>
        <v>10.05</v>
      </c>
      <c r="AA123" s="4">
        <f ca="1" t="shared" ref="AA123:AA127" si="212">+$N123*Z123</f>
        <v>301.5</v>
      </c>
      <c r="AB123" s="4"/>
    </row>
    <row r="124" customHeight="1" outlineLevel="3" spans="1:28">
      <c r="A124" s="509" t="s">
        <v>2584</v>
      </c>
      <c r="B124" s="4"/>
      <c r="C124" s="510" t="s">
        <v>64</v>
      </c>
      <c r="D124" s="511" t="s">
        <v>262</v>
      </c>
      <c r="E124" s="511"/>
      <c r="F124" s="512" t="str">
        <f ca="1" t="shared" si="203"/>
        <v>m2</v>
      </c>
      <c r="G124" s="511"/>
      <c r="H124" s="511"/>
      <c r="I124" s="511"/>
      <c r="J124" s="511"/>
      <c r="K124" s="511"/>
      <c r="L124" s="516"/>
      <c r="M124" s="4">
        <v>74.4</v>
      </c>
      <c r="N124" s="4">
        <f ca="1" t="shared" si="204"/>
        <v>55</v>
      </c>
      <c r="O124" s="4">
        <f ca="1">M124*N124</f>
        <v>4092</v>
      </c>
      <c r="P124" s="4"/>
      <c r="Q124" s="4"/>
      <c r="R124" s="4"/>
      <c r="S124" s="4"/>
      <c r="T124" s="4">
        <f ca="1" t="shared" si="205"/>
        <v>0</v>
      </c>
      <c r="U124" s="4">
        <f ca="1" t="shared" si="206"/>
        <v>0</v>
      </c>
      <c r="V124" s="4">
        <f ca="1" t="shared" si="207"/>
        <v>11.8925831202046</v>
      </c>
      <c r="W124" s="4">
        <f ca="1" t="shared" si="208"/>
        <v>654.092071611253</v>
      </c>
      <c r="X124" s="4">
        <f ca="1" t="shared" si="209"/>
        <v>62.5074168797954</v>
      </c>
      <c r="Y124" s="4">
        <f ca="1" t="shared" si="210"/>
        <v>3437.90792838875</v>
      </c>
      <c r="Z124" s="4">
        <f ca="1" t="shared" si="211"/>
        <v>11.8925831202046</v>
      </c>
      <c r="AA124" s="4">
        <f ca="1" t="shared" si="212"/>
        <v>654.092071611253</v>
      </c>
      <c r="AB124" s="4"/>
    </row>
    <row r="125" customHeight="1" outlineLevel="3" spans="1:28">
      <c r="A125" s="509" t="s">
        <v>2585</v>
      </c>
      <c r="B125" s="4"/>
      <c r="C125" s="510" t="s">
        <v>59</v>
      </c>
      <c r="D125" s="4" t="s">
        <v>206</v>
      </c>
      <c r="E125" s="4"/>
      <c r="F125" s="4" t="str">
        <f ca="1" t="shared" si="203"/>
        <v>m3</v>
      </c>
      <c r="G125" s="4"/>
      <c r="H125" s="4"/>
      <c r="I125" s="511"/>
      <c r="J125" s="4"/>
      <c r="K125" s="4"/>
      <c r="L125" s="517"/>
      <c r="M125" s="4">
        <v>62.8728</v>
      </c>
      <c r="N125" s="4">
        <f ca="1" t="shared" si="204"/>
        <v>3097.57831858407</v>
      </c>
      <c r="O125" s="4">
        <f ca="1">M125*N125</f>
        <v>194753.422108673</v>
      </c>
      <c r="P125" s="4"/>
      <c r="Q125" s="4"/>
      <c r="R125" s="4"/>
      <c r="S125" s="4"/>
      <c r="T125" s="4">
        <f ca="1" t="shared" si="205"/>
        <v>0</v>
      </c>
      <c r="U125" s="4">
        <f ca="1" t="shared" si="206"/>
        <v>0</v>
      </c>
      <c r="V125" s="4">
        <f ca="1" t="shared" si="207"/>
        <v>10.05</v>
      </c>
      <c r="W125" s="4">
        <f ca="1" t="shared" si="208"/>
        <v>31130.6621017699</v>
      </c>
      <c r="X125" s="4">
        <f ca="1" t="shared" si="209"/>
        <v>52.8228</v>
      </c>
      <c r="Y125" s="4">
        <f ca="1" t="shared" si="210"/>
        <v>163622.760006903</v>
      </c>
      <c r="Z125" s="4">
        <f ca="1" t="shared" si="211"/>
        <v>10.05</v>
      </c>
      <c r="AA125" s="4">
        <f ca="1" t="shared" si="212"/>
        <v>31130.6621017699</v>
      </c>
      <c r="AB125" s="4"/>
    </row>
    <row r="126" customHeight="1" outlineLevel="3" spans="1:28">
      <c r="A126" s="514" t="s">
        <v>2586</v>
      </c>
      <c r="B126" s="4"/>
      <c r="C126" s="510" t="s">
        <v>59</v>
      </c>
      <c r="D126" s="4" t="s">
        <v>978</v>
      </c>
      <c r="E126" s="4" t="str">
        <f ca="1">"含钢量："&amp;ROUND($M$126/$G$122,3)&amp;$F$126&amp;"/"&amp;$F$122</f>
        <v>含钢量：0.209t/m3</v>
      </c>
      <c r="F126" s="4" t="str">
        <f ca="1" t="shared" si="203"/>
        <v>t</v>
      </c>
      <c r="G126" s="4"/>
      <c r="H126" s="4"/>
      <c r="I126" s="511"/>
      <c r="J126" s="4"/>
      <c r="K126" s="4"/>
      <c r="L126" s="517"/>
      <c r="M126" s="4">
        <v>13.0995</v>
      </c>
      <c r="N126" s="4">
        <f ca="1" t="shared" si="204"/>
        <v>0</v>
      </c>
      <c r="O126" s="4">
        <f ca="1">M126*N126</f>
        <v>0</v>
      </c>
      <c r="P126" s="4"/>
      <c r="Q126" s="4"/>
      <c r="R126" s="4"/>
      <c r="S126" s="4"/>
      <c r="T126" s="4">
        <f ca="1" t="shared" si="205"/>
        <v>0</v>
      </c>
      <c r="U126" s="4">
        <f ca="1" t="shared" si="206"/>
        <v>0</v>
      </c>
      <c r="V126" s="4">
        <f ca="1" t="shared" si="207"/>
        <v>2.09390984654731</v>
      </c>
      <c r="W126" s="4">
        <f ca="1" t="shared" si="208"/>
        <v>0</v>
      </c>
      <c r="X126" s="4">
        <f ca="1" t="shared" si="209"/>
        <v>11.0055901534527</v>
      </c>
      <c r="Y126" s="4">
        <f ca="1" t="shared" si="210"/>
        <v>0</v>
      </c>
      <c r="Z126" s="4">
        <f ca="1" t="shared" si="211"/>
        <v>2.09390984654731</v>
      </c>
      <c r="AA126" s="4">
        <f ca="1" t="shared" si="212"/>
        <v>0</v>
      </c>
      <c r="AB126" s="4"/>
    </row>
    <row r="127" customHeight="1" outlineLevel="3" spans="1:28">
      <c r="A127" s="514" t="s">
        <v>2587</v>
      </c>
      <c r="B127" s="4"/>
      <c r="C127" s="510" t="s">
        <v>64</v>
      </c>
      <c r="D127" s="4" t="s">
        <v>296</v>
      </c>
      <c r="E127" s="4"/>
      <c r="F127" s="4" t="str">
        <f ca="1" t="shared" si="203"/>
        <v>t</v>
      </c>
      <c r="G127" s="4"/>
      <c r="H127" s="4"/>
      <c r="I127" s="511"/>
      <c r="J127" s="4"/>
      <c r="K127" s="4"/>
      <c r="L127" s="517"/>
      <c r="M127" s="4">
        <v>13.0995</v>
      </c>
      <c r="N127" s="4">
        <f ca="1" t="shared" si="204"/>
        <v>700</v>
      </c>
      <c r="O127" s="4">
        <f ca="1">M127*N127</f>
        <v>9169.65</v>
      </c>
      <c r="P127" s="4"/>
      <c r="Q127" s="4"/>
      <c r="R127" s="4"/>
      <c r="S127" s="4"/>
      <c r="T127" s="4">
        <f ca="1" t="shared" si="205"/>
        <v>0</v>
      </c>
      <c r="U127" s="4">
        <f ca="1" t="shared" si="206"/>
        <v>0</v>
      </c>
      <c r="V127" s="4">
        <f ca="1" t="shared" si="207"/>
        <v>2.09390984654731</v>
      </c>
      <c r="W127" s="4">
        <f ca="1" t="shared" si="208"/>
        <v>1465.73689258312</v>
      </c>
      <c r="X127" s="4">
        <f ca="1" t="shared" si="209"/>
        <v>11.0055901534527</v>
      </c>
      <c r="Y127" s="4">
        <f ca="1" t="shared" si="210"/>
        <v>7703.91310741688</v>
      </c>
      <c r="Z127" s="4">
        <f ca="1" t="shared" si="211"/>
        <v>2.09390984654731</v>
      </c>
      <c r="AA127" s="4">
        <f ca="1" t="shared" si="212"/>
        <v>1465.73689258312</v>
      </c>
      <c r="AB127" s="4"/>
    </row>
    <row r="128" customHeight="1" outlineLevel="2" spans="1:28">
      <c r="A128" s="515" t="s">
        <v>2588</v>
      </c>
      <c r="B128" s="4"/>
      <c r="C128" s="510" t="s">
        <v>1309</v>
      </c>
      <c r="D128" s="4" t="s">
        <v>1112</v>
      </c>
      <c r="E128" s="4" t="s">
        <v>2589</v>
      </c>
      <c r="F128" s="4" t="s">
        <v>72</v>
      </c>
      <c r="G128" s="4">
        <v>84.48</v>
      </c>
      <c r="H128" s="4">
        <v>1372.95412844037</v>
      </c>
      <c r="I128" s="511">
        <f>G128*H128</f>
        <v>115987.164770642</v>
      </c>
      <c r="J128" s="4">
        <f t="shared" ref="J128:L128" si="213">+G128</f>
        <v>84.48</v>
      </c>
      <c r="K128" s="4">
        <f t="shared" si="213"/>
        <v>1372.95412844037</v>
      </c>
      <c r="L128" s="517">
        <f t="shared" si="213"/>
        <v>115987.164770642</v>
      </c>
      <c r="M128" s="4">
        <v>84.48</v>
      </c>
      <c r="N128" s="4">
        <f ca="1">O128/M128</f>
        <v>901.973180225932</v>
      </c>
      <c r="O128" s="4">
        <f ca="1">(+O129+O130+O131+O132+O133+O134)</f>
        <v>76198.6942654867</v>
      </c>
      <c r="P128" s="4"/>
      <c r="Q128" s="4"/>
      <c r="R128" s="4">
        <f>+P128+J128</f>
        <v>84.48</v>
      </c>
      <c r="S128" s="4">
        <f>+Q128+L128</f>
        <v>115987.164770642</v>
      </c>
      <c r="T128" s="4">
        <f>IFERROR(VLOOKUP(A128,产值统计中间表!A:F,7,FALSE),0)</f>
        <v>0</v>
      </c>
      <c r="U128" s="4">
        <f>+T128*H128</f>
        <v>0</v>
      </c>
      <c r="V128" s="4">
        <f>IFERROR(VLOOKUP(A128,产值统计中间表!A:D,4,FALSE),0)</f>
        <v>5</v>
      </c>
      <c r="W128" s="4">
        <f>+V128*H128</f>
        <v>6864.77064220185</v>
      </c>
      <c r="X128" s="4">
        <f>+R128-V128</f>
        <v>79.48</v>
      </c>
      <c r="Y128" s="4">
        <f>+S128-W128</f>
        <v>109122.394128441</v>
      </c>
      <c r="Z128" s="4">
        <f>IFERROR(VLOOKUP(A128,业主统计中间表!A:D,4,FALSE),0)</f>
        <v>5</v>
      </c>
      <c r="AA128" s="4">
        <f>+Z128*H128</f>
        <v>6864.77064220185</v>
      </c>
      <c r="AB128" s="4"/>
    </row>
    <row r="129" customHeight="1" outlineLevel="3" spans="1:28">
      <c r="A129" s="514" t="s">
        <v>2590</v>
      </c>
      <c r="B129" s="4"/>
      <c r="C129" s="510" t="s">
        <v>64</v>
      </c>
      <c r="D129" s="4" t="s">
        <v>1112</v>
      </c>
      <c r="E129" s="4"/>
      <c r="F129" s="4" t="str">
        <f ca="1" t="shared" ref="F129:F134" si="214">VLOOKUP($D129,INDIRECT($C129),2,0)</f>
        <v>m³</v>
      </c>
      <c r="G129" s="4"/>
      <c r="H129" s="4"/>
      <c r="I129" s="511"/>
      <c r="J129" s="4"/>
      <c r="K129" s="4"/>
      <c r="L129" s="517"/>
      <c r="M129" s="4">
        <v>85.3248</v>
      </c>
      <c r="N129" s="4">
        <f ca="1" t="shared" ref="N129:N134" si="215">VLOOKUP($D129,INDIRECT($C129),3,0)</f>
        <v>185</v>
      </c>
      <c r="O129" s="4">
        <f ca="1" t="shared" ref="O129:O134" si="216">M129*N129</f>
        <v>15785.088</v>
      </c>
      <c r="P129" s="4"/>
      <c r="Q129" s="4"/>
      <c r="R129" s="4"/>
      <c r="S129" s="4"/>
      <c r="T129" s="4">
        <f ca="1" t="shared" ref="T129:T134" si="217">OFFSET(T129,-RIGHT($A129,LEN($A$6)),,1,1)/OFFSET(T129,-RIGHT($A129,LEN($A$6)),-13,1,1)*$M129</f>
        <v>0</v>
      </c>
      <c r="U129" s="4">
        <f ca="1" t="shared" ref="U129:U134" si="218">+$N129*T129</f>
        <v>0</v>
      </c>
      <c r="V129" s="4">
        <f ca="1" t="shared" ref="V129:V134" si="219">OFFSET(V129,-RIGHT($A129,LEN($A$6)),,1,1)/OFFSET(V129,-RIGHT($A129,LEN($A$6)),-15,1,1)*$M129</f>
        <v>5.05</v>
      </c>
      <c r="W129" s="4">
        <f ca="1" t="shared" ref="W129:W134" si="220">+$N129*V129</f>
        <v>934.25</v>
      </c>
      <c r="X129" s="4">
        <f ca="1" t="shared" ref="X129:X134" si="221">+M129-V129</f>
        <v>80.2748</v>
      </c>
      <c r="Y129" s="4">
        <f ca="1" t="shared" ref="Y129:Y134" si="222">+O129-W129</f>
        <v>14850.838</v>
      </c>
      <c r="Z129" s="4">
        <f ca="1" t="shared" ref="Z129:Z134" si="223">OFFSET(Z129,-RIGHT($A129,LEN($A$6)),,1,1)/OFFSET(Z129,-RIGHT($A129,LEN($A$6)),-19,1,1)*$M129</f>
        <v>5.05</v>
      </c>
      <c r="AA129" s="4">
        <f ca="1" t="shared" ref="AA129:AA134" si="224">+$N129*Z129</f>
        <v>934.25</v>
      </c>
      <c r="AB129" s="4"/>
    </row>
    <row r="130" customHeight="1" outlineLevel="3" spans="1:28">
      <c r="A130" s="514" t="s">
        <v>2591</v>
      </c>
      <c r="B130" s="4"/>
      <c r="C130" s="510" t="s">
        <v>64</v>
      </c>
      <c r="D130" s="4" t="s">
        <v>262</v>
      </c>
      <c r="E130" s="4"/>
      <c r="F130" s="4" t="str">
        <f ca="1" t="shared" si="214"/>
        <v>m2</v>
      </c>
      <c r="G130" s="4"/>
      <c r="H130" s="4"/>
      <c r="I130" s="511"/>
      <c r="J130" s="4"/>
      <c r="K130" s="4"/>
      <c r="L130" s="517"/>
      <c r="M130" s="4">
        <v>0</v>
      </c>
      <c r="N130" s="4">
        <f ca="1" t="shared" si="215"/>
        <v>55</v>
      </c>
      <c r="O130" s="4">
        <f ca="1" t="shared" si="216"/>
        <v>0</v>
      </c>
      <c r="P130" s="4"/>
      <c r="Q130" s="4"/>
      <c r="R130" s="4"/>
      <c r="S130" s="4"/>
      <c r="T130" s="4">
        <f ca="1" t="shared" si="217"/>
        <v>0</v>
      </c>
      <c r="U130" s="4">
        <f ca="1" t="shared" si="218"/>
        <v>0</v>
      </c>
      <c r="V130" s="4">
        <f ca="1" t="shared" si="219"/>
        <v>0</v>
      </c>
      <c r="W130" s="4">
        <f ca="1" t="shared" si="220"/>
        <v>0</v>
      </c>
      <c r="X130" s="4">
        <f ca="1" t="shared" si="221"/>
        <v>0</v>
      </c>
      <c r="Y130" s="4">
        <f ca="1" t="shared" si="222"/>
        <v>0</v>
      </c>
      <c r="Z130" s="4">
        <f ca="1" t="shared" si="223"/>
        <v>0</v>
      </c>
      <c r="AA130" s="4">
        <f ca="1" t="shared" si="224"/>
        <v>0</v>
      </c>
      <c r="AB130" s="4"/>
    </row>
    <row r="131" customHeight="1" outlineLevel="3" spans="1:28">
      <c r="A131" s="514" t="s">
        <v>2592</v>
      </c>
      <c r="B131" s="4"/>
      <c r="C131" s="510" t="s">
        <v>59</v>
      </c>
      <c r="D131" s="4" t="s">
        <v>533</v>
      </c>
      <c r="E131" s="4"/>
      <c r="F131" s="4" t="str">
        <f ca="1" t="shared" si="214"/>
        <v>m3</v>
      </c>
      <c r="G131" s="4"/>
      <c r="H131" s="4"/>
      <c r="I131" s="511"/>
      <c r="J131" s="4"/>
      <c r="K131" s="4"/>
      <c r="L131" s="517"/>
      <c r="M131" s="4">
        <v>85.3248</v>
      </c>
      <c r="N131" s="4">
        <f ca="1" t="shared" si="215"/>
        <v>600</v>
      </c>
      <c r="O131" s="4">
        <f ca="1" t="shared" si="216"/>
        <v>51194.88</v>
      </c>
      <c r="P131" s="4"/>
      <c r="Q131" s="4"/>
      <c r="R131" s="4"/>
      <c r="S131" s="4"/>
      <c r="T131" s="4">
        <f ca="1" t="shared" si="217"/>
        <v>0</v>
      </c>
      <c r="U131" s="4">
        <f ca="1" t="shared" si="218"/>
        <v>0</v>
      </c>
      <c r="V131" s="4">
        <f ca="1" t="shared" si="219"/>
        <v>5.05</v>
      </c>
      <c r="W131" s="4">
        <f ca="1" t="shared" si="220"/>
        <v>3030</v>
      </c>
      <c r="X131" s="4">
        <f ca="1" t="shared" si="221"/>
        <v>80.2748</v>
      </c>
      <c r="Y131" s="4">
        <f ca="1" t="shared" si="222"/>
        <v>48164.88</v>
      </c>
      <c r="Z131" s="4">
        <f ca="1" t="shared" si="223"/>
        <v>5.05</v>
      </c>
      <c r="AA131" s="4">
        <f ca="1" t="shared" si="224"/>
        <v>3030</v>
      </c>
      <c r="AB131" s="4"/>
    </row>
    <row r="132" customHeight="1" outlineLevel="3" spans="1:28">
      <c r="A132" s="514" t="s">
        <v>2593</v>
      </c>
      <c r="B132" s="4"/>
      <c r="C132" s="510" t="s">
        <v>59</v>
      </c>
      <c r="D132" s="4" t="s">
        <v>239</v>
      </c>
      <c r="E132" s="4"/>
      <c r="F132" s="4" t="str">
        <f ca="1" t="shared" si="214"/>
        <v>m3</v>
      </c>
      <c r="G132" s="4"/>
      <c r="H132" s="4"/>
      <c r="I132" s="511"/>
      <c r="J132" s="4"/>
      <c r="K132" s="4"/>
      <c r="L132" s="517"/>
      <c r="M132" s="4">
        <v>4.16</v>
      </c>
      <c r="N132" s="4">
        <f ca="1" t="shared" si="215"/>
        <v>244.76592920354</v>
      </c>
      <c r="O132" s="4">
        <f ca="1" t="shared" si="216"/>
        <v>1018.22626548673</v>
      </c>
      <c r="P132" s="4"/>
      <c r="Q132" s="4"/>
      <c r="R132" s="4"/>
      <c r="S132" s="4"/>
      <c r="T132" s="4">
        <f ca="1" t="shared" si="217"/>
        <v>0</v>
      </c>
      <c r="U132" s="4">
        <f ca="1" t="shared" si="218"/>
        <v>0</v>
      </c>
      <c r="V132" s="4">
        <f ca="1" t="shared" si="219"/>
        <v>0.246212121212121</v>
      </c>
      <c r="W132" s="4">
        <f ca="1" t="shared" si="220"/>
        <v>60.2643386296595</v>
      </c>
      <c r="X132" s="4">
        <f ca="1" t="shared" si="221"/>
        <v>3.91378787878788</v>
      </c>
      <c r="Y132" s="4">
        <f ca="1" t="shared" si="222"/>
        <v>957.961926857067</v>
      </c>
      <c r="Z132" s="4">
        <f ca="1" t="shared" si="223"/>
        <v>0.246212121212121</v>
      </c>
      <c r="AA132" s="4">
        <f ca="1" t="shared" si="224"/>
        <v>60.2643386296595</v>
      </c>
      <c r="AB132" s="4"/>
    </row>
    <row r="133" customHeight="1" outlineLevel="3" spans="1:28">
      <c r="A133" s="514" t="s">
        <v>2594</v>
      </c>
      <c r="B133" s="4"/>
      <c r="C133" s="510" t="s">
        <v>59</v>
      </c>
      <c r="D133" s="4" t="s">
        <v>978</v>
      </c>
      <c r="E133" s="4" t="str">
        <f ca="1">"含钢量："&amp;ROUND($M$133/$G$128,3)&amp;$F$133&amp;"/"&amp;$F$128</f>
        <v>含钢量：0.139t/m3</v>
      </c>
      <c r="F133" s="4" t="str">
        <f ca="1" t="shared" si="214"/>
        <v>t</v>
      </c>
      <c r="G133" s="4"/>
      <c r="H133" s="4"/>
      <c r="I133" s="511"/>
      <c r="J133" s="4"/>
      <c r="K133" s="4"/>
      <c r="L133" s="517"/>
      <c r="M133" s="4">
        <v>11.715</v>
      </c>
      <c r="N133" s="4">
        <f ca="1" t="shared" si="215"/>
        <v>0</v>
      </c>
      <c r="O133" s="4">
        <f ca="1" t="shared" si="216"/>
        <v>0</v>
      </c>
      <c r="P133" s="4"/>
      <c r="Q133" s="4"/>
      <c r="R133" s="4"/>
      <c r="S133" s="4"/>
      <c r="T133" s="4">
        <f ca="1" t="shared" si="217"/>
        <v>0</v>
      </c>
      <c r="U133" s="4">
        <f ca="1" t="shared" si="218"/>
        <v>0</v>
      </c>
      <c r="V133" s="4">
        <f ca="1" t="shared" si="219"/>
        <v>0.693359375</v>
      </c>
      <c r="W133" s="4">
        <f ca="1" t="shared" si="220"/>
        <v>0</v>
      </c>
      <c r="X133" s="4">
        <f ca="1" t="shared" si="221"/>
        <v>11.021640625</v>
      </c>
      <c r="Y133" s="4">
        <f ca="1" t="shared" si="222"/>
        <v>0</v>
      </c>
      <c r="Z133" s="4">
        <f ca="1" t="shared" si="223"/>
        <v>0.693359375</v>
      </c>
      <c r="AA133" s="4">
        <f ca="1" t="shared" si="224"/>
        <v>0</v>
      </c>
      <c r="AB133" s="4"/>
    </row>
    <row r="134" customHeight="1" outlineLevel="3" spans="1:28">
      <c r="A134" s="514" t="s">
        <v>2595</v>
      </c>
      <c r="B134" s="4"/>
      <c r="C134" s="510" t="s">
        <v>64</v>
      </c>
      <c r="D134" s="4" t="s">
        <v>296</v>
      </c>
      <c r="E134" s="4"/>
      <c r="F134" s="4" t="str">
        <f ca="1" t="shared" si="214"/>
        <v>t</v>
      </c>
      <c r="G134" s="4"/>
      <c r="H134" s="4"/>
      <c r="I134" s="511"/>
      <c r="J134" s="4"/>
      <c r="K134" s="4"/>
      <c r="L134" s="517"/>
      <c r="M134" s="4">
        <v>11.715</v>
      </c>
      <c r="N134" s="4">
        <f ca="1" t="shared" si="215"/>
        <v>700</v>
      </c>
      <c r="O134" s="4">
        <f ca="1" t="shared" si="216"/>
        <v>8200.5</v>
      </c>
      <c r="P134" s="4"/>
      <c r="Q134" s="4"/>
      <c r="R134" s="4"/>
      <c r="S134" s="4"/>
      <c r="T134" s="4">
        <f ca="1" t="shared" si="217"/>
        <v>0</v>
      </c>
      <c r="U134" s="4">
        <f ca="1" t="shared" si="218"/>
        <v>0</v>
      </c>
      <c r="V134" s="4">
        <f ca="1" t="shared" si="219"/>
        <v>0.693359375</v>
      </c>
      <c r="W134" s="4">
        <f ca="1" t="shared" si="220"/>
        <v>485.3515625</v>
      </c>
      <c r="X134" s="4">
        <f ca="1" t="shared" si="221"/>
        <v>11.021640625</v>
      </c>
      <c r="Y134" s="4">
        <f ca="1" t="shared" si="222"/>
        <v>7715.1484375</v>
      </c>
      <c r="Z134" s="4">
        <f ca="1" t="shared" si="223"/>
        <v>0.693359375</v>
      </c>
      <c r="AA134" s="4">
        <f ca="1" t="shared" si="224"/>
        <v>485.3515625</v>
      </c>
      <c r="AB134" s="4"/>
    </row>
    <row r="135" customHeight="1" outlineLevel="2" spans="1:28">
      <c r="A135" s="515" t="s">
        <v>2596</v>
      </c>
      <c r="B135" s="4"/>
      <c r="C135" s="510" t="s">
        <v>1309</v>
      </c>
      <c r="D135" s="4" t="s">
        <v>2597</v>
      </c>
      <c r="E135" s="4" t="s">
        <v>2589</v>
      </c>
      <c r="F135" s="4" t="s">
        <v>72</v>
      </c>
      <c r="G135" s="4">
        <v>134.49</v>
      </c>
      <c r="H135" s="4">
        <v>3442.55963302752</v>
      </c>
      <c r="I135" s="511">
        <f>G135*H135</f>
        <v>462989.845045871</v>
      </c>
      <c r="J135" s="4">
        <f t="shared" ref="J135:L135" si="225">+G135</f>
        <v>134.49</v>
      </c>
      <c r="K135" s="4">
        <f t="shared" si="225"/>
        <v>3442.55963302752</v>
      </c>
      <c r="L135" s="517">
        <f t="shared" si="225"/>
        <v>462989.845045871</v>
      </c>
      <c r="M135" s="4">
        <v>134.49</v>
      </c>
      <c r="N135" s="4">
        <f ca="1">O135/M135</f>
        <v>4088.03738647263</v>
      </c>
      <c r="O135" s="4">
        <f ca="1">(+O136+O137+O138+O139+O140)</f>
        <v>549800.148106703</v>
      </c>
      <c r="P135" s="4"/>
      <c r="Q135" s="4"/>
      <c r="R135" s="4">
        <f>+P135+J135</f>
        <v>134.49</v>
      </c>
      <c r="S135" s="4">
        <f>+Q135+L135</f>
        <v>462989.845045871</v>
      </c>
      <c r="T135" s="4">
        <f>IFERROR(VLOOKUP(A135,产值统计中间表!A:F,7,FALSE),0)</f>
        <v>0</v>
      </c>
      <c r="U135" s="4">
        <f>+T135*H135</f>
        <v>0</v>
      </c>
      <c r="V135" s="4">
        <f>IFERROR(VLOOKUP(A135,产值统计中间表!A:D,4,FALSE),0)</f>
        <v>8000</v>
      </c>
      <c r="W135" s="4">
        <f>+V135*H135</f>
        <v>27540477.0642202</v>
      </c>
      <c r="X135" s="4">
        <f>+R135-V135</f>
        <v>-7865.51</v>
      </c>
      <c r="Y135" s="4">
        <f>+S135-W135</f>
        <v>-27077487.2191743</v>
      </c>
      <c r="Z135" s="4">
        <f>IFERROR(VLOOKUP(A135,业主统计中间表!A:D,4,FALSE),0)</f>
        <v>7850</v>
      </c>
      <c r="AA135" s="4">
        <f>+Z135*H135</f>
        <v>27024093.119266</v>
      </c>
      <c r="AB135" s="4"/>
    </row>
    <row r="136" customHeight="1" outlineLevel="3" spans="1:28">
      <c r="A136" s="514" t="s">
        <v>2598</v>
      </c>
      <c r="B136" s="4"/>
      <c r="C136" s="510" t="s">
        <v>64</v>
      </c>
      <c r="D136" s="4" t="s">
        <v>752</v>
      </c>
      <c r="E136" s="4"/>
      <c r="F136" s="4" t="str">
        <f ca="1" t="shared" ref="F136:F140" si="226">VLOOKUP($D136,INDIRECT($C136),2,0)</f>
        <v>m3</v>
      </c>
      <c r="G136" s="4"/>
      <c r="H136" s="4"/>
      <c r="I136" s="4"/>
      <c r="J136" s="4"/>
      <c r="K136" s="4"/>
      <c r="L136" s="517"/>
      <c r="M136" s="4">
        <v>135.16245</v>
      </c>
      <c r="N136" s="4">
        <f ca="1" t="shared" ref="N136:N140" si="227">VLOOKUP($D136,INDIRECT($C136),3,0)</f>
        <v>30</v>
      </c>
      <c r="O136" s="4">
        <f ca="1">M136*N136</f>
        <v>4054.8735</v>
      </c>
      <c r="P136" s="4"/>
      <c r="Q136" s="4"/>
      <c r="R136" s="4"/>
      <c r="S136" s="4"/>
      <c r="T136" s="4">
        <f ca="1" t="shared" ref="T136:T140" si="228">OFFSET(T136,-RIGHT($A136,LEN($A$6)),,1,1)/OFFSET(T136,-RIGHT($A136,LEN($A$6)),-13,1,1)*$M136</f>
        <v>0</v>
      </c>
      <c r="U136" s="4">
        <f ca="1" t="shared" ref="U136:U140" si="229">+$N136*T136</f>
        <v>0</v>
      </c>
      <c r="V136" s="4">
        <f ca="1" t="shared" ref="V136:V140" si="230">OFFSET(V136,-RIGHT($A136,LEN($A$6)),,1,1)/OFFSET(V136,-RIGHT($A136,LEN($A$6)),-15,1,1)*$M136</f>
        <v>8040</v>
      </c>
      <c r="W136" s="4">
        <f ca="1" t="shared" ref="W136:W140" si="231">+$N136*V136</f>
        <v>241200</v>
      </c>
      <c r="X136" s="4">
        <f ca="1" t="shared" ref="X136:X140" si="232">+M136-V136</f>
        <v>-7904.83755</v>
      </c>
      <c r="Y136" s="4">
        <f ca="1" t="shared" ref="Y136:Y140" si="233">+O136-W136</f>
        <v>-237145.1265</v>
      </c>
      <c r="Z136" s="4">
        <f ca="1" t="shared" ref="Z136:Z140" si="234">OFFSET(Z136,-RIGHT($A136,LEN($A$6)),,1,1)/OFFSET(Z136,-RIGHT($A136,LEN($A$6)),-19,1,1)*$M136</f>
        <v>7889.25</v>
      </c>
      <c r="AA136" s="4">
        <f ca="1" t="shared" ref="AA136:AA140" si="235">+$N136*Z136</f>
        <v>236677.5</v>
      </c>
      <c r="AB136" s="4"/>
    </row>
    <row r="137" customHeight="1" outlineLevel="3" spans="1:28">
      <c r="A137" s="514" t="s">
        <v>2599</v>
      </c>
      <c r="B137" s="4"/>
      <c r="C137" s="510" t="s">
        <v>59</v>
      </c>
      <c r="D137" s="4" t="s">
        <v>206</v>
      </c>
      <c r="E137" s="4"/>
      <c r="F137" s="4" t="str">
        <f ca="1" t="shared" si="226"/>
        <v>m3</v>
      </c>
      <c r="G137" s="4"/>
      <c r="H137" s="4"/>
      <c r="I137" s="4"/>
      <c r="J137" s="4"/>
      <c r="K137" s="4"/>
      <c r="L137" s="517"/>
      <c r="M137" s="4">
        <v>135.16245</v>
      </c>
      <c r="N137" s="4">
        <f ca="1" t="shared" si="227"/>
        <v>3097.57831858407</v>
      </c>
      <c r="O137" s="4">
        <f ca="1">M137*N137</f>
        <v>418676.274606703</v>
      </c>
      <c r="P137" s="4"/>
      <c r="Q137" s="4"/>
      <c r="R137" s="4"/>
      <c r="S137" s="4"/>
      <c r="T137" s="4">
        <f ca="1" t="shared" si="228"/>
        <v>0</v>
      </c>
      <c r="U137" s="4">
        <f ca="1" t="shared" si="229"/>
        <v>0</v>
      </c>
      <c r="V137" s="4">
        <f ca="1" t="shared" si="230"/>
        <v>8040</v>
      </c>
      <c r="W137" s="4">
        <f ca="1" t="shared" si="231"/>
        <v>24904529.6814159</v>
      </c>
      <c r="X137" s="4">
        <f ca="1" t="shared" si="232"/>
        <v>-7904.83755</v>
      </c>
      <c r="Y137" s="4">
        <f ca="1" t="shared" si="233"/>
        <v>-24485853.4068092</v>
      </c>
      <c r="Z137" s="4">
        <f ca="1" t="shared" si="234"/>
        <v>7889.25</v>
      </c>
      <c r="AA137" s="4">
        <f ca="1" t="shared" si="235"/>
        <v>24437569.7498894</v>
      </c>
      <c r="AB137" s="4"/>
    </row>
    <row r="138" customHeight="1" outlineLevel="3" spans="1:28">
      <c r="A138" s="514" t="s">
        <v>2600</v>
      </c>
      <c r="B138" s="4"/>
      <c r="C138" s="510" t="s">
        <v>64</v>
      </c>
      <c r="D138" s="4" t="s">
        <v>262</v>
      </c>
      <c r="E138" s="4"/>
      <c r="F138" s="4" t="str">
        <f ca="1" t="shared" si="226"/>
        <v>m2</v>
      </c>
      <c r="G138" s="4"/>
      <c r="H138" s="4"/>
      <c r="I138" s="4"/>
      <c r="J138" s="4"/>
      <c r="K138" s="4"/>
      <c r="L138" s="517"/>
      <c r="M138" s="4">
        <v>1199</v>
      </c>
      <c r="N138" s="4">
        <f ca="1" t="shared" si="227"/>
        <v>55</v>
      </c>
      <c r="O138" s="4">
        <f ca="1">M138*N138</f>
        <v>65945</v>
      </c>
      <c r="P138" s="4"/>
      <c r="Q138" s="4"/>
      <c r="R138" s="4"/>
      <c r="S138" s="4"/>
      <c r="T138" s="4">
        <f ca="1" t="shared" si="228"/>
        <v>0</v>
      </c>
      <c r="U138" s="4">
        <f ca="1" t="shared" si="229"/>
        <v>0</v>
      </c>
      <c r="V138" s="4">
        <f ca="1" t="shared" si="230"/>
        <v>71321.2878280913</v>
      </c>
      <c r="W138" s="4">
        <f ca="1" t="shared" si="231"/>
        <v>3922670.83054502</v>
      </c>
      <c r="X138" s="4">
        <f ca="1" t="shared" si="232"/>
        <v>-70122.2878280913</v>
      </c>
      <c r="Y138" s="4">
        <f ca="1" t="shared" si="233"/>
        <v>-3856725.83054502</v>
      </c>
      <c r="Z138" s="4">
        <f ca="1" t="shared" si="234"/>
        <v>69984.0136813146</v>
      </c>
      <c r="AA138" s="4">
        <f ca="1" t="shared" si="235"/>
        <v>3849120.7524723</v>
      </c>
      <c r="AB138" s="4"/>
    </row>
    <row r="139" customHeight="1" outlineLevel="3" spans="1:28">
      <c r="A139" s="514" t="s">
        <v>2601</v>
      </c>
      <c r="B139" s="4"/>
      <c r="C139" s="510" t="s">
        <v>59</v>
      </c>
      <c r="D139" s="4" t="s">
        <v>978</v>
      </c>
      <c r="E139" s="4" t="str">
        <f ca="1">"含钢量："&amp;ROUND($M$139/$G$135,3)&amp;$F$139&amp;"/"&amp;$F$135</f>
        <v>含钢量：0.649t/m3</v>
      </c>
      <c r="F139" s="4" t="str">
        <f ca="1" t="shared" si="226"/>
        <v>t</v>
      </c>
      <c r="G139" s="4"/>
      <c r="H139" s="4"/>
      <c r="I139" s="4"/>
      <c r="J139" s="4"/>
      <c r="K139" s="4"/>
      <c r="L139" s="517"/>
      <c r="M139" s="4">
        <v>87.32</v>
      </c>
      <c r="N139" s="4">
        <f ca="1" t="shared" si="227"/>
        <v>0</v>
      </c>
      <c r="O139" s="4">
        <f ca="1">M139*N139</f>
        <v>0</v>
      </c>
      <c r="P139" s="4"/>
      <c r="Q139" s="4"/>
      <c r="R139" s="4"/>
      <c r="S139" s="4"/>
      <c r="T139" s="4">
        <f ca="1" t="shared" si="228"/>
        <v>0</v>
      </c>
      <c r="U139" s="4">
        <f ca="1" t="shared" si="229"/>
        <v>0</v>
      </c>
      <c r="V139" s="4">
        <f ca="1" t="shared" si="230"/>
        <v>5194.14082831437</v>
      </c>
      <c r="W139" s="4">
        <f ca="1" t="shared" si="231"/>
        <v>0</v>
      </c>
      <c r="X139" s="4">
        <f ca="1" t="shared" si="232"/>
        <v>-5106.82082831437</v>
      </c>
      <c r="Y139" s="4">
        <f ca="1" t="shared" si="233"/>
        <v>0</v>
      </c>
      <c r="Z139" s="4">
        <f ca="1" t="shared" si="234"/>
        <v>5096.75068778348</v>
      </c>
      <c r="AA139" s="4">
        <f ca="1" t="shared" si="235"/>
        <v>0</v>
      </c>
      <c r="AB139" s="4"/>
    </row>
    <row r="140" customHeight="1" outlineLevel="3" spans="1:28">
      <c r="A140" s="514" t="s">
        <v>2602</v>
      </c>
      <c r="B140" s="4"/>
      <c r="C140" s="510" t="s">
        <v>64</v>
      </c>
      <c r="D140" s="4" t="s">
        <v>296</v>
      </c>
      <c r="E140" s="4"/>
      <c r="F140" s="4" t="str">
        <f ca="1" t="shared" si="226"/>
        <v>t</v>
      </c>
      <c r="G140" s="4"/>
      <c r="H140" s="4"/>
      <c r="I140" s="4"/>
      <c r="J140" s="4"/>
      <c r="K140" s="4"/>
      <c r="L140" s="517"/>
      <c r="M140" s="4">
        <v>87.32</v>
      </c>
      <c r="N140" s="4">
        <f ca="1" t="shared" si="227"/>
        <v>700</v>
      </c>
      <c r="O140" s="4">
        <f ca="1">M140*N140</f>
        <v>61124</v>
      </c>
      <c r="P140" s="4"/>
      <c r="Q140" s="4"/>
      <c r="R140" s="4"/>
      <c r="S140" s="4"/>
      <c r="T140" s="4">
        <f ca="1" t="shared" si="228"/>
        <v>0</v>
      </c>
      <c r="U140" s="4">
        <f ca="1" t="shared" si="229"/>
        <v>0</v>
      </c>
      <c r="V140" s="4">
        <f ca="1" t="shared" si="230"/>
        <v>5194.14082831437</v>
      </c>
      <c r="W140" s="4">
        <f ca="1" t="shared" si="231"/>
        <v>3635898.57982006</v>
      </c>
      <c r="X140" s="4">
        <f ca="1" t="shared" si="232"/>
        <v>-5106.82082831437</v>
      </c>
      <c r="Y140" s="4">
        <f ca="1" t="shared" si="233"/>
        <v>-3574774.57982006</v>
      </c>
      <c r="Z140" s="4">
        <f ca="1" t="shared" si="234"/>
        <v>5096.75068778348</v>
      </c>
      <c r="AA140" s="4">
        <f ca="1" t="shared" si="235"/>
        <v>3567725.48144843</v>
      </c>
      <c r="AB140" s="4"/>
    </row>
    <row r="141" customHeight="1" outlineLevel="2" spans="1:28">
      <c r="A141" s="515" t="s">
        <v>2603</v>
      </c>
      <c r="B141" s="4"/>
      <c r="C141" s="510" t="s">
        <v>1309</v>
      </c>
      <c r="D141" s="4" t="s">
        <v>822</v>
      </c>
      <c r="E141" s="4" t="s">
        <v>2604</v>
      </c>
      <c r="F141" s="4" t="s">
        <v>76</v>
      </c>
      <c r="G141" s="4">
        <v>312.79</v>
      </c>
      <c r="H141" s="4">
        <v>1122.11009174312</v>
      </c>
      <c r="I141" s="4">
        <f>G141*H141</f>
        <v>350984.815596331</v>
      </c>
      <c r="J141" s="4">
        <f t="shared" ref="J141:L141" si="236">+G141</f>
        <v>312.79</v>
      </c>
      <c r="K141" s="4">
        <f t="shared" si="236"/>
        <v>1122.11009174312</v>
      </c>
      <c r="L141" s="517">
        <f t="shared" si="236"/>
        <v>350984.815596331</v>
      </c>
      <c r="M141" s="4">
        <v>312.79</v>
      </c>
      <c r="N141" s="4">
        <f t="shared" ref="N141:N145" si="237">O141/M141</f>
        <v>750</v>
      </c>
      <c r="O141" s="4">
        <f>(+O142)</f>
        <v>234592.5</v>
      </c>
      <c r="P141" s="4"/>
      <c r="Q141" s="4"/>
      <c r="R141" s="4">
        <f t="shared" ref="R141:R145" si="238">+P141+J141</f>
        <v>312.79</v>
      </c>
      <c r="S141" s="4">
        <f t="shared" ref="S141:S145" si="239">+Q141+L141</f>
        <v>350984.815596331</v>
      </c>
      <c r="T141" s="4">
        <f>IFERROR(VLOOKUP(A141,产值统计中间表!A:F,7,FALSE),0)</f>
        <v>0</v>
      </c>
      <c r="U141" s="4">
        <f t="shared" ref="U141:U145" si="240">+T141*H141</f>
        <v>0</v>
      </c>
      <c r="V141" s="4">
        <f>IFERROR(VLOOKUP(A141,产值统计中间表!A:D,4,FALSE),0)</f>
        <v>6000</v>
      </c>
      <c r="W141" s="4">
        <f t="shared" ref="W141:W145" si="241">+V141*H141</f>
        <v>6732660.55045872</v>
      </c>
      <c r="X141" s="4">
        <f t="shared" ref="X141:X145" si="242">+R141-V141</f>
        <v>-5687.21</v>
      </c>
      <c r="Y141" s="4">
        <f t="shared" ref="Y141:Y145" si="243">+S141-W141</f>
        <v>-6381675.73486239</v>
      </c>
      <c r="Z141" s="4">
        <f>IFERROR(VLOOKUP(A141,业主统计中间表!A:D,4,FALSE),0)</f>
        <v>6545</v>
      </c>
      <c r="AA141" s="4">
        <f t="shared" ref="AA141:AA145" si="244">+Z141*H141</f>
        <v>7344210.55045872</v>
      </c>
      <c r="AB141" s="4"/>
    </row>
    <row r="142" customHeight="1" outlineLevel="3" spans="1:28">
      <c r="A142" s="514" t="s">
        <v>2605</v>
      </c>
      <c r="B142" s="4"/>
      <c r="C142" s="510" t="s">
        <v>65</v>
      </c>
      <c r="D142" s="4" t="s">
        <v>822</v>
      </c>
      <c r="E142" s="4"/>
      <c r="F142" s="4" t="str">
        <f ca="1" t="shared" ref="F142:F147" si="245">VLOOKUP($D142,INDIRECT($C142),2,0)</f>
        <v>m</v>
      </c>
      <c r="G142" s="4"/>
      <c r="H142" s="4"/>
      <c r="I142" s="4"/>
      <c r="J142" s="4"/>
      <c r="K142" s="4"/>
      <c r="L142" s="517"/>
      <c r="M142" s="4">
        <v>312.79</v>
      </c>
      <c r="N142" s="4">
        <v>750</v>
      </c>
      <c r="O142" s="4">
        <f>M142*N142</f>
        <v>234592.5</v>
      </c>
      <c r="P142" s="4"/>
      <c r="Q142" s="4"/>
      <c r="R142" s="4"/>
      <c r="S142" s="4"/>
      <c r="T142" s="4">
        <f ca="1" t="shared" ref="T142:T147" si="246">OFFSET(T142,-RIGHT($A142,LEN($A$6)),,1,1)/OFFSET(T142,-RIGHT($A142,LEN($A$6)),-13,1,1)*$M142</f>
        <v>0</v>
      </c>
      <c r="U142" s="4">
        <f ca="1" t="shared" ref="U142:U147" si="247">+$N142*T142</f>
        <v>0</v>
      </c>
      <c r="V142" s="4">
        <f ca="1" t="shared" ref="V142:V147" si="248">OFFSET(V142,-RIGHT($A142,LEN($A$6)),,1,1)/OFFSET(V142,-RIGHT($A142,LEN($A$6)),-15,1,1)*$M142</f>
        <v>6000</v>
      </c>
      <c r="W142" s="4">
        <f ca="1" t="shared" ref="W142:W147" si="249">+$N142*V142</f>
        <v>4500000</v>
      </c>
      <c r="X142" s="4">
        <f ca="1" t="shared" ref="X142:X147" si="250">+M142-V142</f>
        <v>-5687.21</v>
      </c>
      <c r="Y142" s="4">
        <f ca="1" t="shared" ref="Y142:Y147" si="251">+O142-W142</f>
        <v>-4265407.5</v>
      </c>
      <c r="Z142" s="4">
        <f ca="1" t="shared" ref="Z142:Z147" si="252">OFFSET(Z142,-RIGHT($A142,LEN($A$6)),,1,1)/OFFSET(Z142,-RIGHT($A142,LEN($A$6)),-19,1,1)*$M142</f>
        <v>6545</v>
      </c>
      <c r="AA142" s="4">
        <f ca="1" t="shared" ref="AA142:AA147" si="253">+$N142*Z142</f>
        <v>4908750</v>
      </c>
      <c r="AB142" s="4"/>
    </row>
    <row r="143" customHeight="1" outlineLevel="2" spans="1:28">
      <c r="A143" s="515" t="s">
        <v>2606</v>
      </c>
      <c r="B143" s="4"/>
      <c r="C143" s="510" t="s">
        <v>1309</v>
      </c>
      <c r="D143" s="4" t="s">
        <v>2607</v>
      </c>
      <c r="E143" s="4" t="s">
        <v>2604</v>
      </c>
      <c r="F143" s="4" t="s">
        <v>76</v>
      </c>
      <c r="G143" s="4">
        <v>312.79</v>
      </c>
      <c r="H143" s="4">
        <v>1684.3119266055</v>
      </c>
      <c r="I143" s="4">
        <f>G143*H143</f>
        <v>526835.927522934</v>
      </c>
      <c r="J143" s="4">
        <f t="shared" ref="J143:L143" si="254">+G143</f>
        <v>312.79</v>
      </c>
      <c r="K143" s="4">
        <f t="shared" si="254"/>
        <v>1684.3119266055</v>
      </c>
      <c r="L143" s="517">
        <f t="shared" si="254"/>
        <v>526835.927522934</v>
      </c>
      <c r="M143" s="4">
        <v>312.79</v>
      </c>
      <c r="N143" s="4">
        <f ca="1" t="shared" si="237"/>
        <v>500</v>
      </c>
      <c r="O143" s="4">
        <f ca="1">(+O144)</f>
        <v>156395</v>
      </c>
      <c r="P143" s="4"/>
      <c r="Q143" s="4"/>
      <c r="R143" s="4">
        <f t="shared" si="238"/>
        <v>312.79</v>
      </c>
      <c r="S143" s="4">
        <f t="shared" si="239"/>
        <v>526835.927522934</v>
      </c>
      <c r="T143" s="4">
        <f>IFERROR(VLOOKUP(A143,产值统计中间表!A:F,7,FALSE),0)</f>
        <v>0</v>
      </c>
      <c r="U143" s="4">
        <f t="shared" si="240"/>
        <v>0</v>
      </c>
      <c r="V143" s="4">
        <f>IFERROR(VLOOKUP(A143,产值统计中间表!A:D,4,FALSE),0)</f>
        <v>0</v>
      </c>
      <c r="W143" s="4">
        <f t="shared" si="241"/>
        <v>0</v>
      </c>
      <c r="X143" s="4">
        <f t="shared" si="242"/>
        <v>312.79</v>
      </c>
      <c r="Y143" s="4">
        <f t="shared" si="243"/>
        <v>526835.927522934</v>
      </c>
      <c r="Z143" s="4">
        <f>IFERROR(VLOOKUP(A143,业主统计中间表!A:D,4,FALSE),0)</f>
        <v>0</v>
      </c>
      <c r="AA143" s="4">
        <f t="shared" si="244"/>
        <v>0</v>
      </c>
      <c r="AB143" s="4"/>
    </row>
    <row r="144" customHeight="1" outlineLevel="3" spans="1:28">
      <c r="A144" s="514" t="s">
        <v>2608</v>
      </c>
      <c r="B144" s="4"/>
      <c r="C144" s="510" t="s">
        <v>65</v>
      </c>
      <c r="D144" s="4" t="s">
        <v>622</v>
      </c>
      <c r="E144" s="4"/>
      <c r="F144" s="4" t="str">
        <f ca="1" t="shared" si="245"/>
        <v>m</v>
      </c>
      <c r="G144" s="4"/>
      <c r="H144" s="4"/>
      <c r="I144" s="4"/>
      <c r="J144" s="4"/>
      <c r="K144" s="4"/>
      <c r="L144" s="517"/>
      <c r="M144" s="4">
        <v>312.79</v>
      </c>
      <c r="N144" s="4">
        <f ca="1" t="shared" ref="N144:N147" si="255">VLOOKUP($D144,INDIRECT($C144),3,0)</f>
        <v>500</v>
      </c>
      <c r="O144" s="4">
        <f ca="1">M144*N144</f>
        <v>156395</v>
      </c>
      <c r="P144" s="4"/>
      <c r="Q144" s="4"/>
      <c r="R144" s="4"/>
      <c r="S144" s="4"/>
      <c r="T144" s="4">
        <f ca="1" t="shared" si="246"/>
        <v>0</v>
      </c>
      <c r="U144" s="4">
        <f ca="1" t="shared" si="247"/>
        <v>0</v>
      </c>
      <c r="V144" s="4">
        <f ca="1" t="shared" si="248"/>
        <v>0</v>
      </c>
      <c r="W144" s="4">
        <f ca="1" t="shared" si="249"/>
        <v>0</v>
      </c>
      <c r="X144" s="4">
        <f ca="1" t="shared" si="250"/>
        <v>312.79</v>
      </c>
      <c r="Y144" s="4">
        <f ca="1" t="shared" si="251"/>
        <v>156395</v>
      </c>
      <c r="Z144" s="4">
        <f ca="1" t="shared" si="252"/>
        <v>0</v>
      </c>
      <c r="AA144" s="4">
        <f ca="1" t="shared" si="253"/>
        <v>0</v>
      </c>
      <c r="AB144" s="4"/>
    </row>
    <row r="145" customHeight="1" outlineLevel="2" spans="1:28">
      <c r="A145" s="515" t="s">
        <v>2609</v>
      </c>
      <c r="B145" s="4"/>
      <c r="C145" s="510" t="s">
        <v>1309</v>
      </c>
      <c r="D145" s="4" t="s">
        <v>987</v>
      </c>
      <c r="E145" s="4" t="s">
        <v>2610</v>
      </c>
      <c r="F145" s="4" t="s">
        <v>169</v>
      </c>
      <c r="G145" s="4">
        <v>25</v>
      </c>
      <c r="H145" s="4">
        <v>3666.3119266055</v>
      </c>
      <c r="I145" s="4">
        <f>G145*H145</f>
        <v>91657.7981651375</v>
      </c>
      <c r="J145" s="4">
        <f t="shared" ref="J145:L145" si="256">+G145</f>
        <v>25</v>
      </c>
      <c r="K145" s="4">
        <f t="shared" si="256"/>
        <v>3666.3119266055</v>
      </c>
      <c r="L145" s="517">
        <f t="shared" si="256"/>
        <v>91657.7981651375</v>
      </c>
      <c r="M145" s="4">
        <v>25</v>
      </c>
      <c r="N145" s="4">
        <f ca="1" t="shared" si="237"/>
        <v>0</v>
      </c>
      <c r="O145" s="4">
        <f ca="1">(+O146+O147)</f>
        <v>0</v>
      </c>
      <c r="P145" s="4"/>
      <c r="Q145" s="4"/>
      <c r="R145" s="4">
        <f t="shared" si="238"/>
        <v>25</v>
      </c>
      <c r="S145" s="4">
        <f t="shared" si="239"/>
        <v>91657.7981651375</v>
      </c>
      <c r="T145" s="4">
        <f>IFERROR(VLOOKUP(A145,产值统计中间表!A:F,7,FALSE),0)</f>
        <v>0</v>
      </c>
      <c r="U145" s="4">
        <f t="shared" si="240"/>
        <v>0</v>
      </c>
      <c r="V145" s="4">
        <f>IFERROR(VLOOKUP(A145,产值统计中间表!A:D,4,FALSE),0)</f>
        <v>600</v>
      </c>
      <c r="W145" s="4">
        <f t="shared" si="241"/>
        <v>2199787.1559633</v>
      </c>
      <c r="X145" s="4">
        <f t="shared" si="242"/>
        <v>-575</v>
      </c>
      <c r="Y145" s="4">
        <f t="shared" si="243"/>
        <v>-2108129.35779816</v>
      </c>
      <c r="Z145" s="4">
        <f>IFERROR(VLOOKUP(A145,业主统计中间表!A:D,4,FALSE),0)</f>
        <v>622</v>
      </c>
      <c r="AA145" s="4">
        <f t="shared" si="244"/>
        <v>2280446.01834862</v>
      </c>
      <c r="AB145" s="4"/>
    </row>
    <row r="146" customHeight="1" outlineLevel="3" spans="1:28">
      <c r="A146" s="514" t="s">
        <v>2611</v>
      </c>
      <c r="B146" s="4"/>
      <c r="C146" s="510" t="s">
        <v>64</v>
      </c>
      <c r="D146" s="4" t="s">
        <v>1034</v>
      </c>
      <c r="E146" s="4"/>
      <c r="F146" s="4" t="str">
        <f ca="1" t="shared" si="245"/>
        <v>套</v>
      </c>
      <c r="G146" s="4"/>
      <c r="H146" s="4"/>
      <c r="I146" s="4"/>
      <c r="J146" s="4"/>
      <c r="K146" s="4"/>
      <c r="L146" s="517"/>
      <c r="M146" s="4">
        <v>25</v>
      </c>
      <c r="N146" s="4">
        <f ca="1" t="shared" si="255"/>
        <v>0</v>
      </c>
      <c r="O146" s="4">
        <f ca="1">M146*N146</f>
        <v>0</v>
      </c>
      <c r="P146" s="4"/>
      <c r="Q146" s="4"/>
      <c r="R146" s="4"/>
      <c r="S146" s="4"/>
      <c r="T146" s="4">
        <f ca="1" t="shared" si="246"/>
        <v>0</v>
      </c>
      <c r="U146" s="4">
        <f ca="1" t="shared" si="247"/>
        <v>0</v>
      </c>
      <c r="V146" s="4">
        <f ca="1" t="shared" si="248"/>
        <v>600</v>
      </c>
      <c r="W146" s="4">
        <f ca="1" t="shared" si="249"/>
        <v>0</v>
      </c>
      <c r="X146" s="4">
        <f ca="1" t="shared" si="250"/>
        <v>-575</v>
      </c>
      <c r="Y146" s="4">
        <f ca="1" t="shared" si="251"/>
        <v>0</v>
      </c>
      <c r="Z146" s="4">
        <f ca="1" t="shared" si="252"/>
        <v>622</v>
      </c>
      <c r="AA146" s="4">
        <f ca="1" t="shared" si="253"/>
        <v>0</v>
      </c>
      <c r="AB146" s="4"/>
    </row>
    <row r="147" customHeight="1" outlineLevel="3" spans="1:28">
      <c r="A147" s="514" t="s">
        <v>2612</v>
      </c>
      <c r="B147" s="4"/>
      <c r="C147" s="510" t="s">
        <v>59</v>
      </c>
      <c r="D147" s="4" t="s">
        <v>987</v>
      </c>
      <c r="E147" s="4"/>
      <c r="F147" s="4" t="str">
        <f ca="1" t="shared" si="245"/>
        <v>套</v>
      </c>
      <c r="G147" s="4"/>
      <c r="H147" s="4"/>
      <c r="I147" s="4"/>
      <c r="J147" s="4"/>
      <c r="K147" s="4"/>
      <c r="L147" s="517"/>
      <c r="M147" s="4">
        <v>25</v>
      </c>
      <c r="N147" s="4">
        <f ca="1" t="shared" si="255"/>
        <v>0</v>
      </c>
      <c r="O147" s="4">
        <f ca="1">M147*N147</f>
        <v>0</v>
      </c>
      <c r="P147" s="4"/>
      <c r="Q147" s="4"/>
      <c r="R147" s="4"/>
      <c r="S147" s="4"/>
      <c r="T147" s="4">
        <f ca="1" t="shared" si="246"/>
        <v>0</v>
      </c>
      <c r="U147" s="4">
        <f ca="1" t="shared" si="247"/>
        <v>0</v>
      </c>
      <c r="V147" s="4">
        <f ca="1" t="shared" si="248"/>
        <v>600</v>
      </c>
      <c r="W147" s="4">
        <f ca="1" t="shared" si="249"/>
        <v>0</v>
      </c>
      <c r="X147" s="4">
        <f ca="1" t="shared" si="250"/>
        <v>-575</v>
      </c>
      <c r="Y147" s="4">
        <f ca="1" t="shared" si="251"/>
        <v>0</v>
      </c>
      <c r="Z147" s="4">
        <f ca="1" t="shared" si="252"/>
        <v>622</v>
      </c>
      <c r="AA147" s="4">
        <f ca="1" t="shared" si="253"/>
        <v>0</v>
      </c>
      <c r="AB147" s="4"/>
    </row>
    <row r="148" customHeight="1" outlineLevel="2" spans="1:28">
      <c r="A148" s="515" t="s">
        <v>2613</v>
      </c>
      <c r="B148" s="4"/>
      <c r="C148" s="510" t="s">
        <v>1309</v>
      </c>
      <c r="D148" s="4" t="s">
        <v>990</v>
      </c>
      <c r="E148" s="4" t="s">
        <v>2610</v>
      </c>
      <c r="F148" s="4" t="s">
        <v>169</v>
      </c>
      <c r="G148" s="4">
        <v>35</v>
      </c>
      <c r="H148" s="4">
        <v>3403.55963302752</v>
      </c>
      <c r="I148" s="4">
        <f>G148*H148</f>
        <v>119124.587155963</v>
      </c>
      <c r="J148" s="4">
        <f t="shared" ref="J148:L148" si="257">+G148</f>
        <v>35</v>
      </c>
      <c r="K148" s="4">
        <f t="shared" si="257"/>
        <v>3403.55963302752</v>
      </c>
      <c r="L148" s="517">
        <f t="shared" si="257"/>
        <v>119124.587155963</v>
      </c>
      <c r="M148" s="4">
        <v>35</v>
      </c>
      <c r="N148" s="4">
        <f ca="1">O148/M148</f>
        <v>0</v>
      </c>
      <c r="O148" s="4">
        <f ca="1">(+O149+O150)</f>
        <v>0</v>
      </c>
      <c r="P148" s="4"/>
      <c r="Q148" s="4"/>
      <c r="R148" s="4">
        <f>+P148+J148</f>
        <v>35</v>
      </c>
      <c r="S148" s="4">
        <f>+Q148+L148</f>
        <v>119124.587155963</v>
      </c>
      <c r="T148" s="4">
        <f>IFERROR(VLOOKUP(A148,产值统计中间表!A:F,7,FALSE),0)</f>
        <v>0</v>
      </c>
      <c r="U148" s="4">
        <f>+T148*H148</f>
        <v>0</v>
      </c>
      <c r="V148" s="4">
        <f>IFERROR(VLOOKUP(A148,产值统计中间表!A:D,4,FALSE),0)</f>
        <v>300</v>
      </c>
      <c r="W148" s="4">
        <f>+V148*H148</f>
        <v>1021067.88990826</v>
      </c>
      <c r="X148" s="4">
        <f>+R148-V148</f>
        <v>-265</v>
      </c>
      <c r="Y148" s="4">
        <f>+S148-W148</f>
        <v>-901943.302752293</v>
      </c>
      <c r="Z148" s="4">
        <f>IFERROR(VLOOKUP(A148,业主统计中间表!A:D,4,FALSE),0)</f>
        <v>307</v>
      </c>
      <c r="AA148" s="4">
        <f>+Z148*H148</f>
        <v>1044892.80733945</v>
      </c>
      <c r="AB148" s="4"/>
    </row>
    <row r="149" customHeight="1" outlineLevel="3" spans="1:28">
      <c r="A149" s="514" t="s">
        <v>2614</v>
      </c>
      <c r="B149" s="4"/>
      <c r="C149" s="510" t="s">
        <v>64</v>
      </c>
      <c r="D149" s="4" t="s">
        <v>1034</v>
      </c>
      <c r="E149" s="4"/>
      <c r="F149" s="4" t="str">
        <f ca="1" t="shared" ref="F149:F153" si="258">VLOOKUP($D149,INDIRECT($C149),2,0)</f>
        <v>套</v>
      </c>
      <c r="G149" s="4"/>
      <c r="H149" s="4"/>
      <c r="I149" s="4"/>
      <c r="J149" s="4"/>
      <c r="K149" s="4"/>
      <c r="L149" s="517"/>
      <c r="M149" s="4">
        <v>35</v>
      </c>
      <c r="N149" s="4">
        <f ca="1" t="shared" ref="N149:N153" si="259">VLOOKUP($D149,INDIRECT($C149),3,0)</f>
        <v>0</v>
      </c>
      <c r="O149" s="4">
        <f ca="1">M149*N149</f>
        <v>0</v>
      </c>
      <c r="P149" s="4"/>
      <c r="Q149" s="4"/>
      <c r="R149" s="4"/>
      <c r="S149" s="4"/>
      <c r="T149" s="4">
        <f ca="1" t="shared" ref="T149:T153" si="260">OFFSET(T149,-RIGHT($A149,LEN($A$6)),,1,1)/OFFSET(T149,-RIGHT($A149,LEN($A$6)),-13,1,1)*$M149</f>
        <v>0</v>
      </c>
      <c r="U149" s="4">
        <f ca="1" t="shared" ref="U149:U153" si="261">+$N149*T149</f>
        <v>0</v>
      </c>
      <c r="V149" s="4">
        <f ca="1" t="shared" ref="V149:V153" si="262">OFFSET(V149,-RIGHT($A149,LEN($A$6)),,1,1)/OFFSET(V149,-RIGHT($A149,LEN($A$6)),-15,1,1)*$M149</f>
        <v>300</v>
      </c>
      <c r="W149" s="4">
        <f ca="1" t="shared" ref="W149:W153" si="263">+$N149*V149</f>
        <v>0</v>
      </c>
      <c r="X149" s="4">
        <f ca="1" t="shared" ref="X149:X153" si="264">+M149-V149</f>
        <v>-265</v>
      </c>
      <c r="Y149" s="4">
        <f ca="1" t="shared" ref="Y149:Y153" si="265">+O149-W149</f>
        <v>0</v>
      </c>
      <c r="Z149" s="4">
        <f ca="1" t="shared" ref="Z149:Z153" si="266">OFFSET(Z149,-RIGHT($A149,LEN($A$6)),,1,1)/OFFSET(Z149,-RIGHT($A149,LEN($A$6)),-19,1,1)*$M149</f>
        <v>307</v>
      </c>
      <c r="AA149" s="4">
        <f ca="1" t="shared" ref="AA149:AA153" si="267">+$N149*Z149</f>
        <v>0</v>
      </c>
      <c r="AB149" s="4"/>
    </row>
    <row r="150" customHeight="1" outlineLevel="3" spans="1:28">
      <c r="A150" s="514" t="s">
        <v>2615</v>
      </c>
      <c r="B150" s="4"/>
      <c r="C150" s="510" t="s">
        <v>59</v>
      </c>
      <c r="D150" s="4" t="s">
        <v>990</v>
      </c>
      <c r="E150" s="4"/>
      <c r="F150" s="4" t="str">
        <f ca="1" t="shared" si="258"/>
        <v>套</v>
      </c>
      <c r="G150" s="4"/>
      <c r="H150" s="4"/>
      <c r="I150" s="4"/>
      <c r="J150" s="4"/>
      <c r="K150" s="4"/>
      <c r="L150" s="517"/>
      <c r="M150" s="4">
        <v>35</v>
      </c>
      <c r="N150" s="4">
        <f ca="1" t="shared" si="259"/>
        <v>0</v>
      </c>
      <c r="O150" s="4">
        <f ca="1">M150*N150</f>
        <v>0</v>
      </c>
      <c r="P150" s="4"/>
      <c r="Q150" s="4"/>
      <c r="R150" s="4"/>
      <c r="S150" s="4"/>
      <c r="T150" s="4">
        <f ca="1" t="shared" si="260"/>
        <v>0</v>
      </c>
      <c r="U150" s="4">
        <f ca="1" t="shared" si="261"/>
        <v>0</v>
      </c>
      <c r="V150" s="4">
        <f ca="1" t="shared" si="262"/>
        <v>300</v>
      </c>
      <c r="W150" s="4">
        <f ca="1" t="shared" si="263"/>
        <v>0</v>
      </c>
      <c r="X150" s="4">
        <f ca="1" t="shared" si="264"/>
        <v>-265</v>
      </c>
      <c r="Y150" s="4">
        <f ca="1" t="shared" si="265"/>
        <v>0</v>
      </c>
      <c r="Z150" s="4">
        <f ca="1" t="shared" si="266"/>
        <v>307</v>
      </c>
      <c r="AA150" s="4">
        <f ca="1" t="shared" si="267"/>
        <v>0</v>
      </c>
      <c r="AB150" s="4"/>
    </row>
    <row r="151" customHeight="1" outlineLevel="2" spans="1:28">
      <c r="A151" s="515" t="s">
        <v>2616</v>
      </c>
      <c r="B151" s="4"/>
      <c r="C151" s="510" t="s">
        <v>1309</v>
      </c>
      <c r="D151" s="4" t="s">
        <v>993</v>
      </c>
      <c r="E151" s="4" t="s">
        <v>2610</v>
      </c>
      <c r="F151" s="4" t="s">
        <v>169</v>
      </c>
      <c r="G151" s="4">
        <v>36</v>
      </c>
      <c r="H151" s="4">
        <v>27.302752293578</v>
      </c>
      <c r="I151" s="4">
        <f>G151*H151</f>
        <v>982.899082568808</v>
      </c>
      <c r="J151" s="4">
        <f t="shared" ref="J151:L151" si="268">+G151</f>
        <v>36</v>
      </c>
      <c r="K151" s="4">
        <f t="shared" si="268"/>
        <v>27.302752293578</v>
      </c>
      <c r="L151" s="517">
        <f t="shared" si="268"/>
        <v>982.899082568808</v>
      </c>
      <c r="M151" s="4">
        <v>36</v>
      </c>
      <c r="N151" s="4">
        <f ca="1">O151/M151</f>
        <v>10</v>
      </c>
      <c r="O151" s="4">
        <f ca="1">(+O152+O153)</f>
        <v>360</v>
      </c>
      <c r="P151" s="4"/>
      <c r="Q151" s="4"/>
      <c r="R151" s="4">
        <f>+P151+J151</f>
        <v>36</v>
      </c>
      <c r="S151" s="4">
        <f>+Q151+L151</f>
        <v>982.899082568808</v>
      </c>
      <c r="T151" s="4">
        <f>IFERROR(VLOOKUP(A151,产值统计中间表!A:F,7,FALSE),0)</f>
        <v>0</v>
      </c>
      <c r="U151" s="4">
        <f>+T151*H151</f>
        <v>0</v>
      </c>
      <c r="V151" s="4">
        <f>IFERROR(VLOOKUP(A151,产值统计中间表!A:D,4,FALSE),0)</f>
        <v>0</v>
      </c>
      <c r="W151" s="4">
        <f>+V151*H151</f>
        <v>0</v>
      </c>
      <c r="X151" s="4">
        <f>+R151-V151</f>
        <v>36</v>
      </c>
      <c r="Y151" s="4">
        <f>+S151-W151</f>
        <v>982.899082568808</v>
      </c>
      <c r="Z151" s="4">
        <f>IFERROR(VLOOKUP(A151,业主统计中间表!A:D,4,FALSE),0)</f>
        <v>0</v>
      </c>
      <c r="AA151" s="4">
        <f>+Z151*H151</f>
        <v>0</v>
      </c>
      <c r="AB151" s="4"/>
    </row>
    <row r="152" customHeight="1" outlineLevel="3" spans="1:28">
      <c r="A152" s="514" t="s">
        <v>2617</v>
      </c>
      <c r="B152" s="4"/>
      <c r="C152" s="510" t="s">
        <v>64</v>
      </c>
      <c r="D152" s="4" t="s">
        <v>1121</v>
      </c>
      <c r="E152" s="4"/>
      <c r="F152" s="4" t="str">
        <f ca="1" t="shared" si="258"/>
        <v>个</v>
      </c>
      <c r="G152" s="4"/>
      <c r="H152" s="4"/>
      <c r="I152" s="4"/>
      <c r="J152" s="4"/>
      <c r="K152" s="4"/>
      <c r="L152" s="517"/>
      <c r="M152" s="4">
        <v>36</v>
      </c>
      <c r="N152" s="4">
        <f ca="1" t="shared" si="259"/>
        <v>10</v>
      </c>
      <c r="O152" s="4">
        <f ca="1">M152*N152</f>
        <v>360</v>
      </c>
      <c r="P152" s="4"/>
      <c r="Q152" s="4"/>
      <c r="R152" s="4"/>
      <c r="S152" s="4"/>
      <c r="T152" s="4">
        <f ca="1" t="shared" si="260"/>
        <v>0</v>
      </c>
      <c r="U152" s="4">
        <f ca="1" t="shared" si="261"/>
        <v>0</v>
      </c>
      <c r="V152" s="4">
        <f ca="1" t="shared" si="262"/>
        <v>0</v>
      </c>
      <c r="W152" s="4">
        <f ca="1" t="shared" si="263"/>
        <v>0</v>
      </c>
      <c r="X152" s="4">
        <f ca="1" t="shared" si="264"/>
        <v>36</v>
      </c>
      <c r="Y152" s="4">
        <f ca="1" t="shared" si="265"/>
        <v>360</v>
      </c>
      <c r="Z152" s="4">
        <f ca="1" t="shared" si="266"/>
        <v>0</v>
      </c>
      <c r="AA152" s="4">
        <f ca="1" t="shared" si="267"/>
        <v>0</v>
      </c>
      <c r="AB152" s="4"/>
    </row>
    <row r="153" customHeight="1" outlineLevel="3" spans="1:28">
      <c r="A153" s="514" t="s">
        <v>2618</v>
      </c>
      <c r="B153" s="4"/>
      <c r="C153" s="510" t="s">
        <v>59</v>
      </c>
      <c r="D153" s="4" t="s">
        <v>993</v>
      </c>
      <c r="E153" s="4"/>
      <c r="F153" s="4" t="str">
        <f ca="1" t="shared" si="258"/>
        <v>套</v>
      </c>
      <c r="G153" s="4"/>
      <c r="H153" s="4"/>
      <c r="I153" s="4"/>
      <c r="J153" s="4"/>
      <c r="K153" s="4"/>
      <c r="L153" s="517"/>
      <c r="M153" s="4">
        <v>36</v>
      </c>
      <c r="N153" s="4">
        <f ca="1" t="shared" si="259"/>
        <v>0</v>
      </c>
      <c r="O153" s="4">
        <f ca="1">M153*N153</f>
        <v>0</v>
      </c>
      <c r="P153" s="4"/>
      <c r="Q153" s="4"/>
      <c r="R153" s="4"/>
      <c r="S153" s="4"/>
      <c r="T153" s="4">
        <f ca="1" t="shared" si="260"/>
        <v>0</v>
      </c>
      <c r="U153" s="4">
        <f ca="1" t="shared" si="261"/>
        <v>0</v>
      </c>
      <c r="V153" s="4">
        <f ca="1" t="shared" si="262"/>
        <v>0</v>
      </c>
      <c r="W153" s="4">
        <f ca="1" t="shared" si="263"/>
        <v>0</v>
      </c>
      <c r="X153" s="4">
        <f ca="1" t="shared" si="264"/>
        <v>36</v>
      </c>
      <c r="Y153" s="4">
        <f ca="1" t="shared" si="265"/>
        <v>0</v>
      </c>
      <c r="Z153" s="4">
        <f ca="1" t="shared" si="266"/>
        <v>0</v>
      </c>
      <c r="AA153" s="4">
        <f ca="1" t="shared" si="267"/>
        <v>0</v>
      </c>
      <c r="AB153" s="4"/>
    </row>
    <row r="154" customHeight="1" outlineLevel="2" spans="1:28">
      <c r="A154" s="515" t="s">
        <v>2619</v>
      </c>
      <c r="B154" s="4"/>
      <c r="C154" s="510" t="s">
        <v>1309</v>
      </c>
      <c r="D154" s="4" t="s">
        <v>996</v>
      </c>
      <c r="E154" s="4" t="s">
        <v>2610</v>
      </c>
      <c r="F154" s="4" t="s">
        <v>169</v>
      </c>
      <c r="G154" s="4">
        <v>140</v>
      </c>
      <c r="H154" s="4">
        <v>39.3302752293578</v>
      </c>
      <c r="I154" s="4">
        <f>G154*H154</f>
        <v>5506.23853211009</v>
      </c>
      <c r="J154" s="4">
        <f t="shared" ref="J154:L154" si="269">+G154</f>
        <v>140</v>
      </c>
      <c r="K154" s="4">
        <f t="shared" si="269"/>
        <v>39.3302752293578</v>
      </c>
      <c r="L154" s="517">
        <f t="shared" si="269"/>
        <v>5506.23853211009</v>
      </c>
      <c r="M154" s="4">
        <v>140</v>
      </c>
      <c r="N154" s="4">
        <f ca="1">O154/M154</f>
        <v>10</v>
      </c>
      <c r="O154" s="4">
        <f ca="1">(+O155+O156)</f>
        <v>1400</v>
      </c>
      <c r="P154" s="4"/>
      <c r="Q154" s="4"/>
      <c r="R154" s="4">
        <f>+P154+J154</f>
        <v>140</v>
      </c>
      <c r="S154" s="4">
        <f>+Q154+L154</f>
        <v>5506.23853211009</v>
      </c>
      <c r="T154" s="4">
        <f>IFERROR(VLOOKUP(A154,产值统计中间表!A:F,7,FALSE),0)</f>
        <v>0</v>
      </c>
      <c r="U154" s="4">
        <f>+T154*H154</f>
        <v>0</v>
      </c>
      <c r="V154" s="4">
        <f>IFERROR(VLOOKUP(A154,产值统计中间表!A:D,4,FALSE),0)</f>
        <v>1500</v>
      </c>
      <c r="W154" s="4">
        <f>+V154*H154</f>
        <v>58995.4128440367</v>
      </c>
      <c r="X154" s="4">
        <f>+R154-V154</f>
        <v>-1360</v>
      </c>
      <c r="Y154" s="4">
        <f>+S154-W154</f>
        <v>-53489.1743119266</v>
      </c>
      <c r="Z154" s="4">
        <f>IFERROR(VLOOKUP(A154,业主统计中间表!A:D,4,FALSE),0)</f>
        <v>1485</v>
      </c>
      <c r="AA154" s="4">
        <f>+Z154*H154</f>
        <v>58405.4587155963</v>
      </c>
      <c r="AB154" s="4"/>
    </row>
    <row r="155" customHeight="1" outlineLevel="3" spans="1:28">
      <c r="A155" s="514" t="s">
        <v>2620</v>
      </c>
      <c r="B155" s="4"/>
      <c r="C155" s="510" t="s">
        <v>64</v>
      </c>
      <c r="D155" s="4" t="s">
        <v>1121</v>
      </c>
      <c r="E155" s="4"/>
      <c r="F155" s="4" t="str">
        <f ca="1" t="shared" ref="F155:F159" si="270">VLOOKUP($D155,INDIRECT($C155),2,0)</f>
        <v>个</v>
      </c>
      <c r="G155" s="4"/>
      <c r="H155" s="4"/>
      <c r="I155" s="4"/>
      <c r="J155" s="4"/>
      <c r="K155" s="4"/>
      <c r="L155" s="517"/>
      <c r="M155" s="4">
        <v>140</v>
      </c>
      <c r="N155" s="4">
        <f ca="1" t="shared" ref="N155:N158" si="271">VLOOKUP($D155,INDIRECT($C155),3,0)</f>
        <v>10</v>
      </c>
      <c r="O155" s="4">
        <f ca="1">M155*N155</f>
        <v>1400</v>
      </c>
      <c r="P155" s="4"/>
      <c r="Q155" s="4"/>
      <c r="R155" s="4"/>
      <c r="S155" s="4"/>
      <c r="T155" s="4">
        <f ca="1" t="shared" ref="T155:T159" si="272">OFFSET(T155,-RIGHT($A155,LEN($A$6)),,1,1)/OFFSET(T155,-RIGHT($A155,LEN($A$6)),-13,1,1)*$M155</f>
        <v>0</v>
      </c>
      <c r="U155" s="4">
        <f ca="1" t="shared" ref="U155:U159" si="273">+$N155*T155</f>
        <v>0</v>
      </c>
      <c r="V155" s="4">
        <f ca="1" t="shared" ref="V155:V159" si="274">OFFSET(V155,-RIGHT($A155,LEN($A$6)),,1,1)/OFFSET(V155,-RIGHT($A155,LEN($A$6)),-15,1,1)*$M155</f>
        <v>1500</v>
      </c>
      <c r="W155" s="4">
        <f ca="1" t="shared" ref="W155:W159" si="275">+$N155*V155</f>
        <v>15000</v>
      </c>
      <c r="X155" s="4">
        <f ca="1" t="shared" ref="X155:X159" si="276">+M155-V155</f>
        <v>-1360</v>
      </c>
      <c r="Y155" s="4">
        <f ca="1" t="shared" ref="Y155:Y159" si="277">+O155-W155</f>
        <v>-13600</v>
      </c>
      <c r="Z155" s="4">
        <f ca="1" t="shared" ref="Z155:Z159" si="278">OFFSET(Z155,-RIGHT($A155,LEN($A$6)),,1,1)/OFFSET(Z155,-RIGHT($A155,LEN($A$6)),-19,1,1)*$M155</f>
        <v>1485</v>
      </c>
      <c r="AA155" s="4">
        <f ca="1" t="shared" ref="AA155:AA159" si="279">+$N155*Z155</f>
        <v>14850</v>
      </c>
      <c r="AB155" s="4"/>
    </row>
    <row r="156" customHeight="1" outlineLevel="3" spans="1:28">
      <c r="A156" s="514" t="s">
        <v>2621</v>
      </c>
      <c r="B156" s="4"/>
      <c r="C156" s="510" t="s">
        <v>59</v>
      </c>
      <c r="D156" s="4" t="s">
        <v>996</v>
      </c>
      <c r="E156" s="4"/>
      <c r="F156" s="4" t="str">
        <f ca="1" t="shared" si="270"/>
        <v>套</v>
      </c>
      <c r="G156" s="4"/>
      <c r="H156" s="4"/>
      <c r="I156" s="4"/>
      <c r="J156" s="4"/>
      <c r="K156" s="4"/>
      <c r="L156" s="517"/>
      <c r="M156" s="4">
        <v>140</v>
      </c>
      <c r="N156" s="4">
        <f ca="1" t="shared" si="271"/>
        <v>0</v>
      </c>
      <c r="O156" s="4">
        <f ca="1">M156*N156</f>
        <v>0</v>
      </c>
      <c r="P156" s="4"/>
      <c r="Q156" s="4"/>
      <c r="R156" s="4"/>
      <c r="S156" s="4"/>
      <c r="T156" s="4">
        <f ca="1" t="shared" si="272"/>
        <v>0</v>
      </c>
      <c r="U156" s="4">
        <f ca="1" t="shared" si="273"/>
        <v>0</v>
      </c>
      <c r="V156" s="4">
        <f ca="1" t="shared" si="274"/>
        <v>1500</v>
      </c>
      <c r="W156" s="4">
        <f ca="1" t="shared" si="275"/>
        <v>0</v>
      </c>
      <c r="X156" s="4">
        <f ca="1" t="shared" si="276"/>
        <v>-1360</v>
      </c>
      <c r="Y156" s="4">
        <f ca="1" t="shared" si="277"/>
        <v>0</v>
      </c>
      <c r="Z156" s="4">
        <f ca="1" t="shared" si="278"/>
        <v>1485</v>
      </c>
      <c r="AA156" s="4">
        <f ca="1" t="shared" si="279"/>
        <v>0</v>
      </c>
      <c r="AB156" s="4"/>
    </row>
    <row r="157" customHeight="1" outlineLevel="2" spans="1:28">
      <c r="A157" s="515" t="s">
        <v>2622</v>
      </c>
      <c r="B157" s="4"/>
      <c r="C157" s="510" t="s">
        <v>1309</v>
      </c>
      <c r="D157" s="4" t="s">
        <v>999</v>
      </c>
      <c r="E157" s="4" t="s">
        <v>2610</v>
      </c>
      <c r="F157" s="4" t="s">
        <v>169</v>
      </c>
      <c r="G157" s="4">
        <v>48</v>
      </c>
      <c r="H157" s="4">
        <v>43.348623853211</v>
      </c>
      <c r="I157" s="4">
        <f>G157*H157</f>
        <v>2080.73394495413</v>
      </c>
      <c r="J157" s="4">
        <f t="shared" ref="J157:L157" si="280">+G157</f>
        <v>48</v>
      </c>
      <c r="K157" s="4">
        <f t="shared" si="280"/>
        <v>43.348623853211</v>
      </c>
      <c r="L157" s="517">
        <f t="shared" si="280"/>
        <v>2080.73394495413</v>
      </c>
      <c r="M157" s="4">
        <v>48</v>
      </c>
      <c r="N157" s="4">
        <f ca="1">O157/M157</f>
        <v>50</v>
      </c>
      <c r="O157" s="4">
        <f ca="1">(+O158+O159)</f>
        <v>2400</v>
      </c>
      <c r="P157" s="4"/>
      <c r="Q157" s="4"/>
      <c r="R157" s="4">
        <f>+P157+J157</f>
        <v>48</v>
      </c>
      <c r="S157" s="4">
        <f>+Q157+L157</f>
        <v>2080.73394495413</v>
      </c>
      <c r="T157" s="4">
        <f>IFERROR(VLOOKUP(A157,产值统计中间表!A:F,7,FALSE),0)</f>
        <v>0</v>
      </c>
      <c r="U157" s="4">
        <f>+T157*H157</f>
        <v>0</v>
      </c>
      <c r="V157" s="4">
        <f>IFERROR(VLOOKUP(A157,产值统计中间表!A:D,4,FALSE),0)</f>
        <v>120</v>
      </c>
      <c r="W157" s="4">
        <f>+V157*H157</f>
        <v>5201.83486238532</v>
      </c>
      <c r="X157" s="4">
        <f>+R157-V157</f>
        <v>-72</v>
      </c>
      <c r="Y157" s="4">
        <f>+S157-W157</f>
        <v>-3121.10091743119</v>
      </c>
      <c r="Z157" s="4">
        <f>IFERROR(VLOOKUP(A157,业主统计中间表!A:D,4,FALSE),0)</f>
        <v>126.553</v>
      </c>
      <c r="AA157" s="4">
        <f>+Z157*H157</f>
        <v>5485.89839449541</v>
      </c>
      <c r="AB157" s="4"/>
    </row>
    <row r="158" customHeight="1" outlineLevel="3" spans="1:28">
      <c r="A158" s="514" t="s">
        <v>2623</v>
      </c>
      <c r="B158" s="4"/>
      <c r="C158" s="510" t="s">
        <v>64</v>
      </c>
      <c r="D158" s="4" t="s">
        <v>1121</v>
      </c>
      <c r="E158" s="4"/>
      <c r="F158" s="4" t="str">
        <f ca="1" t="shared" si="270"/>
        <v>个</v>
      </c>
      <c r="G158" s="4"/>
      <c r="H158" s="4"/>
      <c r="I158" s="4"/>
      <c r="J158" s="4"/>
      <c r="K158" s="4"/>
      <c r="L158" s="517"/>
      <c r="M158" s="4">
        <v>48</v>
      </c>
      <c r="N158" s="4">
        <f ca="1" t="shared" si="271"/>
        <v>10</v>
      </c>
      <c r="O158" s="4">
        <f ca="1">M158*N158</f>
        <v>480</v>
      </c>
      <c r="P158" s="4"/>
      <c r="Q158" s="4"/>
      <c r="R158" s="4"/>
      <c r="S158" s="4"/>
      <c r="T158" s="4">
        <f ca="1" t="shared" si="272"/>
        <v>0</v>
      </c>
      <c r="U158" s="4">
        <f ca="1" t="shared" si="273"/>
        <v>0</v>
      </c>
      <c r="V158" s="4">
        <f ca="1" t="shared" si="274"/>
        <v>120</v>
      </c>
      <c r="W158" s="4">
        <f ca="1" t="shared" si="275"/>
        <v>1200</v>
      </c>
      <c r="X158" s="4">
        <f ca="1" t="shared" si="276"/>
        <v>-72</v>
      </c>
      <c r="Y158" s="4">
        <f ca="1" t="shared" si="277"/>
        <v>-720</v>
      </c>
      <c r="Z158" s="4">
        <f ca="1" t="shared" si="278"/>
        <v>126.553</v>
      </c>
      <c r="AA158" s="4">
        <f ca="1" t="shared" si="279"/>
        <v>1265.53</v>
      </c>
      <c r="AB158" s="4"/>
    </row>
    <row r="159" customHeight="1" outlineLevel="3" spans="1:28">
      <c r="A159" s="514" t="s">
        <v>2624</v>
      </c>
      <c r="B159" s="4"/>
      <c r="C159" s="510" t="s">
        <v>59</v>
      </c>
      <c r="D159" s="4" t="s">
        <v>999</v>
      </c>
      <c r="E159" s="4"/>
      <c r="F159" s="4" t="str">
        <f ca="1" t="shared" si="270"/>
        <v>套</v>
      </c>
      <c r="G159" s="4"/>
      <c r="H159" s="4"/>
      <c r="I159" s="4"/>
      <c r="J159" s="4"/>
      <c r="K159" s="4"/>
      <c r="L159" s="517"/>
      <c r="M159" s="4">
        <v>48</v>
      </c>
      <c r="N159" s="4">
        <v>40</v>
      </c>
      <c r="O159" s="4">
        <f>M159*N159</f>
        <v>1920</v>
      </c>
      <c r="P159" s="4"/>
      <c r="Q159" s="4"/>
      <c r="R159" s="4"/>
      <c r="S159" s="4"/>
      <c r="T159" s="4">
        <f ca="1" t="shared" si="272"/>
        <v>0</v>
      </c>
      <c r="U159" s="4">
        <f ca="1" t="shared" si="273"/>
        <v>0</v>
      </c>
      <c r="V159" s="4">
        <f ca="1" t="shared" si="274"/>
        <v>120</v>
      </c>
      <c r="W159" s="4">
        <f ca="1" t="shared" si="275"/>
        <v>4800</v>
      </c>
      <c r="X159" s="4">
        <f ca="1" t="shared" si="276"/>
        <v>-72</v>
      </c>
      <c r="Y159" s="4">
        <f ca="1" t="shared" si="277"/>
        <v>-2880</v>
      </c>
      <c r="Z159" s="4">
        <f ca="1" t="shared" si="278"/>
        <v>126.553</v>
      </c>
      <c r="AA159" s="4">
        <f ca="1" t="shared" si="279"/>
        <v>5062.12</v>
      </c>
      <c r="AB159" s="4"/>
    </row>
    <row r="160" customHeight="1" outlineLevel="2" spans="1:28">
      <c r="A160" s="515" t="s">
        <v>2625</v>
      </c>
      <c r="B160" s="4"/>
      <c r="C160" s="510" t="s">
        <v>1309</v>
      </c>
      <c r="D160" s="4" t="s">
        <v>1041</v>
      </c>
      <c r="E160" s="4" t="s">
        <v>2626</v>
      </c>
      <c r="F160" s="4" t="s">
        <v>76</v>
      </c>
      <c r="G160" s="4">
        <v>15.5</v>
      </c>
      <c r="H160" s="4">
        <v>3705.64220183486</v>
      </c>
      <c r="I160" s="4">
        <f>G160*H160</f>
        <v>57437.4541284403</v>
      </c>
      <c r="J160" s="4">
        <f t="shared" ref="J160:L160" si="281">+G160</f>
        <v>15.5</v>
      </c>
      <c r="K160" s="4">
        <f t="shared" si="281"/>
        <v>3705.64220183486</v>
      </c>
      <c r="L160" s="517">
        <f t="shared" si="281"/>
        <v>57437.4541284403</v>
      </c>
      <c r="M160" s="4">
        <v>15.5</v>
      </c>
      <c r="N160" s="4">
        <f ca="1">O160/M160</f>
        <v>2959.74838709677</v>
      </c>
      <c r="O160" s="4">
        <f ca="1">(+O161+O162+O163+O164+O165)</f>
        <v>45876.1</v>
      </c>
      <c r="P160" s="4"/>
      <c r="Q160" s="4"/>
      <c r="R160" s="4">
        <f>+P160+J160</f>
        <v>15.5</v>
      </c>
      <c r="S160" s="4">
        <f>+Q160+L160</f>
        <v>57437.4541284403</v>
      </c>
      <c r="T160" s="4">
        <f>IFERROR(VLOOKUP(A160,产值统计中间表!A:F,7,FALSE),0)</f>
        <v>0</v>
      </c>
      <c r="U160" s="4">
        <f>+T160*H160</f>
        <v>0</v>
      </c>
      <c r="V160" s="4">
        <f>IFERROR(VLOOKUP(A160,产值统计中间表!A:D,4,FALSE),0)</f>
        <v>0</v>
      </c>
      <c r="W160" s="4">
        <f>+V160*H160</f>
        <v>0</v>
      </c>
      <c r="X160" s="4">
        <f>+R160-V160</f>
        <v>15.5</v>
      </c>
      <c r="Y160" s="4">
        <f>+S160-W160</f>
        <v>57437.4541284403</v>
      </c>
      <c r="Z160" s="4">
        <f>IFERROR(VLOOKUP(A160,业主统计中间表!A:D,4,FALSE),0)</f>
        <v>0</v>
      </c>
      <c r="AA160" s="4">
        <f>+Z160*H160</f>
        <v>0</v>
      </c>
      <c r="AB160" s="4"/>
    </row>
    <row r="161" customHeight="1" outlineLevel="3" spans="1:28">
      <c r="A161" s="514" t="s">
        <v>2627</v>
      </c>
      <c r="B161" s="4"/>
      <c r="C161" s="510" t="s">
        <v>64</v>
      </c>
      <c r="D161" s="4" t="s">
        <v>1046</v>
      </c>
      <c r="E161" s="4"/>
      <c r="F161" s="4" t="s">
        <v>76</v>
      </c>
      <c r="G161" s="4"/>
      <c r="H161" s="4"/>
      <c r="I161" s="4"/>
      <c r="J161" s="4"/>
      <c r="K161" s="4"/>
      <c r="L161" s="517"/>
      <c r="M161" s="4">
        <v>15.5</v>
      </c>
      <c r="N161" s="4">
        <v>193</v>
      </c>
      <c r="O161" s="4">
        <f>M161*N161</f>
        <v>2991.5</v>
      </c>
      <c r="P161" s="4"/>
      <c r="Q161" s="4"/>
      <c r="R161" s="4"/>
      <c r="S161" s="4"/>
      <c r="T161" s="4">
        <f ca="1" t="shared" ref="T161:T165" si="282">OFFSET(T161,-RIGHT($A161,LEN($A$6)),,1,1)/OFFSET(T161,-RIGHT($A161,LEN($A$6)),-13,1,1)*$M161</f>
        <v>0</v>
      </c>
      <c r="U161" s="4">
        <f ca="1" t="shared" ref="U161:U165" si="283">+$N161*T161</f>
        <v>0</v>
      </c>
      <c r="V161" s="4">
        <f ca="1" t="shared" ref="V161:V165" si="284">OFFSET(V161,-RIGHT($A161,LEN($A$6)),,1,1)/OFFSET(V161,-RIGHT($A161,LEN($A$6)),-15,1,1)*$M161</f>
        <v>0</v>
      </c>
      <c r="W161" s="4">
        <f ca="1" t="shared" ref="W161:W165" si="285">+$N161*V161</f>
        <v>0</v>
      </c>
      <c r="X161" s="4">
        <f ca="1" t="shared" ref="X161:X165" si="286">+M161-V161</f>
        <v>15.5</v>
      </c>
      <c r="Y161" s="4">
        <f ca="1" t="shared" ref="Y161:Y165" si="287">+O161-W161</f>
        <v>2991.5</v>
      </c>
      <c r="Z161" s="4">
        <f ca="1" t="shared" ref="Z161:Z165" si="288">OFFSET(Z161,-RIGHT($A161,LEN($A$6)),,1,1)/OFFSET(Z161,-RIGHT($A161,LEN($A$6)),-19,1,1)*$M161</f>
        <v>0</v>
      </c>
      <c r="AA161" s="4">
        <f ca="1" t="shared" ref="AA161:AA165" si="289">+$N161*Z161</f>
        <v>0</v>
      </c>
      <c r="AB161" s="4"/>
    </row>
    <row r="162" customHeight="1" outlineLevel="3" spans="1:28">
      <c r="A162" s="514" t="s">
        <v>2628</v>
      </c>
      <c r="B162" s="4"/>
      <c r="C162" s="510" t="s">
        <v>59</v>
      </c>
      <c r="D162" s="4" t="s">
        <v>1041</v>
      </c>
      <c r="E162" s="4"/>
      <c r="F162" s="4" t="s">
        <v>76</v>
      </c>
      <c r="G162" s="4"/>
      <c r="H162" s="4"/>
      <c r="I162" s="4"/>
      <c r="J162" s="4"/>
      <c r="K162" s="4"/>
      <c r="L162" s="517"/>
      <c r="M162" s="4">
        <v>15.5</v>
      </c>
      <c r="N162" s="4">
        <v>2400</v>
      </c>
      <c r="O162" s="4">
        <f>M162*N162</f>
        <v>37200</v>
      </c>
      <c r="P162" s="4"/>
      <c r="Q162" s="4"/>
      <c r="R162" s="4"/>
      <c r="S162" s="4"/>
      <c r="T162" s="4">
        <f ca="1" t="shared" si="282"/>
        <v>0</v>
      </c>
      <c r="U162" s="4">
        <f ca="1" t="shared" si="283"/>
        <v>0</v>
      </c>
      <c r="V162" s="4">
        <f ca="1" t="shared" si="284"/>
        <v>0</v>
      </c>
      <c r="W162" s="4">
        <f ca="1" t="shared" si="285"/>
        <v>0</v>
      </c>
      <c r="X162" s="4">
        <f ca="1" t="shared" si="286"/>
        <v>15.5</v>
      </c>
      <c r="Y162" s="4">
        <f ca="1" t="shared" si="287"/>
        <v>37200</v>
      </c>
      <c r="Z162" s="4">
        <f ca="1" t="shared" si="288"/>
        <v>0</v>
      </c>
      <c r="AA162" s="4">
        <f ca="1" t="shared" si="289"/>
        <v>0</v>
      </c>
      <c r="AB162" s="4"/>
    </row>
    <row r="163" customHeight="1" outlineLevel="3" spans="1:28">
      <c r="A163" s="514" t="s">
        <v>2629</v>
      </c>
      <c r="B163" s="4"/>
      <c r="C163" s="510" t="s">
        <v>59</v>
      </c>
      <c r="D163" s="4" t="s">
        <v>834</v>
      </c>
      <c r="E163" s="4"/>
      <c r="F163" s="4" t="str">
        <f ca="1" t="shared" ref="F163:F171" si="290">VLOOKUP($D163,INDIRECT($C163),2,0)</f>
        <v>m³</v>
      </c>
      <c r="G163" s="4"/>
      <c r="H163" s="4"/>
      <c r="I163" s="4"/>
      <c r="J163" s="4"/>
      <c r="K163" s="4"/>
      <c r="L163" s="517"/>
      <c r="M163" s="4">
        <v>4.28</v>
      </c>
      <c r="N163" s="4">
        <f ca="1">VLOOKUP($D163,INDIRECT($C163),3,0)</f>
        <v>500</v>
      </c>
      <c r="O163" s="4">
        <f ca="1">M163*N163</f>
        <v>2140</v>
      </c>
      <c r="P163" s="4"/>
      <c r="Q163" s="4"/>
      <c r="R163" s="4"/>
      <c r="S163" s="4"/>
      <c r="T163" s="4">
        <f ca="1" t="shared" si="282"/>
        <v>0</v>
      </c>
      <c r="U163" s="4">
        <f ca="1" t="shared" si="283"/>
        <v>0</v>
      </c>
      <c r="V163" s="4">
        <f ca="1" t="shared" si="284"/>
        <v>0</v>
      </c>
      <c r="W163" s="4">
        <f ca="1" t="shared" si="285"/>
        <v>0</v>
      </c>
      <c r="X163" s="4">
        <f ca="1" t="shared" si="286"/>
        <v>4.28</v>
      </c>
      <c r="Y163" s="4">
        <f ca="1" t="shared" si="287"/>
        <v>2140</v>
      </c>
      <c r="Z163" s="4">
        <f ca="1" t="shared" si="288"/>
        <v>0</v>
      </c>
      <c r="AA163" s="4">
        <f ca="1" t="shared" si="289"/>
        <v>0</v>
      </c>
      <c r="AB163" s="4"/>
    </row>
    <row r="164" customHeight="1" outlineLevel="3" spans="1:28">
      <c r="A164" s="514" t="s">
        <v>2630</v>
      </c>
      <c r="B164" s="4"/>
      <c r="C164" s="510" t="s">
        <v>59</v>
      </c>
      <c r="D164" s="4" t="s">
        <v>480</v>
      </c>
      <c r="E164" s="4" t="str">
        <f>"含钢量："&amp;ROUND($M$164/$G$160,3)&amp;$F$164&amp;"/"&amp;$F$160</f>
        <v>含钢量：0.048t/m</v>
      </c>
      <c r="F164" s="4" t="s">
        <v>82</v>
      </c>
      <c r="G164" s="4"/>
      <c r="H164" s="4"/>
      <c r="I164" s="4"/>
      <c r="J164" s="4"/>
      <c r="K164" s="4"/>
      <c r="L164" s="517"/>
      <c r="M164" s="4">
        <v>0.74</v>
      </c>
      <c r="N164" s="4">
        <v>3840</v>
      </c>
      <c r="O164" s="4">
        <f>M164*N164</f>
        <v>2841.6</v>
      </c>
      <c r="P164" s="4"/>
      <c r="Q164" s="4"/>
      <c r="R164" s="4"/>
      <c r="S164" s="4"/>
      <c r="T164" s="4">
        <f ca="1" t="shared" si="282"/>
        <v>0</v>
      </c>
      <c r="U164" s="4">
        <f ca="1" t="shared" si="283"/>
        <v>0</v>
      </c>
      <c r="V164" s="4">
        <f ca="1" t="shared" si="284"/>
        <v>0</v>
      </c>
      <c r="W164" s="4">
        <f ca="1" t="shared" si="285"/>
        <v>0</v>
      </c>
      <c r="X164" s="4">
        <f ca="1" t="shared" si="286"/>
        <v>0.74</v>
      </c>
      <c r="Y164" s="4">
        <f ca="1" t="shared" si="287"/>
        <v>2841.6</v>
      </c>
      <c r="Z164" s="4">
        <f ca="1" t="shared" si="288"/>
        <v>0</v>
      </c>
      <c r="AA164" s="4">
        <f ca="1" t="shared" si="289"/>
        <v>0</v>
      </c>
      <c r="AB164" s="4"/>
    </row>
    <row r="165" customHeight="1" outlineLevel="3" spans="1:28">
      <c r="A165" s="514" t="s">
        <v>2631</v>
      </c>
      <c r="B165" s="4"/>
      <c r="C165" s="510" t="s">
        <v>64</v>
      </c>
      <c r="D165" s="4" t="s">
        <v>296</v>
      </c>
      <c r="E165" s="4"/>
      <c r="F165" s="4" t="s">
        <v>82</v>
      </c>
      <c r="G165" s="4"/>
      <c r="H165" s="4"/>
      <c r="I165" s="4"/>
      <c r="J165" s="4"/>
      <c r="K165" s="4"/>
      <c r="L165" s="517"/>
      <c r="M165" s="4">
        <v>0.74</v>
      </c>
      <c r="N165" s="4">
        <v>950</v>
      </c>
      <c r="O165" s="4">
        <f>M165*N165</f>
        <v>703</v>
      </c>
      <c r="P165" s="4"/>
      <c r="Q165" s="4"/>
      <c r="R165" s="4"/>
      <c r="S165" s="4"/>
      <c r="T165" s="4">
        <f ca="1" t="shared" si="282"/>
        <v>0</v>
      </c>
      <c r="U165" s="4">
        <f ca="1" t="shared" si="283"/>
        <v>0</v>
      </c>
      <c r="V165" s="4">
        <f ca="1" t="shared" si="284"/>
        <v>0</v>
      </c>
      <c r="W165" s="4">
        <f ca="1" t="shared" si="285"/>
        <v>0</v>
      </c>
      <c r="X165" s="4">
        <f ca="1" t="shared" si="286"/>
        <v>0.74</v>
      </c>
      <c r="Y165" s="4">
        <f ca="1" t="shared" si="287"/>
        <v>703</v>
      </c>
      <c r="Z165" s="4">
        <f ca="1" t="shared" si="288"/>
        <v>0</v>
      </c>
      <c r="AA165" s="4">
        <f ca="1" t="shared" si="289"/>
        <v>0</v>
      </c>
      <c r="AB165" s="4"/>
    </row>
    <row r="166" customHeight="1" outlineLevel="2" spans="1:28">
      <c r="A166" s="515" t="s">
        <v>2632</v>
      </c>
      <c r="B166" s="4"/>
      <c r="C166" s="510" t="s">
        <v>1309</v>
      </c>
      <c r="D166" s="4" t="s">
        <v>1002</v>
      </c>
      <c r="E166" s="4" t="s">
        <v>2626</v>
      </c>
      <c r="F166" s="4" t="s">
        <v>76</v>
      </c>
      <c r="G166" s="4">
        <v>170.5</v>
      </c>
      <c r="H166" s="4">
        <v>1741.01834862385</v>
      </c>
      <c r="I166" s="4">
        <f>G166*H166</f>
        <v>296843.628440366</v>
      </c>
      <c r="J166" s="4">
        <f t="shared" ref="J166:L166" si="291">+G166</f>
        <v>170.5</v>
      </c>
      <c r="K166" s="4">
        <f t="shared" si="291"/>
        <v>1741.01834862385</v>
      </c>
      <c r="L166" s="517">
        <f t="shared" si="291"/>
        <v>296843.628440366</v>
      </c>
      <c r="M166" s="4">
        <v>170.5</v>
      </c>
      <c r="N166" s="4">
        <f ca="1">O166/M166</f>
        <v>257.136070381232</v>
      </c>
      <c r="O166" s="4">
        <f ca="1">(+O167+O168+O169+O170+O171)</f>
        <v>43841.7</v>
      </c>
      <c r="P166" s="4"/>
      <c r="Q166" s="4"/>
      <c r="R166" s="4">
        <f>+P166+J166</f>
        <v>170.5</v>
      </c>
      <c r="S166" s="4">
        <f>+Q166+L166</f>
        <v>296843.628440366</v>
      </c>
      <c r="T166" s="4">
        <f>IFERROR(VLOOKUP(A166,产值统计中间表!A:F,7,FALSE),0)</f>
        <v>0</v>
      </c>
      <c r="U166" s="4">
        <f>+T166*H166</f>
        <v>0</v>
      </c>
      <c r="V166" s="4">
        <f>IFERROR(VLOOKUP(A166,产值统计中间表!A:D,4,FALSE),0)</f>
        <v>0</v>
      </c>
      <c r="W166" s="4">
        <f>+V166*H166</f>
        <v>0</v>
      </c>
      <c r="X166" s="4">
        <f>+R166-V166</f>
        <v>170.5</v>
      </c>
      <c r="Y166" s="4">
        <f>+S166-W166</f>
        <v>296843.628440366</v>
      </c>
      <c r="Z166" s="4">
        <f>IFERROR(VLOOKUP(A166,业主统计中间表!A:D,4,FALSE),0)</f>
        <v>0</v>
      </c>
      <c r="AA166" s="4">
        <f>+Z166*H166</f>
        <v>0</v>
      </c>
      <c r="AB166" s="4"/>
    </row>
    <row r="167" customHeight="1" outlineLevel="3" spans="1:28">
      <c r="A167" s="514" t="s">
        <v>2633</v>
      </c>
      <c r="B167" s="4"/>
      <c r="C167" s="510" t="s">
        <v>64</v>
      </c>
      <c r="D167" s="4" t="s">
        <v>1046</v>
      </c>
      <c r="E167" s="4" t="s">
        <v>2634</v>
      </c>
      <c r="F167" s="4" t="str">
        <f ca="1" t="shared" si="290"/>
        <v>m</v>
      </c>
      <c r="G167" s="4"/>
      <c r="H167" s="4"/>
      <c r="I167" s="4"/>
      <c r="J167" s="4"/>
      <c r="K167" s="4"/>
      <c r="L167" s="517"/>
      <c r="M167" s="4">
        <v>170.5</v>
      </c>
      <c r="N167" s="4">
        <v>120</v>
      </c>
      <c r="O167" s="4">
        <f>M167*N167</f>
        <v>20460</v>
      </c>
      <c r="P167" s="4"/>
      <c r="Q167" s="4"/>
      <c r="R167" s="4"/>
      <c r="S167" s="4"/>
      <c r="T167" s="4">
        <f ca="1" t="shared" ref="T167:T171" si="292">OFFSET(T167,-RIGHT($A167,LEN($A$6)),,1,1)/OFFSET(T167,-RIGHT($A167,LEN($A$6)),-13,1,1)*$M167</f>
        <v>0</v>
      </c>
      <c r="U167" s="4">
        <f ca="1" t="shared" ref="U167:U171" si="293">+$N167*T167</f>
        <v>0</v>
      </c>
      <c r="V167" s="4">
        <f ca="1" t="shared" ref="V167:V171" si="294">OFFSET(V167,-RIGHT($A167,LEN($A$6)),,1,1)/OFFSET(V167,-RIGHT($A167,LEN($A$6)),-15,1,1)*$M167</f>
        <v>0</v>
      </c>
      <c r="W167" s="4">
        <f ca="1" t="shared" ref="W167:W171" si="295">+$N167*V167</f>
        <v>0</v>
      </c>
      <c r="X167" s="4">
        <f ca="1" t="shared" ref="X167:X171" si="296">+M167-V167</f>
        <v>170.5</v>
      </c>
      <c r="Y167" s="4">
        <f ca="1" t="shared" ref="Y167:Y171" si="297">+O167-W167</f>
        <v>20460</v>
      </c>
      <c r="Z167" s="4">
        <f ca="1" t="shared" ref="Z167:Z171" si="298">OFFSET(Z167,-RIGHT($A167,LEN($A$6)),,1,1)/OFFSET(Z167,-RIGHT($A167,LEN($A$6)),-19,1,1)*$M167</f>
        <v>0</v>
      </c>
      <c r="AA167" s="4">
        <f ca="1" t="shared" ref="AA167:AA171" si="299">+$N167*Z167</f>
        <v>0</v>
      </c>
      <c r="AB167" s="4"/>
    </row>
    <row r="168" customHeight="1" outlineLevel="3" spans="1:28">
      <c r="A168" s="514" t="s">
        <v>2635</v>
      </c>
      <c r="B168" s="4"/>
      <c r="C168" s="510" t="s">
        <v>59</v>
      </c>
      <c r="D168" s="4" t="s">
        <v>1002</v>
      </c>
      <c r="E168" s="4"/>
      <c r="F168" s="4" t="str">
        <f ca="1" t="shared" si="290"/>
        <v>m</v>
      </c>
      <c r="G168" s="4"/>
      <c r="H168" s="4"/>
      <c r="I168" s="4"/>
      <c r="J168" s="4"/>
      <c r="K168" s="4"/>
      <c r="L168" s="517"/>
      <c r="M168" s="4">
        <v>170.5</v>
      </c>
      <c r="N168" s="4">
        <f ca="1" t="shared" ref="N168:N171" si="300">VLOOKUP($D168,INDIRECT($C168),3,0)</f>
        <v>0</v>
      </c>
      <c r="O168" s="4">
        <f ca="1">M168*N168</f>
        <v>0</v>
      </c>
      <c r="P168" s="4"/>
      <c r="Q168" s="4"/>
      <c r="R168" s="4"/>
      <c r="S168" s="4"/>
      <c r="T168" s="4">
        <f ca="1" t="shared" si="292"/>
        <v>0</v>
      </c>
      <c r="U168" s="4">
        <f ca="1" t="shared" si="293"/>
        <v>0</v>
      </c>
      <c r="V168" s="4">
        <f ca="1" t="shared" si="294"/>
        <v>0</v>
      </c>
      <c r="W168" s="4">
        <f ca="1" t="shared" si="295"/>
        <v>0</v>
      </c>
      <c r="X168" s="4">
        <f ca="1" t="shared" si="296"/>
        <v>170.5</v>
      </c>
      <c r="Y168" s="4">
        <f ca="1" t="shared" si="297"/>
        <v>0</v>
      </c>
      <c r="Z168" s="4">
        <f ca="1" t="shared" si="298"/>
        <v>0</v>
      </c>
      <c r="AA168" s="4">
        <f ca="1" t="shared" si="299"/>
        <v>0</v>
      </c>
      <c r="AB168" s="4"/>
    </row>
    <row r="169" customHeight="1" outlineLevel="3" spans="1:28">
      <c r="A169" s="514" t="s">
        <v>2636</v>
      </c>
      <c r="B169" s="4"/>
      <c r="C169" s="510" t="s">
        <v>59</v>
      </c>
      <c r="D169" s="4" t="s">
        <v>834</v>
      </c>
      <c r="E169" s="4"/>
      <c r="F169" s="4" t="str">
        <f ca="1" t="shared" si="290"/>
        <v>m³</v>
      </c>
      <c r="G169" s="4"/>
      <c r="H169" s="4"/>
      <c r="I169" s="4"/>
      <c r="J169" s="4"/>
      <c r="K169" s="4"/>
      <c r="L169" s="517"/>
      <c r="M169" s="4">
        <v>17.11</v>
      </c>
      <c r="N169" s="4">
        <f ca="1" t="shared" si="300"/>
        <v>500</v>
      </c>
      <c r="O169" s="4">
        <f ca="1">M169*N169</f>
        <v>8555</v>
      </c>
      <c r="P169" s="4"/>
      <c r="Q169" s="4"/>
      <c r="R169" s="4"/>
      <c r="S169" s="4"/>
      <c r="T169" s="4">
        <f ca="1" t="shared" si="292"/>
        <v>0</v>
      </c>
      <c r="U169" s="4">
        <f ca="1" t="shared" si="293"/>
        <v>0</v>
      </c>
      <c r="V169" s="4">
        <f ca="1" t="shared" si="294"/>
        <v>0</v>
      </c>
      <c r="W169" s="4">
        <f ca="1" t="shared" si="295"/>
        <v>0</v>
      </c>
      <c r="X169" s="4">
        <f ca="1" t="shared" si="296"/>
        <v>17.11</v>
      </c>
      <c r="Y169" s="4">
        <f ca="1" t="shared" si="297"/>
        <v>8555</v>
      </c>
      <c r="Z169" s="4">
        <f ca="1" t="shared" si="298"/>
        <v>0</v>
      </c>
      <c r="AA169" s="4">
        <f ca="1" t="shared" si="299"/>
        <v>0</v>
      </c>
      <c r="AB169" s="4"/>
    </row>
    <row r="170" customHeight="1" outlineLevel="3" spans="1:28">
      <c r="A170" s="514" t="s">
        <v>2637</v>
      </c>
      <c r="B170" s="4"/>
      <c r="C170" s="510" t="s">
        <v>59</v>
      </c>
      <c r="D170" s="4" t="s">
        <v>480</v>
      </c>
      <c r="E170" s="4" t="str">
        <f ca="1">"含钢量："&amp;ROUND($M$170/$G$166,3)&amp;$F$170&amp;"/"&amp;$F$166</f>
        <v>含钢量：0.018t/m</v>
      </c>
      <c r="F170" s="4" t="str">
        <f ca="1" t="shared" si="290"/>
        <v>t</v>
      </c>
      <c r="G170" s="4"/>
      <c r="H170" s="4"/>
      <c r="I170" s="4"/>
      <c r="J170" s="4"/>
      <c r="K170" s="4"/>
      <c r="L170" s="517"/>
      <c r="M170" s="4">
        <v>3.0385</v>
      </c>
      <c r="N170" s="4">
        <f ca="1" t="shared" si="300"/>
        <v>4200</v>
      </c>
      <c r="O170" s="4">
        <f ca="1">M170*N170</f>
        <v>12761.7</v>
      </c>
      <c r="P170" s="4"/>
      <c r="Q170" s="4"/>
      <c r="R170" s="4"/>
      <c r="S170" s="4"/>
      <c r="T170" s="4">
        <f ca="1" t="shared" si="292"/>
        <v>0</v>
      </c>
      <c r="U170" s="4">
        <f ca="1" t="shared" si="293"/>
        <v>0</v>
      </c>
      <c r="V170" s="4">
        <f ca="1" t="shared" si="294"/>
        <v>0</v>
      </c>
      <c r="W170" s="4">
        <f ca="1" t="shared" si="295"/>
        <v>0</v>
      </c>
      <c r="X170" s="4">
        <f ca="1" t="shared" si="296"/>
        <v>3.0385</v>
      </c>
      <c r="Y170" s="4">
        <f ca="1" t="shared" si="297"/>
        <v>12761.7</v>
      </c>
      <c r="Z170" s="4">
        <f ca="1" t="shared" si="298"/>
        <v>0</v>
      </c>
      <c r="AA170" s="4">
        <f ca="1" t="shared" si="299"/>
        <v>0</v>
      </c>
      <c r="AB170" s="4"/>
    </row>
    <row r="171" customHeight="1" outlineLevel="3" spans="1:28">
      <c r="A171" s="514" t="s">
        <v>2638</v>
      </c>
      <c r="B171" s="4"/>
      <c r="C171" s="510" t="s">
        <v>64</v>
      </c>
      <c r="D171" s="4" t="s">
        <v>296</v>
      </c>
      <c r="E171" s="4"/>
      <c r="F171" s="4" t="str">
        <f ca="1" t="shared" si="290"/>
        <v>t</v>
      </c>
      <c r="G171" s="4"/>
      <c r="H171" s="4"/>
      <c r="I171" s="4"/>
      <c r="J171" s="4"/>
      <c r="K171" s="4"/>
      <c r="L171" s="517"/>
      <c r="M171" s="4">
        <v>2.95</v>
      </c>
      <c r="N171" s="4">
        <f ca="1" t="shared" si="300"/>
        <v>700</v>
      </c>
      <c r="O171" s="4">
        <f ca="1">M171*N171</f>
        <v>2065</v>
      </c>
      <c r="P171" s="4"/>
      <c r="Q171" s="4"/>
      <c r="R171" s="4"/>
      <c r="S171" s="4"/>
      <c r="T171" s="4">
        <f ca="1" t="shared" si="292"/>
        <v>0</v>
      </c>
      <c r="U171" s="4">
        <f ca="1" t="shared" si="293"/>
        <v>0</v>
      </c>
      <c r="V171" s="4">
        <f ca="1" t="shared" si="294"/>
        <v>0</v>
      </c>
      <c r="W171" s="4">
        <f ca="1" t="shared" si="295"/>
        <v>0</v>
      </c>
      <c r="X171" s="4">
        <f ca="1" t="shared" si="296"/>
        <v>2.95</v>
      </c>
      <c r="Y171" s="4">
        <f ca="1" t="shared" si="297"/>
        <v>2065</v>
      </c>
      <c r="Z171" s="4">
        <f ca="1" t="shared" si="298"/>
        <v>0</v>
      </c>
      <c r="AA171" s="4">
        <f ca="1" t="shared" si="299"/>
        <v>0</v>
      </c>
      <c r="AB171" s="4"/>
    </row>
    <row r="172" customHeight="1" outlineLevel="2" spans="1:28">
      <c r="A172" s="515" t="s">
        <v>2639</v>
      </c>
      <c r="B172" s="4"/>
      <c r="C172" s="510" t="s">
        <v>1309</v>
      </c>
      <c r="D172" s="4" t="s">
        <v>1005</v>
      </c>
      <c r="E172" s="4" t="s">
        <v>2626</v>
      </c>
      <c r="F172" s="4" t="s">
        <v>76</v>
      </c>
      <c r="G172" s="4">
        <v>26.4</v>
      </c>
      <c r="H172" s="4">
        <v>1030.88073394495</v>
      </c>
      <c r="I172" s="4">
        <f>G172*H172</f>
        <v>27215.2513761467</v>
      </c>
      <c r="J172" s="4">
        <f t="shared" ref="J172:L172" si="301">+G172</f>
        <v>26.4</v>
      </c>
      <c r="K172" s="4">
        <f t="shared" si="301"/>
        <v>1030.88073394495</v>
      </c>
      <c r="L172" s="517">
        <f t="shared" si="301"/>
        <v>27215.2513761467</v>
      </c>
      <c r="M172" s="4">
        <v>26.4</v>
      </c>
      <c r="N172" s="4">
        <f ca="1">O172/M172</f>
        <v>140</v>
      </c>
      <c r="O172" s="4">
        <f ca="1">(+O173+O174)</f>
        <v>3696</v>
      </c>
      <c r="P172" s="4"/>
      <c r="Q172" s="4"/>
      <c r="R172" s="4">
        <f>+P172+J172</f>
        <v>26.4</v>
      </c>
      <c r="S172" s="4">
        <f>+Q172+L172</f>
        <v>27215.2513761467</v>
      </c>
      <c r="T172" s="4">
        <f>IFERROR(VLOOKUP(A172,产值统计中间表!A:F,7,FALSE),0)</f>
        <v>0</v>
      </c>
      <c r="U172" s="4">
        <f>+T172*H172</f>
        <v>0</v>
      </c>
      <c r="V172" s="4">
        <f>IFERROR(VLOOKUP(A172,产值统计中间表!A:D,4,FALSE),0)</f>
        <v>0</v>
      </c>
      <c r="W172" s="4">
        <f>+V172*H172</f>
        <v>0</v>
      </c>
      <c r="X172" s="4">
        <f>+R172-V172</f>
        <v>26.4</v>
      </c>
      <c r="Y172" s="4">
        <f>+S172-W172</f>
        <v>27215.2513761467</v>
      </c>
      <c r="Z172" s="4">
        <f>IFERROR(VLOOKUP(A172,业主统计中间表!A:D,4,FALSE),0)</f>
        <v>0</v>
      </c>
      <c r="AA172" s="4">
        <f>+Z172*H172</f>
        <v>0</v>
      </c>
      <c r="AB172" s="4"/>
    </row>
    <row r="173" customHeight="1" outlineLevel="3" spans="1:28">
      <c r="A173" s="514" t="s">
        <v>2640</v>
      </c>
      <c r="B173" s="4"/>
      <c r="C173" s="510" t="s">
        <v>64</v>
      </c>
      <c r="D173" s="4" t="s">
        <v>1049</v>
      </c>
      <c r="E173" s="4"/>
      <c r="F173" s="4" t="str">
        <f ca="1" t="shared" ref="F173:F179" si="302">VLOOKUP($D173,INDIRECT($C173),2,0)</f>
        <v>m</v>
      </c>
      <c r="G173" s="4"/>
      <c r="H173" s="4"/>
      <c r="I173" s="4"/>
      <c r="J173" s="4"/>
      <c r="K173" s="4"/>
      <c r="L173" s="517"/>
      <c r="M173" s="4">
        <v>26.4</v>
      </c>
      <c r="N173" s="4">
        <v>140</v>
      </c>
      <c r="O173" s="4">
        <f>M173*N173</f>
        <v>3696</v>
      </c>
      <c r="P173" s="4"/>
      <c r="Q173" s="4"/>
      <c r="R173" s="4"/>
      <c r="S173" s="4"/>
      <c r="T173" s="4">
        <f ca="1" t="shared" ref="T173:T179" si="303">OFFSET(T173,-RIGHT($A173,LEN($A$6)),,1,1)/OFFSET(T173,-RIGHT($A173,LEN($A$6)),-13,1,1)*$M173</f>
        <v>0</v>
      </c>
      <c r="U173" s="4">
        <f ca="1" t="shared" ref="U173:U179" si="304">+$N173*T173</f>
        <v>0</v>
      </c>
      <c r="V173" s="4">
        <f ca="1" t="shared" ref="V173:V179" si="305">OFFSET(V173,-RIGHT($A173,LEN($A$6)),,1,1)/OFFSET(V173,-RIGHT($A173,LEN($A$6)),-15,1,1)*$M173</f>
        <v>0</v>
      </c>
      <c r="W173" s="4">
        <f ca="1" t="shared" ref="W173:W179" si="306">+$N173*V173</f>
        <v>0</v>
      </c>
      <c r="X173" s="4">
        <f ca="1" t="shared" ref="X173:X179" si="307">+M173-V173</f>
        <v>26.4</v>
      </c>
      <c r="Y173" s="4">
        <f ca="1" t="shared" ref="Y173:Y179" si="308">+O173-W173</f>
        <v>3696</v>
      </c>
      <c r="Z173" s="4">
        <f ca="1" t="shared" ref="Z173:Z179" si="309">OFFSET(Z173,-RIGHT($A173,LEN($A$6)),,1,1)/OFFSET(Z173,-RIGHT($A173,LEN($A$6)),-19,1,1)*$M173</f>
        <v>0</v>
      </c>
      <c r="AA173" s="4">
        <f ca="1" t="shared" ref="AA173:AA179" si="310">+$N173*Z173</f>
        <v>0</v>
      </c>
      <c r="AB173" s="4"/>
    </row>
    <row r="174" customHeight="1" outlineLevel="3" spans="1:28">
      <c r="A174" s="514" t="s">
        <v>2641</v>
      </c>
      <c r="B174" s="4"/>
      <c r="C174" s="510" t="s">
        <v>59</v>
      </c>
      <c r="D174" s="4" t="s">
        <v>1005</v>
      </c>
      <c r="E174" s="4"/>
      <c r="F174" s="4" t="str">
        <f ca="1" t="shared" si="302"/>
        <v>m</v>
      </c>
      <c r="G174" s="4"/>
      <c r="H174" s="4"/>
      <c r="I174" s="4"/>
      <c r="J174" s="4"/>
      <c r="K174" s="4"/>
      <c r="L174" s="517"/>
      <c r="M174" s="4">
        <v>26.4</v>
      </c>
      <c r="N174" s="4">
        <f ca="1" t="shared" ref="N174:N179" si="311">VLOOKUP($D174,INDIRECT($C174),3,0)</f>
        <v>0</v>
      </c>
      <c r="O174" s="4">
        <f ca="1">M174*N174</f>
        <v>0</v>
      </c>
      <c r="P174" s="4"/>
      <c r="Q174" s="4"/>
      <c r="R174" s="4"/>
      <c r="S174" s="4"/>
      <c r="T174" s="4">
        <f ca="1" t="shared" si="303"/>
        <v>0</v>
      </c>
      <c r="U174" s="4">
        <f ca="1" t="shared" si="304"/>
        <v>0</v>
      </c>
      <c r="V174" s="4">
        <f ca="1" t="shared" si="305"/>
        <v>0</v>
      </c>
      <c r="W174" s="4">
        <f ca="1" t="shared" si="306"/>
        <v>0</v>
      </c>
      <c r="X174" s="4">
        <f ca="1" t="shared" si="307"/>
        <v>26.4</v>
      </c>
      <c r="Y174" s="4">
        <f ca="1" t="shared" si="308"/>
        <v>0</v>
      </c>
      <c r="Z174" s="4">
        <f ca="1" t="shared" si="309"/>
        <v>0</v>
      </c>
      <c r="AA174" s="4">
        <f ca="1" t="shared" si="310"/>
        <v>0</v>
      </c>
      <c r="AB174" s="4"/>
    </row>
    <row r="175" customHeight="1" outlineLevel="2" spans="1:28">
      <c r="A175" s="515" t="s">
        <v>2642</v>
      </c>
      <c r="B175" s="4"/>
      <c r="C175" s="510" t="s">
        <v>1309</v>
      </c>
      <c r="D175" s="4" t="s">
        <v>2643</v>
      </c>
      <c r="E175" s="4" t="s">
        <v>2644</v>
      </c>
      <c r="F175" s="4" t="s">
        <v>195</v>
      </c>
      <c r="G175" s="4">
        <v>1</v>
      </c>
      <c r="H175" s="4">
        <v>38468.8073394495</v>
      </c>
      <c r="I175" s="4">
        <f>G175*H175</f>
        <v>38468.8073394495</v>
      </c>
      <c r="J175" s="4">
        <f t="shared" ref="J175:L175" si="312">+G175</f>
        <v>1</v>
      </c>
      <c r="K175" s="4">
        <f t="shared" si="312"/>
        <v>38468.8073394495</v>
      </c>
      <c r="L175" s="517">
        <f t="shared" si="312"/>
        <v>38468.8073394495</v>
      </c>
      <c r="M175" s="4">
        <v>1</v>
      </c>
      <c r="N175" s="4">
        <f ca="1">O175/M175</f>
        <v>37383</v>
      </c>
      <c r="O175" s="4">
        <f ca="1">(+O176+O177+O178+O179)</f>
        <v>37383</v>
      </c>
      <c r="P175" s="4"/>
      <c r="Q175" s="4"/>
      <c r="R175" s="4">
        <f>+P175+J175</f>
        <v>1</v>
      </c>
      <c r="S175" s="4">
        <f>+Q175+L175</f>
        <v>38468.8073394495</v>
      </c>
      <c r="T175" s="4">
        <f>IFERROR(VLOOKUP(A175,产值统计中间表!A:F,7,FALSE),0)</f>
        <v>0</v>
      </c>
      <c r="U175" s="4">
        <f>+T175*H175</f>
        <v>0</v>
      </c>
      <c r="V175" s="4">
        <f>IFERROR(VLOOKUP(A175,产值统计中间表!A:D,4,FALSE),0)</f>
        <v>0</v>
      </c>
      <c r="W175" s="4">
        <f>+V175*H175</f>
        <v>0</v>
      </c>
      <c r="X175" s="4">
        <f>+R175-V175</f>
        <v>1</v>
      </c>
      <c r="Y175" s="4">
        <f>+S175-W175</f>
        <v>38468.8073394495</v>
      </c>
      <c r="Z175" s="4">
        <f>IFERROR(VLOOKUP(A175,业主统计中间表!A:D,4,FALSE),0)</f>
        <v>0</v>
      </c>
      <c r="AA175" s="4">
        <f>+Z175*H175</f>
        <v>0</v>
      </c>
      <c r="AB175" s="4"/>
    </row>
    <row r="176" customHeight="1" outlineLevel="3" spans="1:28">
      <c r="A176" s="514" t="s">
        <v>2645</v>
      </c>
      <c r="B176" s="4"/>
      <c r="C176" s="510" t="s">
        <v>64</v>
      </c>
      <c r="D176" s="4" t="s">
        <v>1037</v>
      </c>
      <c r="E176" s="4"/>
      <c r="F176" s="4" t="str">
        <f ca="1" t="shared" si="302"/>
        <v>m</v>
      </c>
      <c r="G176" s="4"/>
      <c r="H176" s="4"/>
      <c r="I176" s="4"/>
      <c r="J176" s="4"/>
      <c r="K176" s="4"/>
      <c r="L176" s="517"/>
      <c r="M176" s="4">
        <v>1020</v>
      </c>
      <c r="N176" s="4">
        <v>12</v>
      </c>
      <c r="O176" s="4">
        <f>M176*N176</f>
        <v>12240</v>
      </c>
      <c r="P176" s="4"/>
      <c r="Q176" s="4"/>
      <c r="R176" s="4"/>
      <c r="S176" s="4"/>
      <c r="T176" s="4">
        <f ca="1" t="shared" si="303"/>
        <v>0</v>
      </c>
      <c r="U176" s="4">
        <f ca="1" t="shared" si="304"/>
        <v>0</v>
      </c>
      <c r="V176" s="4">
        <f ca="1" t="shared" si="305"/>
        <v>0</v>
      </c>
      <c r="W176" s="4">
        <f ca="1" t="shared" si="306"/>
        <v>0</v>
      </c>
      <c r="X176" s="4">
        <f ca="1" t="shared" si="307"/>
        <v>1020</v>
      </c>
      <c r="Y176" s="4">
        <f ca="1" t="shared" si="308"/>
        <v>12240</v>
      </c>
      <c r="Z176" s="4">
        <f ca="1" t="shared" si="309"/>
        <v>0</v>
      </c>
      <c r="AA176" s="4">
        <f ca="1" t="shared" si="310"/>
        <v>0</v>
      </c>
      <c r="AB176" s="4"/>
    </row>
    <row r="177" customHeight="1" outlineLevel="3" spans="1:28">
      <c r="A177" s="514" t="s">
        <v>2646</v>
      </c>
      <c r="B177" s="4"/>
      <c r="C177" s="510" t="s">
        <v>59</v>
      </c>
      <c r="D177" s="4" t="s">
        <v>867</v>
      </c>
      <c r="E177" s="4"/>
      <c r="F177" s="4" t="str">
        <f ca="1" t="shared" si="302"/>
        <v>m</v>
      </c>
      <c r="G177" s="4"/>
      <c r="H177" s="4"/>
      <c r="I177" s="4"/>
      <c r="J177" s="4"/>
      <c r="K177" s="4"/>
      <c r="L177" s="517"/>
      <c r="M177" s="4">
        <v>1020</v>
      </c>
      <c r="N177" s="4">
        <f ca="1" t="shared" si="311"/>
        <v>24.65</v>
      </c>
      <c r="O177" s="4">
        <f ca="1">M177*N177</f>
        <v>25143</v>
      </c>
      <c r="P177" s="4"/>
      <c r="Q177" s="4"/>
      <c r="R177" s="4"/>
      <c r="S177" s="4"/>
      <c r="T177" s="4">
        <f ca="1" t="shared" si="303"/>
        <v>0</v>
      </c>
      <c r="U177" s="4">
        <f ca="1" t="shared" si="304"/>
        <v>0</v>
      </c>
      <c r="V177" s="4">
        <f ca="1" t="shared" si="305"/>
        <v>0</v>
      </c>
      <c r="W177" s="4">
        <f ca="1" t="shared" si="306"/>
        <v>0</v>
      </c>
      <c r="X177" s="4">
        <f ca="1" t="shared" si="307"/>
        <v>1020</v>
      </c>
      <c r="Y177" s="4">
        <f ca="1" t="shared" si="308"/>
        <v>25143</v>
      </c>
      <c r="Z177" s="4">
        <f ca="1" t="shared" si="309"/>
        <v>0</v>
      </c>
      <c r="AA177" s="4">
        <f ca="1" t="shared" si="310"/>
        <v>0</v>
      </c>
      <c r="AB177" s="4"/>
    </row>
    <row r="178" customHeight="1" outlineLevel="3" spans="1:28">
      <c r="A178" s="514" t="s">
        <v>2647</v>
      </c>
      <c r="B178" s="4"/>
      <c r="C178" s="510" t="s">
        <v>59</v>
      </c>
      <c r="D178" s="4" t="s">
        <v>1008</v>
      </c>
      <c r="E178" s="4"/>
      <c r="F178" s="4" t="str">
        <f ca="1" t="shared" si="302"/>
        <v>套</v>
      </c>
      <c r="G178" s="4"/>
      <c r="H178" s="4"/>
      <c r="I178" s="4"/>
      <c r="J178" s="4"/>
      <c r="K178" s="4"/>
      <c r="L178" s="517"/>
      <c r="M178" s="4">
        <v>12</v>
      </c>
      <c r="N178" s="4">
        <f ca="1" t="shared" si="311"/>
        <v>0</v>
      </c>
      <c r="O178" s="4">
        <f ca="1">M178*N178</f>
        <v>0</v>
      </c>
      <c r="P178" s="4"/>
      <c r="Q178" s="4"/>
      <c r="R178" s="4"/>
      <c r="S178" s="4"/>
      <c r="T178" s="4">
        <f ca="1" t="shared" si="303"/>
        <v>0</v>
      </c>
      <c r="U178" s="4">
        <f ca="1" t="shared" si="304"/>
        <v>0</v>
      </c>
      <c r="V178" s="4">
        <f ca="1" t="shared" si="305"/>
        <v>0</v>
      </c>
      <c r="W178" s="4">
        <f ca="1" t="shared" si="306"/>
        <v>0</v>
      </c>
      <c r="X178" s="4">
        <f ca="1" t="shared" si="307"/>
        <v>12</v>
      </c>
      <c r="Y178" s="4">
        <f ca="1" t="shared" si="308"/>
        <v>0</v>
      </c>
      <c r="Z178" s="4">
        <f ca="1" t="shared" si="309"/>
        <v>0</v>
      </c>
      <c r="AA178" s="4">
        <f ca="1" t="shared" si="310"/>
        <v>0</v>
      </c>
      <c r="AB178" s="4"/>
    </row>
    <row r="179" customHeight="1" outlineLevel="3" spans="1:28">
      <c r="A179" s="514" t="s">
        <v>2648</v>
      </c>
      <c r="B179" s="4"/>
      <c r="C179" s="510" t="s">
        <v>64</v>
      </c>
      <c r="D179" s="4" t="s">
        <v>890</v>
      </c>
      <c r="E179" s="4"/>
      <c r="F179" s="4" t="str">
        <f ca="1" t="shared" si="302"/>
        <v>m</v>
      </c>
      <c r="G179" s="4"/>
      <c r="H179" s="4"/>
      <c r="I179" s="4"/>
      <c r="J179" s="4"/>
      <c r="K179" s="4"/>
      <c r="L179" s="517"/>
      <c r="M179" s="4">
        <v>12</v>
      </c>
      <c r="N179" s="4">
        <f ca="1" t="shared" si="311"/>
        <v>0</v>
      </c>
      <c r="O179" s="4">
        <f ca="1">M179*N179</f>
        <v>0</v>
      </c>
      <c r="P179" s="4"/>
      <c r="Q179" s="4"/>
      <c r="R179" s="4"/>
      <c r="S179" s="4"/>
      <c r="T179" s="4">
        <f ca="1" t="shared" si="303"/>
        <v>0</v>
      </c>
      <c r="U179" s="4">
        <f ca="1" t="shared" si="304"/>
        <v>0</v>
      </c>
      <c r="V179" s="4">
        <f ca="1" t="shared" si="305"/>
        <v>0</v>
      </c>
      <c r="W179" s="4">
        <f ca="1" t="shared" si="306"/>
        <v>0</v>
      </c>
      <c r="X179" s="4">
        <f ca="1" t="shared" si="307"/>
        <v>12</v>
      </c>
      <c r="Y179" s="4">
        <f ca="1" t="shared" si="308"/>
        <v>0</v>
      </c>
      <c r="Z179" s="4">
        <f ca="1" t="shared" si="309"/>
        <v>0</v>
      </c>
      <c r="AA179" s="4">
        <f ca="1" t="shared" si="310"/>
        <v>0</v>
      </c>
      <c r="AB179" s="4"/>
    </row>
    <row r="180" customHeight="1" outlineLevel="2" spans="1:28">
      <c r="A180" s="515" t="s">
        <v>2649</v>
      </c>
      <c r="B180" s="4"/>
      <c r="C180" s="510" t="s">
        <v>1309</v>
      </c>
      <c r="D180" s="4" t="s">
        <v>2650</v>
      </c>
      <c r="E180" s="4" t="s">
        <v>2651</v>
      </c>
      <c r="F180" s="4" t="s">
        <v>195</v>
      </c>
      <c r="G180" s="4">
        <v>1</v>
      </c>
      <c r="H180" s="4">
        <v>354227.52293578</v>
      </c>
      <c r="I180" s="4">
        <f>G180*H180</f>
        <v>354227.52293578</v>
      </c>
      <c r="J180" s="4">
        <f t="shared" ref="J180:L180" si="313">+G180</f>
        <v>1</v>
      </c>
      <c r="K180" s="4">
        <f t="shared" si="313"/>
        <v>354227.52293578</v>
      </c>
      <c r="L180" s="517">
        <f t="shared" si="313"/>
        <v>354227.52293578</v>
      </c>
      <c r="M180" s="4">
        <v>1</v>
      </c>
      <c r="N180" s="4">
        <f ca="1">O180/M180</f>
        <v>13584.9228</v>
      </c>
      <c r="O180" s="4">
        <f ca="1">(+O181+O182+O183+O184)</f>
        <v>13584.9228</v>
      </c>
      <c r="P180" s="4"/>
      <c r="Q180" s="4"/>
      <c r="R180" s="4">
        <f>+P180+J180</f>
        <v>1</v>
      </c>
      <c r="S180" s="4">
        <f>+Q180+L180</f>
        <v>354227.52293578</v>
      </c>
      <c r="T180" s="4">
        <f>IFERROR(VLOOKUP(A180,产值统计中间表!A:F,7,FALSE),0)</f>
        <v>0</v>
      </c>
      <c r="U180" s="4">
        <f>+T180*H180</f>
        <v>0</v>
      </c>
      <c r="V180" s="4">
        <f>IFERROR(VLOOKUP(A180,产值统计中间表!A:D,4,FALSE),0)</f>
        <v>0</v>
      </c>
      <c r="W180" s="4">
        <f>+V180*H180</f>
        <v>0</v>
      </c>
      <c r="X180" s="4">
        <f>+R180-V180</f>
        <v>1</v>
      </c>
      <c r="Y180" s="4">
        <f>+S180-W180</f>
        <v>354227.52293578</v>
      </c>
      <c r="Z180" s="4">
        <f>IFERROR(VLOOKUP(A180,业主统计中间表!A:D,4,FALSE),0)</f>
        <v>0</v>
      </c>
      <c r="AA180" s="4">
        <f>+Z180*H180</f>
        <v>0</v>
      </c>
      <c r="AB180" s="4"/>
    </row>
    <row r="181" customHeight="1" outlineLevel="3" spans="1:28">
      <c r="A181" s="514" t="s">
        <v>2652</v>
      </c>
      <c r="B181" s="4"/>
      <c r="C181" s="510" t="s">
        <v>64</v>
      </c>
      <c r="D181" s="4" t="s">
        <v>744</v>
      </c>
      <c r="E181" s="4"/>
      <c r="F181" s="4" t="str">
        <f ca="1" t="shared" ref="F181:F184" si="314">VLOOKUP($D181,INDIRECT($C181),2,0)</f>
        <v>m2</v>
      </c>
      <c r="G181" s="4"/>
      <c r="H181" s="4"/>
      <c r="I181" s="4"/>
      <c r="J181" s="4"/>
      <c r="K181" s="4"/>
      <c r="L181" s="517"/>
      <c r="M181" s="4">
        <v>1488</v>
      </c>
      <c r="N181" s="4">
        <f ca="1" t="shared" ref="N181:N184" si="315">VLOOKUP($D181,INDIRECT($C181),3,0)</f>
        <v>2</v>
      </c>
      <c r="O181" s="4">
        <f ca="1">M181*N181</f>
        <v>2976</v>
      </c>
      <c r="P181" s="4"/>
      <c r="Q181" s="4"/>
      <c r="R181" s="4"/>
      <c r="S181" s="4"/>
      <c r="T181" s="4">
        <f ca="1" t="shared" ref="T181:T184" si="316">OFFSET(T181,-RIGHT($A181,LEN($A$6)),,1,1)/OFFSET(T181,-RIGHT($A181,LEN($A$6)),-13,1,1)*$M181</f>
        <v>0</v>
      </c>
      <c r="U181" s="4">
        <f ca="1" t="shared" ref="U181:U184" si="317">+$N181*T181</f>
        <v>0</v>
      </c>
      <c r="V181" s="4">
        <f ca="1" t="shared" ref="V181:V184" si="318">OFFSET(V181,-RIGHT($A181,LEN($A$6)),,1,1)/OFFSET(V181,-RIGHT($A181,LEN($A$6)),-15,1,1)*$M181</f>
        <v>0</v>
      </c>
      <c r="W181" s="4">
        <f ca="1" t="shared" ref="W181:W184" si="319">+$N181*V181</f>
        <v>0</v>
      </c>
      <c r="X181" s="4">
        <f ca="1" t="shared" ref="X181:X184" si="320">+M181-V181</f>
        <v>1488</v>
      </c>
      <c r="Y181" s="4">
        <f ca="1" t="shared" ref="Y181:Y184" si="321">+O181-W181</f>
        <v>2976</v>
      </c>
      <c r="Z181" s="4">
        <f ca="1" t="shared" ref="Z181:Z184" si="322">OFFSET(Z181,-RIGHT($A181,LEN($A$6)),,1,1)/OFFSET(Z181,-RIGHT($A181,LEN($A$6)),-19,1,1)*$M181</f>
        <v>0</v>
      </c>
      <c r="AA181" s="4">
        <f ca="1" t="shared" ref="AA181:AA184" si="323">+$N181*Z181</f>
        <v>0</v>
      </c>
      <c r="AB181" s="4"/>
    </row>
    <row r="182" customHeight="1" outlineLevel="3" spans="1:28">
      <c r="A182" s="514" t="s">
        <v>2653</v>
      </c>
      <c r="B182" s="4"/>
      <c r="C182" s="510" t="s">
        <v>59</v>
      </c>
      <c r="D182" s="4" t="s">
        <v>1011</v>
      </c>
      <c r="E182" s="4"/>
      <c r="F182" s="4" t="str">
        <f ca="1" t="shared" si="314"/>
        <v>m2</v>
      </c>
      <c r="G182" s="4"/>
      <c r="H182" s="4"/>
      <c r="I182" s="4"/>
      <c r="J182" s="4"/>
      <c r="K182" s="4"/>
      <c r="L182" s="517"/>
      <c r="M182" s="4">
        <v>1580.4048</v>
      </c>
      <c r="N182" s="4">
        <f ca="1" t="shared" si="315"/>
        <v>0</v>
      </c>
      <c r="O182" s="4">
        <f ca="1">M182*N182</f>
        <v>0</v>
      </c>
      <c r="P182" s="4"/>
      <c r="Q182" s="4"/>
      <c r="R182" s="4"/>
      <c r="S182" s="4"/>
      <c r="T182" s="4">
        <f ca="1" t="shared" si="316"/>
        <v>0</v>
      </c>
      <c r="U182" s="4">
        <f ca="1" t="shared" si="317"/>
        <v>0</v>
      </c>
      <c r="V182" s="4">
        <f ca="1" t="shared" si="318"/>
        <v>0</v>
      </c>
      <c r="W182" s="4">
        <f ca="1" t="shared" si="319"/>
        <v>0</v>
      </c>
      <c r="X182" s="4">
        <f ca="1" t="shared" si="320"/>
        <v>1580.4048</v>
      </c>
      <c r="Y182" s="4">
        <f ca="1" t="shared" si="321"/>
        <v>0</v>
      </c>
      <c r="Z182" s="4">
        <f ca="1" t="shared" si="322"/>
        <v>0</v>
      </c>
      <c r="AA182" s="4">
        <f ca="1" t="shared" si="323"/>
        <v>0</v>
      </c>
      <c r="AB182" s="4"/>
    </row>
    <row r="183" customHeight="1" outlineLevel="3" spans="1:28">
      <c r="A183" s="514" t="s">
        <v>2654</v>
      </c>
      <c r="B183" s="4"/>
      <c r="C183" s="510" t="s">
        <v>59</v>
      </c>
      <c r="D183" s="4" t="s">
        <v>1014</v>
      </c>
      <c r="E183" s="4"/>
      <c r="F183" s="4" t="str">
        <f ca="1" t="shared" si="314"/>
        <v>m3</v>
      </c>
      <c r="G183" s="4"/>
      <c r="H183" s="4"/>
      <c r="I183" s="4"/>
      <c r="J183" s="4"/>
      <c r="K183" s="4"/>
      <c r="L183" s="517"/>
      <c r="M183" s="4">
        <v>2161.27632</v>
      </c>
      <c r="N183" s="4">
        <f ca="1" t="shared" si="315"/>
        <v>0</v>
      </c>
      <c r="O183" s="4">
        <f ca="1">M183*N183</f>
        <v>0</v>
      </c>
      <c r="P183" s="4"/>
      <c r="Q183" s="4"/>
      <c r="R183" s="4"/>
      <c r="S183" s="4"/>
      <c r="T183" s="4">
        <f ca="1" t="shared" si="316"/>
        <v>0</v>
      </c>
      <c r="U183" s="4">
        <f ca="1" t="shared" si="317"/>
        <v>0</v>
      </c>
      <c r="V183" s="4">
        <f ca="1" t="shared" si="318"/>
        <v>0</v>
      </c>
      <c r="W183" s="4">
        <f ca="1" t="shared" si="319"/>
        <v>0</v>
      </c>
      <c r="X183" s="4">
        <f ca="1" t="shared" si="320"/>
        <v>2161.27632</v>
      </c>
      <c r="Y183" s="4">
        <f ca="1" t="shared" si="321"/>
        <v>0</v>
      </c>
      <c r="Z183" s="4">
        <f ca="1" t="shared" si="322"/>
        <v>0</v>
      </c>
      <c r="AA183" s="4">
        <f ca="1" t="shared" si="323"/>
        <v>0</v>
      </c>
      <c r="AB183" s="4"/>
    </row>
    <row r="184" customHeight="1" outlineLevel="3" spans="1:28">
      <c r="A184" s="514" t="s">
        <v>2655</v>
      </c>
      <c r="B184" s="4"/>
      <c r="C184" s="510" t="s">
        <v>63</v>
      </c>
      <c r="D184" s="4" t="s">
        <v>801</v>
      </c>
      <c r="E184" s="4"/>
      <c r="F184" s="4" t="str">
        <f ca="1" t="shared" si="314"/>
        <v>m3</v>
      </c>
      <c r="G184" s="4"/>
      <c r="H184" s="4"/>
      <c r="I184" s="4"/>
      <c r="J184" s="4"/>
      <c r="K184" s="4"/>
      <c r="L184" s="517"/>
      <c r="M184" s="4">
        <v>1795.08</v>
      </c>
      <c r="N184" s="4">
        <f ca="1" t="shared" si="315"/>
        <v>5.91</v>
      </c>
      <c r="O184" s="4">
        <f ca="1">M184*N184</f>
        <v>10608.9228</v>
      </c>
      <c r="P184" s="4"/>
      <c r="Q184" s="4"/>
      <c r="R184" s="4"/>
      <c r="S184" s="4"/>
      <c r="T184" s="4">
        <f ca="1" t="shared" si="316"/>
        <v>0</v>
      </c>
      <c r="U184" s="4">
        <f ca="1" t="shared" si="317"/>
        <v>0</v>
      </c>
      <c r="V184" s="4">
        <f ca="1" t="shared" si="318"/>
        <v>0</v>
      </c>
      <c r="W184" s="4">
        <f ca="1" t="shared" si="319"/>
        <v>0</v>
      </c>
      <c r="X184" s="4">
        <f ca="1" t="shared" si="320"/>
        <v>1795.08</v>
      </c>
      <c r="Y184" s="4">
        <f ca="1" t="shared" si="321"/>
        <v>10608.9228</v>
      </c>
      <c r="Z184" s="4">
        <f ca="1" t="shared" si="322"/>
        <v>0</v>
      </c>
      <c r="AA184" s="4">
        <f ca="1" t="shared" si="323"/>
        <v>0</v>
      </c>
      <c r="AB184" s="4"/>
    </row>
    <row r="185" customHeight="1" outlineLevel="2" spans="1:28">
      <c r="A185" s="515" t="s">
        <v>2656</v>
      </c>
      <c r="B185" s="4"/>
      <c r="C185" s="510" t="s">
        <v>1309</v>
      </c>
      <c r="D185" s="4" t="s">
        <v>2657</v>
      </c>
      <c r="E185" s="4" t="s">
        <v>2658</v>
      </c>
      <c r="F185" s="4" t="s">
        <v>69</v>
      </c>
      <c r="G185" s="4">
        <v>155.5</v>
      </c>
      <c r="H185" s="4">
        <v>486.394495412844</v>
      </c>
      <c r="I185" s="4">
        <f>G185*H185</f>
        <v>75634.3440366972</v>
      </c>
      <c r="J185" s="4">
        <f t="shared" ref="J185:L185" si="324">+G185</f>
        <v>155.5</v>
      </c>
      <c r="K185" s="4">
        <f t="shared" si="324"/>
        <v>486.394495412844</v>
      </c>
      <c r="L185" s="517">
        <f t="shared" si="324"/>
        <v>75634.3440366972</v>
      </c>
      <c r="M185" s="4">
        <v>155.5</v>
      </c>
      <c r="N185" s="4">
        <f ca="1">O185/M185</f>
        <v>159.773954983923</v>
      </c>
      <c r="O185" s="4">
        <f ca="1">(+O186+O187+O188+O189+O190+O191+O192+O193)</f>
        <v>24844.85</v>
      </c>
      <c r="P185" s="4"/>
      <c r="Q185" s="4"/>
      <c r="R185" s="4">
        <f>+P185+J185</f>
        <v>155.5</v>
      </c>
      <c r="S185" s="4">
        <f>+Q185+L185</f>
        <v>75634.3440366972</v>
      </c>
      <c r="T185" s="4">
        <f>IFERROR(VLOOKUP(A185,产值统计中间表!A:F,7,FALSE),0)</f>
        <v>0</v>
      </c>
      <c r="U185" s="4">
        <f>+T185*H185</f>
        <v>0</v>
      </c>
      <c r="V185" s="4">
        <f>IFERROR(VLOOKUP(A185,产值统计中间表!A:D,4,FALSE),0)</f>
        <v>1</v>
      </c>
      <c r="W185" s="4">
        <f>+V185*H185</f>
        <v>486.394495412844</v>
      </c>
      <c r="X185" s="4">
        <f>+R185-V185</f>
        <v>154.5</v>
      </c>
      <c r="Y185" s="4">
        <f>+S185-W185</f>
        <v>75147.9495412844</v>
      </c>
      <c r="Z185" s="4">
        <f>IFERROR(VLOOKUP(A185,业主统计中间表!A:D,4,FALSE),0)</f>
        <v>0</v>
      </c>
      <c r="AA185" s="4">
        <f>+Z185*H185</f>
        <v>0</v>
      </c>
      <c r="AB185" s="4"/>
    </row>
    <row r="186" customHeight="1" outlineLevel="3" spans="1:28">
      <c r="A186" s="514" t="s">
        <v>2659</v>
      </c>
      <c r="B186" s="4"/>
      <c r="C186" s="510" t="s">
        <v>64</v>
      </c>
      <c r="D186" s="4" t="s">
        <v>1028</v>
      </c>
      <c r="E186" s="4"/>
      <c r="F186" s="4" t="str">
        <f ca="1" t="shared" ref="F186:F193" si="325">VLOOKUP($D186,INDIRECT($C186),2,0)</f>
        <v>m3</v>
      </c>
      <c r="G186" s="4"/>
      <c r="H186" s="4"/>
      <c r="I186" s="4"/>
      <c r="J186" s="4"/>
      <c r="K186" s="4"/>
      <c r="L186" s="517"/>
      <c r="M186" s="4">
        <v>61.08</v>
      </c>
      <c r="N186" s="4">
        <f ca="1" t="shared" ref="N186:N193" si="326">VLOOKUP($D186,INDIRECT($C186),3,0)</f>
        <v>60</v>
      </c>
      <c r="O186" s="4">
        <f ca="1" t="shared" ref="O186:O193" si="327">M186*N186</f>
        <v>3664.8</v>
      </c>
      <c r="P186" s="4"/>
      <c r="Q186" s="4"/>
      <c r="R186" s="4"/>
      <c r="S186" s="4"/>
      <c r="T186" s="4">
        <f ca="1" t="shared" ref="T186:T193" si="328">OFFSET(T186,-RIGHT($A186,LEN($A$6)),,1,1)/OFFSET(T186,-RIGHT($A186,LEN($A$6)),-13,1,1)*$M186</f>
        <v>0</v>
      </c>
      <c r="U186" s="4">
        <f ca="1" t="shared" ref="U186:U193" si="329">+$N186*T186</f>
        <v>0</v>
      </c>
      <c r="V186" s="4">
        <f ca="1" t="shared" ref="V186:V193" si="330">OFFSET(V186,-RIGHT($A186,LEN($A$6)),,1,1)/OFFSET(V186,-RIGHT($A186,LEN($A$6)),-15,1,1)*$M186</f>
        <v>0.392797427652733</v>
      </c>
      <c r="W186" s="4">
        <f ca="1" t="shared" ref="W186:W193" si="331">+$N186*V186</f>
        <v>23.567845659164</v>
      </c>
      <c r="X186" s="4">
        <f ca="1" t="shared" ref="X186:X193" si="332">+M186-V186</f>
        <v>60.6872025723473</v>
      </c>
      <c r="Y186" s="4">
        <f ca="1" t="shared" ref="Y186:Y193" si="333">+O186-W186</f>
        <v>3641.23215434084</v>
      </c>
      <c r="Z186" s="4">
        <f ca="1" t="shared" ref="Z186:Z193" si="334">OFFSET(Z186,-RIGHT($A186,LEN($A$6)),,1,1)/OFFSET(Z186,-RIGHT($A186,LEN($A$6)),-19,1,1)*$M186</f>
        <v>0</v>
      </c>
      <c r="AA186" s="4">
        <f ca="1" t="shared" ref="AA186:AA193" si="335">+$N186*Z186</f>
        <v>0</v>
      </c>
      <c r="AB186" s="4"/>
    </row>
    <row r="187" customHeight="1" outlineLevel="3" spans="1:28">
      <c r="A187" s="514" t="s">
        <v>2660</v>
      </c>
      <c r="B187" s="4"/>
      <c r="C187" s="510" t="s">
        <v>64</v>
      </c>
      <c r="D187" s="4" t="s">
        <v>1124</v>
      </c>
      <c r="E187" s="4"/>
      <c r="F187" s="4" t="str">
        <f ca="1" t="shared" si="325"/>
        <v>m3</v>
      </c>
      <c r="G187" s="4"/>
      <c r="H187" s="4"/>
      <c r="I187" s="4"/>
      <c r="J187" s="4"/>
      <c r="K187" s="4"/>
      <c r="L187" s="517"/>
      <c r="M187" s="4">
        <v>0</v>
      </c>
      <c r="N187" s="4">
        <f ca="1" t="shared" si="326"/>
        <v>180</v>
      </c>
      <c r="O187" s="4">
        <f ca="1" t="shared" si="327"/>
        <v>0</v>
      </c>
      <c r="P187" s="4"/>
      <c r="Q187" s="4"/>
      <c r="R187" s="4"/>
      <c r="S187" s="4"/>
      <c r="T187" s="4">
        <f ca="1" t="shared" si="328"/>
        <v>0</v>
      </c>
      <c r="U187" s="4">
        <f ca="1" t="shared" si="329"/>
        <v>0</v>
      </c>
      <c r="V187" s="4">
        <f ca="1" t="shared" si="330"/>
        <v>0</v>
      </c>
      <c r="W187" s="4">
        <f ca="1" t="shared" si="331"/>
        <v>0</v>
      </c>
      <c r="X187" s="4">
        <f ca="1" t="shared" si="332"/>
        <v>0</v>
      </c>
      <c r="Y187" s="4">
        <f ca="1" t="shared" si="333"/>
        <v>0</v>
      </c>
      <c r="Z187" s="4">
        <f ca="1" t="shared" si="334"/>
        <v>0</v>
      </c>
      <c r="AA187" s="4">
        <f ca="1" t="shared" si="335"/>
        <v>0</v>
      </c>
      <c r="AB187" s="4"/>
    </row>
    <row r="188" customHeight="1" outlineLevel="3" spans="1:28">
      <c r="A188" s="514" t="s">
        <v>2661</v>
      </c>
      <c r="B188" s="4"/>
      <c r="C188" s="510" t="s">
        <v>59</v>
      </c>
      <c r="D188" s="4" t="s">
        <v>1017</v>
      </c>
      <c r="E188" s="4"/>
      <c r="F188" s="4" t="str">
        <f ca="1" t="shared" si="325"/>
        <v>m3</v>
      </c>
      <c r="G188" s="4"/>
      <c r="H188" s="4"/>
      <c r="I188" s="4"/>
      <c r="J188" s="4"/>
      <c r="K188" s="4"/>
      <c r="L188" s="517"/>
      <c r="M188" s="4">
        <v>50.25</v>
      </c>
      <c r="N188" s="4">
        <f ca="1" t="shared" si="326"/>
        <v>0</v>
      </c>
      <c r="O188" s="4">
        <f ca="1" t="shared" si="327"/>
        <v>0</v>
      </c>
      <c r="P188" s="4"/>
      <c r="Q188" s="4"/>
      <c r="R188" s="4"/>
      <c r="S188" s="4"/>
      <c r="T188" s="4">
        <f ca="1" t="shared" si="328"/>
        <v>0</v>
      </c>
      <c r="U188" s="4">
        <f ca="1" t="shared" si="329"/>
        <v>0</v>
      </c>
      <c r="V188" s="4">
        <f ca="1" t="shared" si="330"/>
        <v>0.323151125401929</v>
      </c>
      <c r="W188" s="4">
        <f ca="1" t="shared" si="331"/>
        <v>0</v>
      </c>
      <c r="X188" s="4">
        <f ca="1" t="shared" si="332"/>
        <v>49.9268488745981</v>
      </c>
      <c r="Y188" s="4">
        <f ca="1" t="shared" si="333"/>
        <v>0</v>
      </c>
      <c r="Z188" s="4">
        <f ca="1" t="shared" si="334"/>
        <v>0</v>
      </c>
      <c r="AA188" s="4">
        <f ca="1" t="shared" si="335"/>
        <v>0</v>
      </c>
      <c r="AB188" s="4"/>
    </row>
    <row r="189" customHeight="1" outlineLevel="3" spans="1:28">
      <c r="A189" s="514" t="s">
        <v>2662</v>
      </c>
      <c r="B189" s="4"/>
      <c r="C189" s="510" t="s">
        <v>59</v>
      </c>
      <c r="D189" s="4" t="s">
        <v>347</v>
      </c>
      <c r="E189" s="4"/>
      <c r="F189" s="4" t="str">
        <f ca="1" t="shared" si="325"/>
        <v>m3</v>
      </c>
      <c r="G189" s="4"/>
      <c r="H189" s="4"/>
      <c r="I189" s="4"/>
      <c r="J189" s="4"/>
      <c r="K189" s="4"/>
      <c r="L189" s="517"/>
      <c r="M189" s="4">
        <v>0</v>
      </c>
      <c r="N189" s="4">
        <f ca="1" t="shared" si="326"/>
        <v>120</v>
      </c>
      <c r="O189" s="4">
        <f ca="1" t="shared" si="327"/>
        <v>0</v>
      </c>
      <c r="P189" s="4"/>
      <c r="Q189" s="4"/>
      <c r="R189" s="4"/>
      <c r="S189" s="4"/>
      <c r="T189" s="4">
        <f ca="1" t="shared" si="328"/>
        <v>0</v>
      </c>
      <c r="U189" s="4">
        <f ca="1" t="shared" si="329"/>
        <v>0</v>
      </c>
      <c r="V189" s="4">
        <f ca="1" t="shared" si="330"/>
        <v>0</v>
      </c>
      <c r="W189" s="4">
        <f ca="1" t="shared" si="331"/>
        <v>0</v>
      </c>
      <c r="X189" s="4">
        <f ca="1" t="shared" si="332"/>
        <v>0</v>
      </c>
      <c r="Y189" s="4">
        <f ca="1" t="shared" si="333"/>
        <v>0</v>
      </c>
      <c r="Z189" s="4">
        <f ca="1" t="shared" si="334"/>
        <v>0</v>
      </c>
      <c r="AA189" s="4">
        <f ca="1" t="shared" si="335"/>
        <v>0</v>
      </c>
      <c r="AB189" s="4"/>
    </row>
    <row r="190" customHeight="1" outlineLevel="3" spans="1:28">
      <c r="A190" s="514" t="s">
        <v>2663</v>
      </c>
      <c r="B190" s="4"/>
      <c r="C190" s="510" t="s">
        <v>59</v>
      </c>
      <c r="D190" s="4" t="s">
        <v>1020</v>
      </c>
      <c r="E190" s="4"/>
      <c r="F190" s="4" t="str">
        <f ca="1" t="shared" si="325"/>
        <v>m3</v>
      </c>
      <c r="G190" s="4"/>
      <c r="H190" s="4"/>
      <c r="I190" s="4"/>
      <c r="J190" s="4"/>
      <c r="K190" s="4"/>
      <c r="L190" s="517"/>
      <c r="M190" s="4">
        <v>282.94</v>
      </c>
      <c r="N190" s="4">
        <f ca="1" t="shared" si="326"/>
        <v>0</v>
      </c>
      <c r="O190" s="4">
        <f ca="1" t="shared" si="327"/>
        <v>0</v>
      </c>
      <c r="P190" s="4"/>
      <c r="Q190" s="4"/>
      <c r="R190" s="4"/>
      <c r="S190" s="4"/>
      <c r="T190" s="4">
        <f ca="1" t="shared" si="328"/>
        <v>0</v>
      </c>
      <c r="U190" s="4">
        <f ca="1" t="shared" si="329"/>
        <v>0</v>
      </c>
      <c r="V190" s="4">
        <f ca="1" t="shared" si="330"/>
        <v>1.8195498392283</v>
      </c>
      <c r="W190" s="4">
        <f ca="1" t="shared" si="331"/>
        <v>0</v>
      </c>
      <c r="X190" s="4">
        <f ca="1" t="shared" si="332"/>
        <v>281.120450160772</v>
      </c>
      <c r="Y190" s="4">
        <f ca="1" t="shared" si="333"/>
        <v>0</v>
      </c>
      <c r="Z190" s="4">
        <f ca="1" t="shared" si="334"/>
        <v>0</v>
      </c>
      <c r="AA190" s="4">
        <f ca="1" t="shared" si="335"/>
        <v>0</v>
      </c>
      <c r="AB190" s="4"/>
    </row>
    <row r="191" customHeight="1" outlineLevel="3" spans="1:28">
      <c r="A191" s="514" t="s">
        <v>2664</v>
      </c>
      <c r="B191" s="4"/>
      <c r="C191" s="510" t="s">
        <v>65</v>
      </c>
      <c r="D191" s="4" t="s">
        <v>667</v>
      </c>
      <c r="E191" s="4"/>
      <c r="F191" s="4" t="str">
        <f ca="1" t="shared" si="325"/>
        <v>m2</v>
      </c>
      <c r="G191" s="4"/>
      <c r="H191" s="4"/>
      <c r="I191" s="4"/>
      <c r="J191" s="4"/>
      <c r="K191" s="4"/>
      <c r="L191" s="517"/>
      <c r="M191" s="4">
        <v>155.5</v>
      </c>
      <c r="N191" s="4">
        <f ca="1" t="shared" si="326"/>
        <v>20</v>
      </c>
      <c r="O191" s="4">
        <f ca="1" t="shared" si="327"/>
        <v>3110</v>
      </c>
      <c r="P191" s="4"/>
      <c r="Q191" s="4"/>
      <c r="R191" s="4"/>
      <c r="S191" s="4"/>
      <c r="T191" s="4">
        <f ca="1" t="shared" si="328"/>
        <v>0</v>
      </c>
      <c r="U191" s="4">
        <f ca="1" t="shared" si="329"/>
        <v>0</v>
      </c>
      <c r="V191" s="4">
        <f ca="1" t="shared" si="330"/>
        <v>1</v>
      </c>
      <c r="W191" s="4">
        <f ca="1" t="shared" si="331"/>
        <v>20</v>
      </c>
      <c r="X191" s="4">
        <f ca="1" t="shared" si="332"/>
        <v>154.5</v>
      </c>
      <c r="Y191" s="4">
        <f ca="1" t="shared" si="333"/>
        <v>3090</v>
      </c>
      <c r="Z191" s="4">
        <f ca="1" t="shared" si="334"/>
        <v>0</v>
      </c>
      <c r="AA191" s="4">
        <f ca="1" t="shared" si="335"/>
        <v>0</v>
      </c>
      <c r="AB191" s="4"/>
    </row>
    <row r="192" customHeight="1" outlineLevel="3" spans="1:28">
      <c r="A192" s="514" t="s">
        <v>2665</v>
      </c>
      <c r="B192" s="4"/>
      <c r="C192" s="510" t="s">
        <v>59</v>
      </c>
      <c r="D192" s="4" t="s">
        <v>888</v>
      </c>
      <c r="E192" s="4"/>
      <c r="F192" s="4" t="str">
        <f ca="1" t="shared" si="325"/>
        <v>m3</v>
      </c>
      <c r="G192" s="4"/>
      <c r="H192" s="4"/>
      <c r="I192" s="4"/>
      <c r="J192" s="4"/>
      <c r="K192" s="4"/>
      <c r="L192" s="517"/>
      <c r="M192" s="4">
        <v>49.035</v>
      </c>
      <c r="N192" s="4">
        <f ca="1" t="shared" si="326"/>
        <v>30</v>
      </c>
      <c r="O192" s="4">
        <f ca="1" t="shared" si="327"/>
        <v>1471.05</v>
      </c>
      <c r="P192" s="4"/>
      <c r="Q192" s="4"/>
      <c r="R192" s="4"/>
      <c r="S192" s="4"/>
      <c r="T192" s="4">
        <f ca="1" t="shared" si="328"/>
        <v>0</v>
      </c>
      <c r="U192" s="4">
        <f ca="1" t="shared" si="329"/>
        <v>0</v>
      </c>
      <c r="V192" s="4">
        <f ca="1" t="shared" si="330"/>
        <v>0.315337620578778</v>
      </c>
      <c r="W192" s="4">
        <f ca="1" t="shared" si="331"/>
        <v>9.46012861736334</v>
      </c>
      <c r="X192" s="4">
        <f ca="1" t="shared" si="332"/>
        <v>48.7196623794212</v>
      </c>
      <c r="Y192" s="4">
        <f ca="1" t="shared" si="333"/>
        <v>1461.58987138264</v>
      </c>
      <c r="Z192" s="4">
        <f ca="1" t="shared" si="334"/>
        <v>0</v>
      </c>
      <c r="AA192" s="4">
        <f ca="1" t="shared" si="335"/>
        <v>0</v>
      </c>
      <c r="AB192" s="4"/>
    </row>
    <row r="193" customHeight="1" outlineLevel="3" spans="1:28">
      <c r="A193" s="514" t="s">
        <v>2666</v>
      </c>
      <c r="B193" s="4"/>
      <c r="C193" s="510" t="s">
        <v>64</v>
      </c>
      <c r="D193" s="4" t="s">
        <v>325</v>
      </c>
      <c r="E193" s="4" t="s">
        <v>2667</v>
      </c>
      <c r="F193" s="4" t="str">
        <f ca="1" t="shared" si="325"/>
        <v>m3</v>
      </c>
      <c r="G193" s="4"/>
      <c r="H193" s="4"/>
      <c r="I193" s="4"/>
      <c r="J193" s="4"/>
      <c r="K193" s="4"/>
      <c r="L193" s="517"/>
      <c r="M193" s="4">
        <f>282.94+49.04</f>
        <v>331.98</v>
      </c>
      <c r="N193" s="4">
        <f ca="1" t="shared" si="326"/>
        <v>50</v>
      </c>
      <c r="O193" s="4">
        <f ca="1" t="shared" si="327"/>
        <v>16599</v>
      </c>
      <c r="P193" s="4"/>
      <c r="Q193" s="4"/>
      <c r="R193" s="4"/>
      <c r="S193" s="4"/>
      <c r="T193" s="4">
        <f ca="1" t="shared" si="328"/>
        <v>0</v>
      </c>
      <c r="U193" s="4">
        <f ca="1" t="shared" si="329"/>
        <v>0</v>
      </c>
      <c r="V193" s="4">
        <f ca="1" t="shared" si="330"/>
        <v>2.13491961414791</v>
      </c>
      <c r="W193" s="4">
        <f ca="1" t="shared" si="331"/>
        <v>106.745980707395</v>
      </c>
      <c r="X193" s="4">
        <f ca="1" t="shared" si="332"/>
        <v>329.845080385852</v>
      </c>
      <c r="Y193" s="4">
        <f ca="1" t="shared" si="333"/>
        <v>16492.2540192926</v>
      </c>
      <c r="Z193" s="4">
        <f ca="1" t="shared" si="334"/>
        <v>0</v>
      </c>
      <c r="AA193" s="4">
        <f ca="1" t="shared" si="335"/>
        <v>0</v>
      </c>
      <c r="AB193" s="4"/>
    </row>
    <row r="194" customHeight="1" outlineLevel="2" spans="1:28">
      <c r="A194" s="515" t="s">
        <v>2668</v>
      </c>
      <c r="B194" s="4"/>
      <c r="C194" s="510" t="s">
        <v>1309</v>
      </c>
      <c r="D194" s="4" t="s">
        <v>2669</v>
      </c>
      <c r="E194" s="4" t="s">
        <v>2670</v>
      </c>
      <c r="F194" s="4" t="s">
        <v>69</v>
      </c>
      <c r="G194" s="4">
        <v>14825</v>
      </c>
      <c r="H194" s="4">
        <v>86.6422018348624</v>
      </c>
      <c r="I194" s="4">
        <f>G194*H194</f>
        <v>1284470.64220184</v>
      </c>
      <c r="J194" s="4">
        <f t="shared" ref="J194:L194" si="336">+G194</f>
        <v>14825</v>
      </c>
      <c r="K194" s="4">
        <f t="shared" si="336"/>
        <v>86.6422018348624</v>
      </c>
      <c r="L194" s="517">
        <f t="shared" si="336"/>
        <v>1284470.64220184</v>
      </c>
      <c r="M194" s="4">
        <v>14825</v>
      </c>
      <c r="N194" s="4">
        <f ca="1" t="shared" ref="N194:N198" si="337">O194/M194</f>
        <v>53.8421585160202</v>
      </c>
      <c r="O194" s="4">
        <f ca="1">(+O195)</f>
        <v>798210</v>
      </c>
      <c r="P194" s="4"/>
      <c r="Q194" s="4"/>
      <c r="R194" s="4">
        <f t="shared" ref="R194:R198" si="338">+P194+J194</f>
        <v>14825</v>
      </c>
      <c r="S194" s="4">
        <f t="shared" ref="S194:S198" si="339">+Q194+L194</f>
        <v>1284470.64220184</v>
      </c>
      <c r="T194" s="4">
        <f>IFERROR(VLOOKUP(A194,产值统计中间表!A:F,7,FALSE),0)</f>
        <v>0</v>
      </c>
      <c r="U194" s="4">
        <f t="shared" ref="U194:U198" si="340">+T194*H194</f>
        <v>0</v>
      </c>
      <c r="V194" s="4">
        <f>IFERROR(VLOOKUP(A194,产值统计中间表!A:D,4,FALSE),0)</f>
        <v>0</v>
      </c>
      <c r="W194" s="4">
        <f t="shared" ref="W194:W198" si="341">+V194*H194</f>
        <v>0</v>
      </c>
      <c r="X194" s="4">
        <f t="shared" ref="X194:X198" si="342">+R194-V194</f>
        <v>14825</v>
      </c>
      <c r="Y194" s="4">
        <f t="shared" ref="Y194:Y198" si="343">+S194-W194</f>
        <v>1284470.64220184</v>
      </c>
      <c r="Z194" s="4">
        <f>IFERROR(VLOOKUP(A194,业主统计中间表!A:D,4,FALSE),0)</f>
        <v>0</v>
      </c>
      <c r="AA194" s="4">
        <f t="shared" ref="AA194:AA198" si="344">+Z194*H194</f>
        <v>0</v>
      </c>
      <c r="AB194" s="4"/>
    </row>
    <row r="195" customHeight="1" outlineLevel="3" spans="1:28">
      <c r="A195" s="514" t="s">
        <v>2671</v>
      </c>
      <c r="B195" s="4"/>
      <c r="C195" s="510" t="s">
        <v>65</v>
      </c>
      <c r="D195" s="4" t="s">
        <v>663</v>
      </c>
      <c r="E195" s="4"/>
      <c r="F195" s="4" t="str">
        <f ca="1" t="shared" ref="F195:F199" si="345">VLOOKUP($D195,INDIRECT($C195),2,0)</f>
        <v>m2</v>
      </c>
      <c r="G195" s="4"/>
      <c r="H195" s="4"/>
      <c r="I195" s="4"/>
      <c r="J195" s="4"/>
      <c r="K195" s="4"/>
      <c r="L195" s="517"/>
      <c r="M195" s="4">
        <v>17738</v>
      </c>
      <c r="N195" s="4">
        <f ca="1" t="shared" ref="N195:N199" si="346">VLOOKUP($D195,INDIRECT($C195),3,0)</f>
        <v>45</v>
      </c>
      <c r="O195" s="4">
        <f ca="1">M195*N195</f>
        <v>798210</v>
      </c>
      <c r="P195" s="4"/>
      <c r="Q195" s="4"/>
      <c r="R195" s="4"/>
      <c r="S195" s="4"/>
      <c r="T195" s="4">
        <f ca="1" t="shared" ref="T195:T199" si="347">OFFSET(T195,-RIGHT($A195,LEN($A$6)),,1,1)/OFFSET(T195,-RIGHT($A195,LEN($A$6)),-13,1,1)*$M195</f>
        <v>0</v>
      </c>
      <c r="U195" s="4">
        <f ca="1" t="shared" ref="U195:U199" si="348">+$N195*T195</f>
        <v>0</v>
      </c>
      <c r="V195" s="4">
        <f ca="1" t="shared" ref="V195:V199" si="349">OFFSET(V195,-RIGHT($A195,LEN($A$6)),,1,1)/OFFSET(V195,-RIGHT($A195,LEN($A$6)),-15,1,1)*$M195</f>
        <v>0</v>
      </c>
      <c r="W195" s="4">
        <f ca="1" t="shared" ref="W195:W199" si="350">+$N195*V195</f>
        <v>0</v>
      </c>
      <c r="X195" s="4">
        <f ca="1" t="shared" ref="X195:X199" si="351">+M195-V195</f>
        <v>17738</v>
      </c>
      <c r="Y195" s="4">
        <f ca="1" t="shared" ref="Y195:Y199" si="352">+O195-W195</f>
        <v>798210</v>
      </c>
      <c r="Z195" s="4">
        <f ca="1" t="shared" ref="Z195:Z199" si="353">OFFSET(Z195,-RIGHT($A195,LEN($A$6)),,1,1)/OFFSET(Z195,-RIGHT($A195,LEN($A$6)),-19,1,1)*$M195</f>
        <v>0</v>
      </c>
      <c r="AA195" s="4">
        <f ca="1" t="shared" ref="AA195:AA199" si="354">+$N195*Z195</f>
        <v>0</v>
      </c>
      <c r="AB195" s="4"/>
    </row>
    <row r="196" customHeight="1" outlineLevel="2" spans="1:28">
      <c r="A196" s="515" t="s">
        <v>2672</v>
      </c>
      <c r="B196" s="4"/>
      <c r="C196" s="510" t="s">
        <v>1309</v>
      </c>
      <c r="D196" s="4" t="s">
        <v>2673</v>
      </c>
      <c r="E196" s="4" t="s">
        <v>2674</v>
      </c>
      <c r="F196" s="4" t="s">
        <v>169</v>
      </c>
      <c r="G196" s="4">
        <v>1</v>
      </c>
      <c r="H196" s="4">
        <v>14633.0091743119</v>
      </c>
      <c r="I196" s="4">
        <f>G196*H196</f>
        <v>14633.0091743119</v>
      </c>
      <c r="J196" s="4">
        <f t="shared" ref="J196:L196" si="355">+G196</f>
        <v>1</v>
      </c>
      <c r="K196" s="4">
        <f t="shared" si="355"/>
        <v>14633.0091743119</v>
      </c>
      <c r="L196" s="517">
        <f t="shared" si="355"/>
        <v>14633.0091743119</v>
      </c>
      <c r="M196" s="4">
        <v>1</v>
      </c>
      <c r="N196" s="4">
        <f ca="1" t="shared" si="337"/>
        <v>25053.42</v>
      </c>
      <c r="O196" s="4">
        <f ca="1">(+O197)</f>
        <v>25053.42</v>
      </c>
      <c r="P196" s="4"/>
      <c r="Q196" s="4"/>
      <c r="R196" s="4">
        <f t="shared" si="338"/>
        <v>1</v>
      </c>
      <c r="S196" s="4">
        <f t="shared" si="339"/>
        <v>14633.0091743119</v>
      </c>
      <c r="T196" s="4">
        <f>IFERROR(VLOOKUP(A196,产值统计中间表!A:F,7,FALSE),0)</f>
        <v>0</v>
      </c>
      <c r="U196" s="4">
        <f t="shared" si="340"/>
        <v>0</v>
      </c>
      <c r="V196" s="4">
        <f>IFERROR(VLOOKUP(A196,产值统计中间表!A:D,4,FALSE),0)</f>
        <v>0</v>
      </c>
      <c r="W196" s="4">
        <f t="shared" si="341"/>
        <v>0</v>
      </c>
      <c r="X196" s="4">
        <f t="shared" si="342"/>
        <v>1</v>
      </c>
      <c r="Y196" s="4">
        <f t="shared" si="343"/>
        <v>14633.0091743119</v>
      </c>
      <c r="Z196" s="4">
        <f>IFERROR(VLOOKUP(A196,业主统计中间表!A:D,4,FALSE),0)</f>
        <v>0</v>
      </c>
      <c r="AA196" s="4">
        <f t="shared" si="344"/>
        <v>0</v>
      </c>
      <c r="AB196" s="4"/>
    </row>
    <row r="197" customHeight="1" outlineLevel="3" spans="1:28">
      <c r="A197" s="514" t="s">
        <v>2675</v>
      </c>
      <c r="B197" s="4"/>
      <c r="C197" s="510" t="s">
        <v>65</v>
      </c>
      <c r="D197" s="4" t="s">
        <v>700</v>
      </c>
      <c r="E197" s="4"/>
      <c r="F197" s="4" t="str">
        <f ca="1" t="shared" si="345"/>
        <v>项</v>
      </c>
      <c r="G197" s="4"/>
      <c r="H197" s="4"/>
      <c r="I197" s="4"/>
      <c r="J197" s="4"/>
      <c r="K197" s="4"/>
      <c r="L197" s="517"/>
      <c r="M197" s="4">
        <v>1</v>
      </c>
      <c r="N197" s="4">
        <f ca="1" t="shared" si="346"/>
        <v>25053.42</v>
      </c>
      <c r="O197" s="4">
        <f ca="1">M197*N197</f>
        <v>25053.42</v>
      </c>
      <c r="P197" s="4"/>
      <c r="Q197" s="4"/>
      <c r="R197" s="4"/>
      <c r="S197" s="4"/>
      <c r="T197" s="4">
        <f ca="1" t="shared" si="347"/>
        <v>0</v>
      </c>
      <c r="U197" s="4">
        <f ca="1" t="shared" si="348"/>
        <v>0</v>
      </c>
      <c r="V197" s="4">
        <f ca="1" t="shared" si="349"/>
        <v>0</v>
      </c>
      <c r="W197" s="4">
        <f ca="1" t="shared" si="350"/>
        <v>0</v>
      </c>
      <c r="X197" s="4">
        <f ca="1" t="shared" si="351"/>
        <v>1</v>
      </c>
      <c r="Y197" s="4">
        <f ca="1" t="shared" si="352"/>
        <v>25053.42</v>
      </c>
      <c r="Z197" s="4">
        <f ca="1" t="shared" si="353"/>
        <v>0</v>
      </c>
      <c r="AA197" s="4">
        <f ca="1" t="shared" si="354"/>
        <v>0</v>
      </c>
      <c r="AB197" s="4"/>
    </row>
    <row r="198" customHeight="1" outlineLevel="2" spans="1:28">
      <c r="A198" s="515" t="s">
        <v>2676</v>
      </c>
      <c r="B198" s="4"/>
      <c r="C198" s="510" t="s">
        <v>1309</v>
      </c>
      <c r="D198" s="4" t="s">
        <v>2677</v>
      </c>
      <c r="E198" s="4" t="s">
        <v>2678</v>
      </c>
      <c r="F198" s="4" t="s">
        <v>169</v>
      </c>
      <c r="G198" s="4">
        <v>1</v>
      </c>
      <c r="H198" s="4">
        <v>4061.01834862385</v>
      </c>
      <c r="I198" s="4">
        <f>G198*H198</f>
        <v>4061.01834862385</v>
      </c>
      <c r="J198" s="4">
        <f t="shared" ref="J198:L198" si="356">+G198</f>
        <v>1</v>
      </c>
      <c r="K198" s="4">
        <f t="shared" si="356"/>
        <v>4061.01834862385</v>
      </c>
      <c r="L198" s="517">
        <f t="shared" si="356"/>
        <v>4061.01834862385</v>
      </c>
      <c r="M198" s="4">
        <v>1</v>
      </c>
      <c r="N198" s="4">
        <f ca="1" t="shared" si="337"/>
        <v>4500</v>
      </c>
      <c r="O198" s="4">
        <f ca="1">(+O199)</f>
        <v>4500</v>
      </c>
      <c r="P198" s="4"/>
      <c r="Q198" s="4"/>
      <c r="R198" s="4">
        <f t="shared" si="338"/>
        <v>1</v>
      </c>
      <c r="S198" s="4">
        <f t="shared" si="339"/>
        <v>4061.01834862385</v>
      </c>
      <c r="T198" s="4">
        <f>IFERROR(VLOOKUP(A198,产值统计中间表!A:F,7,FALSE),0)</f>
        <v>0</v>
      </c>
      <c r="U198" s="4">
        <f t="shared" si="340"/>
        <v>0</v>
      </c>
      <c r="V198" s="4">
        <f>IFERROR(VLOOKUP(A198,产值统计中间表!A:D,4,FALSE),0)</f>
        <v>0</v>
      </c>
      <c r="W198" s="4">
        <f t="shared" si="341"/>
        <v>0</v>
      </c>
      <c r="X198" s="4">
        <f t="shared" si="342"/>
        <v>1</v>
      </c>
      <c r="Y198" s="4">
        <f t="shared" si="343"/>
        <v>4061.01834862385</v>
      </c>
      <c r="Z198" s="4">
        <f>IFERROR(VLOOKUP(A198,业主统计中间表!A:D,4,FALSE),0)</f>
        <v>0</v>
      </c>
      <c r="AA198" s="4">
        <f t="shared" si="344"/>
        <v>0</v>
      </c>
      <c r="AB198" s="4"/>
    </row>
    <row r="199" customHeight="1" outlineLevel="3" spans="1:28">
      <c r="A199" s="514" t="s">
        <v>2679</v>
      </c>
      <c r="B199" s="4"/>
      <c r="C199" s="510" t="s">
        <v>65</v>
      </c>
      <c r="D199" s="4" t="s">
        <v>704</v>
      </c>
      <c r="E199" s="4"/>
      <c r="F199" s="4" t="str">
        <f ca="1" t="shared" si="345"/>
        <v>项</v>
      </c>
      <c r="G199" s="4"/>
      <c r="H199" s="4"/>
      <c r="I199" s="4"/>
      <c r="J199" s="4"/>
      <c r="K199" s="4"/>
      <c r="L199" s="517"/>
      <c r="M199" s="4">
        <v>1</v>
      </c>
      <c r="N199" s="4">
        <f ca="1" t="shared" si="346"/>
        <v>4500</v>
      </c>
      <c r="O199" s="4">
        <f ca="1">M199*N199</f>
        <v>4500</v>
      </c>
      <c r="P199" s="4"/>
      <c r="Q199" s="4"/>
      <c r="R199" s="4"/>
      <c r="S199" s="4"/>
      <c r="T199" s="4">
        <f ca="1" t="shared" si="347"/>
        <v>0</v>
      </c>
      <c r="U199" s="4">
        <f ca="1" t="shared" si="348"/>
        <v>0</v>
      </c>
      <c r="V199" s="4">
        <f ca="1" t="shared" si="349"/>
        <v>0</v>
      </c>
      <c r="W199" s="4">
        <f ca="1" t="shared" si="350"/>
        <v>0</v>
      </c>
      <c r="X199" s="4">
        <f ca="1" t="shared" si="351"/>
        <v>1</v>
      </c>
      <c r="Y199" s="4">
        <f ca="1" t="shared" si="352"/>
        <v>4500</v>
      </c>
      <c r="Z199" s="4">
        <f ca="1" t="shared" si="353"/>
        <v>0</v>
      </c>
      <c r="AA199" s="4">
        <f ca="1" t="shared" si="354"/>
        <v>0</v>
      </c>
      <c r="AB199" s="4"/>
    </row>
    <row r="200" customHeight="1" outlineLevel="2" spans="1:28">
      <c r="A200" s="515" t="s">
        <v>2680</v>
      </c>
      <c r="B200" s="4"/>
      <c r="C200" s="510" t="s">
        <v>1309</v>
      </c>
      <c r="D200" s="4" t="s">
        <v>2681</v>
      </c>
      <c r="E200" s="4" t="s">
        <v>2678</v>
      </c>
      <c r="F200" s="4" t="s">
        <v>169</v>
      </c>
      <c r="G200" s="4">
        <v>1</v>
      </c>
      <c r="H200" s="4">
        <v>61702.2201834862</v>
      </c>
      <c r="I200" s="4">
        <f>G200*H200</f>
        <v>61702.2201834862</v>
      </c>
      <c r="J200" s="4">
        <f t="shared" ref="J200:L200" si="357">+G200</f>
        <v>1</v>
      </c>
      <c r="K200" s="4">
        <f t="shared" si="357"/>
        <v>61702.2201834862</v>
      </c>
      <c r="L200" s="517">
        <f t="shared" si="357"/>
        <v>61702.2201834862</v>
      </c>
      <c r="M200" s="4">
        <v>1</v>
      </c>
      <c r="N200" s="4">
        <f ca="1">O200/M200</f>
        <v>420294.05</v>
      </c>
      <c r="O200" s="4">
        <f ca="1">(+O201)</f>
        <v>420294.05</v>
      </c>
      <c r="P200" s="4"/>
      <c r="Q200" s="4"/>
      <c r="R200" s="4">
        <f>+P200+J200</f>
        <v>1</v>
      </c>
      <c r="S200" s="4">
        <f>+Q200+L200</f>
        <v>61702.2201834862</v>
      </c>
      <c r="T200" s="4">
        <f>IFERROR(VLOOKUP(A200,产值统计中间表!A:F,7,FALSE),0)</f>
        <v>0</v>
      </c>
      <c r="U200" s="4">
        <f>+T200*H200</f>
        <v>0</v>
      </c>
      <c r="V200" s="4">
        <f>IFERROR(VLOOKUP(A200,产值统计中间表!A:D,4,FALSE),0)</f>
        <v>0</v>
      </c>
      <c r="W200" s="4">
        <f>+V200*H200</f>
        <v>0</v>
      </c>
      <c r="X200" s="4">
        <f>+R200-V200</f>
        <v>1</v>
      </c>
      <c r="Y200" s="4">
        <f>+S200-W200</f>
        <v>61702.2201834862</v>
      </c>
      <c r="Z200" s="4">
        <f>IFERROR(VLOOKUP(A200,业主统计中间表!A:D,4,FALSE),0)</f>
        <v>0</v>
      </c>
      <c r="AA200" s="4">
        <f>+Z200*H200</f>
        <v>0</v>
      </c>
      <c r="AB200" s="4"/>
    </row>
    <row r="201" customHeight="1" outlineLevel="3" spans="1:28">
      <c r="A201" s="514" t="s">
        <v>2682</v>
      </c>
      <c r="B201" s="4"/>
      <c r="C201" s="510" t="s">
        <v>65</v>
      </c>
      <c r="D201" s="4" t="s">
        <v>696</v>
      </c>
      <c r="E201" s="4"/>
      <c r="F201" s="4" t="str">
        <f ca="1" t="shared" ref="F201:F206" si="358">VLOOKUP($D201,INDIRECT($C201),2,0)</f>
        <v>项</v>
      </c>
      <c r="G201" s="4"/>
      <c r="H201" s="4"/>
      <c r="I201" s="4"/>
      <c r="J201" s="4"/>
      <c r="K201" s="4"/>
      <c r="L201" s="517"/>
      <c r="M201" s="4">
        <v>1</v>
      </c>
      <c r="N201" s="4">
        <f ca="1" t="shared" ref="N201:N206" si="359">VLOOKUP($D201,INDIRECT($C201),3,0)</f>
        <v>420294.05</v>
      </c>
      <c r="O201" s="4">
        <f ca="1">M201*N201</f>
        <v>420294.05</v>
      </c>
      <c r="P201" s="4"/>
      <c r="Q201" s="4"/>
      <c r="R201" s="4"/>
      <c r="S201" s="4"/>
      <c r="T201" s="4">
        <f ca="1" t="shared" ref="T201:T206" si="360">OFFSET(T201,-RIGHT($A201,LEN($A$6)),,1,1)/OFFSET(T201,-RIGHT($A201,LEN($A$6)),-13,1,1)*$M201</f>
        <v>0</v>
      </c>
      <c r="U201" s="4">
        <f ca="1" t="shared" ref="U201:U206" si="361">+$N201*T201</f>
        <v>0</v>
      </c>
      <c r="V201" s="4">
        <f ca="1" t="shared" ref="V201:V206" si="362">OFFSET(V201,-RIGHT($A201,LEN($A$6)),,1,1)/OFFSET(V201,-RIGHT($A201,LEN($A$6)),-15,1,1)*$M201</f>
        <v>0</v>
      </c>
      <c r="W201" s="4">
        <f ca="1" t="shared" ref="W201:W206" si="363">+$N201*V201</f>
        <v>0</v>
      </c>
      <c r="X201" s="4">
        <f ca="1" t="shared" ref="X201:X206" si="364">+M201-V201</f>
        <v>1</v>
      </c>
      <c r="Y201" s="4">
        <f ca="1" t="shared" ref="Y201:Y206" si="365">+O201-W201</f>
        <v>420294.05</v>
      </c>
      <c r="Z201" s="4">
        <f ca="1" t="shared" ref="Z201:Z206" si="366">OFFSET(Z201,-RIGHT($A201,LEN($A$6)),,1,1)/OFFSET(Z201,-RIGHT($A201,LEN($A$6)),-19,1,1)*$M201</f>
        <v>0</v>
      </c>
      <c r="AA201" s="4">
        <f ca="1" t="shared" ref="AA201:AA206" si="367">+$N201*Z201</f>
        <v>0</v>
      </c>
      <c r="AB201" s="4"/>
    </row>
    <row r="202" customHeight="1" outlineLevel="2" spans="1:28">
      <c r="A202" s="515" t="s">
        <v>2683</v>
      </c>
      <c r="B202" s="4"/>
      <c r="C202" s="510" t="s">
        <v>1309</v>
      </c>
      <c r="D202" s="4" t="s">
        <v>2684</v>
      </c>
      <c r="E202" s="4" t="s">
        <v>2685</v>
      </c>
      <c r="F202" s="4" t="s">
        <v>72</v>
      </c>
      <c r="G202" s="4">
        <v>11592.8</v>
      </c>
      <c r="H202" s="4">
        <v>18.8623853211009</v>
      </c>
      <c r="I202" s="4">
        <f>G202*H202</f>
        <v>218667.860550458</v>
      </c>
      <c r="J202" s="4">
        <f t="shared" ref="J202:L202" si="368">+G202</f>
        <v>11592.8</v>
      </c>
      <c r="K202" s="4">
        <f t="shared" si="368"/>
        <v>18.8623853211009</v>
      </c>
      <c r="L202" s="517">
        <f t="shared" si="368"/>
        <v>218667.860550458</v>
      </c>
      <c r="M202" s="4">
        <v>11592.8</v>
      </c>
      <c r="N202" s="4">
        <f ca="1">O202/M202</f>
        <v>8.951</v>
      </c>
      <c r="O202" s="4">
        <f ca="1">(+O203+O204+O205+O206)</f>
        <v>103767.1528</v>
      </c>
      <c r="P202" s="4"/>
      <c r="Q202" s="4"/>
      <c r="R202" s="4">
        <f>+P202+J202</f>
        <v>11592.8</v>
      </c>
      <c r="S202" s="4">
        <f>+Q202+L202</f>
        <v>218667.860550458</v>
      </c>
      <c r="T202" s="4">
        <f>IFERROR(VLOOKUP(A202,产值统计中间表!A:F,7,FALSE),0)</f>
        <v>0</v>
      </c>
      <c r="U202" s="4">
        <f>+T202*H202</f>
        <v>0</v>
      </c>
      <c r="V202" s="4">
        <f>IFERROR(VLOOKUP(A202,产值统计中间表!A:D,4,FALSE),0)</f>
        <v>0</v>
      </c>
      <c r="W202" s="4">
        <f>+V202*H202</f>
        <v>0</v>
      </c>
      <c r="X202" s="4">
        <f>+R202-V202</f>
        <v>11592.8</v>
      </c>
      <c r="Y202" s="4">
        <f>+S202-W202</f>
        <v>218667.860550458</v>
      </c>
      <c r="Z202" s="4">
        <f>IFERROR(VLOOKUP(A202,业主统计中间表!A:D,4,FALSE),0)</f>
        <v>0</v>
      </c>
      <c r="AA202" s="4">
        <f>+Z202*H202</f>
        <v>0</v>
      </c>
      <c r="AB202" s="4"/>
    </row>
    <row r="203" customHeight="1" outlineLevel="3" spans="1:28">
      <c r="A203" s="514" t="s">
        <v>2686</v>
      </c>
      <c r="B203" s="4"/>
      <c r="C203" s="510" t="s">
        <v>63</v>
      </c>
      <c r="D203" s="4" t="s">
        <v>422</v>
      </c>
      <c r="E203" s="4"/>
      <c r="F203" s="4" t="str">
        <f ca="1" t="shared" si="358"/>
        <v>m3</v>
      </c>
      <c r="G203" s="4"/>
      <c r="H203" s="4"/>
      <c r="I203" s="4"/>
      <c r="J203" s="4"/>
      <c r="K203" s="4"/>
      <c r="L203" s="517"/>
      <c r="M203" s="4">
        <v>3477.84</v>
      </c>
      <c r="N203" s="4">
        <f ca="1" t="shared" si="359"/>
        <v>4.3</v>
      </c>
      <c r="O203" s="4">
        <f ca="1">M203*N203</f>
        <v>14954.712</v>
      </c>
      <c r="P203" s="4"/>
      <c r="Q203" s="4"/>
      <c r="R203" s="4"/>
      <c r="S203" s="4"/>
      <c r="T203" s="4">
        <f ca="1" t="shared" si="360"/>
        <v>0</v>
      </c>
      <c r="U203" s="4">
        <f ca="1" t="shared" si="361"/>
        <v>0</v>
      </c>
      <c r="V203" s="4">
        <f ca="1" t="shared" si="362"/>
        <v>0</v>
      </c>
      <c r="W203" s="4">
        <f ca="1" t="shared" si="363"/>
        <v>0</v>
      </c>
      <c r="X203" s="4">
        <f ca="1" t="shared" si="364"/>
        <v>3477.84</v>
      </c>
      <c r="Y203" s="4">
        <f ca="1" t="shared" si="365"/>
        <v>14954.712</v>
      </c>
      <c r="Z203" s="4">
        <f ca="1" t="shared" si="366"/>
        <v>0</v>
      </c>
      <c r="AA203" s="4">
        <f ca="1" t="shared" si="367"/>
        <v>0</v>
      </c>
      <c r="AB203" s="4"/>
    </row>
    <row r="204" customHeight="1" outlineLevel="3" spans="1:28">
      <c r="A204" s="514" t="s">
        <v>2687</v>
      </c>
      <c r="B204" s="4"/>
      <c r="C204" s="510" t="s">
        <v>63</v>
      </c>
      <c r="D204" s="4" t="s">
        <v>366</v>
      </c>
      <c r="E204" s="4"/>
      <c r="F204" s="4" t="str">
        <f ca="1" t="shared" si="358"/>
        <v>m3</v>
      </c>
      <c r="G204" s="4"/>
      <c r="H204" s="4"/>
      <c r="I204" s="4"/>
      <c r="J204" s="4"/>
      <c r="K204" s="4"/>
      <c r="L204" s="517"/>
      <c r="M204" s="4">
        <v>8114.96</v>
      </c>
      <c r="N204" s="4">
        <f ca="1" t="shared" si="359"/>
        <v>3.45</v>
      </c>
      <c r="O204" s="4">
        <f ca="1">M204*N204</f>
        <v>27996.612</v>
      </c>
      <c r="P204" s="4"/>
      <c r="Q204" s="4"/>
      <c r="R204" s="4"/>
      <c r="S204" s="4"/>
      <c r="T204" s="4">
        <f ca="1" t="shared" si="360"/>
        <v>0</v>
      </c>
      <c r="U204" s="4">
        <f ca="1" t="shared" si="361"/>
        <v>0</v>
      </c>
      <c r="V204" s="4">
        <f ca="1" t="shared" si="362"/>
        <v>0</v>
      </c>
      <c r="W204" s="4">
        <f ca="1" t="shared" si="363"/>
        <v>0</v>
      </c>
      <c r="X204" s="4">
        <f ca="1" t="shared" si="364"/>
        <v>8114.96</v>
      </c>
      <c r="Y204" s="4">
        <f ca="1" t="shared" si="365"/>
        <v>27996.612</v>
      </c>
      <c r="Z204" s="4">
        <f ca="1" t="shared" si="366"/>
        <v>0</v>
      </c>
      <c r="AA204" s="4">
        <f ca="1" t="shared" si="367"/>
        <v>0</v>
      </c>
      <c r="AB204" s="4"/>
    </row>
    <row r="205" customHeight="1" outlineLevel="3" spans="1:28">
      <c r="A205" s="514" t="s">
        <v>2688</v>
      </c>
      <c r="B205" s="4"/>
      <c r="C205" s="510" t="s">
        <v>63</v>
      </c>
      <c r="D205" s="4" t="s">
        <v>729</v>
      </c>
      <c r="E205" s="4"/>
      <c r="F205" s="4" t="str">
        <f ca="1" t="shared" si="358"/>
        <v>m3</v>
      </c>
      <c r="G205" s="4"/>
      <c r="H205" s="4"/>
      <c r="I205" s="4"/>
      <c r="J205" s="4"/>
      <c r="K205" s="4"/>
      <c r="L205" s="517"/>
      <c r="M205" s="4">
        <v>8114.96</v>
      </c>
      <c r="N205" s="4">
        <f ca="1" t="shared" si="359"/>
        <v>5</v>
      </c>
      <c r="O205" s="4">
        <f ca="1">M205*N205</f>
        <v>40574.8</v>
      </c>
      <c r="P205" s="4"/>
      <c r="Q205" s="4"/>
      <c r="R205" s="4"/>
      <c r="S205" s="4"/>
      <c r="T205" s="4">
        <f ca="1" t="shared" si="360"/>
        <v>0</v>
      </c>
      <c r="U205" s="4">
        <f ca="1" t="shared" si="361"/>
        <v>0</v>
      </c>
      <c r="V205" s="4">
        <f ca="1" t="shared" si="362"/>
        <v>0</v>
      </c>
      <c r="W205" s="4">
        <f ca="1" t="shared" si="363"/>
        <v>0</v>
      </c>
      <c r="X205" s="4">
        <f ca="1" t="shared" si="364"/>
        <v>8114.96</v>
      </c>
      <c r="Y205" s="4">
        <f ca="1" t="shared" si="365"/>
        <v>40574.8</v>
      </c>
      <c r="Z205" s="4">
        <f ca="1" t="shared" si="366"/>
        <v>0</v>
      </c>
      <c r="AA205" s="4">
        <f ca="1" t="shared" si="367"/>
        <v>0</v>
      </c>
      <c r="AB205" s="4"/>
    </row>
    <row r="206" customHeight="1" outlineLevel="3" spans="1:28">
      <c r="A206" s="514" t="s">
        <v>2689</v>
      </c>
      <c r="B206" s="4"/>
      <c r="C206" s="510" t="s">
        <v>63</v>
      </c>
      <c r="D206" s="4" t="s">
        <v>677</v>
      </c>
      <c r="E206" s="4"/>
      <c r="F206" s="4" t="str">
        <f ca="1" t="shared" si="358"/>
        <v>m3</v>
      </c>
      <c r="G206" s="4"/>
      <c r="H206" s="4"/>
      <c r="I206" s="4"/>
      <c r="J206" s="4"/>
      <c r="K206" s="4"/>
      <c r="L206" s="517"/>
      <c r="M206" s="4">
        <v>3477.84</v>
      </c>
      <c r="N206" s="4">
        <f ca="1" t="shared" si="359"/>
        <v>5.82</v>
      </c>
      <c r="O206" s="4">
        <f ca="1">M206*N206</f>
        <v>20241.0288</v>
      </c>
      <c r="P206" s="4"/>
      <c r="Q206" s="4"/>
      <c r="R206" s="4"/>
      <c r="S206" s="4"/>
      <c r="T206" s="4">
        <f ca="1" t="shared" si="360"/>
        <v>0</v>
      </c>
      <c r="U206" s="4">
        <f ca="1" t="shared" si="361"/>
        <v>0</v>
      </c>
      <c r="V206" s="4">
        <f ca="1" t="shared" si="362"/>
        <v>0</v>
      </c>
      <c r="W206" s="4">
        <f ca="1" t="shared" si="363"/>
        <v>0</v>
      </c>
      <c r="X206" s="4">
        <f ca="1" t="shared" si="364"/>
        <v>3477.84</v>
      </c>
      <c r="Y206" s="4">
        <f ca="1" t="shared" si="365"/>
        <v>20241.0288</v>
      </c>
      <c r="Z206" s="4">
        <f ca="1" t="shared" si="366"/>
        <v>0</v>
      </c>
      <c r="AA206" s="4">
        <f ca="1" t="shared" si="367"/>
        <v>0</v>
      </c>
      <c r="AB206" s="4"/>
    </row>
    <row r="207" customHeight="1" outlineLevel="2" spans="1:28">
      <c r="A207" s="515" t="s">
        <v>2690</v>
      </c>
      <c r="B207" s="4"/>
      <c r="C207" s="510" t="s">
        <v>1309</v>
      </c>
      <c r="D207" s="4" t="s">
        <v>2691</v>
      </c>
      <c r="E207" s="4" t="s">
        <v>2692</v>
      </c>
      <c r="F207" s="4" t="s">
        <v>72</v>
      </c>
      <c r="G207" s="4">
        <v>7495.2</v>
      </c>
      <c r="H207" s="4">
        <v>6.10091743119266</v>
      </c>
      <c r="I207" s="4">
        <f>G207*H207</f>
        <v>45727.5963302752</v>
      </c>
      <c r="J207" s="4">
        <f t="shared" ref="J207:L207" si="369">+G207</f>
        <v>7495.2</v>
      </c>
      <c r="K207" s="4">
        <f t="shared" si="369"/>
        <v>6.10091743119266</v>
      </c>
      <c r="L207" s="517">
        <f t="shared" si="369"/>
        <v>45727.5963302752</v>
      </c>
      <c r="M207" s="4">
        <v>7495.2</v>
      </c>
      <c r="N207" s="4">
        <f ca="1">O207/M207</f>
        <v>11.73</v>
      </c>
      <c r="O207" s="4">
        <f ca="1">(+O208+O209)</f>
        <v>87918.696</v>
      </c>
      <c r="P207" s="4"/>
      <c r="Q207" s="4"/>
      <c r="R207" s="4">
        <f>+P207+J207</f>
        <v>7495.2</v>
      </c>
      <c r="S207" s="4">
        <f>+Q207+L207</f>
        <v>45727.5963302752</v>
      </c>
      <c r="T207" s="4">
        <f>IFERROR(VLOOKUP(A207,产值统计中间表!A:F,7,FALSE),0)</f>
        <v>0</v>
      </c>
      <c r="U207" s="4">
        <f>+T207*H207</f>
        <v>0</v>
      </c>
      <c r="V207" s="4">
        <f>IFERROR(VLOOKUP(A207,产值统计中间表!A:D,4,FALSE),0)</f>
        <v>0</v>
      </c>
      <c r="W207" s="4">
        <f>+V207*H207</f>
        <v>0</v>
      </c>
      <c r="X207" s="4">
        <f>+R207-V207</f>
        <v>7495.2</v>
      </c>
      <c r="Y207" s="4">
        <f>+S207-W207</f>
        <v>45727.5963302752</v>
      </c>
      <c r="Z207" s="4">
        <f>IFERROR(VLOOKUP(A207,业主统计中间表!A:D,4,FALSE),0)</f>
        <v>0</v>
      </c>
      <c r="AA207" s="4">
        <f>+Z207*H207</f>
        <v>0</v>
      </c>
      <c r="AB207" s="4"/>
    </row>
    <row r="208" customHeight="1" outlineLevel="3" spans="1:28">
      <c r="A208" s="514" t="s">
        <v>2693</v>
      </c>
      <c r="B208" s="4"/>
      <c r="C208" s="510" t="s">
        <v>63</v>
      </c>
      <c r="D208" s="4" t="s">
        <v>916</v>
      </c>
      <c r="E208" s="4"/>
      <c r="F208" s="4" t="str">
        <f ca="1" t="shared" ref="F208:F231" si="370">VLOOKUP($D208,INDIRECT($C208),2,0)</f>
        <v>m3</v>
      </c>
      <c r="G208" s="4"/>
      <c r="H208" s="4"/>
      <c r="I208" s="4"/>
      <c r="J208" s="4"/>
      <c r="K208" s="4"/>
      <c r="L208" s="517"/>
      <c r="M208" s="4">
        <v>7495.2</v>
      </c>
      <c r="N208" s="4">
        <f ca="1" t="shared" ref="N208:N231" si="371">VLOOKUP($D208,INDIRECT($C208),3,0)</f>
        <v>5.82</v>
      </c>
      <c r="O208" s="4">
        <f ca="1">M208*N208</f>
        <v>43622.064</v>
      </c>
      <c r="P208" s="4"/>
      <c r="Q208" s="4"/>
      <c r="R208" s="4"/>
      <c r="S208" s="4"/>
      <c r="T208" s="4">
        <f ca="1" t="shared" ref="T208:T231" si="372">OFFSET(T208,-RIGHT($A208,LEN($A$6)),,1,1)/OFFSET(T208,-RIGHT($A208,LEN($A$6)),-13,1,1)*$M208</f>
        <v>0</v>
      </c>
      <c r="U208" s="4">
        <f ca="1" t="shared" ref="U208:U231" si="373">+$N208*T208</f>
        <v>0</v>
      </c>
      <c r="V208" s="4">
        <f ca="1" t="shared" ref="V208:V231" si="374">OFFSET(V208,-RIGHT($A208,LEN($A$6)),,1,1)/OFFSET(V208,-RIGHT($A208,LEN($A$6)),-15,1,1)*$M208</f>
        <v>0</v>
      </c>
      <c r="W208" s="4">
        <f ca="1" t="shared" ref="W208:W231" si="375">+$N208*V208</f>
        <v>0</v>
      </c>
      <c r="X208" s="4">
        <f ca="1" t="shared" ref="X208:X231" si="376">+M208-V208</f>
        <v>7495.2</v>
      </c>
      <c r="Y208" s="4">
        <f ca="1" t="shared" ref="Y208:Y231" si="377">+O208-W208</f>
        <v>43622.064</v>
      </c>
      <c r="Z208" s="4">
        <f ca="1" t="shared" ref="Z208:Z231" si="378">OFFSET(Z208,-RIGHT($A208,LEN($A$6)),,1,1)/OFFSET(Z208,-RIGHT($A208,LEN($A$6)),-19,1,1)*$M208</f>
        <v>0</v>
      </c>
      <c r="AA208" s="4">
        <f ca="1" t="shared" ref="AA208:AA231" si="379">+$N208*Z208</f>
        <v>0</v>
      </c>
      <c r="AB208" s="4"/>
    </row>
    <row r="209" customHeight="1" outlineLevel="3" spans="1:28">
      <c r="A209" s="514" t="s">
        <v>2694</v>
      </c>
      <c r="B209" s="4"/>
      <c r="C209" s="510" t="s">
        <v>63</v>
      </c>
      <c r="D209" s="4" t="s">
        <v>801</v>
      </c>
      <c r="E209" s="4"/>
      <c r="F209" s="4" t="str">
        <f ca="1" t="shared" si="370"/>
        <v>m3</v>
      </c>
      <c r="G209" s="4"/>
      <c r="H209" s="4"/>
      <c r="I209" s="4"/>
      <c r="J209" s="4"/>
      <c r="K209" s="4"/>
      <c r="L209" s="517"/>
      <c r="M209" s="4">
        <v>7495.2</v>
      </c>
      <c r="N209" s="4">
        <f ca="1" t="shared" si="371"/>
        <v>5.91</v>
      </c>
      <c r="O209" s="4">
        <f ca="1">M209*N209</f>
        <v>44296.632</v>
      </c>
      <c r="P209" s="4"/>
      <c r="Q209" s="4"/>
      <c r="R209" s="4"/>
      <c r="S209" s="4"/>
      <c r="T209" s="4">
        <f ca="1" t="shared" si="372"/>
        <v>0</v>
      </c>
      <c r="U209" s="4">
        <f ca="1" t="shared" si="373"/>
        <v>0</v>
      </c>
      <c r="V209" s="4">
        <f ca="1" t="shared" si="374"/>
        <v>0</v>
      </c>
      <c r="W209" s="4">
        <f ca="1" t="shared" si="375"/>
        <v>0</v>
      </c>
      <c r="X209" s="4">
        <f ca="1" t="shared" si="376"/>
        <v>7495.2</v>
      </c>
      <c r="Y209" s="4">
        <f ca="1" t="shared" si="377"/>
        <v>44296.632</v>
      </c>
      <c r="Z209" s="4">
        <f ca="1" t="shared" si="378"/>
        <v>0</v>
      </c>
      <c r="AA209" s="4">
        <f ca="1" t="shared" si="379"/>
        <v>0</v>
      </c>
      <c r="AB209" s="4"/>
    </row>
    <row r="210" customHeight="1" outlineLevel="2" spans="1:28">
      <c r="A210" s="515" t="s">
        <v>2695</v>
      </c>
      <c r="B210" s="4"/>
      <c r="C210" s="510" t="s">
        <v>1309</v>
      </c>
      <c r="D210" s="4" t="s">
        <v>2696</v>
      </c>
      <c r="E210" s="4" t="s">
        <v>2697</v>
      </c>
      <c r="F210" s="4" t="s">
        <v>72</v>
      </c>
      <c r="G210" s="4">
        <v>1063.7</v>
      </c>
      <c r="H210" s="4">
        <v>1403.98165137615</v>
      </c>
      <c r="I210" s="4">
        <f>G210*H210</f>
        <v>1493415.28256881</v>
      </c>
      <c r="J210" s="4">
        <f t="shared" ref="J210:L210" si="380">+G210</f>
        <v>1063.7</v>
      </c>
      <c r="K210" s="4">
        <f t="shared" si="380"/>
        <v>1403.98165137615</v>
      </c>
      <c r="L210" s="517">
        <f t="shared" si="380"/>
        <v>1493415.28256881</v>
      </c>
      <c r="M210" s="4">
        <v>1063.7</v>
      </c>
      <c r="N210" s="4">
        <f ca="1">O210/M210</f>
        <v>903.171728870922</v>
      </c>
      <c r="O210" s="4">
        <f ca="1">(+O211+O212+O213+O214+O215+O216+O217+O218+O219+O220+O221+O222+O223+O224+O225+O226+O227+O228+O229+O230+O231)</f>
        <v>960703.768</v>
      </c>
      <c r="P210" s="4"/>
      <c r="Q210" s="4"/>
      <c r="R210" s="4">
        <f>+P210+J210</f>
        <v>1063.7</v>
      </c>
      <c r="S210" s="4">
        <f>+Q210+L210</f>
        <v>1493415.28256881</v>
      </c>
      <c r="T210" s="4">
        <f>IFERROR(VLOOKUP(A210,产值统计中间表!A:F,7,FALSE),0)</f>
        <v>0</v>
      </c>
      <c r="U210" s="4">
        <f>+T210*H210</f>
        <v>0</v>
      </c>
      <c r="V210" s="4">
        <f>IFERROR(VLOOKUP(A210,产值统计中间表!A:D,4,FALSE),0)</f>
        <v>0</v>
      </c>
      <c r="W210" s="4">
        <f>+V210*H210</f>
        <v>0</v>
      </c>
      <c r="X210" s="4">
        <f>+R210-V210</f>
        <v>1063.7</v>
      </c>
      <c r="Y210" s="4">
        <f>+S210-W210</f>
        <v>1493415.28256881</v>
      </c>
      <c r="Z210" s="4">
        <f>IFERROR(VLOOKUP(A210,业主统计中间表!A:D,4,FALSE),0)</f>
        <v>0</v>
      </c>
      <c r="AA210" s="4">
        <f>+Z210*H210</f>
        <v>0</v>
      </c>
      <c r="AB210" s="4"/>
    </row>
    <row r="211" customHeight="1" outlineLevel="3" spans="1:28">
      <c r="A211" s="514" t="s">
        <v>2698</v>
      </c>
      <c r="B211" s="4"/>
      <c r="C211" s="510" t="s">
        <v>63</v>
      </c>
      <c r="D211" s="4" t="s">
        <v>422</v>
      </c>
      <c r="E211" s="4"/>
      <c r="F211" s="4" t="str">
        <f ca="1" t="shared" si="370"/>
        <v>m3</v>
      </c>
      <c r="G211" s="4"/>
      <c r="H211" s="4"/>
      <c r="I211" s="4"/>
      <c r="J211" s="4"/>
      <c r="K211" s="4"/>
      <c r="L211" s="517"/>
      <c r="M211" s="4">
        <v>982.4</v>
      </c>
      <c r="N211" s="4">
        <f ca="1" t="shared" si="371"/>
        <v>4.3</v>
      </c>
      <c r="O211" s="4">
        <f ca="1" t="shared" ref="O211:O231" si="381">M211*N211</f>
        <v>4224.32</v>
      </c>
      <c r="P211" s="4"/>
      <c r="Q211" s="4"/>
      <c r="R211" s="4"/>
      <c r="S211" s="4"/>
      <c r="T211" s="4">
        <f ca="1" t="shared" si="372"/>
        <v>0</v>
      </c>
      <c r="U211" s="4">
        <f ca="1" t="shared" si="373"/>
        <v>0</v>
      </c>
      <c r="V211" s="4">
        <f ca="1" t="shared" si="374"/>
        <v>0</v>
      </c>
      <c r="W211" s="4">
        <f ca="1" t="shared" si="375"/>
        <v>0</v>
      </c>
      <c r="X211" s="4">
        <f ca="1" t="shared" si="376"/>
        <v>982.4</v>
      </c>
      <c r="Y211" s="4">
        <f ca="1" t="shared" si="377"/>
        <v>4224.32</v>
      </c>
      <c r="Z211" s="4">
        <f ca="1" t="shared" si="378"/>
        <v>0</v>
      </c>
      <c r="AA211" s="4">
        <f ca="1" t="shared" si="379"/>
        <v>0</v>
      </c>
      <c r="AB211" s="4"/>
    </row>
    <row r="212" customHeight="1" outlineLevel="3" spans="1:28">
      <c r="A212" s="514" t="s">
        <v>2699</v>
      </c>
      <c r="B212" s="4"/>
      <c r="C212" s="510" t="s">
        <v>63</v>
      </c>
      <c r="D212" s="4" t="s">
        <v>366</v>
      </c>
      <c r="E212" s="4"/>
      <c r="F212" s="4" t="str">
        <f ca="1" t="shared" si="370"/>
        <v>m3</v>
      </c>
      <c r="G212" s="4"/>
      <c r="H212" s="4"/>
      <c r="I212" s="4"/>
      <c r="J212" s="4"/>
      <c r="K212" s="4"/>
      <c r="L212" s="517"/>
      <c r="M212" s="4">
        <v>2202.7</v>
      </c>
      <c r="N212" s="4">
        <f ca="1" t="shared" si="371"/>
        <v>3.45</v>
      </c>
      <c r="O212" s="4">
        <f ca="1" t="shared" si="381"/>
        <v>7599.315</v>
      </c>
      <c r="P212" s="4"/>
      <c r="Q212" s="4"/>
      <c r="R212" s="4"/>
      <c r="S212" s="4"/>
      <c r="T212" s="4">
        <f ca="1" t="shared" si="372"/>
        <v>0</v>
      </c>
      <c r="U212" s="4">
        <f ca="1" t="shared" si="373"/>
        <v>0</v>
      </c>
      <c r="V212" s="4">
        <f ca="1" t="shared" si="374"/>
        <v>0</v>
      </c>
      <c r="W212" s="4">
        <f ca="1" t="shared" si="375"/>
        <v>0</v>
      </c>
      <c r="X212" s="4">
        <f ca="1" t="shared" si="376"/>
        <v>2202.7</v>
      </c>
      <c r="Y212" s="4">
        <f ca="1" t="shared" si="377"/>
        <v>7599.315</v>
      </c>
      <c r="Z212" s="4">
        <f ca="1" t="shared" si="378"/>
        <v>0</v>
      </c>
      <c r="AA212" s="4">
        <f ca="1" t="shared" si="379"/>
        <v>0</v>
      </c>
      <c r="AB212" s="4"/>
    </row>
    <row r="213" customHeight="1" outlineLevel="3" spans="1:28">
      <c r="A213" s="514" t="s">
        <v>2700</v>
      </c>
      <c r="B213" s="4"/>
      <c r="C213" s="510" t="s">
        <v>63</v>
      </c>
      <c r="D213" s="4" t="s">
        <v>729</v>
      </c>
      <c r="E213" s="4"/>
      <c r="F213" s="4" t="str">
        <f ca="1" t="shared" si="370"/>
        <v>m3</v>
      </c>
      <c r="G213" s="4"/>
      <c r="H213" s="4"/>
      <c r="I213" s="4"/>
      <c r="J213" s="4"/>
      <c r="K213" s="4"/>
      <c r="L213" s="517"/>
      <c r="M213" s="4">
        <v>2202.7</v>
      </c>
      <c r="N213" s="4">
        <f ca="1" t="shared" si="371"/>
        <v>5</v>
      </c>
      <c r="O213" s="4">
        <f ca="1" t="shared" si="381"/>
        <v>11013.5</v>
      </c>
      <c r="P213" s="4"/>
      <c r="Q213" s="4"/>
      <c r="R213" s="4"/>
      <c r="S213" s="4"/>
      <c r="T213" s="4">
        <f ca="1" t="shared" si="372"/>
        <v>0</v>
      </c>
      <c r="U213" s="4">
        <f ca="1" t="shared" si="373"/>
        <v>0</v>
      </c>
      <c r="V213" s="4">
        <f ca="1" t="shared" si="374"/>
        <v>0</v>
      </c>
      <c r="W213" s="4">
        <f ca="1" t="shared" si="375"/>
        <v>0</v>
      </c>
      <c r="X213" s="4">
        <f ca="1" t="shared" si="376"/>
        <v>2202.7</v>
      </c>
      <c r="Y213" s="4">
        <f ca="1" t="shared" si="377"/>
        <v>11013.5</v>
      </c>
      <c r="Z213" s="4">
        <f ca="1" t="shared" si="378"/>
        <v>0</v>
      </c>
      <c r="AA213" s="4">
        <f ca="1" t="shared" si="379"/>
        <v>0</v>
      </c>
      <c r="AB213" s="4"/>
    </row>
    <row r="214" customHeight="1" outlineLevel="3" spans="1:28">
      <c r="A214" s="514" t="s">
        <v>2701</v>
      </c>
      <c r="B214" s="4"/>
      <c r="C214" s="510" t="s">
        <v>63</v>
      </c>
      <c r="D214" s="4" t="s">
        <v>677</v>
      </c>
      <c r="E214" s="4"/>
      <c r="F214" s="4" t="str">
        <f ca="1" t="shared" si="370"/>
        <v>m3</v>
      </c>
      <c r="G214" s="4"/>
      <c r="H214" s="4"/>
      <c r="I214" s="4"/>
      <c r="J214" s="4"/>
      <c r="K214" s="4"/>
      <c r="L214" s="517"/>
      <c r="M214" s="4">
        <v>982.4</v>
      </c>
      <c r="N214" s="4">
        <f ca="1" t="shared" si="371"/>
        <v>5.82</v>
      </c>
      <c r="O214" s="4">
        <f ca="1" t="shared" si="381"/>
        <v>5717.568</v>
      </c>
      <c r="P214" s="4"/>
      <c r="Q214" s="4"/>
      <c r="R214" s="4"/>
      <c r="S214" s="4"/>
      <c r="T214" s="4">
        <f ca="1" t="shared" si="372"/>
        <v>0</v>
      </c>
      <c r="U214" s="4">
        <f ca="1" t="shared" si="373"/>
        <v>0</v>
      </c>
      <c r="V214" s="4">
        <f ca="1" t="shared" si="374"/>
        <v>0</v>
      </c>
      <c r="W214" s="4">
        <f ca="1" t="shared" si="375"/>
        <v>0</v>
      </c>
      <c r="X214" s="4">
        <f ca="1" t="shared" si="376"/>
        <v>982.4</v>
      </c>
      <c r="Y214" s="4">
        <f ca="1" t="shared" si="377"/>
        <v>5717.568</v>
      </c>
      <c r="Z214" s="4">
        <f ca="1" t="shared" si="378"/>
        <v>0</v>
      </c>
      <c r="AA214" s="4">
        <f ca="1" t="shared" si="379"/>
        <v>0</v>
      </c>
      <c r="AB214" s="4"/>
    </row>
    <row r="215" customHeight="1" outlineLevel="3" spans="1:28">
      <c r="A215" s="514" t="s">
        <v>2702</v>
      </c>
      <c r="B215" s="4"/>
      <c r="C215" s="510" t="s">
        <v>64</v>
      </c>
      <c r="D215" s="4" t="s">
        <v>752</v>
      </c>
      <c r="E215" s="4"/>
      <c r="F215" s="4" t="str">
        <f ca="1" t="shared" si="370"/>
        <v>m3</v>
      </c>
      <c r="G215" s="4"/>
      <c r="H215" s="4"/>
      <c r="I215" s="4"/>
      <c r="J215" s="4"/>
      <c r="K215" s="4"/>
      <c r="L215" s="517"/>
      <c r="M215" s="4">
        <v>2393.8</v>
      </c>
      <c r="N215" s="4">
        <f ca="1" t="shared" si="371"/>
        <v>30</v>
      </c>
      <c r="O215" s="4">
        <f ca="1" t="shared" si="381"/>
        <v>71814</v>
      </c>
      <c r="P215" s="4"/>
      <c r="Q215" s="4"/>
      <c r="R215" s="4"/>
      <c r="S215" s="4"/>
      <c r="T215" s="4">
        <f ca="1" t="shared" si="372"/>
        <v>0</v>
      </c>
      <c r="U215" s="4">
        <f ca="1" t="shared" si="373"/>
        <v>0</v>
      </c>
      <c r="V215" s="4">
        <f ca="1" t="shared" si="374"/>
        <v>0</v>
      </c>
      <c r="W215" s="4">
        <f ca="1" t="shared" si="375"/>
        <v>0</v>
      </c>
      <c r="X215" s="4">
        <f ca="1" t="shared" si="376"/>
        <v>2393.8</v>
      </c>
      <c r="Y215" s="4">
        <f ca="1" t="shared" si="377"/>
        <v>71814</v>
      </c>
      <c r="Z215" s="4">
        <f ca="1" t="shared" si="378"/>
        <v>0</v>
      </c>
      <c r="AA215" s="4">
        <f ca="1" t="shared" si="379"/>
        <v>0</v>
      </c>
      <c r="AB215" s="4"/>
    </row>
    <row r="216" customHeight="1" outlineLevel="3" spans="1:28">
      <c r="A216" s="514" t="s">
        <v>2703</v>
      </c>
      <c r="B216" s="4"/>
      <c r="C216" s="510" t="s">
        <v>59</v>
      </c>
      <c r="D216" s="4" t="s">
        <v>1017</v>
      </c>
      <c r="E216" s="4"/>
      <c r="F216" s="4" t="str">
        <f ca="1" t="shared" si="370"/>
        <v>m3</v>
      </c>
      <c r="G216" s="4"/>
      <c r="H216" s="4"/>
      <c r="I216" s="4"/>
      <c r="J216" s="4"/>
      <c r="K216" s="4"/>
      <c r="L216" s="517"/>
      <c r="M216" s="4">
        <v>1063.8</v>
      </c>
      <c r="N216" s="4">
        <f ca="1" t="shared" si="371"/>
        <v>0</v>
      </c>
      <c r="O216" s="4">
        <f ca="1" t="shared" si="381"/>
        <v>0</v>
      </c>
      <c r="P216" s="4"/>
      <c r="Q216" s="4"/>
      <c r="R216" s="4"/>
      <c r="S216" s="4"/>
      <c r="T216" s="4">
        <f ca="1" t="shared" si="372"/>
        <v>0</v>
      </c>
      <c r="U216" s="4">
        <f ca="1" t="shared" si="373"/>
        <v>0</v>
      </c>
      <c r="V216" s="4">
        <f ca="1" t="shared" si="374"/>
        <v>0</v>
      </c>
      <c r="W216" s="4">
        <f ca="1" t="shared" si="375"/>
        <v>0</v>
      </c>
      <c r="X216" s="4">
        <f ca="1" t="shared" si="376"/>
        <v>1063.8</v>
      </c>
      <c r="Y216" s="4">
        <f ca="1" t="shared" si="377"/>
        <v>0</v>
      </c>
      <c r="Z216" s="4">
        <f ca="1" t="shared" si="378"/>
        <v>0</v>
      </c>
      <c r="AA216" s="4">
        <f ca="1" t="shared" si="379"/>
        <v>0</v>
      </c>
      <c r="AB216" s="4"/>
    </row>
    <row r="217" customHeight="1" outlineLevel="3" spans="1:28">
      <c r="A217" s="514" t="s">
        <v>2704</v>
      </c>
      <c r="B217" s="4"/>
      <c r="C217" s="510" t="s">
        <v>59</v>
      </c>
      <c r="D217" s="4" t="s">
        <v>867</v>
      </c>
      <c r="E217" s="4"/>
      <c r="F217" s="4" t="str">
        <f ca="1" t="shared" si="370"/>
        <v>m</v>
      </c>
      <c r="G217" s="4"/>
      <c r="H217" s="4"/>
      <c r="I217" s="4"/>
      <c r="J217" s="4"/>
      <c r="K217" s="4"/>
      <c r="L217" s="517"/>
      <c r="M217" s="4">
        <v>260.9</v>
      </c>
      <c r="N217" s="4">
        <f ca="1" t="shared" si="371"/>
        <v>24.65</v>
      </c>
      <c r="O217" s="4">
        <f ca="1" t="shared" si="381"/>
        <v>6431.185</v>
      </c>
      <c r="P217" s="4"/>
      <c r="Q217" s="4"/>
      <c r="R217" s="4"/>
      <c r="S217" s="4"/>
      <c r="T217" s="4">
        <f ca="1" t="shared" si="372"/>
        <v>0</v>
      </c>
      <c r="U217" s="4">
        <f ca="1" t="shared" si="373"/>
        <v>0</v>
      </c>
      <c r="V217" s="4">
        <f ca="1" t="shared" si="374"/>
        <v>0</v>
      </c>
      <c r="W217" s="4">
        <f ca="1" t="shared" si="375"/>
        <v>0</v>
      </c>
      <c r="X217" s="4">
        <f ca="1" t="shared" si="376"/>
        <v>260.9</v>
      </c>
      <c r="Y217" s="4">
        <f ca="1" t="shared" si="377"/>
        <v>6431.185</v>
      </c>
      <c r="Z217" s="4">
        <f ca="1" t="shared" si="378"/>
        <v>0</v>
      </c>
      <c r="AA217" s="4">
        <f ca="1" t="shared" si="379"/>
        <v>0</v>
      </c>
      <c r="AB217" s="4"/>
    </row>
    <row r="218" customHeight="1" outlineLevel="3" spans="1:28">
      <c r="A218" s="514" t="s">
        <v>2705</v>
      </c>
      <c r="B218" s="4"/>
      <c r="C218" s="510" t="s">
        <v>59</v>
      </c>
      <c r="D218" s="4" t="s">
        <v>879</v>
      </c>
      <c r="E218" s="4"/>
      <c r="F218" s="4" t="str">
        <f ca="1" t="shared" si="370"/>
        <v>m2</v>
      </c>
      <c r="G218" s="4"/>
      <c r="H218" s="4"/>
      <c r="I218" s="4"/>
      <c r="J218" s="4"/>
      <c r="K218" s="4"/>
      <c r="L218" s="517"/>
      <c r="M218" s="4">
        <v>10.6</v>
      </c>
      <c r="N218" s="4">
        <f ca="1" t="shared" si="371"/>
        <v>16</v>
      </c>
      <c r="O218" s="4">
        <f ca="1" t="shared" si="381"/>
        <v>169.6</v>
      </c>
      <c r="P218" s="4"/>
      <c r="Q218" s="4"/>
      <c r="R218" s="4"/>
      <c r="S218" s="4"/>
      <c r="T218" s="4">
        <f ca="1" t="shared" si="372"/>
        <v>0</v>
      </c>
      <c r="U218" s="4">
        <f ca="1" t="shared" si="373"/>
        <v>0</v>
      </c>
      <c r="V218" s="4">
        <f ca="1" t="shared" si="374"/>
        <v>0</v>
      </c>
      <c r="W218" s="4">
        <f ca="1" t="shared" si="375"/>
        <v>0</v>
      </c>
      <c r="X218" s="4">
        <f ca="1" t="shared" si="376"/>
        <v>10.6</v>
      </c>
      <c r="Y218" s="4">
        <f ca="1" t="shared" si="377"/>
        <v>169.6</v>
      </c>
      <c r="Z218" s="4">
        <f ca="1" t="shared" si="378"/>
        <v>0</v>
      </c>
      <c r="AA218" s="4">
        <f ca="1" t="shared" si="379"/>
        <v>0</v>
      </c>
      <c r="AB218" s="4"/>
    </row>
    <row r="219" customHeight="1" outlineLevel="3" spans="1:28">
      <c r="A219" s="514" t="s">
        <v>2706</v>
      </c>
      <c r="B219" s="4"/>
      <c r="C219" s="510" t="s">
        <v>59</v>
      </c>
      <c r="D219" s="4" t="s">
        <v>870</v>
      </c>
      <c r="E219" s="4" t="s">
        <v>2707</v>
      </c>
      <c r="F219" s="4" t="str">
        <f ca="1" t="shared" si="370"/>
        <v>m3</v>
      </c>
      <c r="G219" s="4"/>
      <c r="H219" s="4"/>
      <c r="I219" s="4"/>
      <c r="J219" s="4"/>
      <c r="K219" s="4"/>
      <c r="L219" s="517"/>
      <c r="M219" s="4">
        <v>1087.49</v>
      </c>
      <c r="N219" s="4">
        <f ca="1" t="shared" si="371"/>
        <v>130</v>
      </c>
      <c r="O219" s="4">
        <f ca="1" t="shared" si="381"/>
        <v>141373.7</v>
      </c>
      <c r="P219" s="4"/>
      <c r="Q219" s="4"/>
      <c r="R219" s="4"/>
      <c r="S219" s="4"/>
      <c r="T219" s="4">
        <f ca="1" t="shared" si="372"/>
        <v>0</v>
      </c>
      <c r="U219" s="4">
        <f ca="1" t="shared" si="373"/>
        <v>0</v>
      </c>
      <c r="V219" s="4">
        <f ca="1" t="shared" si="374"/>
        <v>0</v>
      </c>
      <c r="W219" s="4">
        <f ca="1" t="shared" si="375"/>
        <v>0</v>
      </c>
      <c r="X219" s="4">
        <f ca="1" t="shared" si="376"/>
        <v>1087.49</v>
      </c>
      <c r="Y219" s="4">
        <f ca="1" t="shared" si="377"/>
        <v>141373.7</v>
      </c>
      <c r="Z219" s="4">
        <f ca="1" t="shared" si="378"/>
        <v>0</v>
      </c>
      <c r="AA219" s="4">
        <f ca="1" t="shared" si="379"/>
        <v>0</v>
      </c>
      <c r="AB219" s="4"/>
    </row>
    <row r="220" customHeight="1" outlineLevel="3" spans="1:28">
      <c r="A220" s="514" t="s">
        <v>2708</v>
      </c>
      <c r="B220" s="4"/>
      <c r="C220" s="510" t="s">
        <v>64</v>
      </c>
      <c r="D220" s="4" t="s">
        <v>325</v>
      </c>
      <c r="E220" s="4"/>
      <c r="F220" s="4" t="str">
        <f ca="1" t="shared" si="370"/>
        <v>m3</v>
      </c>
      <c r="G220" s="4"/>
      <c r="H220" s="4"/>
      <c r="I220" s="4"/>
      <c r="J220" s="4"/>
      <c r="K220" s="4"/>
      <c r="L220" s="517"/>
      <c r="M220" s="4">
        <v>2142.7</v>
      </c>
      <c r="N220" s="4">
        <f ca="1" t="shared" si="371"/>
        <v>50</v>
      </c>
      <c r="O220" s="4">
        <f ca="1" t="shared" si="381"/>
        <v>107135</v>
      </c>
      <c r="P220" s="4"/>
      <c r="Q220" s="4"/>
      <c r="R220" s="4"/>
      <c r="S220" s="4"/>
      <c r="T220" s="4">
        <f ca="1" t="shared" si="372"/>
        <v>0</v>
      </c>
      <c r="U220" s="4">
        <f ca="1" t="shared" si="373"/>
        <v>0</v>
      </c>
      <c r="V220" s="4">
        <f ca="1" t="shared" si="374"/>
        <v>0</v>
      </c>
      <c r="W220" s="4">
        <f ca="1" t="shared" si="375"/>
        <v>0</v>
      </c>
      <c r="X220" s="4">
        <f ca="1" t="shared" si="376"/>
        <v>2142.7</v>
      </c>
      <c r="Y220" s="4">
        <f ca="1" t="shared" si="377"/>
        <v>107135</v>
      </c>
      <c r="Z220" s="4">
        <f ca="1" t="shared" si="378"/>
        <v>0</v>
      </c>
      <c r="AA220" s="4">
        <f ca="1" t="shared" si="379"/>
        <v>0</v>
      </c>
      <c r="AB220" s="4"/>
    </row>
    <row r="221" customHeight="1" outlineLevel="3" spans="1:28">
      <c r="A221" s="514" t="s">
        <v>2709</v>
      </c>
      <c r="B221" s="4"/>
      <c r="C221" s="510" t="s">
        <v>59</v>
      </c>
      <c r="D221" s="4" t="s">
        <v>873</v>
      </c>
      <c r="E221" s="4"/>
      <c r="F221" s="4" t="str">
        <f ca="1" t="shared" si="370"/>
        <v>m3</v>
      </c>
      <c r="G221" s="4"/>
      <c r="H221" s="4"/>
      <c r="I221" s="4"/>
      <c r="J221" s="4"/>
      <c r="K221" s="4"/>
      <c r="L221" s="517"/>
      <c r="M221" s="4">
        <v>196</v>
      </c>
      <c r="N221" s="4">
        <f ca="1" t="shared" si="371"/>
        <v>300</v>
      </c>
      <c r="O221" s="4">
        <f ca="1" t="shared" si="381"/>
        <v>58800</v>
      </c>
      <c r="P221" s="4"/>
      <c r="Q221" s="4"/>
      <c r="R221" s="4"/>
      <c r="S221" s="4"/>
      <c r="T221" s="4">
        <f ca="1" t="shared" si="372"/>
        <v>0</v>
      </c>
      <c r="U221" s="4">
        <f ca="1" t="shared" si="373"/>
        <v>0</v>
      </c>
      <c r="V221" s="4">
        <f ca="1" t="shared" si="374"/>
        <v>0</v>
      </c>
      <c r="W221" s="4">
        <f ca="1" t="shared" si="375"/>
        <v>0</v>
      </c>
      <c r="X221" s="4">
        <f ca="1" t="shared" si="376"/>
        <v>196</v>
      </c>
      <c r="Y221" s="4">
        <f ca="1" t="shared" si="377"/>
        <v>58800</v>
      </c>
      <c r="Z221" s="4">
        <f ca="1" t="shared" si="378"/>
        <v>0</v>
      </c>
      <c r="AA221" s="4">
        <f ca="1" t="shared" si="379"/>
        <v>0</v>
      </c>
      <c r="AB221" s="4"/>
    </row>
    <row r="222" customHeight="1" outlineLevel="3" spans="1:28">
      <c r="A222" s="514" t="s">
        <v>2710</v>
      </c>
      <c r="B222" s="4"/>
      <c r="C222" s="510" t="s">
        <v>59</v>
      </c>
      <c r="D222" s="4" t="s">
        <v>876</v>
      </c>
      <c r="E222" s="4"/>
      <c r="F222" s="4" t="str">
        <f ca="1" t="shared" si="370"/>
        <v>m3</v>
      </c>
      <c r="G222" s="4"/>
      <c r="H222" s="4"/>
      <c r="I222" s="4"/>
      <c r="J222" s="4"/>
      <c r="K222" s="4"/>
      <c r="L222" s="517"/>
      <c r="M222" s="4">
        <v>1134</v>
      </c>
      <c r="N222" s="4">
        <f ca="1" t="shared" si="371"/>
        <v>330</v>
      </c>
      <c r="O222" s="4">
        <f ca="1" t="shared" si="381"/>
        <v>374220</v>
      </c>
      <c r="P222" s="4"/>
      <c r="Q222" s="4"/>
      <c r="R222" s="4"/>
      <c r="S222" s="4"/>
      <c r="T222" s="4">
        <f ca="1" t="shared" si="372"/>
        <v>0</v>
      </c>
      <c r="U222" s="4">
        <f ca="1" t="shared" si="373"/>
        <v>0</v>
      </c>
      <c r="V222" s="4">
        <f ca="1" t="shared" si="374"/>
        <v>0</v>
      </c>
      <c r="W222" s="4">
        <f ca="1" t="shared" si="375"/>
        <v>0</v>
      </c>
      <c r="X222" s="4">
        <f ca="1" t="shared" si="376"/>
        <v>1134</v>
      </c>
      <c r="Y222" s="4">
        <f ca="1" t="shared" si="377"/>
        <v>374220</v>
      </c>
      <c r="Z222" s="4">
        <f ca="1" t="shared" si="378"/>
        <v>0</v>
      </c>
      <c r="AA222" s="4">
        <f ca="1" t="shared" si="379"/>
        <v>0</v>
      </c>
      <c r="AB222" s="4"/>
    </row>
    <row r="223" customHeight="1" outlineLevel="3" spans="1:28">
      <c r="A223" s="514" t="s">
        <v>2711</v>
      </c>
      <c r="B223" s="4"/>
      <c r="C223" s="510" t="s">
        <v>59</v>
      </c>
      <c r="D223" s="4" t="s">
        <v>879</v>
      </c>
      <c r="E223" s="4"/>
      <c r="F223" s="4" t="str">
        <f ca="1" t="shared" si="370"/>
        <v>m2</v>
      </c>
      <c r="G223" s="4"/>
      <c r="H223" s="4"/>
      <c r="I223" s="4"/>
      <c r="J223" s="4"/>
      <c r="K223" s="4"/>
      <c r="L223" s="517"/>
      <c r="M223" s="4">
        <v>245</v>
      </c>
      <c r="N223" s="4">
        <f ca="1" t="shared" si="371"/>
        <v>16</v>
      </c>
      <c r="O223" s="4">
        <f ca="1" t="shared" si="381"/>
        <v>3920</v>
      </c>
      <c r="P223" s="4"/>
      <c r="Q223" s="4"/>
      <c r="R223" s="4"/>
      <c r="S223" s="4"/>
      <c r="T223" s="4">
        <f ca="1" t="shared" si="372"/>
        <v>0</v>
      </c>
      <c r="U223" s="4">
        <f ca="1" t="shared" si="373"/>
        <v>0</v>
      </c>
      <c r="V223" s="4">
        <f ca="1" t="shared" si="374"/>
        <v>0</v>
      </c>
      <c r="W223" s="4">
        <f ca="1" t="shared" si="375"/>
        <v>0</v>
      </c>
      <c r="X223" s="4">
        <f ca="1" t="shared" si="376"/>
        <v>245</v>
      </c>
      <c r="Y223" s="4">
        <f ca="1" t="shared" si="377"/>
        <v>3920</v>
      </c>
      <c r="Z223" s="4">
        <f ca="1" t="shared" si="378"/>
        <v>0</v>
      </c>
      <c r="AA223" s="4">
        <f ca="1" t="shared" si="379"/>
        <v>0</v>
      </c>
      <c r="AB223" s="4"/>
    </row>
    <row r="224" customHeight="1" outlineLevel="3" spans="1:28">
      <c r="A224" s="514" t="s">
        <v>2712</v>
      </c>
      <c r="B224" s="4"/>
      <c r="C224" s="510" t="s">
        <v>59</v>
      </c>
      <c r="D224" s="4" t="s">
        <v>882</v>
      </c>
      <c r="E224" s="4"/>
      <c r="F224" s="4" t="str">
        <f ca="1" t="shared" si="370"/>
        <v>m2</v>
      </c>
      <c r="G224" s="4"/>
      <c r="H224" s="4"/>
      <c r="I224" s="4"/>
      <c r="J224" s="4"/>
      <c r="K224" s="4"/>
      <c r="L224" s="517"/>
      <c r="M224" s="4">
        <v>611</v>
      </c>
      <c r="N224" s="4">
        <f ca="1" t="shared" si="371"/>
        <v>15</v>
      </c>
      <c r="O224" s="4">
        <f ca="1" t="shared" si="381"/>
        <v>9165</v>
      </c>
      <c r="P224" s="4"/>
      <c r="Q224" s="4"/>
      <c r="R224" s="4"/>
      <c r="S224" s="4"/>
      <c r="T224" s="4">
        <f ca="1" t="shared" si="372"/>
        <v>0</v>
      </c>
      <c r="U224" s="4">
        <f ca="1" t="shared" si="373"/>
        <v>0</v>
      </c>
      <c r="V224" s="4">
        <f ca="1" t="shared" si="374"/>
        <v>0</v>
      </c>
      <c r="W224" s="4">
        <f ca="1" t="shared" si="375"/>
        <v>0</v>
      </c>
      <c r="X224" s="4">
        <f ca="1" t="shared" si="376"/>
        <v>611</v>
      </c>
      <c r="Y224" s="4">
        <f ca="1" t="shared" si="377"/>
        <v>9165</v>
      </c>
      <c r="Z224" s="4">
        <f ca="1" t="shared" si="378"/>
        <v>0</v>
      </c>
      <c r="AA224" s="4">
        <f ca="1" t="shared" si="379"/>
        <v>0</v>
      </c>
      <c r="AB224" s="4"/>
    </row>
    <row r="225" customHeight="1" outlineLevel="3" spans="1:28">
      <c r="A225" s="514" t="s">
        <v>2713</v>
      </c>
      <c r="B225" s="4"/>
      <c r="C225" s="510" t="s">
        <v>59</v>
      </c>
      <c r="D225" s="4" t="s">
        <v>978</v>
      </c>
      <c r="E225" s="4" t="str">
        <f ca="1">"含钢量："&amp;ROUND($M$225/$G$210,3)&amp;$F$225&amp;"/"&amp;$F$210</f>
        <v>含钢量：0.008t/m3</v>
      </c>
      <c r="F225" s="4" t="str">
        <f ca="1" t="shared" si="370"/>
        <v>t</v>
      </c>
      <c r="G225" s="4"/>
      <c r="H225" s="4"/>
      <c r="I225" s="4"/>
      <c r="J225" s="4"/>
      <c r="K225" s="4"/>
      <c r="L225" s="517"/>
      <c r="M225" s="4">
        <v>8.77045</v>
      </c>
      <c r="N225" s="4">
        <f ca="1" t="shared" si="371"/>
        <v>0</v>
      </c>
      <c r="O225" s="4">
        <f ca="1" t="shared" si="381"/>
        <v>0</v>
      </c>
      <c r="P225" s="4"/>
      <c r="Q225" s="4"/>
      <c r="R225" s="4"/>
      <c r="S225" s="4"/>
      <c r="T225" s="4">
        <f ca="1" t="shared" si="372"/>
        <v>0</v>
      </c>
      <c r="U225" s="4">
        <f ca="1" t="shared" si="373"/>
        <v>0</v>
      </c>
      <c r="V225" s="4">
        <f ca="1" t="shared" si="374"/>
        <v>0</v>
      </c>
      <c r="W225" s="4">
        <f ca="1" t="shared" si="375"/>
        <v>0</v>
      </c>
      <c r="X225" s="4">
        <f ca="1" t="shared" si="376"/>
        <v>8.77045</v>
      </c>
      <c r="Y225" s="4">
        <f ca="1" t="shared" si="377"/>
        <v>0</v>
      </c>
      <c r="Z225" s="4">
        <f ca="1" t="shared" si="378"/>
        <v>0</v>
      </c>
      <c r="AA225" s="4">
        <f ca="1" t="shared" si="379"/>
        <v>0</v>
      </c>
      <c r="AB225" s="4"/>
    </row>
    <row r="226" customHeight="1" outlineLevel="3" spans="1:28">
      <c r="A226" s="514" t="s">
        <v>2714</v>
      </c>
      <c r="B226" s="4"/>
      <c r="C226" s="510" t="s">
        <v>65</v>
      </c>
      <c r="D226" s="4" t="s">
        <v>659</v>
      </c>
      <c r="E226" s="4"/>
      <c r="F226" s="4" t="str">
        <f ca="1" t="shared" si="370"/>
        <v>m</v>
      </c>
      <c r="G226" s="4"/>
      <c r="H226" s="4"/>
      <c r="I226" s="4"/>
      <c r="J226" s="4"/>
      <c r="K226" s="4"/>
      <c r="L226" s="517"/>
      <c r="M226" s="4">
        <v>99.9</v>
      </c>
      <c r="N226" s="4">
        <f ca="1" t="shared" si="371"/>
        <v>40</v>
      </c>
      <c r="O226" s="4">
        <f ca="1" t="shared" si="381"/>
        <v>3996</v>
      </c>
      <c r="P226" s="4"/>
      <c r="Q226" s="4"/>
      <c r="R226" s="4"/>
      <c r="S226" s="4"/>
      <c r="T226" s="4">
        <f ca="1" t="shared" si="372"/>
        <v>0</v>
      </c>
      <c r="U226" s="4">
        <f ca="1" t="shared" si="373"/>
        <v>0</v>
      </c>
      <c r="V226" s="4">
        <f ca="1" t="shared" si="374"/>
        <v>0</v>
      </c>
      <c r="W226" s="4">
        <f ca="1" t="shared" si="375"/>
        <v>0</v>
      </c>
      <c r="X226" s="4">
        <f ca="1" t="shared" si="376"/>
        <v>99.9</v>
      </c>
      <c r="Y226" s="4">
        <f ca="1" t="shared" si="377"/>
        <v>3996</v>
      </c>
      <c r="Z226" s="4">
        <f ca="1" t="shared" si="378"/>
        <v>0</v>
      </c>
      <c r="AA226" s="4">
        <f ca="1" t="shared" si="379"/>
        <v>0</v>
      </c>
      <c r="AB226" s="4"/>
    </row>
    <row r="227" customHeight="1" outlineLevel="3" spans="1:28">
      <c r="A227" s="514" t="s">
        <v>2715</v>
      </c>
      <c r="B227" s="4"/>
      <c r="C227" s="510" t="s">
        <v>64</v>
      </c>
      <c r="D227" s="4" t="s">
        <v>262</v>
      </c>
      <c r="E227" s="4"/>
      <c r="F227" s="4" t="str">
        <f ca="1" t="shared" si="370"/>
        <v>m2</v>
      </c>
      <c r="G227" s="4"/>
      <c r="H227" s="4"/>
      <c r="I227" s="4"/>
      <c r="J227" s="4"/>
      <c r="K227" s="4"/>
      <c r="L227" s="517"/>
      <c r="M227" s="4">
        <v>1081</v>
      </c>
      <c r="N227" s="4">
        <f ca="1" t="shared" si="371"/>
        <v>55</v>
      </c>
      <c r="O227" s="4">
        <f ca="1" t="shared" si="381"/>
        <v>59455</v>
      </c>
      <c r="P227" s="4"/>
      <c r="Q227" s="4"/>
      <c r="R227" s="4"/>
      <c r="S227" s="4"/>
      <c r="T227" s="4">
        <f ca="1" t="shared" si="372"/>
        <v>0</v>
      </c>
      <c r="U227" s="4">
        <f ca="1" t="shared" si="373"/>
        <v>0</v>
      </c>
      <c r="V227" s="4">
        <f ca="1" t="shared" si="374"/>
        <v>0</v>
      </c>
      <c r="W227" s="4">
        <f ca="1" t="shared" si="375"/>
        <v>0</v>
      </c>
      <c r="X227" s="4">
        <f ca="1" t="shared" si="376"/>
        <v>1081</v>
      </c>
      <c r="Y227" s="4">
        <f ca="1" t="shared" si="377"/>
        <v>59455</v>
      </c>
      <c r="Z227" s="4">
        <f ca="1" t="shared" si="378"/>
        <v>0</v>
      </c>
      <c r="AA227" s="4">
        <f ca="1" t="shared" si="379"/>
        <v>0</v>
      </c>
      <c r="AB227" s="4"/>
    </row>
    <row r="228" customHeight="1" outlineLevel="3" spans="1:28">
      <c r="A228" s="514" t="s">
        <v>2716</v>
      </c>
      <c r="B228" s="4"/>
      <c r="C228" s="510" t="s">
        <v>64</v>
      </c>
      <c r="D228" s="4" t="s">
        <v>296</v>
      </c>
      <c r="E228" s="4"/>
      <c r="F228" s="4" t="str">
        <f ca="1" t="shared" si="370"/>
        <v>t</v>
      </c>
      <c r="G228" s="4"/>
      <c r="H228" s="4"/>
      <c r="I228" s="4"/>
      <c r="J228" s="4"/>
      <c r="K228" s="4"/>
      <c r="L228" s="517"/>
      <c r="M228" s="4">
        <v>8.515</v>
      </c>
      <c r="N228" s="4">
        <f ca="1" t="shared" si="371"/>
        <v>700</v>
      </c>
      <c r="O228" s="4">
        <f ca="1" t="shared" si="381"/>
        <v>5960.5</v>
      </c>
      <c r="P228" s="4"/>
      <c r="Q228" s="4"/>
      <c r="R228" s="4"/>
      <c r="S228" s="4"/>
      <c r="T228" s="4">
        <f ca="1" t="shared" si="372"/>
        <v>0</v>
      </c>
      <c r="U228" s="4">
        <f ca="1" t="shared" si="373"/>
        <v>0</v>
      </c>
      <c r="V228" s="4">
        <f ca="1" t="shared" si="374"/>
        <v>0</v>
      </c>
      <c r="W228" s="4">
        <f ca="1" t="shared" si="375"/>
        <v>0</v>
      </c>
      <c r="X228" s="4">
        <f ca="1" t="shared" si="376"/>
        <v>8.515</v>
      </c>
      <c r="Y228" s="4">
        <f ca="1" t="shared" si="377"/>
        <v>5960.5</v>
      </c>
      <c r="Z228" s="4">
        <f ca="1" t="shared" si="378"/>
        <v>0</v>
      </c>
      <c r="AA228" s="4">
        <f ca="1" t="shared" si="379"/>
        <v>0</v>
      </c>
      <c r="AB228" s="4"/>
    </row>
    <row r="229" customHeight="1" outlineLevel="3" spans="1:28">
      <c r="A229" s="514" t="s">
        <v>2717</v>
      </c>
      <c r="B229" s="4"/>
      <c r="C229" s="510" t="s">
        <v>64</v>
      </c>
      <c r="D229" s="4" t="s">
        <v>735</v>
      </c>
      <c r="E229" s="4" t="s">
        <v>2718</v>
      </c>
      <c r="F229" s="4" t="str">
        <f ca="1" t="shared" si="370"/>
        <v>m2</v>
      </c>
      <c r="G229" s="4"/>
      <c r="H229" s="4"/>
      <c r="I229" s="4"/>
      <c r="J229" s="4"/>
      <c r="K229" s="4"/>
      <c r="L229" s="517"/>
      <c r="M229" s="4">
        <v>866.6</v>
      </c>
      <c r="N229" s="4">
        <f ca="1" t="shared" si="371"/>
        <v>32.8</v>
      </c>
      <c r="O229" s="4">
        <f ca="1" t="shared" si="381"/>
        <v>28424.48</v>
      </c>
      <c r="P229" s="4"/>
      <c r="Q229" s="4"/>
      <c r="R229" s="4"/>
      <c r="S229" s="4"/>
      <c r="T229" s="4">
        <f ca="1" t="shared" si="372"/>
        <v>0</v>
      </c>
      <c r="U229" s="4">
        <f ca="1" t="shared" si="373"/>
        <v>0</v>
      </c>
      <c r="V229" s="4">
        <f ca="1" t="shared" si="374"/>
        <v>0</v>
      </c>
      <c r="W229" s="4">
        <f ca="1" t="shared" si="375"/>
        <v>0</v>
      </c>
      <c r="X229" s="4">
        <f ca="1" t="shared" si="376"/>
        <v>866.6</v>
      </c>
      <c r="Y229" s="4">
        <f ca="1" t="shared" si="377"/>
        <v>28424.48</v>
      </c>
      <c r="Z229" s="4">
        <f ca="1" t="shared" si="378"/>
        <v>0</v>
      </c>
      <c r="AA229" s="4">
        <f ca="1" t="shared" si="379"/>
        <v>0</v>
      </c>
      <c r="AB229" s="4"/>
    </row>
    <row r="230" customHeight="1" outlineLevel="3" spans="1:28">
      <c r="A230" s="514" t="s">
        <v>2719</v>
      </c>
      <c r="B230" s="4"/>
      <c r="C230" s="510" t="s">
        <v>63</v>
      </c>
      <c r="D230" s="4" t="s">
        <v>1199</v>
      </c>
      <c r="E230" s="4"/>
      <c r="F230" s="4" t="str">
        <f ca="1" t="shared" si="370"/>
        <v>m3</v>
      </c>
      <c r="G230" s="4"/>
      <c r="H230" s="4"/>
      <c r="I230" s="4"/>
      <c r="J230" s="4"/>
      <c r="K230" s="4"/>
      <c r="L230" s="517"/>
      <c r="M230" s="4">
        <v>1048.7</v>
      </c>
      <c r="N230" s="4">
        <f ca="1" t="shared" si="371"/>
        <v>18</v>
      </c>
      <c r="O230" s="4">
        <f ca="1" t="shared" si="381"/>
        <v>18876.6</v>
      </c>
      <c r="P230" s="4"/>
      <c r="Q230" s="4"/>
      <c r="R230" s="4"/>
      <c r="S230" s="4"/>
      <c r="T230" s="4">
        <f ca="1" t="shared" si="372"/>
        <v>0</v>
      </c>
      <c r="U230" s="4">
        <f ca="1" t="shared" si="373"/>
        <v>0</v>
      </c>
      <c r="V230" s="4">
        <f ca="1" t="shared" si="374"/>
        <v>0</v>
      </c>
      <c r="W230" s="4">
        <f ca="1" t="shared" si="375"/>
        <v>0</v>
      </c>
      <c r="X230" s="4">
        <f ca="1" t="shared" si="376"/>
        <v>1048.7</v>
      </c>
      <c r="Y230" s="4">
        <f ca="1" t="shared" si="377"/>
        <v>18876.6</v>
      </c>
      <c r="Z230" s="4">
        <f ca="1" t="shared" si="378"/>
        <v>0</v>
      </c>
      <c r="AA230" s="4">
        <f ca="1" t="shared" si="379"/>
        <v>0</v>
      </c>
      <c r="AB230" s="4"/>
    </row>
    <row r="231" customHeight="1" outlineLevel="3" spans="1:28">
      <c r="A231" s="514" t="s">
        <v>2720</v>
      </c>
      <c r="B231" s="4"/>
      <c r="C231" s="510" t="s">
        <v>64</v>
      </c>
      <c r="D231" s="4" t="s">
        <v>312</v>
      </c>
      <c r="E231" s="4"/>
      <c r="F231" s="4" t="str">
        <f ca="1" t="shared" si="370"/>
        <v>m3</v>
      </c>
      <c r="G231" s="4"/>
      <c r="H231" s="4"/>
      <c r="I231" s="4"/>
      <c r="J231" s="4"/>
      <c r="K231" s="4"/>
      <c r="L231" s="517"/>
      <c r="M231" s="4">
        <v>353.4</v>
      </c>
      <c r="N231" s="4">
        <f ca="1" t="shared" si="371"/>
        <v>120</v>
      </c>
      <c r="O231" s="4">
        <f ca="1" t="shared" si="381"/>
        <v>42408</v>
      </c>
      <c r="P231" s="4"/>
      <c r="Q231" s="4"/>
      <c r="R231" s="4"/>
      <c r="S231" s="4"/>
      <c r="T231" s="4">
        <f ca="1" t="shared" si="372"/>
        <v>0</v>
      </c>
      <c r="U231" s="4">
        <f ca="1" t="shared" si="373"/>
        <v>0</v>
      </c>
      <c r="V231" s="4">
        <f ca="1" t="shared" si="374"/>
        <v>0</v>
      </c>
      <c r="W231" s="4">
        <f ca="1" t="shared" si="375"/>
        <v>0</v>
      </c>
      <c r="X231" s="4">
        <f ca="1" t="shared" si="376"/>
        <v>353.4</v>
      </c>
      <c r="Y231" s="4">
        <f ca="1" t="shared" si="377"/>
        <v>42408</v>
      </c>
      <c r="Z231" s="4">
        <f ca="1" t="shared" si="378"/>
        <v>0</v>
      </c>
      <c r="AA231" s="4">
        <f ca="1" t="shared" si="379"/>
        <v>0</v>
      </c>
      <c r="AB231" s="4"/>
    </row>
    <row r="232" customHeight="1" outlineLevel="1" spans="1:28">
      <c r="A232" s="518" t="s">
        <v>1332</v>
      </c>
      <c r="B232" s="4"/>
      <c r="C232" s="510" t="s">
        <v>60</v>
      </c>
      <c r="D232" s="4" t="s">
        <v>2721</v>
      </c>
      <c r="E232" s="4"/>
      <c r="F232" s="4"/>
      <c r="G232" s="4"/>
      <c r="H232" s="4"/>
      <c r="I232" s="4">
        <f>(+I233+I243+I250+I256+I262+I268+I283+I287+I293+I299+I305+I310+I316+I321+I327+I329+I331+I334+I337+I340+I343+I346+I349+I352+I358+I361+I365+I368+I371+I374+I379+I384+I393+I395+I397+I399+I401+I406+I409)</f>
        <v>35887541.2334862</v>
      </c>
      <c r="J232" s="4"/>
      <c r="K232" s="4"/>
      <c r="L232" s="517">
        <f>(+L233+L243+L250+L256+L262+L268+L283+L287+L293+L299+L305+L310+L316+L321+L327+L329+L331+L334+L337+L340+L343+L346+L349+L352+L358+L361+L365+L368+L371+L374+L379+L384+L393+L395+L397+L399+L401+L406+L409)</f>
        <v>35887541.2334862</v>
      </c>
      <c r="M232" s="4"/>
      <c r="N232" s="4"/>
      <c r="O232" s="4">
        <f ca="1">(+O233+O243+O250+O256+O262+O268+O283+O287+O293+O299+O305+O310+O316+O321+O327+O329+O331+O334+O337+O340+O343+O346+O349+O352+O358+O361+O365+O368+O371+O374+O379+O384+O393+O395+O397+O399+O401+O406+O409)</f>
        <v>47475851.1770761</v>
      </c>
      <c r="P232" s="4"/>
      <c r="Q232" s="4"/>
      <c r="R232" s="4"/>
      <c r="S232" s="4"/>
      <c r="T232" s="4"/>
      <c r="U232" s="4"/>
      <c r="V232" s="4"/>
      <c r="W232" s="4"/>
      <c r="X232" s="4"/>
      <c r="Y232" s="4"/>
      <c r="Z232" s="4"/>
      <c r="AA232" s="4"/>
      <c r="AB232" s="4"/>
    </row>
    <row r="233" customHeight="1" outlineLevel="2" spans="1:28">
      <c r="A233" s="515" t="s">
        <v>1334</v>
      </c>
      <c r="B233" s="4"/>
      <c r="C233" s="510" t="s">
        <v>1309</v>
      </c>
      <c r="D233" s="4" t="s">
        <v>1364</v>
      </c>
      <c r="E233" s="4" t="s">
        <v>1365</v>
      </c>
      <c r="F233" s="4" t="s">
        <v>72</v>
      </c>
      <c r="G233" s="4">
        <v>3061.56</v>
      </c>
      <c r="H233" s="4">
        <v>1383.65137614679</v>
      </c>
      <c r="I233" s="4">
        <f>G233*H233</f>
        <v>4236131.70715597</v>
      </c>
      <c r="J233" s="4">
        <f t="shared" ref="J233:L233" si="382">+G233</f>
        <v>3061.56</v>
      </c>
      <c r="K233" s="4">
        <f t="shared" si="382"/>
        <v>1383.65137614679</v>
      </c>
      <c r="L233" s="517">
        <f t="shared" si="382"/>
        <v>4236131.70715597</v>
      </c>
      <c r="M233" s="4">
        <v>3061.56</v>
      </c>
      <c r="N233" s="4">
        <f ca="1">O233/M233</f>
        <v>4537.64007725243</v>
      </c>
      <c r="O233" s="4">
        <f ca="1">(+O234+O235+O236+O237+O238+O239+O240+O241+O242)</f>
        <v>13892257.3549129</v>
      </c>
      <c r="P233" s="4"/>
      <c r="Q233" s="4"/>
      <c r="R233" s="4">
        <f>+P233+J233</f>
        <v>3061.56</v>
      </c>
      <c r="S233" s="4">
        <f>+Q233+L233</f>
        <v>4236131.70715597</v>
      </c>
      <c r="T233" s="4">
        <f>IFERROR(VLOOKUP(A233,产值统计中间表!A:F,7,FALSE),0)</f>
        <v>0</v>
      </c>
      <c r="U233" s="4">
        <f>+T233*H233</f>
        <v>0</v>
      </c>
      <c r="V233" s="4">
        <f>IFERROR(VLOOKUP(A233,产值统计中间表!A:D,4,FALSE),0)</f>
        <v>0</v>
      </c>
      <c r="W233" s="4">
        <f>+V233*H233</f>
        <v>0</v>
      </c>
      <c r="X233" s="4">
        <f>+R233-V233</f>
        <v>3061.56</v>
      </c>
      <c r="Y233" s="4">
        <f>+S233-W233</f>
        <v>4236131.70715597</v>
      </c>
      <c r="Z233" s="4">
        <f>IFERROR(VLOOKUP(A233,业主统计中间表!A:D,4,FALSE),0)</f>
        <v>0</v>
      </c>
      <c r="AA233" s="4">
        <f>+Z233*H233</f>
        <v>0</v>
      </c>
      <c r="AB233" s="4"/>
    </row>
    <row r="234" customHeight="1" outlineLevel="3" spans="1:28">
      <c r="A234" s="514" t="s">
        <v>1336</v>
      </c>
      <c r="B234" s="4"/>
      <c r="C234" s="510" t="s">
        <v>65</v>
      </c>
      <c r="D234" s="4" t="s">
        <v>687</v>
      </c>
      <c r="E234" s="4"/>
      <c r="F234" s="4" t="str">
        <f ca="1" t="shared" ref="F234:F242" si="383">VLOOKUP($D234,INDIRECT($C234),2,0)</f>
        <v>m³</v>
      </c>
      <c r="G234" s="4"/>
      <c r="H234" s="4"/>
      <c r="I234" s="4"/>
      <c r="J234" s="4"/>
      <c r="K234" s="4"/>
      <c r="L234" s="517"/>
      <c r="M234" s="4">
        <v>3061.56</v>
      </c>
      <c r="N234" s="4">
        <f ca="1" t="shared" ref="N234:N242" si="384">VLOOKUP($D234,INDIRECT($C234),3,0)</f>
        <v>390</v>
      </c>
      <c r="O234" s="4">
        <f ca="1" t="shared" ref="O234:O242" si="385">M234*N234</f>
        <v>1194008.4</v>
      </c>
      <c r="P234" s="4"/>
      <c r="Q234" s="4"/>
      <c r="R234" s="4"/>
      <c r="S234" s="4"/>
      <c r="T234" s="4">
        <f ca="1" t="shared" ref="T234:T242" si="386">OFFSET(T234,-RIGHT($A234,LEN($A$6)),,1,1)/OFFSET(T234,-RIGHT($A234,LEN($A$6)),-13,1,1)*$M234</f>
        <v>0</v>
      </c>
      <c r="U234" s="4">
        <f ca="1" t="shared" ref="U234:U242" si="387">+$N234*T234</f>
        <v>0</v>
      </c>
      <c r="V234" s="4">
        <f ca="1" t="shared" ref="V234:V242" si="388">OFFSET(V234,-RIGHT($A234,LEN($A$6)),,1,1)/OFFSET(V234,-RIGHT($A234,LEN($A$6)),-15,1,1)*$M234</f>
        <v>0</v>
      </c>
      <c r="W234" s="4">
        <f ca="1" t="shared" ref="W234:W242" si="389">+$N234*V234</f>
        <v>0</v>
      </c>
      <c r="X234" s="4">
        <f ca="1" t="shared" ref="X234:X242" si="390">+M234-V234</f>
        <v>3061.56</v>
      </c>
      <c r="Y234" s="4">
        <f ca="1" t="shared" ref="Y234:Y242" si="391">+O234-W234</f>
        <v>1194008.4</v>
      </c>
      <c r="Z234" s="4">
        <f ca="1" t="shared" ref="Z234:Z242" si="392">OFFSET(Z234,-RIGHT($A234,LEN($A$6)),,1,1)/OFFSET(Z234,-RIGHT($A234,LEN($A$6)),-19,1,1)*$M234</f>
        <v>0</v>
      </c>
      <c r="AA234" s="4">
        <f ca="1" t="shared" ref="AA234:AA242" si="393">+$N234*Z234</f>
        <v>0</v>
      </c>
      <c r="AB234" s="4"/>
    </row>
    <row r="235" customHeight="1" outlineLevel="3" spans="1:28">
      <c r="A235" s="514" t="s">
        <v>1337</v>
      </c>
      <c r="B235" s="4"/>
      <c r="C235" s="510" t="s">
        <v>59</v>
      </c>
      <c r="D235" s="4" t="s">
        <v>212</v>
      </c>
      <c r="E235" s="4"/>
      <c r="F235" s="4" t="str">
        <f ca="1" t="shared" si="383"/>
        <v>m3</v>
      </c>
      <c r="G235" s="4"/>
      <c r="H235" s="4"/>
      <c r="I235" s="4"/>
      <c r="J235" s="4"/>
      <c r="K235" s="4"/>
      <c r="L235" s="517"/>
      <c r="M235" s="4">
        <v>3538.551048</v>
      </c>
      <c r="N235" s="4">
        <f ca="1" t="shared" si="384"/>
        <v>3125.05203539823</v>
      </c>
      <c r="O235" s="4">
        <f ca="1" t="shared" si="385"/>
        <v>11058156.1549129</v>
      </c>
      <c r="P235" s="4"/>
      <c r="Q235" s="4"/>
      <c r="R235" s="4"/>
      <c r="S235" s="4"/>
      <c r="T235" s="4">
        <f ca="1" t="shared" si="386"/>
        <v>0</v>
      </c>
      <c r="U235" s="4">
        <f ca="1" t="shared" si="387"/>
        <v>0</v>
      </c>
      <c r="V235" s="4">
        <f ca="1" t="shared" si="388"/>
        <v>0</v>
      </c>
      <c r="W235" s="4">
        <f ca="1" t="shared" si="389"/>
        <v>0</v>
      </c>
      <c r="X235" s="4">
        <f ca="1" t="shared" si="390"/>
        <v>3538.551048</v>
      </c>
      <c r="Y235" s="4">
        <f ca="1" t="shared" si="391"/>
        <v>11058156.1549129</v>
      </c>
      <c r="Z235" s="4">
        <f ca="1" t="shared" si="392"/>
        <v>0</v>
      </c>
      <c r="AA235" s="4">
        <f ca="1" t="shared" si="393"/>
        <v>0</v>
      </c>
      <c r="AB235" s="4"/>
    </row>
    <row r="236" customHeight="1" outlineLevel="3" spans="1:28">
      <c r="A236" s="514" t="s">
        <v>1338</v>
      </c>
      <c r="B236" s="4"/>
      <c r="C236" s="510" t="s">
        <v>59</v>
      </c>
      <c r="D236" s="4" t="s">
        <v>788</v>
      </c>
      <c r="E236" s="4" t="str">
        <f ca="1">"含钢量："&amp;ROUND($M$236/$G$233,3)&amp;$F$236&amp;"/"&amp;$F$233</f>
        <v>含钢量：0.108t/m3</v>
      </c>
      <c r="F236" s="4" t="str">
        <f ca="1" t="shared" si="383"/>
        <v>t</v>
      </c>
      <c r="G236" s="4"/>
      <c r="H236" s="4"/>
      <c r="I236" s="4"/>
      <c r="J236" s="4"/>
      <c r="K236" s="4"/>
      <c r="L236" s="517"/>
      <c r="M236" s="4">
        <v>330.15</v>
      </c>
      <c r="N236" s="4">
        <f ca="1" t="shared" si="384"/>
        <v>4000</v>
      </c>
      <c r="O236" s="4">
        <f ca="1" t="shared" si="385"/>
        <v>1320600</v>
      </c>
      <c r="P236" s="4"/>
      <c r="Q236" s="4"/>
      <c r="R236" s="4"/>
      <c r="S236" s="4"/>
      <c r="T236" s="4">
        <f ca="1" t="shared" si="386"/>
        <v>0</v>
      </c>
      <c r="U236" s="4">
        <f ca="1" t="shared" si="387"/>
        <v>0</v>
      </c>
      <c r="V236" s="4">
        <f ca="1" t="shared" si="388"/>
        <v>0</v>
      </c>
      <c r="W236" s="4">
        <f ca="1" t="shared" si="389"/>
        <v>0</v>
      </c>
      <c r="X236" s="4">
        <f ca="1" t="shared" si="390"/>
        <v>330.15</v>
      </c>
      <c r="Y236" s="4">
        <f ca="1" t="shared" si="391"/>
        <v>1320600</v>
      </c>
      <c r="Z236" s="4">
        <f ca="1" t="shared" si="392"/>
        <v>0</v>
      </c>
      <c r="AA236" s="4">
        <f ca="1" t="shared" si="393"/>
        <v>0</v>
      </c>
      <c r="AB236" s="4"/>
    </row>
    <row r="237" customHeight="1" outlineLevel="3" spans="1:28">
      <c r="A237" s="514" t="s">
        <v>1339</v>
      </c>
      <c r="B237" s="4"/>
      <c r="C237" s="510" t="s">
        <v>64</v>
      </c>
      <c r="D237" s="4" t="s">
        <v>1061</v>
      </c>
      <c r="E237" s="4"/>
      <c r="F237" s="4" t="str">
        <f ca="1" t="shared" si="383"/>
        <v>根</v>
      </c>
      <c r="G237" s="4"/>
      <c r="H237" s="4"/>
      <c r="I237" s="4"/>
      <c r="J237" s="4"/>
      <c r="K237" s="4"/>
      <c r="L237" s="517"/>
      <c r="M237" s="4">
        <v>72</v>
      </c>
      <c r="N237" s="4">
        <f ca="1" t="shared" si="384"/>
        <v>200</v>
      </c>
      <c r="O237" s="4">
        <f ca="1" t="shared" si="385"/>
        <v>14400</v>
      </c>
      <c r="P237" s="4"/>
      <c r="Q237" s="4"/>
      <c r="R237" s="4"/>
      <c r="S237" s="4"/>
      <c r="T237" s="4">
        <f ca="1" t="shared" si="386"/>
        <v>0</v>
      </c>
      <c r="U237" s="4">
        <f ca="1" t="shared" si="387"/>
        <v>0</v>
      </c>
      <c r="V237" s="4">
        <f ca="1" t="shared" si="388"/>
        <v>0</v>
      </c>
      <c r="W237" s="4">
        <f ca="1" t="shared" si="389"/>
        <v>0</v>
      </c>
      <c r="X237" s="4">
        <f ca="1" t="shared" si="390"/>
        <v>72</v>
      </c>
      <c r="Y237" s="4">
        <f ca="1" t="shared" si="391"/>
        <v>14400</v>
      </c>
      <c r="Z237" s="4">
        <f ca="1" t="shared" si="392"/>
        <v>0</v>
      </c>
      <c r="AA237" s="4">
        <f ca="1" t="shared" si="393"/>
        <v>0</v>
      </c>
      <c r="AB237" s="4"/>
    </row>
    <row r="238" customHeight="1" outlineLevel="3" spans="1:28">
      <c r="A238" s="514" t="s">
        <v>1340</v>
      </c>
      <c r="B238" s="4"/>
      <c r="C238" s="510" t="s">
        <v>65</v>
      </c>
      <c r="D238" s="4" t="s">
        <v>651</v>
      </c>
      <c r="E238" s="4"/>
      <c r="F238" s="4" t="str">
        <f ca="1" t="shared" si="383"/>
        <v>根</v>
      </c>
      <c r="G238" s="4"/>
      <c r="H238" s="4"/>
      <c r="I238" s="4"/>
      <c r="J238" s="4"/>
      <c r="K238" s="4"/>
      <c r="L238" s="517"/>
      <c r="M238" s="4">
        <v>72</v>
      </c>
      <c r="N238" s="4">
        <f ca="1" t="shared" si="384"/>
        <v>65</v>
      </c>
      <c r="O238" s="4">
        <f ca="1" t="shared" si="385"/>
        <v>4680</v>
      </c>
      <c r="P238" s="4"/>
      <c r="Q238" s="4"/>
      <c r="R238" s="4"/>
      <c r="S238" s="4"/>
      <c r="T238" s="4">
        <f ca="1" t="shared" si="386"/>
        <v>0</v>
      </c>
      <c r="U238" s="4">
        <f ca="1" t="shared" si="387"/>
        <v>0</v>
      </c>
      <c r="V238" s="4">
        <f ca="1" t="shared" si="388"/>
        <v>0</v>
      </c>
      <c r="W238" s="4">
        <f ca="1" t="shared" si="389"/>
        <v>0</v>
      </c>
      <c r="X238" s="4">
        <f ca="1" t="shared" si="390"/>
        <v>72</v>
      </c>
      <c r="Y238" s="4">
        <f ca="1" t="shared" si="391"/>
        <v>4680</v>
      </c>
      <c r="Z238" s="4">
        <f ca="1" t="shared" si="392"/>
        <v>0</v>
      </c>
      <c r="AA238" s="4">
        <f ca="1" t="shared" si="393"/>
        <v>0</v>
      </c>
      <c r="AB238" s="4"/>
    </row>
    <row r="239" customHeight="1" outlineLevel="3" spans="1:28">
      <c r="A239" s="514" t="s">
        <v>2722</v>
      </c>
      <c r="B239" s="4"/>
      <c r="C239" s="510" t="s">
        <v>65</v>
      </c>
      <c r="D239" s="4" t="s">
        <v>655</v>
      </c>
      <c r="E239" s="4"/>
      <c r="F239" s="4" t="str">
        <f ca="1" t="shared" si="383"/>
        <v>根</v>
      </c>
      <c r="G239" s="4"/>
      <c r="H239" s="4"/>
      <c r="I239" s="4"/>
      <c r="J239" s="4"/>
      <c r="K239" s="4"/>
      <c r="L239" s="517"/>
      <c r="M239" s="4">
        <v>72</v>
      </c>
      <c r="N239" s="4">
        <f ca="1" t="shared" si="384"/>
        <v>750</v>
      </c>
      <c r="O239" s="4">
        <f ca="1" t="shared" si="385"/>
        <v>54000</v>
      </c>
      <c r="P239" s="4"/>
      <c r="Q239" s="4"/>
      <c r="R239" s="4"/>
      <c r="S239" s="4"/>
      <c r="T239" s="4">
        <f ca="1" t="shared" si="386"/>
        <v>0</v>
      </c>
      <c r="U239" s="4">
        <f ca="1" t="shared" si="387"/>
        <v>0</v>
      </c>
      <c r="V239" s="4">
        <f ca="1" t="shared" si="388"/>
        <v>0</v>
      </c>
      <c r="W239" s="4">
        <f ca="1" t="shared" si="389"/>
        <v>0</v>
      </c>
      <c r="X239" s="4">
        <f ca="1" t="shared" si="390"/>
        <v>72</v>
      </c>
      <c r="Y239" s="4">
        <f ca="1" t="shared" si="391"/>
        <v>54000</v>
      </c>
      <c r="Z239" s="4">
        <f ca="1" t="shared" si="392"/>
        <v>0</v>
      </c>
      <c r="AA239" s="4">
        <f ca="1" t="shared" si="393"/>
        <v>0</v>
      </c>
      <c r="AB239" s="4"/>
    </row>
    <row r="240" customHeight="1" outlineLevel="3" spans="1:28">
      <c r="A240" s="514" t="s">
        <v>2723</v>
      </c>
      <c r="B240" s="4"/>
      <c r="C240" s="510" t="s">
        <v>59</v>
      </c>
      <c r="D240" s="4" t="s">
        <v>754</v>
      </c>
      <c r="E240" s="4"/>
      <c r="F240" s="4" t="str">
        <f ca="1" t="shared" si="383"/>
        <v>t</v>
      </c>
      <c r="G240" s="4"/>
      <c r="H240" s="4"/>
      <c r="I240" s="4"/>
      <c r="J240" s="4"/>
      <c r="K240" s="4"/>
      <c r="L240" s="517"/>
      <c r="M240" s="4">
        <v>14</v>
      </c>
      <c r="N240" s="4">
        <f ca="1" t="shared" si="384"/>
        <v>0</v>
      </c>
      <c r="O240" s="4">
        <f ca="1" t="shared" si="385"/>
        <v>0</v>
      </c>
      <c r="P240" s="4"/>
      <c r="Q240" s="4"/>
      <c r="R240" s="4"/>
      <c r="S240" s="4"/>
      <c r="T240" s="4">
        <f ca="1" t="shared" si="386"/>
        <v>0</v>
      </c>
      <c r="U240" s="4">
        <f ca="1" t="shared" si="387"/>
        <v>0</v>
      </c>
      <c r="V240" s="4">
        <f ca="1" t="shared" si="388"/>
        <v>0</v>
      </c>
      <c r="W240" s="4">
        <f ca="1" t="shared" si="389"/>
        <v>0</v>
      </c>
      <c r="X240" s="4">
        <f ca="1" t="shared" si="390"/>
        <v>14</v>
      </c>
      <c r="Y240" s="4">
        <f ca="1" t="shared" si="391"/>
        <v>0</v>
      </c>
      <c r="Z240" s="4">
        <f ca="1" t="shared" si="392"/>
        <v>0</v>
      </c>
      <c r="AA240" s="4">
        <f ca="1" t="shared" si="393"/>
        <v>0</v>
      </c>
      <c r="AB240" s="4"/>
    </row>
    <row r="241" customHeight="1" outlineLevel="3" spans="1:28">
      <c r="A241" s="514" t="s">
        <v>2724</v>
      </c>
      <c r="B241" s="4"/>
      <c r="C241" s="510" t="s">
        <v>63</v>
      </c>
      <c r="D241" s="4" t="s">
        <v>344</v>
      </c>
      <c r="E241" s="4" t="s">
        <v>1375</v>
      </c>
      <c r="F241" s="4" t="str">
        <f ca="1" t="shared" si="383"/>
        <v>m3</v>
      </c>
      <c r="G241" s="4"/>
      <c r="H241" s="4"/>
      <c r="I241" s="4"/>
      <c r="J241" s="4"/>
      <c r="K241" s="4"/>
      <c r="L241" s="517"/>
      <c r="M241" s="4">
        <v>3061.56</v>
      </c>
      <c r="N241" s="4">
        <f ca="1" t="shared" si="384"/>
        <v>5</v>
      </c>
      <c r="O241" s="4">
        <f ca="1" t="shared" si="385"/>
        <v>15307.8</v>
      </c>
      <c r="P241" s="4"/>
      <c r="Q241" s="4"/>
      <c r="R241" s="4"/>
      <c r="S241" s="4"/>
      <c r="T241" s="4">
        <f ca="1" t="shared" si="386"/>
        <v>0</v>
      </c>
      <c r="U241" s="4">
        <f ca="1" t="shared" si="387"/>
        <v>0</v>
      </c>
      <c r="V241" s="4">
        <f ca="1" t="shared" si="388"/>
        <v>0</v>
      </c>
      <c r="W241" s="4">
        <f ca="1" t="shared" si="389"/>
        <v>0</v>
      </c>
      <c r="X241" s="4">
        <f ca="1" t="shared" si="390"/>
        <v>3061.56</v>
      </c>
      <c r="Y241" s="4">
        <f ca="1" t="shared" si="391"/>
        <v>15307.8</v>
      </c>
      <c r="Z241" s="4">
        <f ca="1" t="shared" si="392"/>
        <v>0</v>
      </c>
      <c r="AA241" s="4">
        <f ca="1" t="shared" si="393"/>
        <v>0</v>
      </c>
      <c r="AB241" s="4"/>
    </row>
    <row r="242" customHeight="1" outlineLevel="3" spans="1:28">
      <c r="A242" s="514" t="s">
        <v>2725</v>
      </c>
      <c r="B242" s="4"/>
      <c r="C242" s="510" t="s">
        <v>64</v>
      </c>
      <c r="D242" s="4" t="s">
        <v>296</v>
      </c>
      <c r="E242" s="4"/>
      <c r="F242" s="4" t="str">
        <f ca="1" t="shared" si="383"/>
        <v>t</v>
      </c>
      <c r="G242" s="4"/>
      <c r="H242" s="4"/>
      <c r="I242" s="4"/>
      <c r="J242" s="4"/>
      <c r="K242" s="4"/>
      <c r="L242" s="517"/>
      <c r="M242" s="4">
        <v>330.15</v>
      </c>
      <c r="N242" s="4">
        <f ca="1" t="shared" si="384"/>
        <v>700</v>
      </c>
      <c r="O242" s="4">
        <f ca="1" t="shared" si="385"/>
        <v>231105</v>
      </c>
      <c r="P242" s="4"/>
      <c r="Q242" s="4"/>
      <c r="R242" s="4"/>
      <c r="S242" s="4"/>
      <c r="T242" s="4">
        <f ca="1" t="shared" si="386"/>
        <v>0</v>
      </c>
      <c r="U242" s="4">
        <f ca="1" t="shared" si="387"/>
        <v>0</v>
      </c>
      <c r="V242" s="4">
        <f ca="1" t="shared" si="388"/>
        <v>0</v>
      </c>
      <c r="W242" s="4">
        <f ca="1" t="shared" si="389"/>
        <v>0</v>
      </c>
      <c r="X242" s="4">
        <f ca="1" t="shared" si="390"/>
        <v>330.15</v>
      </c>
      <c r="Y242" s="4">
        <f ca="1" t="shared" si="391"/>
        <v>231105</v>
      </c>
      <c r="Z242" s="4">
        <f ca="1" t="shared" si="392"/>
        <v>0</v>
      </c>
      <c r="AA242" s="4">
        <f ca="1" t="shared" si="393"/>
        <v>0</v>
      </c>
      <c r="AB242" s="4"/>
    </row>
    <row r="243" customHeight="1" outlineLevel="2" spans="1:28">
      <c r="A243" s="515" t="s">
        <v>1341</v>
      </c>
      <c r="B243" s="4"/>
      <c r="C243" s="510" t="s">
        <v>1309</v>
      </c>
      <c r="D243" s="4" t="s">
        <v>1310</v>
      </c>
      <c r="E243" s="4" t="s">
        <v>2472</v>
      </c>
      <c r="F243" s="4" t="s">
        <v>72</v>
      </c>
      <c r="G243" s="4">
        <v>4769.5</v>
      </c>
      <c r="H243" s="4">
        <v>1241.84403669725</v>
      </c>
      <c r="I243" s="4">
        <f>G243*H243</f>
        <v>5922975.13302753</v>
      </c>
      <c r="J243" s="4">
        <f t="shared" ref="J243:L243" si="394">+G243</f>
        <v>4769.5</v>
      </c>
      <c r="K243" s="4">
        <f t="shared" si="394"/>
        <v>1241.84403669725</v>
      </c>
      <c r="L243" s="517">
        <f t="shared" si="394"/>
        <v>5922975.13302753</v>
      </c>
      <c r="M243" s="4">
        <v>4769.5</v>
      </c>
      <c r="N243" s="4">
        <f ca="1">O243/M243</f>
        <v>1381.62274785858</v>
      </c>
      <c r="O243" s="4">
        <f ca="1">(+O244+O245+O246+O247+O248+O249)</f>
        <v>6589649.6959115</v>
      </c>
      <c r="P243" s="4"/>
      <c r="Q243" s="4"/>
      <c r="R243" s="4">
        <f>+P243+J243</f>
        <v>4769.5</v>
      </c>
      <c r="S243" s="4">
        <f>+Q243+L243</f>
        <v>5922975.13302753</v>
      </c>
      <c r="T243" s="4">
        <f>IFERROR(VLOOKUP(A243,产值统计中间表!A:F,7,FALSE),0)</f>
        <v>0</v>
      </c>
      <c r="U243" s="4">
        <f>+T243*H243</f>
        <v>0</v>
      </c>
      <c r="V243" s="4">
        <f>IFERROR(VLOOKUP(A243,产值统计中间表!A:D,4,FALSE),0)</f>
        <v>0</v>
      </c>
      <c r="W243" s="4">
        <f>+V243*H243</f>
        <v>0</v>
      </c>
      <c r="X243" s="4">
        <f>+R243-V243</f>
        <v>4769.5</v>
      </c>
      <c r="Y243" s="4">
        <f>+S243-W243</f>
        <v>5922975.13302753</v>
      </c>
      <c r="Z243" s="4">
        <f>IFERROR(VLOOKUP(A243,业主统计中间表!A:D,4,FALSE),0)</f>
        <v>0</v>
      </c>
      <c r="AA243" s="4">
        <f>+Z243*H243</f>
        <v>0</v>
      </c>
      <c r="AB243" s="4"/>
    </row>
    <row r="244" customHeight="1" outlineLevel="3" spans="1:28">
      <c r="A244" s="514" t="s">
        <v>1343</v>
      </c>
      <c r="B244" s="4"/>
      <c r="C244" s="510" t="s">
        <v>64</v>
      </c>
      <c r="D244" s="4" t="s">
        <v>752</v>
      </c>
      <c r="E244" s="4"/>
      <c r="F244" s="4" t="str">
        <f ca="1" t="shared" ref="F244:F249" si="395">VLOOKUP($D244,INDIRECT($C244),2,0)</f>
        <v>m3</v>
      </c>
      <c r="G244" s="4"/>
      <c r="H244" s="4"/>
      <c r="I244" s="4"/>
      <c r="J244" s="4"/>
      <c r="K244" s="4"/>
      <c r="L244" s="517"/>
      <c r="M244" s="4">
        <v>4793.3475</v>
      </c>
      <c r="N244" s="4">
        <f ca="1" t="shared" ref="N244:N249" si="396">VLOOKUP($D244,INDIRECT($C244),3,0)</f>
        <v>30</v>
      </c>
      <c r="O244" s="4">
        <f ca="1" t="shared" ref="O244:O249" si="397">M244*N244</f>
        <v>143800.425</v>
      </c>
      <c r="P244" s="4"/>
      <c r="Q244" s="4"/>
      <c r="R244" s="4"/>
      <c r="S244" s="4"/>
      <c r="T244" s="4">
        <f ca="1" t="shared" ref="T244:T249" si="398">OFFSET(T244,-RIGHT($A244,LEN($A$6)),,1,1)/OFFSET(T244,-RIGHT($A244,LEN($A$6)),-13,1,1)*$M244</f>
        <v>0</v>
      </c>
      <c r="U244" s="4">
        <f ca="1" t="shared" ref="U244:U249" si="399">+$N244*T244</f>
        <v>0</v>
      </c>
      <c r="V244" s="4">
        <f ca="1" t="shared" ref="V244:V249" si="400">OFFSET(V244,-RIGHT($A244,LEN($A$6)),,1,1)/OFFSET(V244,-RIGHT($A244,LEN($A$6)),-15,1,1)*$M244</f>
        <v>0</v>
      </c>
      <c r="W244" s="4">
        <f ca="1" t="shared" ref="W244:W249" si="401">+$N244*V244</f>
        <v>0</v>
      </c>
      <c r="X244" s="4">
        <f ca="1" t="shared" ref="X244:X249" si="402">+M244-V244</f>
        <v>4793.3475</v>
      </c>
      <c r="Y244" s="4">
        <f ca="1" t="shared" ref="Y244:Y249" si="403">+O244-W244</f>
        <v>143800.425</v>
      </c>
      <c r="Z244" s="4">
        <f ca="1" t="shared" ref="Z244:Z249" si="404">OFFSET(Z244,-RIGHT($A244,LEN($A$6)),,1,1)/OFFSET(Z244,-RIGHT($A244,LEN($A$6)),-19,1,1)*$M244</f>
        <v>0</v>
      </c>
      <c r="AA244" s="4">
        <f ca="1" t="shared" ref="AA244:AA249" si="405">+$N244*Z244</f>
        <v>0</v>
      </c>
      <c r="AB244" s="4"/>
    </row>
    <row r="245" customHeight="1" outlineLevel="3" spans="1:28">
      <c r="A245" s="514" t="s">
        <v>1344</v>
      </c>
      <c r="B245" s="4"/>
      <c r="C245" s="510" t="s">
        <v>64</v>
      </c>
      <c r="D245" s="4" t="s">
        <v>262</v>
      </c>
      <c r="E245" s="4" t="s">
        <v>2473</v>
      </c>
      <c r="F245" s="4" t="str">
        <f ca="1" t="shared" si="395"/>
        <v>m2</v>
      </c>
      <c r="G245" s="4"/>
      <c r="H245" s="4"/>
      <c r="I245" s="4"/>
      <c r="J245" s="4"/>
      <c r="K245" s="4"/>
      <c r="L245" s="517"/>
      <c r="M245" s="4">
        <v>1676.33</v>
      </c>
      <c r="N245" s="4">
        <f ca="1" t="shared" si="396"/>
        <v>55</v>
      </c>
      <c r="O245" s="4">
        <f ca="1" t="shared" si="397"/>
        <v>92198.15</v>
      </c>
      <c r="P245" s="4"/>
      <c r="Q245" s="4"/>
      <c r="R245" s="4"/>
      <c r="S245" s="4"/>
      <c r="T245" s="4">
        <f ca="1" t="shared" si="398"/>
        <v>0</v>
      </c>
      <c r="U245" s="4">
        <f ca="1" t="shared" si="399"/>
        <v>0</v>
      </c>
      <c r="V245" s="4">
        <f ca="1" t="shared" si="400"/>
        <v>0</v>
      </c>
      <c r="W245" s="4">
        <f ca="1" t="shared" si="401"/>
        <v>0</v>
      </c>
      <c r="X245" s="4">
        <f ca="1" t="shared" si="402"/>
        <v>1676.33</v>
      </c>
      <c r="Y245" s="4">
        <f ca="1" t="shared" si="403"/>
        <v>92198.15</v>
      </c>
      <c r="Z245" s="4">
        <f ca="1" t="shared" si="404"/>
        <v>0</v>
      </c>
      <c r="AA245" s="4">
        <f ca="1" t="shared" si="405"/>
        <v>0</v>
      </c>
      <c r="AB245" s="4"/>
    </row>
    <row r="246" customHeight="1" outlineLevel="3" spans="1:28">
      <c r="A246" s="514" t="s">
        <v>1345</v>
      </c>
      <c r="B246" s="4"/>
      <c r="C246" s="510" t="s">
        <v>64</v>
      </c>
      <c r="D246" s="4" t="s">
        <v>296</v>
      </c>
      <c r="E246" s="4"/>
      <c r="F246" s="4" t="str">
        <f ca="1" t="shared" si="395"/>
        <v>t</v>
      </c>
      <c r="G246" s="4"/>
      <c r="H246" s="4"/>
      <c r="I246" s="4"/>
      <c r="J246" s="4"/>
      <c r="K246" s="4"/>
      <c r="L246" s="517"/>
      <c r="M246" s="4">
        <v>779.504</v>
      </c>
      <c r="N246" s="4">
        <f ca="1" t="shared" si="396"/>
        <v>700</v>
      </c>
      <c r="O246" s="4">
        <f ca="1" t="shared" si="397"/>
        <v>545652.8</v>
      </c>
      <c r="P246" s="4"/>
      <c r="Q246" s="4"/>
      <c r="R246" s="4"/>
      <c r="S246" s="4"/>
      <c r="T246" s="4">
        <f ca="1" t="shared" si="398"/>
        <v>0</v>
      </c>
      <c r="U246" s="4">
        <f ca="1" t="shared" si="399"/>
        <v>0</v>
      </c>
      <c r="V246" s="4">
        <f ca="1" t="shared" si="400"/>
        <v>0</v>
      </c>
      <c r="W246" s="4">
        <f ca="1" t="shared" si="401"/>
        <v>0</v>
      </c>
      <c r="X246" s="4">
        <f ca="1" t="shared" si="402"/>
        <v>779.504</v>
      </c>
      <c r="Y246" s="4">
        <f ca="1" t="shared" si="403"/>
        <v>545652.8</v>
      </c>
      <c r="Z246" s="4">
        <f ca="1" t="shared" si="404"/>
        <v>0</v>
      </c>
      <c r="AA246" s="4">
        <f ca="1" t="shared" si="405"/>
        <v>0</v>
      </c>
      <c r="AB246" s="4"/>
    </row>
    <row r="247" customHeight="1" outlineLevel="3" spans="1:28">
      <c r="A247" s="514" t="s">
        <v>1346</v>
      </c>
      <c r="B247" s="4"/>
      <c r="C247" s="510" t="s">
        <v>59</v>
      </c>
      <c r="D247" s="4" t="s">
        <v>792</v>
      </c>
      <c r="E247" s="4"/>
      <c r="F247" s="4" t="str">
        <f ca="1" t="shared" si="395"/>
        <v>m³</v>
      </c>
      <c r="G247" s="4"/>
      <c r="H247" s="4"/>
      <c r="I247" s="4"/>
      <c r="J247" s="4"/>
      <c r="K247" s="4"/>
      <c r="L247" s="517"/>
      <c r="M247" s="4">
        <v>4793.3475</v>
      </c>
      <c r="N247" s="4">
        <f ca="1" t="shared" si="396"/>
        <v>450</v>
      </c>
      <c r="O247" s="4">
        <f ca="1" t="shared" si="397"/>
        <v>2157006.375</v>
      </c>
      <c r="P247" s="4"/>
      <c r="Q247" s="4"/>
      <c r="R247" s="4"/>
      <c r="S247" s="4"/>
      <c r="T247" s="4">
        <f ca="1" t="shared" si="398"/>
        <v>0</v>
      </c>
      <c r="U247" s="4">
        <f ca="1" t="shared" si="399"/>
        <v>0</v>
      </c>
      <c r="V247" s="4">
        <f ca="1" t="shared" si="400"/>
        <v>0</v>
      </c>
      <c r="W247" s="4">
        <f ca="1" t="shared" si="401"/>
        <v>0</v>
      </c>
      <c r="X247" s="4">
        <f ca="1" t="shared" si="402"/>
        <v>4793.3475</v>
      </c>
      <c r="Y247" s="4">
        <f ca="1" t="shared" si="403"/>
        <v>2157006.375</v>
      </c>
      <c r="Z247" s="4">
        <f ca="1" t="shared" si="404"/>
        <v>0</v>
      </c>
      <c r="AA247" s="4">
        <f ca="1" t="shared" si="405"/>
        <v>0</v>
      </c>
      <c r="AB247" s="4"/>
    </row>
    <row r="248" customHeight="1" outlineLevel="3" spans="1:28">
      <c r="A248" s="514" t="s">
        <v>1347</v>
      </c>
      <c r="B248" s="4"/>
      <c r="C248" s="510" t="s">
        <v>59</v>
      </c>
      <c r="D248" s="4" t="s">
        <v>480</v>
      </c>
      <c r="E248" s="4" t="str">
        <f ca="1">"含钢量："&amp;ROUND($M$248/$G$243,3)&amp;$F$248&amp;"/"&amp;$F$243</f>
        <v>含钢量：0.163t/m3</v>
      </c>
      <c r="F248" s="4" t="str">
        <f ca="1" t="shared" si="395"/>
        <v>t</v>
      </c>
      <c r="G248" s="4"/>
      <c r="H248" s="4"/>
      <c r="I248" s="4"/>
      <c r="J248" s="4"/>
      <c r="K248" s="4"/>
      <c r="L248" s="517"/>
      <c r="M248" s="4">
        <f>756.8*1.03</f>
        <v>779.504</v>
      </c>
      <c r="N248" s="4">
        <f ca="1" t="shared" si="396"/>
        <v>4200</v>
      </c>
      <c r="O248" s="4">
        <f ca="1" t="shared" si="397"/>
        <v>3273916.8</v>
      </c>
      <c r="P248" s="4"/>
      <c r="Q248" s="4"/>
      <c r="R248" s="4"/>
      <c r="S248" s="4"/>
      <c r="T248" s="4">
        <f ca="1" t="shared" si="398"/>
        <v>0</v>
      </c>
      <c r="U248" s="4">
        <f ca="1" t="shared" si="399"/>
        <v>0</v>
      </c>
      <c r="V248" s="4">
        <f ca="1" t="shared" si="400"/>
        <v>0</v>
      </c>
      <c r="W248" s="4">
        <f ca="1" t="shared" si="401"/>
        <v>0</v>
      </c>
      <c r="X248" s="4">
        <f ca="1" t="shared" si="402"/>
        <v>779.504</v>
      </c>
      <c r="Y248" s="4">
        <f ca="1" t="shared" si="403"/>
        <v>3273916.8</v>
      </c>
      <c r="Z248" s="4">
        <f ca="1" t="shared" si="404"/>
        <v>0</v>
      </c>
      <c r="AA248" s="4">
        <f ca="1" t="shared" si="405"/>
        <v>0</v>
      </c>
      <c r="AB248" s="4"/>
    </row>
    <row r="249" customHeight="1" outlineLevel="3" spans="1:28">
      <c r="A249" s="514" t="s">
        <v>2726</v>
      </c>
      <c r="B249" s="4"/>
      <c r="C249" s="510" t="s">
        <v>59</v>
      </c>
      <c r="D249" s="4" t="s">
        <v>191</v>
      </c>
      <c r="E249" s="4"/>
      <c r="F249" s="4" t="str">
        <f ca="1" t="shared" si="395"/>
        <v>m3</v>
      </c>
      <c r="G249" s="4"/>
      <c r="H249" s="4"/>
      <c r="I249" s="4"/>
      <c r="J249" s="4"/>
      <c r="K249" s="4"/>
      <c r="L249" s="517"/>
      <c r="M249" s="4">
        <v>122.56</v>
      </c>
      <c r="N249" s="4">
        <f ca="1" t="shared" si="396"/>
        <v>3076.65752212389</v>
      </c>
      <c r="O249" s="4">
        <f ca="1" t="shared" si="397"/>
        <v>377075.145911504</v>
      </c>
      <c r="P249" s="4"/>
      <c r="Q249" s="4"/>
      <c r="R249" s="4"/>
      <c r="S249" s="4"/>
      <c r="T249" s="4">
        <f ca="1" t="shared" si="398"/>
        <v>0</v>
      </c>
      <c r="U249" s="4">
        <f ca="1" t="shared" si="399"/>
        <v>0</v>
      </c>
      <c r="V249" s="4">
        <f ca="1" t="shared" si="400"/>
        <v>0</v>
      </c>
      <c r="W249" s="4">
        <f ca="1" t="shared" si="401"/>
        <v>0</v>
      </c>
      <c r="X249" s="4">
        <f ca="1" t="shared" si="402"/>
        <v>122.56</v>
      </c>
      <c r="Y249" s="4">
        <f ca="1" t="shared" si="403"/>
        <v>377075.145911504</v>
      </c>
      <c r="Z249" s="4">
        <f ca="1" t="shared" si="404"/>
        <v>0</v>
      </c>
      <c r="AA249" s="4">
        <f ca="1" t="shared" si="405"/>
        <v>0</v>
      </c>
      <c r="AB249" s="4"/>
    </row>
    <row r="250" customHeight="1" outlineLevel="2" spans="1:28">
      <c r="A250" s="515" t="s">
        <v>1348</v>
      </c>
      <c r="B250" s="4"/>
      <c r="C250" s="510" t="s">
        <v>1309</v>
      </c>
      <c r="D250" s="4" t="s">
        <v>2727</v>
      </c>
      <c r="E250" s="4" t="s">
        <v>2472</v>
      </c>
      <c r="F250" s="4" t="s">
        <v>72</v>
      </c>
      <c r="G250" s="4">
        <v>634.18</v>
      </c>
      <c r="H250" s="4">
        <v>3379.11926605505</v>
      </c>
      <c r="I250" s="4">
        <f>G250*H250</f>
        <v>2142969.85614679</v>
      </c>
      <c r="J250" s="4">
        <f t="shared" ref="J250:L250" si="406">+G250</f>
        <v>634.18</v>
      </c>
      <c r="K250" s="4">
        <f t="shared" si="406"/>
        <v>3379.11926605505</v>
      </c>
      <c r="L250" s="517">
        <f t="shared" si="406"/>
        <v>2142969.85614679</v>
      </c>
      <c r="M250" s="4">
        <v>634.18</v>
      </c>
      <c r="N250" s="4">
        <f ca="1">O250/M250</f>
        <v>3052.36043552304</v>
      </c>
      <c r="O250" s="4">
        <f ca="1">(+O251+O252+O253+O254+O255)</f>
        <v>1935745.941</v>
      </c>
      <c r="P250" s="4"/>
      <c r="Q250" s="4"/>
      <c r="R250" s="4">
        <f>+P250+J250</f>
        <v>634.18</v>
      </c>
      <c r="S250" s="4">
        <f>+Q250+L250</f>
        <v>2142969.85614679</v>
      </c>
      <c r="T250" s="4">
        <f>IFERROR(VLOOKUP(A250,产值统计中间表!A:F,7,FALSE),0)</f>
        <v>0</v>
      </c>
      <c r="U250" s="4">
        <f>+T250*H250</f>
        <v>0</v>
      </c>
      <c r="V250" s="4">
        <f>IFERROR(VLOOKUP(A250,产值统计中间表!A:D,4,FALSE),0)</f>
        <v>0</v>
      </c>
      <c r="W250" s="4">
        <f>+V250*H250</f>
        <v>0</v>
      </c>
      <c r="X250" s="4">
        <f>+R250-V250</f>
        <v>634.18</v>
      </c>
      <c r="Y250" s="4">
        <f>+S250-W250</f>
        <v>2142969.85614679</v>
      </c>
      <c r="Z250" s="4">
        <f>IFERROR(VLOOKUP(A250,业主统计中间表!A:D,4,FALSE),0)</f>
        <v>0</v>
      </c>
      <c r="AA250" s="4">
        <f>+Z250*H250</f>
        <v>0</v>
      </c>
      <c r="AB250" s="4"/>
    </row>
    <row r="251" customHeight="1" outlineLevel="3" spans="1:28">
      <c r="A251" s="514" t="s">
        <v>1350</v>
      </c>
      <c r="B251" s="4"/>
      <c r="C251" s="510" t="s">
        <v>64</v>
      </c>
      <c r="D251" s="4" t="s">
        <v>752</v>
      </c>
      <c r="E251" s="4"/>
      <c r="F251" s="4" t="str">
        <f ca="1" t="shared" ref="F251:F255" si="407">VLOOKUP($D251,INDIRECT($C251),2,0)</f>
        <v>m3</v>
      </c>
      <c r="G251" s="4"/>
      <c r="H251" s="4"/>
      <c r="I251" s="4"/>
      <c r="J251" s="4"/>
      <c r="K251" s="4"/>
      <c r="L251" s="517"/>
      <c r="M251" s="4">
        <v>637.3509</v>
      </c>
      <c r="N251" s="4">
        <f ca="1" t="shared" ref="N251:N255" si="408">VLOOKUP($D251,INDIRECT($C251),3,0)</f>
        <v>30</v>
      </c>
      <c r="O251" s="4">
        <f ca="1">M251*N251</f>
        <v>19120.527</v>
      </c>
      <c r="P251" s="4"/>
      <c r="Q251" s="4"/>
      <c r="R251" s="4"/>
      <c r="S251" s="4"/>
      <c r="T251" s="4">
        <f ca="1" t="shared" ref="T251:T255" si="409">OFFSET(T251,-RIGHT($A251,LEN($A$6)),,1,1)/OFFSET(T251,-RIGHT($A251,LEN($A$6)),-13,1,1)*$M251</f>
        <v>0</v>
      </c>
      <c r="U251" s="4">
        <f ca="1" t="shared" ref="U251:U255" si="410">+$N251*T251</f>
        <v>0</v>
      </c>
      <c r="V251" s="4">
        <f ca="1" t="shared" ref="V251:V255" si="411">OFFSET(V251,-RIGHT($A251,LEN($A$6)),,1,1)/OFFSET(V251,-RIGHT($A251,LEN($A$6)),-15,1,1)*$M251</f>
        <v>0</v>
      </c>
      <c r="W251" s="4">
        <f ca="1" t="shared" ref="W251:W255" si="412">+$N251*V251</f>
        <v>0</v>
      </c>
      <c r="X251" s="4">
        <f ca="1" t="shared" ref="X251:X255" si="413">+M251-V251</f>
        <v>637.3509</v>
      </c>
      <c r="Y251" s="4">
        <f ca="1" t="shared" ref="Y251:Y255" si="414">+O251-W251</f>
        <v>19120.527</v>
      </c>
      <c r="Z251" s="4">
        <f ca="1" t="shared" ref="Z251:Z255" si="415">OFFSET(Z251,-RIGHT($A251,LEN($A$6)),,1,1)/OFFSET(Z251,-RIGHT($A251,LEN($A$6)),-19,1,1)*$M251</f>
        <v>0</v>
      </c>
      <c r="AA251" s="4">
        <f ca="1" t="shared" ref="AA251:AA255" si="416">+$N251*Z251</f>
        <v>0</v>
      </c>
      <c r="AB251" s="4"/>
    </row>
    <row r="252" customHeight="1" outlineLevel="3" spans="1:28">
      <c r="A252" s="514" t="s">
        <v>1351</v>
      </c>
      <c r="B252" s="4"/>
      <c r="C252" s="510" t="s">
        <v>64</v>
      </c>
      <c r="D252" s="4" t="s">
        <v>1109</v>
      </c>
      <c r="E252" s="4" t="s">
        <v>2473</v>
      </c>
      <c r="F252" s="4" t="str">
        <f ca="1" t="shared" si="407"/>
        <v>m2</v>
      </c>
      <c r="G252" s="4"/>
      <c r="H252" s="4"/>
      <c r="I252" s="4"/>
      <c r="J252" s="4"/>
      <c r="K252" s="4"/>
      <c r="L252" s="517"/>
      <c r="M252" s="4">
        <v>617</v>
      </c>
      <c r="N252" s="4">
        <f ca="1" t="shared" si="408"/>
        <v>60</v>
      </c>
      <c r="O252" s="4">
        <f ca="1">M252*N252</f>
        <v>37020</v>
      </c>
      <c r="P252" s="4"/>
      <c r="Q252" s="4"/>
      <c r="R252" s="4"/>
      <c r="S252" s="4"/>
      <c r="T252" s="4">
        <f ca="1" t="shared" si="409"/>
        <v>0</v>
      </c>
      <c r="U252" s="4">
        <f ca="1" t="shared" si="410"/>
        <v>0</v>
      </c>
      <c r="V252" s="4">
        <f ca="1" t="shared" si="411"/>
        <v>0</v>
      </c>
      <c r="W252" s="4">
        <f ca="1" t="shared" si="412"/>
        <v>0</v>
      </c>
      <c r="X252" s="4">
        <f ca="1" t="shared" si="413"/>
        <v>617</v>
      </c>
      <c r="Y252" s="4">
        <f ca="1" t="shared" si="414"/>
        <v>37020</v>
      </c>
      <c r="Z252" s="4">
        <f ca="1" t="shared" si="415"/>
        <v>0</v>
      </c>
      <c r="AA252" s="4">
        <f ca="1" t="shared" si="416"/>
        <v>0</v>
      </c>
      <c r="AB252" s="4"/>
    </row>
    <row r="253" customHeight="1" outlineLevel="3" spans="1:28">
      <c r="A253" s="514" t="s">
        <v>1353</v>
      </c>
      <c r="B253" s="4"/>
      <c r="C253" s="510" t="s">
        <v>59</v>
      </c>
      <c r="D253" s="4" t="s">
        <v>480</v>
      </c>
      <c r="E253" s="4" t="str">
        <f ca="1">"含钢量："&amp;ROUND($M$253/$G$250,3)&amp;$F$253&amp;"/"&amp;$F$250</f>
        <v>含钢量：0.511t/m3</v>
      </c>
      <c r="F253" s="4" t="str">
        <f ca="1" t="shared" si="407"/>
        <v>t</v>
      </c>
      <c r="G253" s="4"/>
      <c r="H253" s="4"/>
      <c r="I253" s="4"/>
      <c r="J253" s="4"/>
      <c r="K253" s="4"/>
      <c r="L253" s="517"/>
      <c r="M253" s="4">
        <v>323.76</v>
      </c>
      <c r="N253" s="4">
        <f ca="1" t="shared" si="408"/>
        <v>4200</v>
      </c>
      <c r="O253" s="4">
        <f ca="1">M253*N253</f>
        <v>1359792</v>
      </c>
      <c r="P253" s="4"/>
      <c r="Q253" s="4"/>
      <c r="R253" s="4"/>
      <c r="S253" s="4"/>
      <c r="T253" s="4">
        <f ca="1" t="shared" si="409"/>
        <v>0</v>
      </c>
      <c r="U253" s="4">
        <f ca="1" t="shared" si="410"/>
        <v>0</v>
      </c>
      <c r="V253" s="4">
        <f ca="1" t="shared" si="411"/>
        <v>0</v>
      </c>
      <c r="W253" s="4">
        <f ca="1" t="shared" si="412"/>
        <v>0</v>
      </c>
      <c r="X253" s="4">
        <f ca="1" t="shared" si="413"/>
        <v>323.76</v>
      </c>
      <c r="Y253" s="4">
        <f ca="1" t="shared" si="414"/>
        <v>1359792</v>
      </c>
      <c r="Z253" s="4">
        <f ca="1" t="shared" si="415"/>
        <v>0</v>
      </c>
      <c r="AA253" s="4">
        <f ca="1" t="shared" si="416"/>
        <v>0</v>
      </c>
      <c r="AB253" s="4"/>
    </row>
    <row r="254" customHeight="1" outlineLevel="3" spans="1:28">
      <c r="A254" s="514" t="s">
        <v>1354</v>
      </c>
      <c r="B254" s="4"/>
      <c r="C254" s="510" t="s">
        <v>64</v>
      </c>
      <c r="D254" s="4" t="s">
        <v>296</v>
      </c>
      <c r="E254" s="4"/>
      <c r="F254" s="4" t="str">
        <f ca="1" t="shared" si="407"/>
        <v>t</v>
      </c>
      <c r="G254" s="4"/>
      <c r="H254" s="4"/>
      <c r="I254" s="4"/>
      <c r="J254" s="4"/>
      <c r="K254" s="4"/>
      <c r="L254" s="517"/>
      <c r="M254" s="4">
        <v>323.76</v>
      </c>
      <c r="N254" s="4">
        <f ca="1" t="shared" si="408"/>
        <v>700</v>
      </c>
      <c r="O254" s="4">
        <f ca="1">M254*N254</f>
        <v>226632</v>
      </c>
      <c r="P254" s="4"/>
      <c r="Q254" s="4"/>
      <c r="R254" s="4"/>
      <c r="S254" s="4"/>
      <c r="T254" s="4">
        <f ca="1" t="shared" si="409"/>
        <v>0</v>
      </c>
      <c r="U254" s="4">
        <f ca="1" t="shared" si="410"/>
        <v>0</v>
      </c>
      <c r="V254" s="4">
        <f ca="1" t="shared" si="411"/>
        <v>0</v>
      </c>
      <c r="W254" s="4">
        <f ca="1" t="shared" si="412"/>
        <v>0</v>
      </c>
      <c r="X254" s="4">
        <f ca="1" t="shared" si="413"/>
        <v>323.76</v>
      </c>
      <c r="Y254" s="4">
        <f ca="1" t="shared" si="414"/>
        <v>226632</v>
      </c>
      <c r="Z254" s="4">
        <f ca="1" t="shared" si="415"/>
        <v>0</v>
      </c>
      <c r="AA254" s="4">
        <f ca="1" t="shared" si="416"/>
        <v>0</v>
      </c>
      <c r="AB254" s="4"/>
    </row>
    <row r="255" customHeight="1" outlineLevel="3" spans="1:28">
      <c r="A255" s="514" t="s">
        <v>1355</v>
      </c>
      <c r="B255" s="4"/>
      <c r="C255" s="510" t="s">
        <v>59</v>
      </c>
      <c r="D255" s="4" t="s">
        <v>812</v>
      </c>
      <c r="E255" s="4"/>
      <c r="F255" s="4" t="str">
        <f ca="1" t="shared" si="407"/>
        <v>m³</v>
      </c>
      <c r="G255" s="4"/>
      <c r="H255" s="4"/>
      <c r="I255" s="4"/>
      <c r="J255" s="4"/>
      <c r="K255" s="4"/>
      <c r="L255" s="517"/>
      <c r="M255" s="4">
        <v>637.3509</v>
      </c>
      <c r="N255" s="4">
        <f ca="1" t="shared" si="408"/>
        <v>460</v>
      </c>
      <c r="O255" s="4">
        <f ca="1">M255*N255</f>
        <v>293181.414</v>
      </c>
      <c r="P255" s="4"/>
      <c r="Q255" s="4"/>
      <c r="R255" s="4"/>
      <c r="S255" s="4"/>
      <c r="T255" s="4">
        <f ca="1" t="shared" si="409"/>
        <v>0</v>
      </c>
      <c r="U255" s="4">
        <f ca="1" t="shared" si="410"/>
        <v>0</v>
      </c>
      <c r="V255" s="4">
        <f ca="1" t="shared" si="411"/>
        <v>0</v>
      </c>
      <c r="W255" s="4">
        <f ca="1" t="shared" si="412"/>
        <v>0</v>
      </c>
      <c r="X255" s="4">
        <f ca="1" t="shared" si="413"/>
        <v>637.3509</v>
      </c>
      <c r="Y255" s="4">
        <f ca="1" t="shared" si="414"/>
        <v>293181.414</v>
      </c>
      <c r="Z255" s="4">
        <f ca="1" t="shared" si="415"/>
        <v>0</v>
      </c>
      <c r="AA255" s="4">
        <f ca="1" t="shared" si="416"/>
        <v>0</v>
      </c>
      <c r="AB255" s="4"/>
    </row>
    <row r="256" customHeight="1" outlineLevel="2" spans="1:28">
      <c r="A256" s="515" t="s">
        <v>1356</v>
      </c>
      <c r="B256" s="4"/>
      <c r="C256" s="510" t="s">
        <v>1309</v>
      </c>
      <c r="D256" s="4" t="s">
        <v>2488</v>
      </c>
      <c r="E256" s="4" t="s">
        <v>2472</v>
      </c>
      <c r="F256" s="4" t="s">
        <v>72</v>
      </c>
      <c r="G256" s="4">
        <v>88.35</v>
      </c>
      <c r="H256" s="4">
        <v>1465.78899082569</v>
      </c>
      <c r="I256" s="4">
        <f>G256*H256</f>
        <v>129502.45733945</v>
      </c>
      <c r="J256" s="4">
        <f t="shared" ref="J256:L256" si="417">+G256</f>
        <v>88.35</v>
      </c>
      <c r="K256" s="4">
        <f t="shared" si="417"/>
        <v>1465.78899082569</v>
      </c>
      <c r="L256" s="517">
        <f t="shared" si="417"/>
        <v>129502.45733945</v>
      </c>
      <c r="M256" s="4">
        <v>88.35</v>
      </c>
      <c r="N256" s="4">
        <f ca="1">O256/M256</f>
        <v>1345.84991511036</v>
      </c>
      <c r="O256" s="4">
        <f ca="1">(+O257+O258+O259+O260+O261)</f>
        <v>118905.84</v>
      </c>
      <c r="P256" s="4"/>
      <c r="Q256" s="4"/>
      <c r="R256" s="4">
        <f>+P256+J256</f>
        <v>88.35</v>
      </c>
      <c r="S256" s="4">
        <f>+Q256+L256</f>
        <v>129502.45733945</v>
      </c>
      <c r="T256" s="4">
        <f>IFERROR(VLOOKUP(A256,产值统计中间表!A:F,7,FALSE),0)</f>
        <v>0</v>
      </c>
      <c r="U256" s="4">
        <f>+T256*H256</f>
        <v>0</v>
      </c>
      <c r="V256" s="4">
        <f>IFERROR(VLOOKUP(A256,产值统计中间表!A:D,4,FALSE),0)</f>
        <v>0</v>
      </c>
      <c r="W256" s="4">
        <f>+V256*H256</f>
        <v>0</v>
      </c>
      <c r="X256" s="4">
        <f>+R256-V256</f>
        <v>88.35</v>
      </c>
      <c r="Y256" s="4">
        <f>+S256-W256</f>
        <v>129502.45733945</v>
      </c>
      <c r="Z256" s="4">
        <f>IFERROR(VLOOKUP(A256,业主统计中间表!A:D,4,FALSE),0)</f>
        <v>0</v>
      </c>
      <c r="AA256" s="4">
        <f>+Z256*H256</f>
        <v>0</v>
      </c>
      <c r="AB256" s="4"/>
    </row>
    <row r="257" customHeight="1" outlineLevel="3" spans="1:28">
      <c r="A257" s="514" t="s">
        <v>1358</v>
      </c>
      <c r="B257" s="4"/>
      <c r="C257" s="510" t="s">
        <v>64</v>
      </c>
      <c r="D257" s="4" t="s">
        <v>752</v>
      </c>
      <c r="E257" s="4"/>
      <c r="F257" s="4" t="str">
        <f ca="1" t="shared" ref="F257:F261" si="418">VLOOKUP($D257,INDIRECT($C257),2,0)</f>
        <v>m3</v>
      </c>
      <c r="G257" s="4"/>
      <c r="H257" s="4"/>
      <c r="I257" s="4"/>
      <c r="J257" s="4"/>
      <c r="K257" s="4"/>
      <c r="L257" s="517"/>
      <c r="M257" s="4">
        <v>88.79175</v>
      </c>
      <c r="N257" s="4">
        <f ca="1" t="shared" ref="N257:N261" si="419">VLOOKUP($D257,INDIRECT($C257),3,0)</f>
        <v>30</v>
      </c>
      <c r="O257" s="4">
        <f ca="1">M257*N257</f>
        <v>2663.7525</v>
      </c>
      <c r="P257" s="4"/>
      <c r="Q257" s="4"/>
      <c r="R257" s="4"/>
      <c r="S257" s="4"/>
      <c r="T257" s="4">
        <f ca="1" t="shared" ref="T257:T261" si="420">OFFSET(T257,-RIGHT($A257,LEN($A$6)),,1,1)/OFFSET(T257,-RIGHT($A257,LEN($A$6)),-13,1,1)*$M257</f>
        <v>0</v>
      </c>
      <c r="U257" s="4">
        <f ca="1" t="shared" ref="U257:U261" si="421">+$N257*T257</f>
        <v>0</v>
      </c>
      <c r="V257" s="4">
        <f ca="1" t="shared" ref="V257:V261" si="422">OFFSET(V257,-RIGHT($A257,LEN($A$6)),,1,1)/OFFSET(V257,-RIGHT($A257,LEN($A$6)),-15,1,1)*$M257</f>
        <v>0</v>
      </c>
      <c r="W257" s="4">
        <f ca="1" t="shared" ref="W257:W261" si="423">+$N257*V257</f>
        <v>0</v>
      </c>
      <c r="X257" s="4">
        <f ca="1" t="shared" ref="X257:X261" si="424">+M257-V257</f>
        <v>88.79175</v>
      </c>
      <c r="Y257" s="4">
        <f ca="1" t="shared" ref="Y257:Y261" si="425">+O257-W257</f>
        <v>2663.7525</v>
      </c>
      <c r="Z257" s="4">
        <f ca="1" t="shared" ref="Z257:Z261" si="426">OFFSET(Z257,-RIGHT($A257,LEN($A$6)),,1,1)/OFFSET(Z257,-RIGHT($A257,LEN($A$6)),-19,1,1)*$M257</f>
        <v>0</v>
      </c>
      <c r="AA257" s="4">
        <f ca="1" t="shared" ref="AA257:AA261" si="427">+$N257*Z257</f>
        <v>0</v>
      </c>
      <c r="AB257" s="4"/>
    </row>
    <row r="258" customHeight="1" outlineLevel="3" spans="1:28">
      <c r="A258" s="514" t="s">
        <v>1359</v>
      </c>
      <c r="B258" s="4"/>
      <c r="C258" s="510" t="s">
        <v>64</v>
      </c>
      <c r="D258" s="4" t="s">
        <v>1109</v>
      </c>
      <c r="E258" s="4"/>
      <c r="F258" s="4" t="str">
        <f ca="1" t="shared" si="418"/>
        <v>m2</v>
      </c>
      <c r="G258" s="4"/>
      <c r="H258" s="4"/>
      <c r="I258" s="4"/>
      <c r="J258" s="4"/>
      <c r="K258" s="4"/>
      <c r="L258" s="517"/>
      <c r="M258" s="4">
        <v>18.99</v>
      </c>
      <c r="N258" s="4">
        <f ca="1" t="shared" si="419"/>
        <v>60</v>
      </c>
      <c r="O258" s="4">
        <f ca="1">M258*N258</f>
        <v>1139.4</v>
      </c>
      <c r="P258" s="4"/>
      <c r="Q258" s="4"/>
      <c r="R258" s="4"/>
      <c r="S258" s="4"/>
      <c r="T258" s="4">
        <f ca="1" t="shared" si="420"/>
        <v>0</v>
      </c>
      <c r="U258" s="4">
        <f ca="1" t="shared" si="421"/>
        <v>0</v>
      </c>
      <c r="V258" s="4">
        <f ca="1" t="shared" si="422"/>
        <v>0</v>
      </c>
      <c r="W258" s="4">
        <f ca="1" t="shared" si="423"/>
        <v>0</v>
      </c>
      <c r="X258" s="4">
        <f ca="1" t="shared" si="424"/>
        <v>18.99</v>
      </c>
      <c r="Y258" s="4">
        <f ca="1" t="shared" si="425"/>
        <v>1139.4</v>
      </c>
      <c r="Z258" s="4">
        <f ca="1" t="shared" si="426"/>
        <v>0</v>
      </c>
      <c r="AA258" s="4">
        <f ca="1" t="shared" si="427"/>
        <v>0</v>
      </c>
      <c r="AB258" s="4"/>
    </row>
    <row r="259" customHeight="1" outlineLevel="3" spans="1:28">
      <c r="A259" s="514" t="s">
        <v>1360</v>
      </c>
      <c r="B259" s="4"/>
      <c r="C259" s="510" t="s">
        <v>64</v>
      </c>
      <c r="D259" s="4" t="s">
        <v>296</v>
      </c>
      <c r="E259" s="4"/>
      <c r="F259" s="4" t="str">
        <f ca="1" t="shared" si="418"/>
        <v>t</v>
      </c>
      <c r="G259" s="4"/>
      <c r="H259" s="4"/>
      <c r="I259" s="4"/>
      <c r="J259" s="4"/>
      <c r="K259" s="4"/>
      <c r="L259" s="517"/>
      <c r="M259" s="4">
        <v>15.336</v>
      </c>
      <c r="N259" s="4">
        <f ca="1" t="shared" si="419"/>
        <v>700</v>
      </c>
      <c r="O259" s="4">
        <f ca="1">M259*N259</f>
        <v>10735.2</v>
      </c>
      <c r="P259" s="4"/>
      <c r="Q259" s="4"/>
      <c r="R259" s="4"/>
      <c r="S259" s="4"/>
      <c r="T259" s="4">
        <f ca="1" t="shared" si="420"/>
        <v>0</v>
      </c>
      <c r="U259" s="4">
        <f ca="1" t="shared" si="421"/>
        <v>0</v>
      </c>
      <c r="V259" s="4">
        <f ca="1" t="shared" si="422"/>
        <v>0</v>
      </c>
      <c r="W259" s="4">
        <f ca="1" t="shared" si="423"/>
        <v>0</v>
      </c>
      <c r="X259" s="4">
        <f ca="1" t="shared" si="424"/>
        <v>15.336</v>
      </c>
      <c r="Y259" s="4">
        <f ca="1" t="shared" si="425"/>
        <v>10735.2</v>
      </c>
      <c r="Z259" s="4">
        <f ca="1" t="shared" si="426"/>
        <v>0</v>
      </c>
      <c r="AA259" s="4">
        <f ca="1" t="shared" si="427"/>
        <v>0</v>
      </c>
      <c r="AB259" s="4"/>
    </row>
    <row r="260" customHeight="1" outlineLevel="3" spans="1:28">
      <c r="A260" s="514" t="s">
        <v>1361</v>
      </c>
      <c r="B260" s="4"/>
      <c r="C260" s="510" t="s">
        <v>59</v>
      </c>
      <c r="D260" s="4" t="s">
        <v>792</v>
      </c>
      <c r="E260" s="4"/>
      <c r="F260" s="4" t="str">
        <f ca="1" t="shared" si="418"/>
        <v>m³</v>
      </c>
      <c r="G260" s="4"/>
      <c r="H260" s="4"/>
      <c r="I260" s="4"/>
      <c r="J260" s="4"/>
      <c r="K260" s="4"/>
      <c r="L260" s="517"/>
      <c r="M260" s="4">
        <v>88.79175</v>
      </c>
      <c r="N260" s="4">
        <f ca="1" t="shared" si="419"/>
        <v>450</v>
      </c>
      <c r="O260" s="4">
        <f ca="1">M260*N260</f>
        <v>39956.2875</v>
      </c>
      <c r="P260" s="4"/>
      <c r="Q260" s="4"/>
      <c r="R260" s="4"/>
      <c r="S260" s="4"/>
      <c r="T260" s="4">
        <f ca="1" t="shared" si="420"/>
        <v>0</v>
      </c>
      <c r="U260" s="4">
        <f ca="1" t="shared" si="421"/>
        <v>0</v>
      </c>
      <c r="V260" s="4">
        <f ca="1" t="shared" si="422"/>
        <v>0</v>
      </c>
      <c r="W260" s="4">
        <f ca="1" t="shared" si="423"/>
        <v>0</v>
      </c>
      <c r="X260" s="4">
        <f ca="1" t="shared" si="424"/>
        <v>88.79175</v>
      </c>
      <c r="Y260" s="4">
        <f ca="1" t="shared" si="425"/>
        <v>39956.2875</v>
      </c>
      <c r="Z260" s="4">
        <f ca="1" t="shared" si="426"/>
        <v>0</v>
      </c>
      <c r="AA260" s="4">
        <f ca="1" t="shared" si="427"/>
        <v>0</v>
      </c>
      <c r="AB260" s="4"/>
    </row>
    <row r="261" customHeight="1" outlineLevel="3" spans="1:28">
      <c r="A261" s="514" t="s">
        <v>1362</v>
      </c>
      <c r="B261" s="4"/>
      <c r="C261" s="510" t="s">
        <v>59</v>
      </c>
      <c r="D261" s="4" t="s">
        <v>480</v>
      </c>
      <c r="E261" s="4" t="str">
        <f ca="1">"含钢量："&amp;ROUND($M$261/$G$256,3)&amp;$F$261&amp;"/"&amp;$F$256</f>
        <v>含钢量：0.174t/m3</v>
      </c>
      <c r="F261" s="4" t="str">
        <f ca="1" t="shared" si="418"/>
        <v>t</v>
      </c>
      <c r="G261" s="4"/>
      <c r="H261" s="4"/>
      <c r="I261" s="4"/>
      <c r="J261" s="4"/>
      <c r="K261" s="4"/>
      <c r="L261" s="517"/>
      <c r="M261" s="4">
        <v>15.336</v>
      </c>
      <c r="N261" s="4">
        <f ca="1" t="shared" si="419"/>
        <v>4200</v>
      </c>
      <c r="O261" s="4">
        <f ca="1">M261*N261</f>
        <v>64411.2</v>
      </c>
      <c r="P261" s="4"/>
      <c r="Q261" s="4"/>
      <c r="R261" s="4"/>
      <c r="S261" s="4"/>
      <c r="T261" s="4">
        <f ca="1" t="shared" si="420"/>
        <v>0</v>
      </c>
      <c r="U261" s="4">
        <f ca="1" t="shared" si="421"/>
        <v>0</v>
      </c>
      <c r="V261" s="4">
        <f ca="1" t="shared" si="422"/>
        <v>0</v>
      </c>
      <c r="W261" s="4">
        <f ca="1" t="shared" si="423"/>
        <v>0</v>
      </c>
      <c r="X261" s="4">
        <f ca="1" t="shared" si="424"/>
        <v>15.336</v>
      </c>
      <c r="Y261" s="4">
        <f ca="1" t="shared" si="425"/>
        <v>64411.2</v>
      </c>
      <c r="Z261" s="4">
        <f ca="1" t="shared" si="426"/>
        <v>0</v>
      </c>
      <c r="AA261" s="4">
        <f ca="1" t="shared" si="427"/>
        <v>0</v>
      </c>
      <c r="AB261" s="4"/>
    </row>
    <row r="262" customHeight="1" outlineLevel="2" spans="1:28">
      <c r="A262" s="515" t="s">
        <v>1363</v>
      </c>
      <c r="B262" s="4"/>
      <c r="C262" s="510" t="s">
        <v>1309</v>
      </c>
      <c r="D262" s="4" t="s">
        <v>2728</v>
      </c>
      <c r="E262" s="4" t="s">
        <v>2472</v>
      </c>
      <c r="F262" s="4" t="s">
        <v>72</v>
      </c>
      <c r="G262" s="4">
        <v>44.7</v>
      </c>
      <c r="H262" s="4">
        <v>1512.60550458716</v>
      </c>
      <c r="I262" s="4">
        <f>G262*H262</f>
        <v>67613.4660550461</v>
      </c>
      <c r="J262" s="4">
        <f t="shared" ref="J262:L262" si="428">+G262</f>
        <v>44.7</v>
      </c>
      <c r="K262" s="4">
        <f t="shared" si="428"/>
        <v>1512.60550458716</v>
      </c>
      <c r="L262" s="517">
        <f t="shared" si="428"/>
        <v>67613.4660550461</v>
      </c>
      <c r="M262" s="4">
        <v>44.7</v>
      </c>
      <c r="N262" s="4">
        <f ca="1">O262/M262</f>
        <v>1419.50850111857</v>
      </c>
      <c r="O262" s="4">
        <f ca="1">(+O263+O264+O265+O266+O267)</f>
        <v>63452.03</v>
      </c>
      <c r="P262" s="4"/>
      <c r="Q262" s="4"/>
      <c r="R262" s="4">
        <f>+P262+J262</f>
        <v>44.7</v>
      </c>
      <c r="S262" s="4">
        <f>+Q262+L262</f>
        <v>67613.4660550461</v>
      </c>
      <c r="T262" s="4">
        <f>IFERROR(VLOOKUP(A262,产值统计中间表!A:F,7,FALSE),0)</f>
        <v>0</v>
      </c>
      <c r="U262" s="4">
        <f>+T262*H262</f>
        <v>0</v>
      </c>
      <c r="V262" s="4">
        <f>IFERROR(VLOOKUP(A262,产值统计中间表!A:D,4,FALSE),0)</f>
        <v>0</v>
      </c>
      <c r="W262" s="4">
        <f>+V262*H262</f>
        <v>0</v>
      </c>
      <c r="X262" s="4">
        <f>+R262-V262</f>
        <v>44.7</v>
      </c>
      <c r="Y262" s="4">
        <f>+S262-W262</f>
        <v>67613.4660550461</v>
      </c>
      <c r="Z262" s="4">
        <f>IFERROR(VLOOKUP(A262,业主统计中间表!A:D,4,FALSE),0)</f>
        <v>0</v>
      </c>
      <c r="AA262" s="4">
        <f>+Z262*H262</f>
        <v>0</v>
      </c>
      <c r="AB262" s="4"/>
    </row>
    <row r="263" customHeight="1" outlineLevel="3" spans="1:28">
      <c r="A263" s="514" t="s">
        <v>1366</v>
      </c>
      <c r="B263" s="4"/>
      <c r="C263" s="510" t="s">
        <v>64</v>
      </c>
      <c r="D263" s="4" t="s">
        <v>752</v>
      </c>
      <c r="E263" s="4"/>
      <c r="F263" s="4" t="str">
        <f ca="1" t="shared" ref="F263:F267" si="429">VLOOKUP($D263,INDIRECT($C263),2,0)</f>
        <v>m3</v>
      </c>
      <c r="G263" s="4"/>
      <c r="H263" s="4"/>
      <c r="I263" s="4"/>
      <c r="J263" s="4"/>
      <c r="K263" s="4"/>
      <c r="L263" s="517"/>
      <c r="M263" s="4">
        <v>44.9235</v>
      </c>
      <c r="N263" s="4">
        <f ca="1" t="shared" ref="N263:N267" si="430">VLOOKUP($D263,INDIRECT($C263),3,0)</f>
        <v>30</v>
      </c>
      <c r="O263" s="4">
        <f ca="1">M263*N263</f>
        <v>1347.705</v>
      </c>
      <c r="P263" s="4"/>
      <c r="Q263" s="4"/>
      <c r="R263" s="4"/>
      <c r="S263" s="4"/>
      <c r="T263" s="4">
        <f ca="1" t="shared" ref="T263:T267" si="431">OFFSET(T263,-RIGHT($A263,LEN($A$6)),,1,1)/OFFSET(T263,-RIGHT($A263,LEN($A$6)),-13,1,1)*$M263</f>
        <v>0</v>
      </c>
      <c r="U263" s="4">
        <f ca="1" t="shared" ref="U263:U267" si="432">+$N263*T263</f>
        <v>0</v>
      </c>
      <c r="V263" s="4">
        <f ca="1" t="shared" ref="V263:V267" si="433">OFFSET(V263,-RIGHT($A263,LEN($A$6)),,1,1)/OFFSET(V263,-RIGHT($A263,LEN($A$6)),-15,1,1)*$M263</f>
        <v>0</v>
      </c>
      <c r="W263" s="4">
        <f ca="1" t="shared" ref="W263:W267" si="434">+$N263*V263</f>
        <v>0</v>
      </c>
      <c r="X263" s="4">
        <f ca="1" t="shared" ref="X263:X267" si="435">+M263-V263</f>
        <v>44.9235</v>
      </c>
      <c r="Y263" s="4">
        <f ca="1" t="shared" ref="Y263:Y267" si="436">+O263-W263</f>
        <v>1347.705</v>
      </c>
      <c r="Z263" s="4">
        <f ca="1" t="shared" ref="Z263:Z267" si="437">OFFSET(Z263,-RIGHT($A263,LEN($A$6)),,1,1)/OFFSET(Z263,-RIGHT($A263,LEN($A$6)),-19,1,1)*$M263</f>
        <v>0</v>
      </c>
      <c r="AA263" s="4">
        <f ca="1" t="shared" ref="AA263:AA267" si="438">+$N263*Z263</f>
        <v>0</v>
      </c>
      <c r="AB263" s="4"/>
    </row>
    <row r="264" customHeight="1" outlineLevel="3" spans="1:28">
      <c r="A264" s="514" t="s">
        <v>1367</v>
      </c>
      <c r="B264" s="4"/>
      <c r="C264" s="510" t="s">
        <v>64</v>
      </c>
      <c r="D264" s="4" t="s">
        <v>262</v>
      </c>
      <c r="E264" s="4"/>
      <c r="F264" s="4" t="str">
        <f ca="1" t="shared" si="429"/>
        <v>m2</v>
      </c>
      <c r="G264" s="4"/>
      <c r="H264" s="4"/>
      <c r="I264" s="4"/>
      <c r="J264" s="4"/>
      <c r="K264" s="4"/>
      <c r="L264" s="517"/>
      <c r="M264" s="4">
        <v>50</v>
      </c>
      <c r="N264" s="4">
        <f ca="1" t="shared" si="430"/>
        <v>55</v>
      </c>
      <c r="O264" s="4">
        <f ca="1">M264*N264</f>
        <v>2750</v>
      </c>
      <c r="P264" s="4"/>
      <c r="Q264" s="4"/>
      <c r="R264" s="4"/>
      <c r="S264" s="4"/>
      <c r="T264" s="4">
        <f ca="1" t="shared" si="431"/>
        <v>0</v>
      </c>
      <c r="U264" s="4">
        <f ca="1" t="shared" si="432"/>
        <v>0</v>
      </c>
      <c r="V264" s="4">
        <f ca="1" t="shared" si="433"/>
        <v>0</v>
      </c>
      <c r="W264" s="4">
        <f ca="1" t="shared" si="434"/>
        <v>0</v>
      </c>
      <c r="X264" s="4">
        <f ca="1" t="shared" si="435"/>
        <v>50</v>
      </c>
      <c r="Y264" s="4">
        <f ca="1" t="shared" si="436"/>
        <v>2750</v>
      </c>
      <c r="Z264" s="4">
        <f ca="1" t="shared" si="437"/>
        <v>0</v>
      </c>
      <c r="AA264" s="4">
        <f ca="1" t="shared" si="438"/>
        <v>0</v>
      </c>
      <c r="AB264" s="4"/>
    </row>
    <row r="265" customHeight="1" outlineLevel="3" spans="1:28">
      <c r="A265" s="514" t="s">
        <v>1368</v>
      </c>
      <c r="B265" s="4"/>
      <c r="C265" s="510" t="s">
        <v>59</v>
      </c>
      <c r="D265" s="4" t="s">
        <v>792</v>
      </c>
      <c r="E265" s="4"/>
      <c r="F265" s="4" t="str">
        <f ca="1" t="shared" si="429"/>
        <v>m³</v>
      </c>
      <c r="G265" s="4"/>
      <c r="H265" s="4"/>
      <c r="I265" s="4"/>
      <c r="J265" s="4"/>
      <c r="K265" s="4"/>
      <c r="L265" s="517"/>
      <c r="M265" s="4">
        <v>44.9235</v>
      </c>
      <c r="N265" s="4">
        <f ca="1" t="shared" si="430"/>
        <v>450</v>
      </c>
      <c r="O265" s="4">
        <f ca="1">M265*N265</f>
        <v>20215.575</v>
      </c>
      <c r="P265" s="4"/>
      <c r="Q265" s="4"/>
      <c r="R265" s="4"/>
      <c r="S265" s="4"/>
      <c r="T265" s="4">
        <f ca="1" t="shared" si="431"/>
        <v>0</v>
      </c>
      <c r="U265" s="4">
        <f ca="1" t="shared" si="432"/>
        <v>0</v>
      </c>
      <c r="V265" s="4">
        <f ca="1" t="shared" si="433"/>
        <v>0</v>
      </c>
      <c r="W265" s="4">
        <f ca="1" t="shared" si="434"/>
        <v>0</v>
      </c>
      <c r="X265" s="4">
        <f ca="1" t="shared" si="435"/>
        <v>44.9235</v>
      </c>
      <c r="Y265" s="4">
        <f ca="1" t="shared" si="436"/>
        <v>20215.575</v>
      </c>
      <c r="Z265" s="4">
        <f ca="1" t="shared" si="437"/>
        <v>0</v>
      </c>
      <c r="AA265" s="4">
        <f ca="1" t="shared" si="438"/>
        <v>0</v>
      </c>
      <c r="AB265" s="4"/>
    </row>
    <row r="266" customHeight="1" outlineLevel="3" spans="1:28">
      <c r="A266" s="514" t="s">
        <v>1369</v>
      </c>
      <c r="B266" s="4"/>
      <c r="C266" s="510" t="s">
        <v>59</v>
      </c>
      <c r="D266" s="4" t="s">
        <v>480</v>
      </c>
      <c r="E266" s="4" t="str">
        <f ca="1">"含钢量："&amp;ROUND($M$266/$G$262,3)&amp;$F$266&amp;"/"&amp;$F$262</f>
        <v>含钢量：0.179t/m3</v>
      </c>
      <c r="F266" s="4" t="str">
        <f ca="1" t="shared" si="429"/>
        <v>t</v>
      </c>
      <c r="G266" s="4"/>
      <c r="H266" s="4"/>
      <c r="I266" s="4"/>
      <c r="J266" s="4"/>
      <c r="K266" s="4"/>
      <c r="L266" s="517"/>
      <c r="M266" s="4">
        <v>7.9875</v>
      </c>
      <c r="N266" s="4">
        <f ca="1" t="shared" si="430"/>
        <v>4200</v>
      </c>
      <c r="O266" s="4">
        <f ca="1">M266*N266</f>
        <v>33547.5</v>
      </c>
      <c r="P266" s="4"/>
      <c r="Q266" s="4"/>
      <c r="R266" s="4"/>
      <c r="S266" s="4"/>
      <c r="T266" s="4">
        <f ca="1" t="shared" si="431"/>
        <v>0</v>
      </c>
      <c r="U266" s="4">
        <f ca="1" t="shared" si="432"/>
        <v>0</v>
      </c>
      <c r="V266" s="4">
        <f ca="1" t="shared" si="433"/>
        <v>0</v>
      </c>
      <c r="W266" s="4">
        <f ca="1" t="shared" si="434"/>
        <v>0</v>
      </c>
      <c r="X266" s="4">
        <f ca="1" t="shared" si="435"/>
        <v>7.9875</v>
      </c>
      <c r="Y266" s="4">
        <f ca="1" t="shared" si="436"/>
        <v>33547.5</v>
      </c>
      <c r="Z266" s="4">
        <f ca="1" t="shared" si="437"/>
        <v>0</v>
      </c>
      <c r="AA266" s="4">
        <f ca="1" t="shared" si="438"/>
        <v>0</v>
      </c>
      <c r="AB266" s="4"/>
    </row>
    <row r="267" customHeight="1" outlineLevel="3" spans="1:28">
      <c r="A267" s="514" t="s">
        <v>1370</v>
      </c>
      <c r="B267" s="4"/>
      <c r="C267" s="510" t="s">
        <v>64</v>
      </c>
      <c r="D267" s="4" t="s">
        <v>296</v>
      </c>
      <c r="E267" s="4"/>
      <c r="F267" s="4" t="str">
        <f ca="1" t="shared" si="429"/>
        <v>t</v>
      </c>
      <c r="G267" s="4"/>
      <c r="H267" s="4"/>
      <c r="I267" s="4"/>
      <c r="J267" s="4"/>
      <c r="K267" s="4"/>
      <c r="L267" s="517"/>
      <c r="M267" s="4">
        <v>7.9875</v>
      </c>
      <c r="N267" s="4">
        <f ca="1" t="shared" si="430"/>
        <v>700</v>
      </c>
      <c r="O267" s="4">
        <f ca="1">M267*N267</f>
        <v>5591.25</v>
      </c>
      <c r="P267" s="4"/>
      <c r="Q267" s="4"/>
      <c r="R267" s="4"/>
      <c r="S267" s="4"/>
      <c r="T267" s="4">
        <f ca="1" t="shared" si="431"/>
        <v>0</v>
      </c>
      <c r="U267" s="4">
        <f ca="1" t="shared" si="432"/>
        <v>0</v>
      </c>
      <c r="V267" s="4">
        <f ca="1" t="shared" si="433"/>
        <v>0</v>
      </c>
      <c r="W267" s="4">
        <f ca="1" t="shared" si="434"/>
        <v>0</v>
      </c>
      <c r="X267" s="4">
        <f ca="1" t="shared" si="435"/>
        <v>7.9875</v>
      </c>
      <c r="Y267" s="4">
        <f ca="1" t="shared" si="436"/>
        <v>5591.25</v>
      </c>
      <c r="Z267" s="4">
        <f ca="1" t="shared" si="437"/>
        <v>0</v>
      </c>
      <c r="AA267" s="4">
        <f ca="1" t="shared" si="438"/>
        <v>0</v>
      </c>
      <c r="AB267" s="4"/>
    </row>
    <row r="268" customHeight="1" outlineLevel="2" spans="1:28">
      <c r="A268" s="515" t="s">
        <v>2729</v>
      </c>
      <c r="B268" s="4"/>
      <c r="C268" s="510" t="s">
        <v>1309</v>
      </c>
      <c r="D268" s="4" t="s">
        <v>2730</v>
      </c>
      <c r="E268" s="4" t="s">
        <v>2472</v>
      </c>
      <c r="F268" s="4" t="s">
        <v>72</v>
      </c>
      <c r="G268" s="4">
        <v>6483.4</v>
      </c>
      <c r="H268" s="4">
        <v>2230.83486238532</v>
      </c>
      <c r="I268" s="4">
        <f>G268*H268</f>
        <v>14463394.746789</v>
      </c>
      <c r="J268" s="4">
        <f t="shared" ref="J268:L268" si="439">+G268</f>
        <v>6483.4</v>
      </c>
      <c r="K268" s="4">
        <f t="shared" si="439"/>
        <v>2230.83486238532</v>
      </c>
      <c r="L268" s="517">
        <f t="shared" si="439"/>
        <v>14463394.746789</v>
      </c>
      <c r="M268" s="4">
        <v>6483.4</v>
      </c>
      <c r="N268" s="4">
        <f ca="1">O268/M268</f>
        <v>2800.63600490483</v>
      </c>
      <c r="O268" s="4">
        <f ca="1">(+O269+O270+O271+O272+O273+O274+O275+O276+O277+O278+O279+O280+O281+O282)</f>
        <v>18157643.4742</v>
      </c>
      <c r="P268" s="4"/>
      <c r="Q268" s="4"/>
      <c r="R268" s="4">
        <f>+P268+J268</f>
        <v>6483.4</v>
      </c>
      <c r="S268" s="4">
        <f>+Q268+L268</f>
        <v>14463394.746789</v>
      </c>
      <c r="T268" s="4">
        <f>IFERROR(VLOOKUP(A268,产值统计中间表!A:F,7,FALSE),0)</f>
        <v>0</v>
      </c>
      <c r="U268" s="4">
        <f>+T268*H268</f>
        <v>0</v>
      </c>
      <c r="V268" s="4">
        <f>IFERROR(VLOOKUP(A268,产值统计中间表!A:D,4,FALSE),0)</f>
        <v>0</v>
      </c>
      <c r="W268" s="4">
        <f>+V268*H268</f>
        <v>0</v>
      </c>
      <c r="X268" s="4">
        <f>+R268-V268</f>
        <v>6483.4</v>
      </c>
      <c r="Y268" s="4">
        <f>+S268-W268</f>
        <v>14463394.746789</v>
      </c>
      <c r="Z268" s="4">
        <f>IFERROR(VLOOKUP(A268,业主统计中间表!A:D,4,FALSE),0)</f>
        <v>0</v>
      </c>
      <c r="AA268" s="4">
        <f>+Z268*H268</f>
        <v>0</v>
      </c>
      <c r="AB268" s="4"/>
    </row>
    <row r="269" customHeight="1" outlineLevel="3" spans="1:28">
      <c r="A269" s="514" t="s">
        <v>2731</v>
      </c>
      <c r="B269" s="4"/>
      <c r="C269" s="510" t="s">
        <v>63</v>
      </c>
      <c r="D269" s="4" t="s">
        <v>1189</v>
      </c>
      <c r="E269" s="4"/>
      <c r="F269" s="4" t="str">
        <f ca="1" t="shared" ref="F269:F282" si="440">VLOOKUP($D269,INDIRECT($C269),2,0)</f>
        <v>m3</v>
      </c>
      <c r="G269" s="4"/>
      <c r="H269" s="4"/>
      <c r="I269" s="4"/>
      <c r="J269" s="4"/>
      <c r="K269" s="4"/>
      <c r="L269" s="517"/>
      <c r="M269" s="4">
        <v>0</v>
      </c>
      <c r="N269" s="4">
        <f ca="1" t="shared" ref="N269:N282" si="441">VLOOKUP($D269,INDIRECT($C269),3,0)</f>
        <v>170</v>
      </c>
      <c r="O269" s="4">
        <f ca="1" t="shared" ref="O269:O282" si="442">M269*N269</f>
        <v>0</v>
      </c>
      <c r="P269" s="4"/>
      <c r="Q269" s="4"/>
      <c r="R269" s="4"/>
      <c r="S269" s="4"/>
      <c r="T269" s="4">
        <f ca="1" t="shared" ref="T269:T282" si="443">OFFSET(T269,-RIGHT($A269,LEN($A$6)),,1,1)/OFFSET(T269,-RIGHT($A269,LEN($A$6)),-13,1,1)*$M269</f>
        <v>0</v>
      </c>
      <c r="U269" s="4">
        <f ca="1" t="shared" ref="U269:U282" si="444">+$N269*T269</f>
        <v>0</v>
      </c>
      <c r="V269" s="4">
        <f ca="1" t="shared" ref="V269:V282" si="445">OFFSET(V269,-RIGHT($A269,LEN($A$6)),,1,1)/OFFSET(V269,-RIGHT($A269,LEN($A$6)),-15,1,1)*$M269</f>
        <v>0</v>
      </c>
      <c r="W269" s="4">
        <f ca="1" t="shared" ref="W269:W282" si="446">+$N269*V269</f>
        <v>0</v>
      </c>
      <c r="X269" s="4">
        <f ca="1" t="shared" ref="X269:X282" si="447">+M269-V269</f>
        <v>0</v>
      </c>
      <c r="Y269" s="4">
        <f ca="1" t="shared" ref="Y269:Y282" si="448">+O269-W269</f>
        <v>0</v>
      </c>
      <c r="Z269" s="4">
        <f ca="1" t="shared" ref="Z269:Z282" si="449">OFFSET(Z269,-RIGHT($A269,LEN($A$6)),,1,1)/OFFSET(Z269,-RIGHT($A269,LEN($A$6)),-19,1,1)*$M269</f>
        <v>0</v>
      </c>
      <c r="AA269" s="4">
        <f ca="1" t="shared" ref="AA269:AA282" si="450">+$N269*Z269</f>
        <v>0</v>
      </c>
      <c r="AB269" s="4"/>
    </row>
    <row r="270" customHeight="1" outlineLevel="3" spans="1:28">
      <c r="A270" s="514" t="s">
        <v>2732</v>
      </c>
      <c r="B270" s="4"/>
      <c r="C270" s="510" t="s">
        <v>63</v>
      </c>
      <c r="D270" s="4" t="s">
        <v>1190</v>
      </c>
      <c r="E270" s="4"/>
      <c r="F270" s="4" t="str">
        <f ca="1" t="shared" si="440"/>
        <v>m3</v>
      </c>
      <c r="G270" s="4"/>
      <c r="H270" s="4"/>
      <c r="I270" s="4"/>
      <c r="J270" s="4"/>
      <c r="K270" s="4"/>
      <c r="L270" s="517"/>
      <c r="M270" s="4">
        <v>0</v>
      </c>
      <c r="N270" s="4">
        <f ca="1" t="shared" si="441"/>
        <v>0</v>
      </c>
      <c r="O270" s="4">
        <f ca="1" t="shared" si="442"/>
        <v>0</v>
      </c>
      <c r="P270" s="4"/>
      <c r="Q270" s="4"/>
      <c r="R270" s="4"/>
      <c r="S270" s="4"/>
      <c r="T270" s="4">
        <f ca="1" t="shared" si="443"/>
        <v>0</v>
      </c>
      <c r="U270" s="4">
        <f ca="1" t="shared" si="444"/>
        <v>0</v>
      </c>
      <c r="V270" s="4">
        <f ca="1" t="shared" si="445"/>
        <v>0</v>
      </c>
      <c r="W270" s="4">
        <f ca="1" t="shared" si="446"/>
        <v>0</v>
      </c>
      <c r="X270" s="4">
        <f ca="1" t="shared" si="447"/>
        <v>0</v>
      </c>
      <c r="Y270" s="4">
        <f ca="1" t="shared" si="448"/>
        <v>0</v>
      </c>
      <c r="Z270" s="4">
        <f ca="1" t="shared" si="449"/>
        <v>0</v>
      </c>
      <c r="AA270" s="4">
        <f ca="1" t="shared" si="450"/>
        <v>0</v>
      </c>
      <c r="AB270" s="4"/>
    </row>
    <row r="271" customHeight="1" outlineLevel="3" spans="1:28">
      <c r="A271" s="514" t="s">
        <v>2733</v>
      </c>
      <c r="B271" s="4"/>
      <c r="C271" s="510" t="s">
        <v>59</v>
      </c>
      <c r="D271" s="4" t="s">
        <v>800</v>
      </c>
      <c r="E271" s="4"/>
      <c r="F271" s="4" t="s">
        <v>82</v>
      </c>
      <c r="G271" s="4"/>
      <c r="H271" s="4"/>
      <c r="I271" s="4"/>
      <c r="J271" s="4"/>
      <c r="K271" s="4"/>
      <c r="L271" s="517"/>
      <c r="M271" s="4">
        <f>214.83*1.006</f>
        <v>216.11898</v>
      </c>
      <c r="N271" s="4">
        <v>4290</v>
      </c>
      <c r="O271" s="4">
        <f t="shared" si="442"/>
        <v>927150.4242</v>
      </c>
      <c r="P271" s="4"/>
      <c r="Q271" s="4"/>
      <c r="R271" s="4"/>
      <c r="S271" s="4"/>
      <c r="T271" s="4">
        <f ca="1" t="shared" si="443"/>
        <v>0</v>
      </c>
      <c r="U271" s="4">
        <f ca="1" t="shared" si="444"/>
        <v>0</v>
      </c>
      <c r="V271" s="4">
        <f ca="1" t="shared" si="445"/>
        <v>0</v>
      </c>
      <c r="W271" s="4">
        <f ca="1" t="shared" si="446"/>
        <v>0</v>
      </c>
      <c r="X271" s="4">
        <f ca="1" t="shared" si="447"/>
        <v>216.11898</v>
      </c>
      <c r="Y271" s="4">
        <f ca="1" t="shared" si="448"/>
        <v>927150.4242</v>
      </c>
      <c r="Z271" s="4">
        <f ca="1" t="shared" si="449"/>
        <v>0</v>
      </c>
      <c r="AA271" s="4">
        <f ca="1" t="shared" si="450"/>
        <v>0</v>
      </c>
      <c r="AB271" s="4"/>
    </row>
    <row r="272" customHeight="1" outlineLevel="3" spans="1:28">
      <c r="A272" s="514" t="s">
        <v>2734</v>
      </c>
      <c r="B272" s="4"/>
      <c r="C272" s="510" t="s">
        <v>59</v>
      </c>
      <c r="D272" s="4" t="s">
        <v>480</v>
      </c>
      <c r="E272" s="4" t="str">
        <f ca="1">"含钢量："&amp;ROUND($M$272/$G$268,3)&amp;$F$272&amp;"/"&amp;$F$268</f>
        <v>含钢量：0.243t/m3</v>
      </c>
      <c r="F272" s="4" t="str">
        <f ca="1" t="shared" si="440"/>
        <v>t</v>
      </c>
      <c r="G272" s="4"/>
      <c r="H272" s="4"/>
      <c r="I272" s="4"/>
      <c r="J272" s="4"/>
      <c r="K272" s="4"/>
      <c r="L272" s="517"/>
      <c r="M272" s="4">
        <f>1559.92*1.01</f>
        <v>1575.5192</v>
      </c>
      <c r="N272" s="4">
        <f ca="1" t="shared" si="441"/>
        <v>4200</v>
      </c>
      <c r="O272" s="4">
        <f ca="1" t="shared" si="442"/>
        <v>6617180.64</v>
      </c>
      <c r="P272" s="4"/>
      <c r="Q272" s="4"/>
      <c r="R272" s="4"/>
      <c r="S272" s="4"/>
      <c r="T272" s="4">
        <f ca="1" t="shared" si="443"/>
        <v>0</v>
      </c>
      <c r="U272" s="4">
        <f ca="1" t="shared" si="444"/>
        <v>0</v>
      </c>
      <c r="V272" s="4">
        <f ca="1" t="shared" si="445"/>
        <v>0</v>
      </c>
      <c r="W272" s="4">
        <f ca="1" t="shared" si="446"/>
        <v>0</v>
      </c>
      <c r="X272" s="4">
        <f ca="1" t="shared" si="447"/>
        <v>1575.5192</v>
      </c>
      <c r="Y272" s="4">
        <f ca="1" t="shared" si="448"/>
        <v>6617180.64</v>
      </c>
      <c r="Z272" s="4">
        <f ca="1" t="shared" si="449"/>
        <v>0</v>
      </c>
      <c r="AA272" s="4">
        <f ca="1" t="shared" si="450"/>
        <v>0</v>
      </c>
      <c r="AB272" s="4"/>
    </row>
    <row r="273" customHeight="1" outlineLevel="3" spans="1:28">
      <c r="A273" s="514" t="s">
        <v>2735</v>
      </c>
      <c r="B273" s="4"/>
      <c r="C273" s="510" t="s">
        <v>59</v>
      </c>
      <c r="D273" s="4" t="s">
        <v>796</v>
      </c>
      <c r="E273" s="4"/>
      <c r="F273" s="4" t="str">
        <f ca="1" t="shared" si="440"/>
        <v>m³</v>
      </c>
      <c r="G273" s="4"/>
      <c r="H273" s="4"/>
      <c r="I273" s="4"/>
      <c r="J273" s="4"/>
      <c r="K273" s="4"/>
      <c r="L273" s="517"/>
      <c r="M273" s="4">
        <v>6515.817</v>
      </c>
      <c r="N273" s="4">
        <f ca="1" t="shared" si="441"/>
        <v>470</v>
      </c>
      <c r="O273" s="4">
        <f ca="1" t="shared" si="442"/>
        <v>3062433.99</v>
      </c>
      <c r="P273" s="4"/>
      <c r="Q273" s="4"/>
      <c r="R273" s="4"/>
      <c r="S273" s="4"/>
      <c r="T273" s="4">
        <f ca="1" t="shared" si="443"/>
        <v>0</v>
      </c>
      <c r="U273" s="4">
        <f ca="1" t="shared" si="444"/>
        <v>0</v>
      </c>
      <c r="V273" s="4">
        <f ca="1" t="shared" si="445"/>
        <v>0</v>
      </c>
      <c r="W273" s="4">
        <f ca="1" t="shared" si="446"/>
        <v>0</v>
      </c>
      <c r="X273" s="4">
        <f ca="1" t="shared" si="447"/>
        <v>6515.817</v>
      </c>
      <c r="Y273" s="4">
        <f ca="1" t="shared" si="448"/>
        <v>3062433.99</v>
      </c>
      <c r="Z273" s="4">
        <f ca="1" t="shared" si="449"/>
        <v>0</v>
      </c>
      <c r="AA273" s="4">
        <f ca="1" t="shared" si="450"/>
        <v>0</v>
      </c>
      <c r="AB273" s="4"/>
    </row>
    <row r="274" customHeight="1" outlineLevel="3" spans="1:28">
      <c r="A274" s="514" t="s">
        <v>2736</v>
      </c>
      <c r="B274" s="4"/>
      <c r="C274" s="510" t="s">
        <v>59</v>
      </c>
      <c r="D274" s="4" t="s">
        <v>804</v>
      </c>
      <c r="E274" s="4"/>
      <c r="F274" s="4" t="str">
        <f ca="1" t="shared" si="440"/>
        <v>m</v>
      </c>
      <c r="G274" s="4"/>
      <c r="H274" s="4"/>
      <c r="I274" s="4"/>
      <c r="J274" s="4"/>
      <c r="K274" s="4"/>
      <c r="L274" s="517"/>
      <c r="M274" s="4">
        <v>3311.44</v>
      </c>
      <c r="N274" s="4">
        <f ca="1" t="shared" si="441"/>
        <v>20</v>
      </c>
      <c r="O274" s="4">
        <f ca="1" t="shared" si="442"/>
        <v>66228.8</v>
      </c>
      <c r="P274" s="4"/>
      <c r="Q274" s="4"/>
      <c r="R274" s="4"/>
      <c r="S274" s="4"/>
      <c r="T274" s="4">
        <f ca="1" t="shared" si="443"/>
        <v>0</v>
      </c>
      <c r="U274" s="4">
        <f ca="1" t="shared" si="444"/>
        <v>0</v>
      </c>
      <c r="V274" s="4">
        <f ca="1" t="shared" si="445"/>
        <v>0</v>
      </c>
      <c r="W274" s="4">
        <f ca="1" t="shared" si="446"/>
        <v>0</v>
      </c>
      <c r="X274" s="4">
        <f ca="1" t="shared" si="447"/>
        <v>3311.44</v>
      </c>
      <c r="Y274" s="4">
        <f ca="1" t="shared" si="448"/>
        <v>66228.8</v>
      </c>
      <c r="Z274" s="4">
        <f ca="1" t="shared" si="449"/>
        <v>0</v>
      </c>
      <c r="AA274" s="4">
        <f ca="1" t="shared" si="450"/>
        <v>0</v>
      </c>
      <c r="AB274" s="4"/>
    </row>
    <row r="275" customHeight="1" outlineLevel="3" spans="1:28">
      <c r="A275" s="514" t="s">
        <v>2737</v>
      </c>
      <c r="B275" s="4"/>
      <c r="C275" s="510" t="s">
        <v>59</v>
      </c>
      <c r="D275" s="4" t="s">
        <v>1023</v>
      </c>
      <c r="E275" s="4"/>
      <c r="F275" s="4" t="str">
        <f ca="1" t="shared" si="440"/>
        <v>m</v>
      </c>
      <c r="G275" s="4"/>
      <c r="H275" s="4"/>
      <c r="I275" s="4"/>
      <c r="J275" s="4"/>
      <c r="K275" s="4"/>
      <c r="L275" s="517"/>
      <c r="M275" s="4">
        <v>11081.78</v>
      </c>
      <c r="N275" s="4">
        <f ca="1" t="shared" si="441"/>
        <v>0</v>
      </c>
      <c r="O275" s="4">
        <f ca="1" t="shared" si="442"/>
        <v>0</v>
      </c>
      <c r="P275" s="4"/>
      <c r="Q275" s="4"/>
      <c r="R275" s="4"/>
      <c r="S275" s="4"/>
      <c r="T275" s="4">
        <f ca="1" t="shared" si="443"/>
        <v>0</v>
      </c>
      <c r="U275" s="4">
        <f ca="1" t="shared" si="444"/>
        <v>0</v>
      </c>
      <c r="V275" s="4">
        <f ca="1" t="shared" si="445"/>
        <v>0</v>
      </c>
      <c r="W275" s="4">
        <f ca="1" t="shared" si="446"/>
        <v>0</v>
      </c>
      <c r="X275" s="4">
        <f ca="1" t="shared" si="447"/>
        <v>11081.78</v>
      </c>
      <c r="Y275" s="4">
        <f ca="1" t="shared" si="448"/>
        <v>0</v>
      </c>
      <c r="Z275" s="4">
        <f ca="1" t="shared" si="449"/>
        <v>0</v>
      </c>
      <c r="AA275" s="4">
        <f ca="1" t="shared" si="450"/>
        <v>0</v>
      </c>
      <c r="AB275" s="4"/>
    </row>
    <row r="276" customHeight="1" outlineLevel="3" spans="1:28">
      <c r="A276" s="514" t="s">
        <v>2738</v>
      </c>
      <c r="B276" s="4"/>
      <c r="C276" s="510" t="s">
        <v>64</v>
      </c>
      <c r="D276" s="4" t="s">
        <v>1133</v>
      </c>
      <c r="E276" s="4"/>
      <c r="F276" s="4" t="str">
        <f ca="1" t="shared" si="440"/>
        <v>m</v>
      </c>
      <c r="G276" s="4"/>
      <c r="H276" s="4"/>
      <c r="I276" s="4"/>
      <c r="J276" s="4"/>
      <c r="K276" s="4"/>
      <c r="L276" s="517"/>
      <c r="M276" s="4">
        <v>3311.44</v>
      </c>
      <c r="N276" s="4">
        <f ca="1" t="shared" si="441"/>
        <v>6</v>
      </c>
      <c r="O276" s="4">
        <f ca="1" t="shared" si="442"/>
        <v>19868.64</v>
      </c>
      <c r="P276" s="4"/>
      <c r="Q276" s="4"/>
      <c r="R276" s="4"/>
      <c r="S276" s="4"/>
      <c r="T276" s="4">
        <f ca="1" t="shared" si="443"/>
        <v>0</v>
      </c>
      <c r="U276" s="4">
        <f ca="1" t="shared" si="444"/>
        <v>0</v>
      </c>
      <c r="V276" s="4">
        <f ca="1" t="shared" si="445"/>
        <v>0</v>
      </c>
      <c r="W276" s="4">
        <f ca="1" t="shared" si="446"/>
        <v>0</v>
      </c>
      <c r="X276" s="4">
        <f ca="1" t="shared" si="447"/>
        <v>3311.44</v>
      </c>
      <c r="Y276" s="4">
        <f ca="1" t="shared" si="448"/>
        <v>19868.64</v>
      </c>
      <c r="Z276" s="4">
        <f ca="1" t="shared" si="449"/>
        <v>0</v>
      </c>
      <c r="AA276" s="4">
        <f ca="1" t="shared" si="450"/>
        <v>0</v>
      </c>
      <c r="AB276" s="4"/>
    </row>
    <row r="277" customHeight="1" outlineLevel="3" spans="1:28">
      <c r="A277" s="514" t="s">
        <v>2739</v>
      </c>
      <c r="B277" s="4"/>
      <c r="C277" s="510" t="s">
        <v>64</v>
      </c>
      <c r="D277" s="4" t="s">
        <v>1130</v>
      </c>
      <c r="E277" s="4"/>
      <c r="F277" s="4" t="str">
        <f ca="1" t="shared" si="440"/>
        <v>m</v>
      </c>
      <c r="G277" s="4"/>
      <c r="H277" s="4"/>
      <c r="I277" s="4"/>
      <c r="J277" s="4"/>
      <c r="K277" s="4"/>
      <c r="L277" s="517"/>
      <c r="M277" s="4">
        <v>11081.78</v>
      </c>
      <c r="N277" s="4">
        <f ca="1" t="shared" si="441"/>
        <v>5</v>
      </c>
      <c r="O277" s="4">
        <f ca="1" t="shared" si="442"/>
        <v>55408.9</v>
      </c>
      <c r="P277" s="4"/>
      <c r="Q277" s="4"/>
      <c r="R277" s="4"/>
      <c r="S277" s="4"/>
      <c r="T277" s="4">
        <f ca="1" t="shared" si="443"/>
        <v>0</v>
      </c>
      <c r="U277" s="4">
        <f ca="1" t="shared" si="444"/>
        <v>0</v>
      </c>
      <c r="V277" s="4">
        <f ca="1" t="shared" si="445"/>
        <v>0</v>
      </c>
      <c r="W277" s="4">
        <f ca="1" t="shared" si="446"/>
        <v>0</v>
      </c>
      <c r="X277" s="4">
        <f ca="1" t="shared" si="447"/>
        <v>11081.78</v>
      </c>
      <c r="Y277" s="4">
        <f ca="1" t="shared" si="448"/>
        <v>55408.9</v>
      </c>
      <c r="Z277" s="4">
        <f ca="1" t="shared" si="449"/>
        <v>0</v>
      </c>
      <c r="AA277" s="4">
        <f ca="1" t="shared" si="450"/>
        <v>0</v>
      </c>
      <c r="AB277" s="4"/>
    </row>
    <row r="278" customHeight="1" outlineLevel="3" spans="1:28">
      <c r="A278" s="514" t="s">
        <v>2740</v>
      </c>
      <c r="B278" s="4"/>
      <c r="C278" s="510" t="s">
        <v>59</v>
      </c>
      <c r="D278" s="4" t="s">
        <v>819</v>
      </c>
      <c r="E278" s="4"/>
      <c r="F278" s="4" t="str">
        <f ca="1" t="shared" si="440"/>
        <v>套</v>
      </c>
      <c r="G278" s="4"/>
      <c r="H278" s="4"/>
      <c r="I278" s="4"/>
      <c r="J278" s="4"/>
      <c r="K278" s="4"/>
      <c r="L278" s="517"/>
      <c r="M278" s="4">
        <v>258</v>
      </c>
      <c r="N278" s="4">
        <f ca="1" t="shared" si="441"/>
        <v>180</v>
      </c>
      <c r="O278" s="4">
        <f ca="1" t="shared" si="442"/>
        <v>46440</v>
      </c>
      <c r="P278" s="4"/>
      <c r="Q278" s="4"/>
      <c r="R278" s="4"/>
      <c r="S278" s="4"/>
      <c r="T278" s="4">
        <f ca="1" t="shared" si="443"/>
        <v>0</v>
      </c>
      <c r="U278" s="4">
        <f ca="1" t="shared" si="444"/>
        <v>0</v>
      </c>
      <c r="V278" s="4">
        <f ca="1" t="shared" si="445"/>
        <v>0</v>
      </c>
      <c r="W278" s="4">
        <f ca="1" t="shared" si="446"/>
        <v>0</v>
      </c>
      <c r="X278" s="4">
        <f ca="1" t="shared" si="447"/>
        <v>258</v>
      </c>
      <c r="Y278" s="4">
        <f ca="1" t="shared" si="448"/>
        <v>46440</v>
      </c>
      <c r="Z278" s="4">
        <f ca="1" t="shared" si="449"/>
        <v>0</v>
      </c>
      <c r="AA278" s="4">
        <f ca="1" t="shared" si="450"/>
        <v>0</v>
      </c>
      <c r="AB278" s="4"/>
    </row>
    <row r="279" customHeight="1" outlineLevel="3" spans="1:28">
      <c r="A279" s="514" t="s">
        <v>2741</v>
      </c>
      <c r="B279" s="4"/>
      <c r="C279" s="510" t="s">
        <v>64</v>
      </c>
      <c r="D279" s="4" t="s">
        <v>262</v>
      </c>
      <c r="E279" s="4"/>
      <c r="F279" s="4" t="str">
        <f ca="1" t="shared" si="440"/>
        <v>m2</v>
      </c>
      <c r="G279" s="4"/>
      <c r="H279" s="4"/>
      <c r="I279" s="4"/>
      <c r="J279" s="4"/>
      <c r="K279" s="4"/>
      <c r="L279" s="517"/>
      <c r="M279" s="4">
        <v>0</v>
      </c>
      <c r="N279" s="4">
        <f ca="1" t="shared" si="441"/>
        <v>55</v>
      </c>
      <c r="O279" s="4">
        <f ca="1" t="shared" si="442"/>
        <v>0</v>
      </c>
      <c r="P279" s="4"/>
      <c r="Q279" s="4"/>
      <c r="R279" s="4"/>
      <c r="S279" s="4"/>
      <c r="T279" s="4">
        <f ca="1" t="shared" si="443"/>
        <v>0</v>
      </c>
      <c r="U279" s="4">
        <f ca="1" t="shared" si="444"/>
        <v>0</v>
      </c>
      <c r="V279" s="4">
        <f ca="1" t="shared" si="445"/>
        <v>0</v>
      </c>
      <c r="W279" s="4">
        <f ca="1" t="shared" si="446"/>
        <v>0</v>
      </c>
      <c r="X279" s="4">
        <f ca="1" t="shared" si="447"/>
        <v>0</v>
      </c>
      <c r="Y279" s="4">
        <f ca="1" t="shared" si="448"/>
        <v>0</v>
      </c>
      <c r="Z279" s="4">
        <f ca="1" t="shared" si="449"/>
        <v>0</v>
      </c>
      <c r="AA279" s="4">
        <f ca="1" t="shared" si="450"/>
        <v>0</v>
      </c>
      <c r="AB279" s="4"/>
    </row>
    <row r="280" customHeight="1" outlineLevel="3" spans="1:28">
      <c r="A280" s="514" t="s">
        <v>2742</v>
      </c>
      <c r="B280" s="4"/>
      <c r="C280" s="510" t="s">
        <v>64</v>
      </c>
      <c r="D280" s="4" t="s">
        <v>1043</v>
      </c>
      <c r="E280" s="4"/>
      <c r="F280" s="4" t="str">
        <f ca="1" t="shared" si="440"/>
        <v>m3</v>
      </c>
      <c r="G280" s="4"/>
      <c r="H280" s="4"/>
      <c r="I280" s="4"/>
      <c r="J280" s="4"/>
      <c r="K280" s="4"/>
      <c r="L280" s="517"/>
      <c r="M280" s="4">
        <v>6483.4</v>
      </c>
      <c r="N280" s="4">
        <f ca="1" t="shared" si="441"/>
        <v>890</v>
      </c>
      <c r="O280" s="4">
        <f ca="1" t="shared" si="442"/>
        <v>5770226</v>
      </c>
      <c r="P280" s="4"/>
      <c r="Q280" s="4"/>
      <c r="R280" s="4"/>
      <c r="S280" s="4"/>
      <c r="T280" s="4">
        <f ca="1" t="shared" si="443"/>
        <v>0</v>
      </c>
      <c r="U280" s="4">
        <f ca="1" t="shared" si="444"/>
        <v>0</v>
      </c>
      <c r="V280" s="4">
        <f ca="1" t="shared" si="445"/>
        <v>0</v>
      </c>
      <c r="W280" s="4">
        <f ca="1" t="shared" si="446"/>
        <v>0</v>
      </c>
      <c r="X280" s="4">
        <f ca="1" t="shared" si="447"/>
        <v>6483.4</v>
      </c>
      <c r="Y280" s="4">
        <f ca="1" t="shared" si="448"/>
        <v>5770226</v>
      </c>
      <c r="Z280" s="4">
        <f ca="1" t="shared" si="449"/>
        <v>0</v>
      </c>
      <c r="AA280" s="4">
        <f ca="1" t="shared" si="450"/>
        <v>0</v>
      </c>
      <c r="AB280" s="4"/>
    </row>
    <row r="281" customHeight="1" outlineLevel="3" spans="1:28">
      <c r="A281" s="514" t="s">
        <v>2743</v>
      </c>
      <c r="B281" s="4"/>
      <c r="C281" s="510" t="s">
        <v>64</v>
      </c>
      <c r="D281" s="4" t="s">
        <v>1058</v>
      </c>
      <c r="E281" s="4"/>
      <c r="F281" s="4" t="str">
        <f ca="1" t="shared" si="440"/>
        <v>T</v>
      </c>
      <c r="G281" s="4"/>
      <c r="H281" s="4"/>
      <c r="I281" s="4"/>
      <c r="J281" s="4"/>
      <c r="K281" s="4"/>
      <c r="L281" s="517"/>
      <c r="M281" s="4">
        <v>214.83</v>
      </c>
      <c r="N281" s="4">
        <f ca="1" t="shared" si="441"/>
        <v>1576</v>
      </c>
      <c r="O281" s="4">
        <f ca="1" t="shared" si="442"/>
        <v>338572.08</v>
      </c>
      <c r="P281" s="4"/>
      <c r="Q281" s="4"/>
      <c r="R281" s="4"/>
      <c r="S281" s="4"/>
      <c r="T281" s="4">
        <f ca="1" t="shared" si="443"/>
        <v>0</v>
      </c>
      <c r="U281" s="4">
        <f ca="1" t="shared" si="444"/>
        <v>0</v>
      </c>
      <c r="V281" s="4">
        <f ca="1" t="shared" si="445"/>
        <v>0</v>
      </c>
      <c r="W281" s="4">
        <f ca="1" t="shared" si="446"/>
        <v>0</v>
      </c>
      <c r="X281" s="4">
        <f ca="1" t="shared" si="447"/>
        <v>214.83</v>
      </c>
      <c r="Y281" s="4">
        <f ca="1" t="shared" si="448"/>
        <v>338572.08</v>
      </c>
      <c r="Z281" s="4">
        <f ca="1" t="shared" si="449"/>
        <v>0</v>
      </c>
      <c r="AA281" s="4">
        <f ca="1" t="shared" si="450"/>
        <v>0</v>
      </c>
      <c r="AB281" s="4"/>
    </row>
    <row r="282" customHeight="1" outlineLevel="3" spans="1:28">
      <c r="A282" s="514" t="s">
        <v>2744</v>
      </c>
      <c r="B282" s="4"/>
      <c r="C282" s="510" t="s">
        <v>64</v>
      </c>
      <c r="D282" s="4" t="s">
        <v>296</v>
      </c>
      <c r="E282" s="4" t="s">
        <v>2745</v>
      </c>
      <c r="F282" s="4" t="str">
        <f ca="1" t="shared" si="440"/>
        <v>t</v>
      </c>
      <c r="G282" s="4"/>
      <c r="H282" s="4"/>
      <c r="I282" s="4"/>
      <c r="J282" s="4"/>
      <c r="K282" s="4"/>
      <c r="L282" s="517"/>
      <c r="M282" s="4">
        <v>1791.62</v>
      </c>
      <c r="N282" s="4">
        <f ca="1" t="shared" si="441"/>
        <v>700</v>
      </c>
      <c r="O282" s="4">
        <f ca="1" t="shared" si="442"/>
        <v>1254134</v>
      </c>
      <c r="P282" s="4"/>
      <c r="Q282" s="4"/>
      <c r="R282" s="4"/>
      <c r="S282" s="4"/>
      <c r="T282" s="4">
        <f ca="1" t="shared" si="443"/>
        <v>0</v>
      </c>
      <c r="U282" s="4">
        <f ca="1" t="shared" si="444"/>
        <v>0</v>
      </c>
      <c r="V282" s="4">
        <f ca="1" t="shared" si="445"/>
        <v>0</v>
      </c>
      <c r="W282" s="4">
        <f ca="1" t="shared" si="446"/>
        <v>0</v>
      </c>
      <c r="X282" s="4">
        <f ca="1" t="shared" si="447"/>
        <v>1791.62</v>
      </c>
      <c r="Y282" s="4">
        <f ca="1" t="shared" si="448"/>
        <v>1254134</v>
      </c>
      <c r="Z282" s="4">
        <f ca="1" t="shared" si="449"/>
        <v>0</v>
      </c>
      <c r="AA282" s="4">
        <f ca="1" t="shared" si="450"/>
        <v>0</v>
      </c>
      <c r="AB282" s="4"/>
    </row>
    <row r="283" customHeight="1" outlineLevel="2" spans="1:28">
      <c r="A283" s="515" t="s">
        <v>2746</v>
      </c>
      <c r="B283" s="4"/>
      <c r="C283" s="510" t="s">
        <v>1309</v>
      </c>
      <c r="D283" s="4" t="s">
        <v>2747</v>
      </c>
      <c r="E283" s="4" t="s">
        <v>2472</v>
      </c>
      <c r="F283" s="4" t="s">
        <v>72</v>
      </c>
      <c r="G283" s="4">
        <v>103.81</v>
      </c>
      <c r="H283" s="4">
        <v>1472.89908256881</v>
      </c>
      <c r="I283" s="4">
        <f>G283*H283</f>
        <v>152901.653761468</v>
      </c>
      <c r="J283" s="4">
        <f t="shared" ref="J283:L283" si="451">+G283</f>
        <v>103.81</v>
      </c>
      <c r="K283" s="4">
        <f t="shared" si="451"/>
        <v>1472.89908256881</v>
      </c>
      <c r="L283" s="517">
        <f t="shared" si="451"/>
        <v>152901.653761468</v>
      </c>
      <c r="M283" s="4">
        <v>103.81</v>
      </c>
      <c r="N283" s="4">
        <f ca="1">O283/M283</f>
        <v>608.462816684327</v>
      </c>
      <c r="O283" s="4">
        <f ca="1">(+O284+O285+O286)</f>
        <v>63164.525</v>
      </c>
      <c r="P283" s="4"/>
      <c r="Q283" s="4"/>
      <c r="R283" s="4">
        <f>+P283+J283</f>
        <v>103.81</v>
      </c>
      <c r="S283" s="4">
        <f>+Q283+L283</f>
        <v>152901.653761468</v>
      </c>
      <c r="T283" s="4">
        <f>IFERROR(VLOOKUP(A283,产值统计中间表!A:F,7,FALSE),0)</f>
        <v>0</v>
      </c>
      <c r="U283" s="4">
        <f>+T283*H283</f>
        <v>0</v>
      </c>
      <c r="V283" s="4">
        <f>IFERROR(VLOOKUP(A283,产值统计中间表!A:D,4,FALSE),0)</f>
        <v>0</v>
      </c>
      <c r="W283" s="4">
        <f>+V283*H283</f>
        <v>0</v>
      </c>
      <c r="X283" s="4">
        <f>+R283-V283</f>
        <v>103.81</v>
      </c>
      <c r="Y283" s="4">
        <f>+S283-W283</f>
        <v>152901.653761468</v>
      </c>
      <c r="Z283" s="4">
        <f>IFERROR(VLOOKUP(A283,业主统计中间表!A:D,4,FALSE),0)</f>
        <v>0</v>
      </c>
      <c r="AA283" s="4">
        <f>+Z283*H283</f>
        <v>0</v>
      </c>
      <c r="AB283" s="4"/>
    </row>
    <row r="284" customHeight="1" outlineLevel="3" spans="1:28">
      <c r="A284" s="514" t="s">
        <v>2748</v>
      </c>
      <c r="B284" s="4"/>
      <c r="C284" s="510" t="s">
        <v>64</v>
      </c>
      <c r="D284" s="4" t="s">
        <v>752</v>
      </c>
      <c r="E284" s="4"/>
      <c r="F284" s="4" t="str">
        <f ca="1" t="shared" ref="F284:F286" si="452">VLOOKUP($D284,INDIRECT($C284),2,0)</f>
        <v>m3</v>
      </c>
      <c r="G284" s="4"/>
      <c r="H284" s="4"/>
      <c r="I284" s="4"/>
      <c r="J284" s="4"/>
      <c r="K284" s="4"/>
      <c r="L284" s="517"/>
      <c r="M284" s="4">
        <v>104.32905</v>
      </c>
      <c r="N284" s="4">
        <f ca="1" t="shared" ref="N284:N286" si="453">VLOOKUP($D284,INDIRECT($C284),3,0)</f>
        <v>30</v>
      </c>
      <c r="O284" s="4">
        <f ca="1">M284*N284</f>
        <v>3129.8715</v>
      </c>
      <c r="P284" s="4"/>
      <c r="Q284" s="4"/>
      <c r="R284" s="4"/>
      <c r="S284" s="4"/>
      <c r="T284" s="4">
        <f ca="1" t="shared" ref="T284:T286" si="454">OFFSET(T284,-RIGHT($A284,LEN($A$6)),,1,1)/OFFSET(T284,-RIGHT($A284,LEN($A$6)),-13,1,1)*$M284</f>
        <v>0</v>
      </c>
      <c r="U284" s="4">
        <f ca="1" t="shared" ref="U284:U286" si="455">+$N284*T284</f>
        <v>0</v>
      </c>
      <c r="V284" s="4">
        <f ca="1" t="shared" ref="V284:V286" si="456">OFFSET(V284,-RIGHT($A284,LEN($A$6)),,1,1)/OFFSET(V284,-RIGHT($A284,LEN($A$6)),-15,1,1)*$M284</f>
        <v>0</v>
      </c>
      <c r="W284" s="4">
        <f ca="1" t="shared" ref="W284:W286" si="457">+$N284*V284</f>
        <v>0</v>
      </c>
      <c r="X284" s="4">
        <f ca="1" t="shared" ref="X284:X286" si="458">+M284-V284</f>
        <v>104.32905</v>
      </c>
      <c r="Y284" s="4">
        <f ca="1" t="shared" ref="Y284:Y286" si="459">+O284-W284</f>
        <v>3129.8715</v>
      </c>
      <c r="Z284" s="4">
        <f ca="1" t="shared" ref="Z284:Z286" si="460">OFFSET(Z284,-RIGHT($A284,LEN($A$6)),,1,1)/OFFSET(Z284,-RIGHT($A284,LEN($A$6)),-19,1,1)*$M284</f>
        <v>0</v>
      </c>
      <c r="AA284" s="4">
        <f ca="1" t="shared" ref="AA284:AA286" si="461">+$N284*Z284</f>
        <v>0</v>
      </c>
      <c r="AB284" s="4"/>
    </row>
    <row r="285" customHeight="1" outlineLevel="3" spans="1:28">
      <c r="A285" s="514" t="s">
        <v>2749</v>
      </c>
      <c r="B285" s="4"/>
      <c r="C285" s="510" t="s">
        <v>59</v>
      </c>
      <c r="D285" s="4" t="s">
        <v>796</v>
      </c>
      <c r="E285" s="4"/>
      <c r="F285" s="4" t="str">
        <f ca="1" t="shared" si="452"/>
        <v>m³</v>
      </c>
      <c r="G285" s="4"/>
      <c r="H285" s="4"/>
      <c r="I285" s="4"/>
      <c r="J285" s="4"/>
      <c r="K285" s="4"/>
      <c r="L285" s="517"/>
      <c r="M285" s="4">
        <v>104.32905</v>
      </c>
      <c r="N285" s="4">
        <f ca="1" t="shared" si="453"/>
        <v>470</v>
      </c>
      <c r="O285" s="4">
        <f ca="1">M285*N285</f>
        <v>49034.6535</v>
      </c>
      <c r="P285" s="4"/>
      <c r="Q285" s="4"/>
      <c r="R285" s="4"/>
      <c r="S285" s="4"/>
      <c r="T285" s="4">
        <f ca="1" t="shared" si="454"/>
        <v>0</v>
      </c>
      <c r="U285" s="4">
        <f ca="1" t="shared" si="455"/>
        <v>0</v>
      </c>
      <c r="V285" s="4">
        <f ca="1" t="shared" si="456"/>
        <v>0</v>
      </c>
      <c r="W285" s="4">
        <f ca="1" t="shared" si="457"/>
        <v>0</v>
      </c>
      <c r="X285" s="4">
        <f ca="1" t="shared" si="458"/>
        <v>104.32905</v>
      </c>
      <c r="Y285" s="4">
        <f ca="1" t="shared" si="459"/>
        <v>49034.6535</v>
      </c>
      <c r="Z285" s="4">
        <f ca="1" t="shared" si="460"/>
        <v>0</v>
      </c>
      <c r="AA285" s="4">
        <f ca="1" t="shared" si="461"/>
        <v>0</v>
      </c>
      <c r="AB285" s="4"/>
    </row>
    <row r="286" customHeight="1" outlineLevel="3" spans="1:28">
      <c r="A286" s="514" t="s">
        <v>2750</v>
      </c>
      <c r="B286" s="4"/>
      <c r="C286" s="510" t="s">
        <v>64</v>
      </c>
      <c r="D286" s="4" t="s">
        <v>262</v>
      </c>
      <c r="E286" s="4"/>
      <c r="F286" s="4" t="str">
        <f ca="1" t="shared" si="452"/>
        <v>m2</v>
      </c>
      <c r="G286" s="4"/>
      <c r="H286" s="4"/>
      <c r="I286" s="4"/>
      <c r="J286" s="4"/>
      <c r="K286" s="4"/>
      <c r="L286" s="517"/>
      <c r="M286" s="4">
        <v>200</v>
      </c>
      <c r="N286" s="4">
        <f ca="1" t="shared" si="453"/>
        <v>55</v>
      </c>
      <c r="O286" s="4">
        <f ca="1">M286*N286</f>
        <v>11000</v>
      </c>
      <c r="P286" s="4"/>
      <c r="Q286" s="4"/>
      <c r="R286" s="4"/>
      <c r="S286" s="4"/>
      <c r="T286" s="4">
        <f ca="1" t="shared" si="454"/>
        <v>0</v>
      </c>
      <c r="U286" s="4">
        <f ca="1" t="shared" si="455"/>
        <v>0</v>
      </c>
      <c r="V286" s="4">
        <f ca="1" t="shared" si="456"/>
        <v>0</v>
      </c>
      <c r="W286" s="4">
        <f ca="1" t="shared" si="457"/>
        <v>0</v>
      </c>
      <c r="X286" s="4">
        <f ca="1" t="shared" si="458"/>
        <v>200</v>
      </c>
      <c r="Y286" s="4">
        <f ca="1" t="shared" si="459"/>
        <v>11000</v>
      </c>
      <c r="Z286" s="4">
        <f ca="1" t="shared" si="460"/>
        <v>0</v>
      </c>
      <c r="AA286" s="4">
        <f ca="1" t="shared" si="461"/>
        <v>0</v>
      </c>
      <c r="AB286" s="4"/>
    </row>
    <row r="287" customHeight="1" outlineLevel="2" spans="1:28">
      <c r="A287" s="515" t="s">
        <v>2751</v>
      </c>
      <c r="B287" s="4"/>
      <c r="C287" s="510" t="s">
        <v>1309</v>
      </c>
      <c r="D287" s="4" t="s">
        <v>2551</v>
      </c>
      <c r="E287" s="4" t="s">
        <v>2472</v>
      </c>
      <c r="F287" s="4" t="s">
        <v>72</v>
      </c>
      <c r="G287" s="4">
        <v>72.24</v>
      </c>
      <c r="H287" s="4">
        <v>2007.15596330275</v>
      </c>
      <c r="I287" s="4">
        <f>G287*H287</f>
        <v>144996.946788991</v>
      </c>
      <c r="J287" s="4">
        <f t="shared" ref="J287:L287" si="462">+G287</f>
        <v>72.24</v>
      </c>
      <c r="K287" s="4">
        <f t="shared" si="462"/>
        <v>2007.15596330275</v>
      </c>
      <c r="L287" s="517">
        <f t="shared" si="462"/>
        <v>144996.946788991</v>
      </c>
      <c r="M287" s="4">
        <v>72.24</v>
      </c>
      <c r="N287" s="4">
        <f ca="1">O287/M287</f>
        <v>4617.66596100756</v>
      </c>
      <c r="O287" s="4">
        <f ca="1">(+O288+O289+O290+O291+O292)</f>
        <v>333580.189023186</v>
      </c>
      <c r="P287" s="4"/>
      <c r="Q287" s="4"/>
      <c r="R287" s="4">
        <f>+P287+J287</f>
        <v>72.24</v>
      </c>
      <c r="S287" s="4">
        <f>+Q287+L287</f>
        <v>144996.946788991</v>
      </c>
      <c r="T287" s="4">
        <f>IFERROR(VLOOKUP(A287,产值统计中间表!A:F,7,FALSE),0)</f>
        <v>0</v>
      </c>
      <c r="U287" s="4">
        <f>+T287*H287</f>
        <v>0</v>
      </c>
      <c r="V287" s="4">
        <f>IFERROR(VLOOKUP(A287,产值统计中间表!A:D,4,FALSE),0)</f>
        <v>0</v>
      </c>
      <c r="W287" s="4">
        <f>+V287*H287</f>
        <v>0</v>
      </c>
      <c r="X287" s="4">
        <f>+R287-V287</f>
        <v>72.24</v>
      </c>
      <c r="Y287" s="4">
        <f>+S287-W287</f>
        <v>144996.946788991</v>
      </c>
      <c r="Z287" s="4">
        <f>IFERROR(VLOOKUP(A287,业主统计中间表!A:D,4,FALSE),0)</f>
        <v>0</v>
      </c>
      <c r="AA287" s="4">
        <f>+Z287*H287</f>
        <v>0</v>
      </c>
      <c r="AB287" s="4"/>
    </row>
    <row r="288" customHeight="1" outlineLevel="3" spans="1:28">
      <c r="A288" s="514" t="s">
        <v>2752</v>
      </c>
      <c r="B288" s="4"/>
      <c r="C288" s="510" t="s">
        <v>64</v>
      </c>
      <c r="D288" s="4" t="s">
        <v>752</v>
      </c>
      <c r="E288" s="4"/>
      <c r="F288" s="4" t="str">
        <f ca="1" t="shared" ref="F288:F292" si="463">VLOOKUP($D288,INDIRECT($C288),2,0)</f>
        <v>m3</v>
      </c>
      <c r="G288" s="4"/>
      <c r="H288" s="4"/>
      <c r="I288" s="4"/>
      <c r="J288" s="4"/>
      <c r="K288" s="4"/>
      <c r="L288" s="517"/>
      <c r="M288" s="4">
        <v>72.6012</v>
      </c>
      <c r="N288" s="4">
        <f ca="1" t="shared" ref="N288:N292" si="464">VLOOKUP($D288,INDIRECT($C288),3,0)</f>
        <v>30</v>
      </c>
      <c r="O288" s="4">
        <f ca="1">M288*N288</f>
        <v>2178.036</v>
      </c>
      <c r="P288" s="4"/>
      <c r="Q288" s="4"/>
      <c r="R288" s="4"/>
      <c r="S288" s="4"/>
      <c r="T288" s="4">
        <f ca="1" t="shared" ref="T288:T292" si="465">OFFSET(T288,-RIGHT($A288,LEN($A$6)),,1,1)/OFFSET(T288,-RIGHT($A288,LEN($A$6)),-13,1,1)*$M288</f>
        <v>0</v>
      </c>
      <c r="U288" s="4">
        <f ca="1" t="shared" ref="U288:U292" si="466">+$N288*T288</f>
        <v>0</v>
      </c>
      <c r="V288" s="4">
        <f ca="1" t="shared" ref="V288:V292" si="467">OFFSET(V288,-RIGHT($A288,LEN($A$6)),,1,1)/OFFSET(V288,-RIGHT($A288,LEN($A$6)),-15,1,1)*$M288</f>
        <v>0</v>
      </c>
      <c r="W288" s="4">
        <f ca="1" t="shared" ref="W288:W292" si="468">+$N288*V288</f>
        <v>0</v>
      </c>
      <c r="X288" s="4">
        <f ca="1" t="shared" ref="X288:X292" si="469">+M288-V288</f>
        <v>72.6012</v>
      </c>
      <c r="Y288" s="4">
        <f ca="1" t="shared" ref="Y288:Y292" si="470">+O288-W288</f>
        <v>2178.036</v>
      </c>
      <c r="Z288" s="4">
        <f ca="1" t="shared" ref="Z288:Z292" si="471">OFFSET(Z288,-RIGHT($A288,LEN($A$6)),,1,1)/OFFSET(Z288,-RIGHT($A288,LEN($A$6)),-19,1,1)*$M288</f>
        <v>0</v>
      </c>
      <c r="AA288" s="4">
        <f ca="1" t="shared" ref="AA288:AA292" si="472">+$N288*Z288</f>
        <v>0</v>
      </c>
      <c r="AB288" s="4"/>
    </row>
    <row r="289" customHeight="1" outlineLevel="3" spans="1:28">
      <c r="A289" s="514" t="s">
        <v>2753</v>
      </c>
      <c r="B289" s="4"/>
      <c r="C289" s="510" t="s">
        <v>64</v>
      </c>
      <c r="D289" s="4" t="s">
        <v>262</v>
      </c>
      <c r="E289" s="4"/>
      <c r="F289" s="4" t="str">
        <f ca="1" t="shared" si="463"/>
        <v>m2</v>
      </c>
      <c r="G289" s="4"/>
      <c r="H289" s="4"/>
      <c r="I289" s="4"/>
      <c r="J289" s="4"/>
      <c r="K289" s="4"/>
      <c r="L289" s="517"/>
      <c r="M289" s="4">
        <v>124.38</v>
      </c>
      <c r="N289" s="4">
        <f ca="1" t="shared" si="464"/>
        <v>55</v>
      </c>
      <c r="O289" s="4">
        <f ca="1">M289*N289</f>
        <v>6840.9</v>
      </c>
      <c r="P289" s="4"/>
      <c r="Q289" s="4"/>
      <c r="R289" s="4"/>
      <c r="S289" s="4"/>
      <c r="T289" s="4">
        <f ca="1" t="shared" si="465"/>
        <v>0</v>
      </c>
      <c r="U289" s="4">
        <f ca="1" t="shared" si="466"/>
        <v>0</v>
      </c>
      <c r="V289" s="4">
        <f ca="1" t="shared" si="467"/>
        <v>0</v>
      </c>
      <c r="W289" s="4">
        <f ca="1" t="shared" si="468"/>
        <v>0</v>
      </c>
      <c r="X289" s="4">
        <f ca="1" t="shared" si="469"/>
        <v>124.38</v>
      </c>
      <c r="Y289" s="4">
        <f ca="1" t="shared" si="470"/>
        <v>6840.9</v>
      </c>
      <c r="Z289" s="4">
        <f ca="1" t="shared" si="471"/>
        <v>0</v>
      </c>
      <c r="AA289" s="4">
        <f ca="1" t="shared" si="472"/>
        <v>0</v>
      </c>
      <c r="AB289" s="4"/>
    </row>
    <row r="290" customHeight="1" outlineLevel="3" spans="1:28">
      <c r="A290" s="514" t="s">
        <v>2754</v>
      </c>
      <c r="B290" s="4"/>
      <c r="C290" s="510" t="s">
        <v>59</v>
      </c>
      <c r="D290" s="4" t="s">
        <v>206</v>
      </c>
      <c r="E290" s="4"/>
      <c r="F290" s="4" t="str">
        <f ca="1" t="shared" si="463"/>
        <v>m3</v>
      </c>
      <c r="G290" s="4"/>
      <c r="H290" s="4"/>
      <c r="I290" s="4"/>
      <c r="J290" s="4"/>
      <c r="K290" s="4"/>
      <c r="L290" s="517"/>
      <c r="M290" s="4">
        <v>72.6012</v>
      </c>
      <c r="N290" s="4">
        <f ca="1" t="shared" si="464"/>
        <v>3097.57831858407</v>
      </c>
      <c r="O290" s="4">
        <f ca="1">M290*N290</f>
        <v>224887.903023186</v>
      </c>
      <c r="P290" s="4"/>
      <c r="Q290" s="4"/>
      <c r="R290" s="4"/>
      <c r="S290" s="4"/>
      <c r="T290" s="4">
        <f ca="1" t="shared" si="465"/>
        <v>0</v>
      </c>
      <c r="U290" s="4">
        <f ca="1" t="shared" si="466"/>
        <v>0</v>
      </c>
      <c r="V290" s="4">
        <f ca="1" t="shared" si="467"/>
        <v>0</v>
      </c>
      <c r="W290" s="4">
        <f ca="1" t="shared" si="468"/>
        <v>0</v>
      </c>
      <c r="X290" s="4">
        <f ca="1" t="shared" si="469"/>
        <v>72.6012</v>
      </c>
      <c r="Y290" s="4">
        <f ca="1" t="shared" si="470"/>
        <v>224887.903023186</v>
      </c>
      <c r="Z290" s="4">
        <f ca="1" t="shared" si="471"/>
        <v>0</v>
      </c>
      <c r="AA290" s="4">
        <f ca="1" t="shared" si="472"/>
        <v>0</v>
      </c>
      <c r="AB290" s="4"/>
    </row>
    <row r="291" customHeight="1" outlineLevel="3" spans="1:28">
      <c r="A291" s="514" t="s">
        <v>2755</v>
      </c>
      <c r="B291" s="4"/>
      <c r="C291" s="510" t="s">
        <v>59</v>
      </c>
      <c r="D291" s="4" t="s">
        <v>480</v>
      </c>
      <c r="E291" s="4" t="str">
        <f ca="1">"含钢量："&amp;ROUND($M$291/$G$287,3)&amp;$F$291&amp;"/"&amp;$F$287</f>
        <v>含钢量：0.282t/m3</v>
      </c>
      <c r="F291" s="4" t="str">
        <f ca="1" t="shared" si="463"/>
        <v>t</v>
      </c>
      <c r="G291" s="4"/>
      <c r="H291" s="4"/>
      <c r="I291" s="4"/>
      <c r="J291" s="4"/>
      <c r="K291" s="4"/>
      <c r="L291" s="517"/>
      <c r="M291" s="4">
        <v>20.3415</v>
      </c>
      <c r="N291" s="4">
        <f ca="1" t="shared" si="464"/>
        <v>4200</v>
      </c>
      <c r="O291" s="4">
        <f ca="1">M291*N291</f>
        <v>85434.3</v>
      </c>
      <c r="P291" s="4"/>
      <c r="Q291" s="4"/>
      <c r="R291" s="4"/>
      <c r="S291" s="4"/>
      <c r="T291" s="4">
        <f ca="1" t="shared" si="465"/>
        <v>0</v>
      </c>
      <c r="U291" s="4">
        <f ca="1" t="shared" si="466"/>
        <v>0</v>
      </c>
      <c r="V291" s="4">
        <f ca="1" t="shared" si="467"/>
        <v>0</v>
      </c>
      <c r="W291" s="4">
        <f ca="1" t="shared" si="468"/>
        <v>0</v>
      </c>
      <c r="X291" s="4">
        <f ca="1" t="shared" si="469"/>
        <v>20.3415</v>
      </c>
      <c r="Y291" s="4">
        <f ca="1" t="shared" si="470"/>
        <v>85434.3</v>
      </c>
      <c r="Z291" s="4">
        <f ca="1" t="shared" si="471"/>
        <v>0</v>
      </c>
      <c r="AA291" s="4">
        <f ca="1" t="shared" si="472"/>
        <v>0</v>
      </c>
      <c r="AB291" s="4"/>
    </row>
    <row r="292" customHeight="1" outlineLevel="3" spans="1:28">
      <c r="A292" s="514" t="s">
        <v>2756</v>
      </c>
      <c r="B292" s="4"/>
      <c r="C292" s="510" t="s">
        <v>64</v>
      </c>
      <c r="D292" s="4" t="s">
        <v>296</v>
      </c>
      <c r="E292" s="4" t="str">
        <f>F287&amp;"含钢量："&amp;TEXT(M291/G287,"0.0%")</f>
        <v>m3含钢量：28.2%</v>
      </c>
      <c r="F292" s="4" t="str">
        <f ca="1" t="shared" si="463"/>
        <v>t</v>
      </c>
      <c r="G292" s="4"/>
      <c r="H292" s="4"/>
      <c r="I292" s="4"/>
      <c r="J292" s="4"/>
      <c r="K292" s="4"/>
      <c r="L292" s="517"/>
      <c r="M292" s="4">
        <v>20.3415</v>
      </c>
      <c r="N292" s="4">
        <f ca="1" t="shared" si="464"/>
        <v>700</v>
      </c>
      <c r="O292" s="4">
        <f ca="1">M292*N292</f>
        <v>14239.05</v>
      </c>
      <c r="P292" s="4"/>
      <c r="Q292" s="4"/>
      <c r="R292" s="4"/>
      <c r="S292" s="4"/>
      <c r="T292" s="4">
        <f ca="1" t="shared" si="465"/>
        <v>0</v>
      </c>
      <c r="U292" s="4">
        <f ca="1" t="shared" si="466"/>
        <v>0</v>
      </c>
      <c r="V292" s="4">
        <f ca="1" t="shared" si="467"/>
        <v>0</v>
      </c>
      <c r="W292" s="4">
        <f ca="1" t="shared" si="468"/>
        <v>0</v>
      </c>
      <c r="X292" s="4">
        <f ca="1" t="shared" si="469"/>
        <v>20.3415</v>
      </c>
      <c r="Y292" s="4">
        <f ca="1" t="shared" si="470"/>
        <v>14239.05</v>
      </c>
      <c r="Z292" s="4">
        <f ca="1" t="shared" si="471"/>
        <v>0</v>
      </c>
      <c r="AA292" s="4">
        <f ca="1" t="shared" si="472"/>
        <v>0</v>
      </c>
      <c r="AB292" s="4"/>
    </row>
    <row r="293" customHeight="1" outlineLevel="2" spans="1:28">
      <c r="A293" s="515" t="s">
        <v>2757</v>
      </c>
      <c r="B293" s="4"/>
      <c r="C293" s="510" t="s">
        <v>1309</v>
      </c>
      <c r="D293" s="4" t="s">
        <v>2558</v>
      </c>
      <c r="E293" s="4" t="s">
        <v>2559</v>
      </c>
      <c r="F293" s="4" t="s">
        <v>69</v>
      </c>
      <c r="G293" s="4">
        <v>6457.15</v>
      </c>
      <c r="H293" s="4">
        <v>171.174311926605</v>
      </c>
      <c r="I293" s="4">
        <f>G293*H293</f>
        <v>1105298.20825688</v>
      </c>
      <c r="J293" s="4">
        <f t="shared" ref="J293:L293" si="473">+G293</f>
        <v>6457.15</v>
      </c>
      <c r="K293" s="4">
        <f t="shared" si="473"/>
        <v>171.174311926605</v>
      </c>
      <c r="L293" s="517">
        <f t="shared" si="473"/>
        <v>1105298.20825688</v>
      </c>
      <c r="M293" s="4">
        <v>6457.15</v>
      </c>
      <c r="N293" s="4">
        <f ca="1">O293/M293</f>
        <v>150.140549623286</v>
      </c>
      <c r="O293" s="4">
        <f ca="1">(+O294+O295+O296+O297+O298)</f>
        <v>969480.05</v>
      </c>
      <c r="P293" s="4"/>
      <c r="Q293" s="4"/>
      <c r="R293" s="4">
        <f>+P293+J293</f>
        <v>6457.15</v>
      </c>
      <c r="S293" s="4">
        <f>+Q293+L293</f>
        <v>1105298.20825688</v>
      </c>
      <c r="T293" s="4">
        <f>IFERROR(VLOOKUP(A293,产值统计中间表!A:F,7,FALSE),0)</f>
        <v>0</v>
      </c>
      <c r="U293" s="4">
        <f>+T293*H293</f>
        <v>0</v>
      </c>
      <c r="V293" s="4">
        <f>IFERROR(VLOOKUP(A293,产值统计中间表!A:D,4,FALSE),0)</f>
        <v>0</v>
      </c>
      <c r="W293" s="4">
        <f>+V293*H293</f>
        <v>0</v>
      </c>
      <c r="X293" s="4">
        <f>+R293-V293</f>
        <v>6457.15</v>
      </c>
      <c r="Y293" s="4">
        <f>+S293-W293</f>
        <v>1105298.20825688</v>
      </c>
      <c r="Z293" s="4">
        <f>IFERROR(VLOOKUP(A293,业主统计中间表!A:D,4,FALSE),0)</f>
        <v>0</v>
      </c>
      <c r="AA293" s="4">
        <f>+Z293*H293</f>
        <v>0</v>
      </c>
      <c r="AB293" s="4"/>
    </row>
    <row r="294" customHeight="1" outlineLevel="3" spans="1:28">
      <c r="A294" s="514" t="s">
        <v>2758</v>
      </c>
      <c r="B294" s="4"/>
      <c r="C294" s="510" t="s">
        <v>64</v>
      </c>
      <c r="D294" s="4" t="s">
        <v>1064</v>
      </c>
      <c r="E294" s="4"/>
      <c r="F294" s="4" t="str">
        <f ca="1" t="shared" ref="F294:F298" si="474">VLOOKUP($D294,INDIRECT($C294),2,0)</f>
        <v>m2</v>
      </c>
      <c r="G294" s="4"/>
      <c r="H294" s="4"/>
      <c r="I294" s="4"/>
      <c r="J294" s="4"/>
      <c r="K294" s="4"/>
      <c r="L294" s="517"/>
      <c r="M294" s="4">
        <v>6457.15</v>
      </c>
      <c r="N294" s="4">
        <f ca="1" t="shared" ref="N294:N298" si="475">VLOOKUP($D294,INDIRECT($C294),3,0)</f>
        <v>10</v>
      </c>
      <c r="O294" s="4">
        <f ca="1">M294*N294</f>
        <v>64571.5</v>
      </c>
      <c r="P294" s="4"/>
      <c r="Q294" s="4"/>
      <c r="R294" s="4"/>
      <c r="S294" s="4"/>
      <c r="T294" s="4">
        <f ca="1" t="shared" ref="T294:T298" si="476">OFFSET(T294,-RIGHT($A294,LEN($A$6)),,1,1)/OFFSET(T294,-RIGHT($A294,LEN($A$6)),-13,1,1)*$M294</f>
        <v>0</v>
      </c>
      <c r="U294" s="4">
        <f ca="1" t="shared" ref="U294:U298" si="477">+$N294*T294</f>
        <v>0</v>
      </c>
      <c r="V294" s="4">
        <f ca="1" t="shared" ref="V294:V298" si="478">OFFSET(V294,-RIGHT($A294,LEN($A$6)),,1,1)/OFFSET(V294,-RIGHT($A294,LEN($A$6)),-15,1,1)*$M294</f>
        <v>0</v>
      </c>
      <c r="W294" s="4">
        <f ca="1" t="shared" ref="W294:W298" si="479">+$N294*V294</f>
        <v>0</v>
      </c>
      <c r="X294" s="4">
        <f ca="1" t="shared" ref="X294:X298" si="480">+M294-V294</f>
        <v>6457.15</v>
      </c>
      <c r="Y294" s="4">
        <f ca="1" t="shared" ref="Y294:Y298" si="481">+O294-W294</f>
        <v>64571.5</v>
      </c>
      <c r="Z294" s="4">
        <f ca="1" t="shared" ref="Z294:Z298" si="482">OFFSET(Z294,-RIGHT($A294,LEN($A$6)),,1,1)/OFFSET(Z294,-RIGHT($A294,LEN($A$6)),-19,1,1)*$M294</f>
        <v>0</v>
      </c>
      <c r="AA294" s="4">
        <f ca="1" t="shared" ref="AA294:AA298" si="483">+$N294*Z294</f>
        <v>0</v>
      </c>
      <c r="AB294" s="4"/>
    </row>
    <row r="295" customHeight="1" outlineLevel="3" spans="1:28">
      <c r="A295" s="514" t="s">
        <v>2759</v>
      </c>
      <c r="B295" s="4"/>
      <c r="C295" s="510" t="s">
        <v>64</v>
      </c>
      <c r="D295" s="4" t="s">
        <v>296</v>
      </c>
      <c r="E295" s="4"/>
      <c r="F295" s="4" t="str">
        <f ca="1" t="shared" si="474"/>
        <v>t</v>
      </c>
      <c r="G295" s="4"/>
      <c r="H295" s="4"/>
      <c r="I295" s="4"/>
      <c r="J295" s="4"/>
      <c r="K295" s="4"/>
      <c r="L295" s="517"/>
      <c r="M295" s="4">
        <v>93.72</v>
      </c>
      <c r="N295" s="4">
        <f ca="1" t="shared" si="475"/>
        <v>700</v>
      </c>
      <c r="O295" s="4">
        <f ca="1">M295*N295</f>
        <v>65604</v>
      </c>
      <c r="P295" s="4"/>
      <c r="Q295" s="4"/>
      <c r="R295" s="4"/>
      <c r="S295" s="4"/>
      <c r="T295" s="4">
        <f ca="1" t="shared" si="476"/>
        <v>0</v>
      </c>
      <c r="U295" s="4">
        <f ca="1" t="shared" si="477"/>
        <v>0</v>
      </c>
      <c r="V295" s="4">
        <f ca="1" t="shared" si="478"/>
        <v>0</v>
      </c>
      <c r="W295" s="4">
        <f ca="1" t="shared" si="479"/>
        <v>0</v>
      </c>
      <c r="X295" s="4">
        <f ca="1" t="shared" si="480"/>
        <v>93.72</v>
      </c>
      <c r="Y295" s="4">
        <f ca="1" t="shared" si="481"/>
        <v>65604</v>
      </c>
      <c r="Z295" s="4">
        <f ca="1" t="shared" si="482"/>
        <v>0</v>
      </c>
      <c r="AA295" s="4">
        <f ca="1" t="shared" si="483"/>
        <v>0</v>
      </c>
      <c r="AB295" s="4"/>
    </row>
    <row r="296" customHeight="1" outlineLevel="3" spans="1:28">
      <c r="A296" s="514" t="s">
        <v>2760</v>
      </c>
      <c r="B296" s="4"/>
      <c r="C296" s="510" t="s">
        <v>59</v>
      </c>
      <c r="D296" s="4" t="s">
        <v>834</v>
      </c>
      <c r="E296" s="4"/>
      <c r="F296" s="4" t="str">
        <f ca="1" t="shared" si="474"/>
        <v>m³</v>
      </c>
      <c r="G296" s="4"/>
      <c r="H296" s="4"/>
      <c r="I296" s="4"/>
      <c r="J296" s="4"/>
      <c r="K296" s="4"/>
      <c r="L296" s="517"/>
      <c r="M296" s="4">
        <v>648.9486</v>
      </c>
      <c r="N296" s="4">
        <f ca="1" t="shared" si="475"/>
        <v>500</v>
      </c>
      <c r="O296" s="4">
        <f ca="1">M296*N296</f>
        <v>324474.3</v>
      </c>
      <c r="P296" s="4"/>
      <c r="Q296" s="4"/>
      <c r="R296" s="4"/>
      <c r="S296" s="4"/>
      <c r="T296" s="4">
        <f ca="1" t="shared" si="476"/>
        <v>0</v>
      </c>
      <c r="U296" s="4">
        <f ca="1" t="shared" si="477"/>
        <v>0</v>
      </c>
      <c r="V296" s="4">
        <f ca="1" t="shared" si="478"/>
        <v>0</v>
      </c>
      <c r="W296" s="4">
        <f ca="1" t="shared" si="479"/>
        <v>0</v>
      </c>
      <c r="X296" s="4">
        <f ca="1" t="shared" si="480"/>
        <v>648.9486</v>
      </c>
      <c r="Y296" s="4">
        <f ca="1" t="shared" si="481"/>
        <v>324474.3</v>
      </c>
      <c r="Z296" s="4">
        <f ca="1" t="shared" si="482"/>
        <v>0</v>
      </c>
      <c r="AA296" s="4">
        <f ca="1" t="shared" si="483"/>
        <v>0</v>
      </c>
      <c r="AB296" s="4"/>
    </row>
    <row r="297" customHeight="1" outlineLevel="3" spans="1:28">
      <c r="A297" s="514" t="s">
        <v>2761</v>
      </c>
      <c r="B297" s="4"/>
      <c r="C297" s="510" t="s">
        <v>59</v>
      </c>
      <c r="D297" s="4" t="s">
        <v>480</v>
      </c>
      <c r="E297" s="4" t="str">
        <f ca="1">"含钢量："&amp;ROUND($M$297/$G$293,3)&amp;$F$297&amp;"/"&amp;$F$293</f>
        <v>含钢量：0.015t/m2</v>
      </c>
      <c r="F297" s="4" t="str">
        <f ca="1" t="shared" si="474"/>
        <v>t</v>
      </c>
      <c r="G297" s="4"/>
      <c r="H297" s="4"/>
      <c r="I297" s="4"/>
      <c r="J297" s="4"/>
      <c r="K297" s="4"/>
      <c r="L297" s="517"/>
      <c r="M297" s="4">
        <v>93.72</v>
      </c>
      <c r="N297" s="4">
        <f ca="1" t="shared" si="475"/>
        <v>4200</v>
      </c>
      <c r="O297" s="4">
        <f ca="1">M297*N297</f>
        <v>393624</v>
      </c>
      <c r="P297" s="4"/>
      <c r="Q297" s="4"/>
      <c r="R297" s="4"/>
      <c r="S297" s="4"/>
      <c r="T297" s="4">
        <f ca="1" t="shared" si="476"/>
        <v>0</v>
      </c>
      <c r="U297" s="4">
        <f ca="1" t="shared" si="477"/>
        <v>0</v>
      </c>
      <c r="V297" s="4">
        <f ca="1" t="shared" si="478"/>
        <v>0</v>
      </c>
      <c r="W297" s="4">
        <f ca="1" t="shared" si="479"/>
        <v>0</v>
      </c>
      <c r="X297" s="4">
        <f ca="1" t="shared" si="480"/>
        <v>93.72</v>
      </c>
      <c r="Y297" s="4">
        <f ca="1" t="shared" si="481"/>
        <v>393624</v>
      </c>
      <c r="Z297" s="4">
        <f ca="1" t="shared" si="482"/>
        <v>0</v>
      </c>
      <c r="AA297" s="4">
        <f ca="1" t="shared" si="483"/>
        <v>0</v>
      </c>
      <c r="AB297" s="4"/>
    </row>
    <row r="298" customHeight="1" outlineLevel="3" spans="1:28">
      <c r="A298" s="514" t="s">
        <v>2762</v>
      </c>
      <c r="B298" s="4"/>
      <c r="C298" s="510" t="s">
        <v>65</v>
      </c>
      <c r="D298" s="4" t="s">
        <v>811</v>
      </c>
      <c r="E298" s="4"/>
      <c r="F298" s="4" t="str">
        <f ca="1" t="shared" si="474"/>
        <v>m2</v>
      </c>
      <c r="G298" s="4"/>
      <c r="H298" s="4"/>
      <c r="I298" s="4"/>
      <c r="J298" s="4"/>
      <c r="K298" s="4"/>
      <c r="L298" s="517"/>
      <c r="M298" s="4">
        <v>4848.25</v>
      </c>
      <c r="N298" s="4">
        <f ca="1" t="shared" si="475"/>
        <v>25</v>
      </c>
      <c r="O298" s="4">
        <f ca="1">M298*N298</f>
        <v>121206.25</v>
      </c>
      <c r="P298" s="4"/>
      <c r="Q298" s="4"/>
      <c r="R298" s="4"/>
      <c r="S298" s="4"/>
      <c r="T298" s="4">
        <f ca="1" t="shared" si="476"/>
        <v>0</v>
      </c>
      <c r="U298" s="4">
        <f ca="1" t="shared" si="477"/>
        <v>0</v>
      </c>
      <c r="V298" s="4">
        <f ca="1" t="shared" si="478"/>
        <v>0</v>
      </c>
      <c r="W298" s="4">
        <f ca="1" t="shared" si="479"/>
        <v>0</v>
      </c>
      <c r="X298" s="4">
        <f ca="1" t="shared" si="480"/>
        <v>4848.25</v>
      </c>
      <c r="Y298" s="4">
        <f ca="1" t="shared" si="481"/>
        <v>121206.25</v>
      </c>
      <c r="Z298" s="4">
        <f ca="1" t="shared" si="482"/>
        <v>0</v>
      </c>
      <c r="AA298" s="4">
        <f ca="1" t="shared" si="483"/>
        <v>0</v>
      </c>
      <c r="AB298" s="4"/>
    </row>
    <row r="299" customHeight="1" outlineLevel="2" spans="1:28">
      <c r="A299" s="515" t="s">
        <v>2763</v>
      </c>
      <c r="B299" s="4"/>
      <c r="C299" s="510" t="s">
        <v>1309</v>
      </c>
      <c r="D299" s="4" t="s">
        <v>2567</v>
      </c>
      <c r="E299" s="4" t="s">
        <v>2568</v>
      </c>
      <c r="F299" s="4" t="s">
        <v>69</v>
      </c>
      <c r="G299" s="4">
        <v>5338.25</v>
      </c>
      <c r="H299" s="4">
        <v>136.009174311927</v>
      </c>
      <c r="I299" s="4">
        <f>G299*H299</f>
        <v>726050.974770644</v>
      </c>
      <c r="J299" s="4">
        <f t="shared" ref="J299:L299" si="484">+G299</f>
        <v>5338.25</v>
      </c>
      <c r="K299" s="4">
        <f t="shared" si="484"/>
        <v>136.009174311927</v>
      </c>
      <c r="L299" s="517">
        <f t="shared" si="484"/>
        <v>726050.974770644</v>
      </c>
      <c r="M299" s="4">
        <v>5338.25</v>
      </c>
      <c r="N299" s="4">
        <f ca="1">O299/M299</f>
        <v>20</v>
      </c>
      <c r="O299" s="4">
        <f ca="1">(+O300+O301+O302+O303+O304)</f>
        <v>106765</v>
      </c>
      <c r="P299" s="4"/>
      <c r="Q299" s="4"/>
      <c r="R299" s="4">
        <f>+P299+J299</f>
        <v>5338.25</v>
      </c>
      <c r="S299" s="4">
        <f>+Q299+L299</f>
        <v>726050.974770644</v>
      </c>
      <c r="T299" s="4">
        <f>IFERROR(VLOOKUP(A299,产值统计中间表!A:F,7,FALSE),0)</f>
        <v>0</v>
      </c>
      <c r="U299" s="4">
        <f>+T299*H299</f>
        <v>0</v>
      </c>
      <c r="V299" s="4">
        <f>IFERROR(VLOOKUP(A299,产值统计中间表!A:D,4,FALSE),0)</f>
        <v>0</v>
      </c>
      <c r="W299" s="4">
        <f>+V299*H299</f>
        <v>0</v>
      </c>
      <c r="X299" s="4">
        <f>+R299-V299</f>
        <v>5338.25</v>
      </c>
      <c r="Y299" s="4">
        <f>+S299-W299</f>
        <v>726050.974770644</v>
      </c>
      <c r="Z299" s="4">
        <f>IFERROR(VLOOKUP(A299,业主统计中间表!A:D,4,FALSE),0)</f>
        <v>0</v>
      </c>
      <c r="AA299" s="4">
        <f>+Z299*H299</f>
        <v>0</v>
      </c>
      <c r="AB299" s="4"/>
    </row>
    <row r="300" customHeight="1" outlineLevel="3" spans="1:28">
      <c r="A300" s="514" t="s">
        <v>2764</v>
      </c>
      <c r="B300" s="4"/>
      <c r="C300" s="510" t="s">
        <v>59</v>
      </c>
      <c r="D300" s="4" t="s">
        <v>981</v>
      </c>
      <c r="E300" s="4"/>
      <c r="F300" s="4" t="str">
        <f ca="1" t="shared" ref="F300:F304" si="485">VLOOKUP($D300,INDIRECT($C300),2,0)</f>
        <v>m3</v>
      </c>
      <c r="G300" s="4"/>
      <c r="H300" s="4"/>
      <c r="I300" s="4"/>
      <c r="J300" s="4"/>
      <c r="K300" s="4"/>
      <c r="L300" s="517"/>
      <c r="M300" s="4">
        <v>325.10247</v>
      </c>
      <c r="N300" s="4">
        <f ca="1" t="shared" ref="N300:N304" si="486">VLOOKUP($D300,INDIRECT($C300),3,0)</f>
        <v>0</v>
      </c>
      <c r="O300" s="4">
        <f ca="1">M300*N300</f>
        <v>0</v>
      </c>
      <c r="P300" s="4"/>
      <c r="Q300" s="4"/>
      <c r="R300" s="4"/>
      <c r="S300" s="4"/>
      <c r="T300" s="4">
        <f ca="1" t="shared" ref="T300:T304" si="487">OFFSET(T300,-RIGHT($A300,LEN($A$6)),,1,1)/OFFSET(T300,-RIGHT($A300,LEN($A$6)),-13,1,1)*$M300</f>
        <v>0</v>
      </c>
      <c r="U300" s="4">
        <f ca="1" t="shared" ref="U300:U304" si="488">+$N300*T300</f>
        <v>0</v>
      </c>
      <c r="V300" s="4">
        <f ca="1" t="shared" ref="V300:V304" si="489">OFFSET(V300,-RIGHT($A300,LEN($A$6)),,1,1)/OFFSET(V300,-RIGHT($A300,LEN($A$6)),-15,1,1)*$M300</f>
        <v>0</v>
      </c>
      <c r="W300" s="4">
        <f ca="1" t="shared" ref="W300:W304" si="490">+$N300*V300</f>
        <v>0</v>
      </c>
      <c r="X300" s="4">
        <f ca="1" t="shared" ref="X300:X304" si="491">+M300-V300</f>
        <v>325.10247</v>
      </c>
      <c r="Y300" s="4">
        <f ca="1" t="shared" ref="Y300:Y304" si="492">+O300-W300</f>
        <v>0</v>
      </c>
      <c r="Z300" s="4">
        <f ca="1" t="shared" ref="Z300:Z304" si="493">OFFSET(Z300,-RIGHT($A300,LEN($A$6)),,1,1)/OFFSET(Z300,-RIGHT($A300,LEN($A$6)),-19,1,1)*$M300</f>
        <v>0</v>
      </c>
      <c r="AA300" s="4">
        <f ca="1" t="shared" ref="AA300:AA304" si="494">+$N300*Z300</f>
        <v>0</v>
      </c>
      <c r="AB300" s="4"/>
    </row>
    <row r="301" customHeight="1" outlineLevel="3" spans="1:28">
      <c r="A301" s="514" t="s">
        <v>2765</v>
      </c>
      <c r="B301" s="4"/>
      <c r="C301" s="510" t="s">
        <v>59</v>
      </c>
      <c r="D301" s="4" t="s">
        <v>264</v>
      </c>
      <c r="E301" s="4"/>
      <c r="F301" s="4" t="str">
        <f ca="1" t="shared" si="485"/>
        <v>m3</v>
      </c>
      <c r="G301" s="4"/>
      <c r="H301" s="4"/>
      <c r="I301" s="4"/>
      <c r="J301" s="4"/>
      <c r="K301" s="4"/>
      <c r="L301" s="517"/>
      <c r="M301" s="4">
        <v>216.20115</v>
      </c>
      <c r="N301" s="4">
        <f ca="1" t="shared" si="486"/>
        <v>0</v>
      </c>
      <c r="O301" s="4">
        <f ca="1">M301*N301</f>
        <v>0</v>
      </c>
      <c r="P301" s="4"/>
      <c r="Q301" s="4"/>
      <c r="R301" s="4"/>
      <c r="S301" s="4"/>
      <c r="T301" s="4">
        <f ca="1" t="shared" si="487"/>
        <v>0</v>
      </c>
      <c r="U301" s="4">
        <f ca="1" t="shared" si="488"/>
        <v>0</v>
      </c>
      <c r="V301" s="4">
        <f ca="1" t="shared" si="489"/>
        <v>0</v>
      </c>
      <c r="W301" s="4">
        <f ca="1" t="shared" si="490"/>
        <v>0</v>
      </c>
      <c r="X301" s="4">
        <f ca="1" t="shared" si="491"/>
        <v>216.20115</v>
      </c>
      <c r="Y301" s="4">
        <f ca="1" t="shared" si="492"/>
        <v>0</v>
      </c>
      <c r="Z301" s="4">
        <f ca="1" t="shared" si="493"/>
        <v>0</v>
      </c>
      <c r="AA301" s="4">
        <f ca="1" t="shared" si="494"/>
        <v>0</v>
      </c>
      <c r="AB301" s="4"/>
    </row>
    <row r="302" customHeight="1" outlineLevel="3" spans="1:28">
      <c r="A302" s="514" t="s">
        <v>2766</v>
      </c>
      <c r="B302" s="4"/>
      <c r="C302" s="510" t="s">
        <v>59</v>
      </c>
      <c r="D302" s="4" t="s">
        <v>984</v>
      </c>
      <c r="E302" s="4"/>
      <c r="F302" s="4" t="str">
        <f ca="1" t="shared" si="485"/>
        <v>t</v>
      </c>
      <c r="G302" s="4"/>
      <c r="H302" s="4"/>
      <c r="I302" s="4"/>
      <c r="J302" s="4"/>
      <c r="K302" s="4"/>
      <c r="L302" s="517"/>
      <c r="M302" s="4">
        <v>2.776</v>
      </c>
      <c r="N302" s="4">
        <f ca="1" t="shared" si="486"/>
        <v>0</v>
      </c>
      <c r="O302" s="4">
        <f ca="1">M302*N302</f>
        <v>0</v>
      </c>
      <c r="P302" s="4"/>
      <c r="Q302" s="4"/>
      <c r="R302" s="4"/>
      <c r="S302" s="4"/>
      <c r="T302" s="4">
        <f ca="1" t="shared" si="487"/>
        <v>0</v>
      </c>
      <c r="U302" s="4">
        <f ca="1" t="shared" si="488"/>
        <v>0</v>
      </c>
      <c r="V302" s="4">
        <f ca="1" t="shared" si="489"/>
        <v>0</v>
      </c>
      <c r="W302" s="4">
        <f ca="1" t="shared" si="490"/>
        <v>0</v>
      </c>
      <c r="X302" s="4">
        <f ca="1" t="shared" si="491"/>
        <v>2.776</v>
      </c>
      <c r="Y302" s="4">
        <f ca="1" t="shared" si="492"/>
        <v>0</v>
      </c>
      <c r="Z302" s="4">
        <f ca="1" t="shared" si="493"/>
        <v>0</v>
      </c>
      <c r="AA302" s="4">
        <f ca="1" t="shared" si="494"/>
        <v>0</v>
      </c>
      <c r="AB302" s="4"/>
    </row>
    <row r="303" customHeight="1" outlineLevel="3" spans="1:28">
      <c r="A303" s="514" t="s">
        <v>2767</v>
      </c>
      <c r="B303" s="4"/>
      <c r="C303" s="510" t="s">
        <v>63</v>
      </c>
      <c r="D303" s="4" t="s">
        <v>1182</v>
      </c>
      <c r="E303" s="4"/>
      <c r="F303" s="4" t="str">
        <f ca="1" t="shared" si="485"/>
        <v>m2</v>
      </c>
      <c r="G303" s="4"/>
      <c r="H303" s="4"/>
      <c r="I303" s="4"/>
      <c r="J303" s="4"/>
      <c r="K303" s="4"/>
      <c r="L303" s="517"/>
      <c r="M303" s="4">
        <f>5338.25*2</f>
        <v>10676.5</v>
      </c>
      <c r="N303" s="4">
        <f ca="1" t="shared" si="486"/>
        <v>8</v>
      </c>
      <c r="O303" s="4">
        <f ca="1">M303*N303</f>
        <v>85412</v>
      </c>
      <c r="P303" s="4"/>
      <c r="Q303" s="4"/>
      <c r="R303" s="4"/>
      <c r="S303" s="4"/>
      <c r="T303" s="4">
        <f ca="1" t="shared" si="487"/>
        <v>0</v>
      </c>
      <c r="U303" s="4">
        <f ca="1" t="shared" si="488"/>
        <v>0</v>
      </c>
      <c r="V303" s="4">
        <f ca="1" t="shared" si="489"/>
        <v>0</v>
      </c>
      <c r="W303" s="4">
        <f ca="1" t="shared" si="490"/>
        <v>0</v>
      </c>
      <c r="X303" s="4">
        <f ca="1" t="shared" si="491"/>
        <v>10676.5</v>
      </c>
      <c r="Y303" s="4">
        <f ca="1" t="shared" si="492"/>
        <v>85412</v>
      </c>
      <c r="Z303" s="4">
        <f ca="1" t="shared" si="493"/>
        <v>0</v>
      </c>
      <c r="AA303" s="4">
        <f ca="1" t="shared" si="494"/>
        <v>0</v>
      </c>
      <c r="AB303" s="4"/>
    </row>
    <row r="304" customHeight="1" outlineLevel="3" spans="1:28">
      <c r="A304" s="514" t="s">
        <v>2768</v>
      </c>
      <c r="B304" s="4"/>
      <c r="C304" s="510" t="s">
        <v>63</v>
      </c>
      <c r="D304" s="4" t="s">
        <v>1186</v>
      </c>
      <c r="E304" s="4"/>
      <c r="F304" s="4" t="str">
        <f ca="1" t="shared" si="485"/>
        <v>m2</v>
      </c>
      <c r="G304" s="4"/>
      <c r="H304" s="4"/>
      <c r="I304" s="4"/>
      <c r="J304" s="4"/>
      <c r="K304" s="4"/>
      <c r="L304" s="517"/>
      <c r="M304" s="4">
        <f>5338.25*2</f>
        <v>10676.5</v>
      </c>
      <c r="N304" s="4">
        <f ca="1" t="shared" si="486"/>
        <v>2</v>
      </c>
      <c r="O304" s="4">
        <f ca="1">M304*N304</f>
        <v>21353</v>
      </c>
      <c r="P304" s="4"/>
      <c r="Q304" s="4"/>
      <c r="R304" s="4"/>
      <c r="S304" s="4"/>
      <c r="T304" s="4">
        <f ca="1" t="shared" si="487"/>
        <v>0</v>
      </c>
      <c r="U304" s="4">
        <f ca="1" t="shared" si="488"/>
        <v>0</v>
      </c>
      <c r="V304" s="4">
        <f ca="1" t="shared" si="489"/>
        <v>0</v>
      </c>
      <c r="W304" s="4">
        <f ca="1" t="shared" si="490"/>
        <v>0</v>
      </c>
      <c r="X304" s="4">
        <f ca="1" t="shared" si="491"/>
        <v>10676.5</v>
      </c>
      <c r="Y304" s="4">
        <f ca="1" t="shared" si="492"/>
        <v>21353</v>
      </c>
      <c r="Z304" s="4">
        <f ca="1" t="shared" si="493"/>
        <v>0</v>
      </c>
      <c r="AA304" s="4">
        <f ca="1" t="shared" si="494"/>
        <v>0</v>
      </c>
      <c r="AB304" s="4"/>
    </row>
    <row r="305" customHeight="1" outlineLevel="2" spans="1:28">
      <c r="A305" s="515" t="s">
        <v>2769</v>
      </c>
      <c r="B305" s="4"/>
      <c r="C305" s="510" t="s">
        <v>1309</v>
      </c>
      <c r="D305" s="4" t="s">
        <v>2575</v>
      </c>
      <c r="E305" s="4" t="s">
        <v>2576</v>
      </c>
      <c r="F305" s="4" t="s">
        <v>69</v>
      </c>
      <c r="G305" s="4">
        <v>984.07</v>
      </c>
      <c r="H305" s="4">
        <v>98.2293577981651</v>
      </c>
      <c r="I305" s="4">
        <f>G305*H305</f>
        <v>96664.5641284403</v>
      </c>
      <c r="J305" s="4">
        <f t="shared" ref="J305:L305" si="495">+G305</f>
        <v>984.07</v>
      </c>
      <c r="K305" s="4">
        <f t="shared" si="495"/>
        <v>98.2293577981651</v>
      </c>
      <c r="L305" s="517">
        <f t="shared" si="495"/>
        <v>96664.5641284403</v>
      </c>
      <c r="M305" s="4">
        <v>984.07</v>
      </c>
      <c r="N305" s="4">
        <f ca="1">O305/M305</f>
        <v>99.9935980164013</v>
      </c>
      <c r="O305" s="4">
        <f ca="1">(+O306+O307+O308+O309)</f>
        <v>98400.7</v>
      </c>
      <c r="P305" s="4"/>
      <c r="Q305" s="4"/>
      <c r="R305" s="4">
        <f>+P305+J305</f>
        <v>984.07</v>
      </c>
      <c r="S305" s="4">
        <f>+Q305+L305</f>
        <v>96664.5641284403</v>
      </c>
      <c r="T305" s="4">
        <f>IFERROR(VLOOKUP(A305,产值统计中间表!A:F,7,FALSE),0)</f>
        <v>0</v>
      </c>
      <c r="U305" s="4">
        <f>+T305*H305</f>
        <v>0</v>
      </c>
      <c r="V305" s="4">
        <f>IFERROR(VLOOKUP(A305,产值统计中间表!A:D,4,FALSE),0)</f>
        <v>0</v>
      </c>
      <c r="W305" s="4">
        <f>+V305*H305</f>
        <v>0</v>
      </c>
      <c r="X305" s="4">
        <f>+R305-V305</f>
        <v>984.07</v>
      </c>
      <c r="Y305" s="4">
        <f>+S305-W305</f>
        <v>96664.5641284403</v>
      </c>
      <c r="Z305" s="4">
        <f>IFERROR(VLOOKUP(A305,业主统计中间表!A:D,4,FALSE),0)</f>
        <v>0</v>
      </c>
      <c r="AA305" s="4">
        <f>+Z305*H305</f>
        <v>0</v>
      </c>
      <c r="AB305" s="4"/>
    </row>
    <row r="306" customHeight="1" outlineLevel="3" spans="1:28">
      <c r="A306" s="514" t="s">
        <v>2770</v>
      </c>
      <c r="B306" s="4"/>
      <c r="C306" s="510" t="s">
        <v>59</v>
      </c>
      <c r="D306" s="4" t="s">
        <v>840</v>
      </c>
      <c r="E306" s="4"/>
      <c r="F306" s="4" t="str">
        <f ca="1" t="shared" ref="F306:F309" si="496">VLOOKUP($D306,INDIRECT($C306),2,0)</f>
        <v>m3</v>
      </c>
      <c r="G306" s="4"/>
      <c r="H306" s="4"/>
      <c r="I306" s="4"/>
      <c r="J306" s="4"/>
      <c r="K306" s="4"/>
      <c r="L306" s="517"/>
      <c r="M306" s="4">
        <v>49.2</v>
      </c>
      <c r="N306" s="4">
        <f ca="1" t="shared" ref="N306:N309" si="497">VLOOKUP($D306,INDIRECT($C306),3,0)</f>
        <v>1800</v>
      </c>
      <c r="O306" s="4">
        <f ca="1">M306*N306</f>
        <v>88560</v>
      </c>
      <c r="P306" s="4"/>
      <c r="Q306" s="4"/>
      <c r="R306" s="4"/>
      <c r="S306" s="4"/>
      <c r="T306" s="4">
        <f ca="1" t="shared" ref="T306:T309" si="498">OFFSET(T306,-RIGHT($A306,LEN($A$6)),,1,1)/OFFSET(T306,-RIGHT($A306,LEN($A$6)),-13,1,1)*$M306</f>
        <v>0</v>
      </c>
      <c r="U306" s="4">
        <f ca="1" t="shared" ref="U306:U309" si="499">+$N306*T306</f>
        <v>0</v>
      </c>
      <c r="V306" s="4">
        <f ca="1" t="shared" ref="V306:V309" si="500">OFFSET(V306,-RIGHT($A306,LEN($A$6)),,1,1)/OFFSET(V306,-RIGHT($A306,LEN($A$6)),-15,1,1)*$M306</f>
        <v>0</v>
      </c>
      <c r="W306" s="4">
        <f ca="1" t="shared" ref="W306:W309" si="501">+$N306*V306</f>
        <v>0</v>
      </c>
      <c r="X306" s="4">
        <f ca="1" t="shared" ref="X306:X309" si="502">+M306-V306</f>
        <v>49.2</v>
      </c>
      <c r="Y306" s="4">
        <f ca="1" t="shared" ref="Y306:Y309" si="503">+O306-W306</f>
        <v>88560</v>
      </c>
      <c r="Z306" s="4">
        <f ca="1" t="shared" ref="Z306:Z309" si="504">OFFSET(Z306,-RIGHT($A306,LEN($A$6)),,1,1)/OFFSET(Z306,-RIGHT($A306,LEN($A$6)),-19,1,1)*$M306</f>
        <v>0</v>
      </c>
      <c r="AA306" s="4">
        <f ca="1" t="shared" ref="AA306:AA309" si="505">+$N306*Z306</f>
        <v>0</v>
      </c>
      <c r="AB306" s="4"/>
    </row>
    <row r="307" customHeight="1" outlineLevel="3" spans="1:28">
      <c r="A307" s="514" t="s">
        <v>2771</v>
      </c>
      <c r="B307" s="4"/>
      <c r="C307" s="510" t="s">
        <v>59</v>
      </c>
      <c r="D307" s="4" t="s">
        <v>984</v>
      </c>
      <c r="E307" s="4"/>
      <c r="F307" s="4" t="str">
        <f ca="1" t="shared" si="496"/>
        <v>t</v>
      </c>
      <c r="G307" s="4"/>
      <c r="H307" s="4"/>
      <c r="I307" s="4"/>
      <c r="J307" s="4"/>
      <c r="K307" s="4"/>
      <c r="L307" s="517"/>
      <c r="M307" s="4">
        <v>2.47</v>
      </c>
      <c r="N307" s="4">
        <f ca="1" t="shared" si="497"/>
        <v>0</v>
      </c>
      <c r="O307" s="4">
        <f ca="1">M307*N307</f>
        <v>0</v>
      </c>
      <c r="P307" s="4"/>
      <c r="Q307" s="4"/>
      <c r="R307" s="4"/>
      <c r="S307" s="4"/>
      <c r="T307" s="4">
        <f ca="1" t="shared" si="498"/>
        <v>0</v>
      </c>
      <c r="U307" s="4">
        <f ca="1" t="shared" si="499"/>
        <v>0</v>
      </c>
      <c r="V307" s="4">
        <f ca="1" t="shared" si="500"/>
        <v>0</v>
      </c>
      <c r="W307" s="4">
        <f ca="1" t="shared" si="501"/>
        <v>0</v>
      </c>
      <c r="X307" s="4">
        <f ca="1" t="shared" si="502"/>
        <v>2.47</v>
      </c>
      <c r="Y307" s="4">
        <f ca="1" t="shared" si="503"/>
        <v>0</v>
      </c>
      <c r="Z307" s="4">
        <f ca="1" t="shared" si="504"/>
        <v>0</v>
      </c>
      <c r="AA307" s="4">
        <f ca="1" t="shared" si="505"/>
        <v>0</v>
      </c>
      <c r="AB307" s="4"/>
    </row>
    <row r="308" customHeight="1" outlineLevel="3" spans="1:28">
      <c r="A308" s="514" t="s">
        <v>2772</v>
      </c>
      <c r="B308" s="4"/>
      <c r="C308" s="510" t="s">
        <v>63</v>
      </c>
      <c r="D308" s="4" t="s">
        <v>1182</v>
      </c>
      <c r="E308" s="4"/>
      <c r="F308" s="4" t="str">
        <f ca="1" t="shared" si="496"/>
        <v>m2</v>
      </c>
      <c r="G308" s="4"/>
      <c r="H308" s="4"/>
      <c r="I308" s="4"/>
      <c r="J308" s="4"/>
      <c r="K308" s="4"/>
      <c r="L308" s="517"/>
      <c r="M308" s="4">
        <v>984.07</v>
      </c>
      <c r="N308" s="4">
        <f ca="1" t="shared" si="497"/>
        <v>8</v>
      </c>
      <c r="O308" s="4">
        <f ca="1">M308*N308</f>
        <v>7872.56</v>
      </c>
      <c r="P308" s="4"/>
      <c r="Q308" s="4"/>
      <c r="R308" s="4"/>
      <c r="S308" s="4"/>
      <c r="T308" s="4">
        <f ca="1" t="shared" si="498"/>
        <v>0</v>
      </c>
      <c r="U308" s="4">
        <f ca="1" t="shared" si="499"/>
        <v>0</v>
      </c>
      <c r="V308" s="4">
        <f ca="1" t="shared" si="500"/>
        <v>0</v>
      </c>
      <c r="W308" s="4">
        <f ca="1" t="shared" si="501"/>
        <v>0</v>
      </c>
      <c r="X308" s="4">
        <f ca="1" t="shared" si="502"/>
        <v>984.07</v>
      </c>
      <c r="Y308" s="4">
        <f ca="1" t="shared" si="503"/>
        <v>7872.56</v>
      </c>
      <c r="Z308" s="4">
        <f ca="1" t="shared" si="504"/>
        <v>0</v>
      </c>
      <c r="AA308" s="4">
        <f ca="1" t="shared" si="505"/>
        <v>0</v>
      </c>
      <c r="AB308" s="4"/>
    </row>
    <row r="309" customHeight="1" outlineLevel="3" spans="1:28">
      <c r="A309" s="514" t="s">
        <v>2773</v>
      </c>
      <c r="B309" s="4"/>
      <c r="C309" s="510" t="s">
        <v>63</v>
      </c>
      <c r="D309" s="4" t="s">
        <v>1186</v>
      </c>
      <c r="E309" s="4"/>
      <c r="F309" s="4" t="str">
        <f ca="1" t="shared" si="496"/>
        <v>m2</v>
      </c>
      <c r="G309" s="4"/>
      <c r="H309" s="4"/>
      <c r="I309" s="4"/>
      <c r="J309" s="4"/>
      <c r="K309" s="4"/>
      <c r="L309" s="517"/>
      <c r="M309" s="4">
        <v>984.07</v>
      </c>
      <c r="N309" s="4">
        <f ca="1" t="shared" si="497"/>
        <v>2</v>
      </c>
      <c r="O309" s="4">
        <f ca="1">M309*N309</f>
        <v>1968.14</v>
      </c>
      <c r="P309" s="4"/>
      <c r="Q309" s="4"/>
      <c r="R309" s="4"/>
      <c r="S309" s="4"/>
      <c r="T309" s="4">
        <f ca="1" t="shared" si="498"/>
        <v>0</v>
      </c>
      <c r="U309" s="4">
        <f ca="1" t="shared" si="499"/>
        <v>0</v>
      </c>
      <c r="V309" s="4">
        <f ca="1" t="shared" si="500"/>
        <v>0</v>
      </c>
      <c r="W309" s="4">
        <f ca="1" t="shared" si="501"/>
        <v>0</v>
      </c>
      <c r="X309" s="4">
        <f ca="1" t="shared" si="502"/>
        <v>984.07</v>
      </c>
      <c r="Y309" s="4">
        <f ca="1" t="shared" si="503"/>
        <v>1968.14</v>
      </c>
      <c r="Z309" s="4">
        <f ca="1" t="shared" si="504"/>
        <v>0</v>
      </c>
      <c r="AA309" s="4">
        <f ca="1" t="shared" si="505"/>
        <v>0</v>
      </c>
      <c r="AB309" s="4"/>
    </row>
    <row r="310" customHeight="1" outlineLevel="2" spans="1:28">
      <c r="A310" s="515" t="s">
        <v>2774</v>
      </c>
      <c r="B310" s="4"/>
      <c r="C310" s="510" t="s">
        <v>1309</v>
      </c>
      <c r="D310" s="4" t="s">
        <v>2582</v>
      </c>
      <c r="E310" s="4" t="s">
        <v>2472</v>
      </c>
      <c r="F310" s="4" t="s">
        <v>72</v>
      </c>
      <c r="G310" s="4">
        <v>170.82</v>
      </c>
      <c r="H310" s="4">
        <v>1194.75229357798</v>
      </c>
      <c r="I310" s="4">
        <f>G310*H310</f>
        <v>204087.586788991</v>
      </c>
      <c r="J310" s="4">
        <f t="shared" ref="J310:L310" si="506">+G310</f>
        <v>170.82</v>
      </c>
      <c r="K310" s="4">
        <f t="shared" si="506"/>
        <v>1194.75229357798</v>
      </c>
      <c r="L310" s="517">
        <f t="shared" si="506"/>
        <v>204087.586788991</v>
      </c>
      <c r="M310" s="4">
        <v>170.82</v>
      </c>
      <c r="N310" s="4">
        <f ca="1">O310/M310</f>
        <v>3822.6747044985</v>
      </c>
      <c r="O310" s="4">
        <f ca="1">(+O311+O312+O313+O314+O315)</f>
        <v>652989.293022434</v>
      </c>
      <c r="P310" s="4"/>
      <c r="Q310" s="4"/>
      <c r="R310" s="4">
        <f>+P310+J310</f>
        <v>170.82</v>
      </c>
      <c r="S310" s="4">
        <f>+Q310+L310</f>
        <v>204087.586788991</v>
      </c>
      <c r="T310" s="4">
        <f>IFERROR(VLOOKUP(A310,产值统计中间表!A:F,7,FALSE),0)</f>
        <v>0</v>
      </c>
      <c r="U310" s="4">
        <f>+T310*H310</f>
        <v>0</v>
      </c>
      <c r="V310" s="4">
        <f>IFERROR(VLOOKUP(A310,产值统计中间表!A:D,4,FALSE),0)</f>
        <v>0</v>
      </c>
      <c r="W310" s="4">
        <f>+V310*H310</f>
        <v>0</v>
      </c>
      <c r="X310" s="4">
        <f>+R310-V310</f>
        <v>170.82</v>
      </c>
      <c r="Y310" s="4">
        <f>+S310-W310</f>
        <v>204087.586788991</v>
      </c>
      <c r="Z310" s="4">
        <f>IFERROR(VLOOKUP(A310,业主统计中间表!A:D,4,FALSE),0)</f>
        <v>0</v>
      </c>
      <c r="AA310" s="4">
        <f>+Z310*H310</f>
        <v>0</v>
      </c>
      <c r="AB310" s="4"/>
    </row>
    <row r="311" customHeight="1" outlineLevel="3" spans="1:28">
      <c r="A311" s="514" t="s">
        <v>2775</v>
      </c>
      <c r="B311" s="4"/>
      <c r="C311" s="510" t="s">
        <v>64</v>
      </c>
      <c r="D311" s="4" t="s">
        <v>752</v>
      </c>
      <c r="E311" s="4"/>
      <c r="F311" s="4" t="str">
        <f ca="1" t="shared" ref="F311:F315" si="507">VLOOKUP($D311,INDIRECT($C311),2,0)</f>
        <v>m3</v>
      </c>
      <c r="G311" s="4"/>
      <c r="H311" s="4"/>
      <c r="I311" s="4"/>
      <c r="J311" s="4"/>
      <c r="K311" s="4"/>
      <c r="L311" s="517"/>
      <c r="M311" s="4">
        <v>171.6741</v>
      </c>
      <c r="N311" s="4">
        <f ca="1" t="shared" ref="N311:N315" si="508">VLOOKUP($D311,INDIRECT($C311),3,0)</f>
        <v>30</v>
      </c>
      <c r="O311" s="4">
        <f ca="1">M311*N311</f>
        <v>5150.223</v>
      </c>
      <c r="P311" s="4"/>
      <c r="Q311" s="4"/>
      <c r="R311" s="4"/>
      <c r="S311" s="4"/>
      <c r="T311" s="4">
        <f ca="1" t="shared" ref="T311:T315" si="509">OFFSET(T311,-RIGHT($A311,LEN($A$6)),,1,1)/OFFSET(T311,-RIGHT($A311,LEN($A$6)),-13,1,1)*$M311</f>
        <v>0</v>
      </c>
      <c r="U311" s="4">
        <f ca="1" t="shared" ref="U311:U315" si="510">+$N311*T311</f>
        <v>0</v>
      </c>
      <c r="V311" s="4">
        <f ca="1" t="shared" ref="V311:V315" si="511">OFFSET(V311,-RIGHT($A311,LEN($A$6)),,1,1)/OFFSET(V311,-RIGHT($A311,LEN($A$6)),-15,1,1)*$M311</f>
        <v>0</v>
      </c>
      <c r="W311" s="4">
        <f ca="1" t="shared" ref="W311:W315" si="512">+$N311*V311</f>
        <v>0</v>
      </c>
      <c r="X311" s="4">
        <f ca="1" t="shared" ref="X311:X315" si="513">+M311-V311</f>
        <v>171.6741</v>
      </c>
      <c r="Y311" s="4">
        <f ca="1" t="shared" ref="Y311:Y315" si="514">+O311-W311</f>
        <v>5150.223</v>
      </c>
      <c r="Z311" s="4">
        <f ca="1" t="shared" ref="Z311:Z315" si="515">OFFSET(Z311,-RIGHT($A311,LEN($A$6)),,1,1)/OFFSET(Z311,-RIGHT($A311,LEN($A$6)),-19,1,1)*$M311</f>
        <v>0</v>
      </c>
      <c r="AA311" s="4">
        <f ca="1" t="shared" ref="AA311:AA315" si="516">+$N311*Z311</f>
        <v>0</v>
      </c>
      <c r="AB311" s="4"/>
    </row>
    <row r="312" customHeight="1" outlineLevel="3" spans="1:28">
      <c r="A312" s="514" t="s">
        <v>2776</v>
      </c>
      <c r="B312" s="4"/>
      <c r="C312" s="510" t="s">
        <v>64</v>
      </c>
      <c r="D312" s="4" t="s">
        <v>262</v>
      </c>
      <c r="E312" s="4"/>
      <c r="F312" s="4" t="str">
        <f ca="1" t="shared" si="507"/>
        <v>m2</v>
      </c>
      <c r="G312" s="4"/>
      <c r="H312" s="4"/>
      <c r="I312" s="4"/>
      <c r="J312" s="4"/>
      <c r="K312" s="4"/>
      <c r="L312" s="517"/>
      <c r="M312" s="4">
        <v>203.15</v>
      </c>
      <c r="N312" s="4">
        <f ca="1" t="shared" si="508"/>
        <v>55</v>
      </c>
      <c r="O312" s="4">
        <f ca="1">M312*N312</f>
        <v>11173.25</v>
      </c>
      <c r="P312" s="4"/>
      <c r="Q312" s="4"/>
      <c r="R312" s="4"/>
      <c r="S312" s="4"/>
      <c r="T312" s="4">
        <f ca="1" t="shared" si="509"/>
        <v>0</v>
      </c>
      <c r="U312" s="4">
        <f ca="1" t="shared" si="510"/>
        <v>0</v>
      </c>
      <c r="V312" s="4">
        <f ca="1" t="shared" si="511"/>
        <v>0</v>
      </c>
      <c r="W312" s="4">
        <f ca="1" t="shared" si="512"/>
        <v>0</v>
      </c>
      <c r="X312" s="4">
        <f ca="1" t="shared" si="513"/>
        <v>203.15</v>
      </c>
      <c r="Y312" s="4">
        <f ca="1" t="shared" si="514"/>
        <v>11173.25</v>
      </c>
      <c r="Z312" s="4">
        <f ca="1" t="shared" si="515"/>
        <v>0</v>
      </c>
      <c r="AA312" s="4">
        <f ca="1" t="shared" si="516"/>
        <v>0</v>
      </c>
      <c r="AB312" s="4"/>
    </row>
    <row r="313" customHeight="1" outlineLevel="3" spans="1:28">
      <c r="A313" s="514" t="s">
        <v>2777</v>
      </c>
      <c r="B313" s="4"/>
      <c r="C313" s="510" t="s">
        <v>59</v>
      </c>
      <c r="D313" s="4" t="s">
        <v>206</v>
      </c>
      <c r="E313" s="4"/>
      <c r="F313" s="4" t="str">
        <f ca="1" t="shared" si="507"/>
        <v>m3</v>
      </c>
      <c r="G313" s="4"/>
      <c r="H313" s="4"/>
      <c r="I313" s="4"/>
      <c r="J313" s="4"/>
      <c r="K313" s="4"/>
      <c r="L313" s="517"/>
      <c r="M313" s="4">
        <v>171.6741</v>
      </c>
      <c r="N313" s="4">
        <f ca="1" t="shared" si="508"/>
        <v>3097.57831858407</v>
      </c>
      <c r="O313" s="4">
        <f ca="1">M313*N313</f>
        <v>531773.970022434</v>
      </c>
      <c r="P313" s="4"/>
      <c r="Q313" s="4"/>
      <c r="R313" s="4"/>
      <c r="S313" s="4"/>
      <c r="T313" s="4">
        <f ca="1" t="shared" si="509"/>
        <v>0</v>
      </c>
      <c r="U313" s="4">
        <f ca="1" t="shared" si="510"/>
        <v>0</v>
      </c>
      <c r="V313" s="4">
        <f ca="1" t="shared" si="511"/>
        <v>0</v>
      </c>
      <c r="W313" s="4">
        <f ca="1" t="shared" si="512"/>
        <v>0</v>
      </c>
      <c r="X313" s="4">
        <f ca="1" t="shared" si="513"/>
        <v>171.6741</v>
      </c>
      <c r="Y313" s="4">
        <f ca="1" t="shared" si="514"/>
        <v>531773.970022434</v>
      </c>
      <c r="Z313" s="4">
        <f ca="1" t="shared" si="515"/>
        <v>0</v>
      </c>
      <c r="AA313" s="4">
        <f ca="1" t="shared" si="516"/>
        <v>0</v>
      </c>
      <c r="AB313" s="4"/>
    </row>
    <row r="314" customHeight="1" outlineLevel="3" spans="1:28">
      <c r="A314" s="514" t="s">
        <v>2778</v>
      </c>
      <c r="B314" s="4"/>
      <c r="C314" s="510" t="s">
        <v>59</v>
      </c>
      <c r="D314" s="4" t="s">
        <v>480</v>
      </c>
      <c r="E314" s="4" t="str">
        <f ca="1">"含钢量："&amp;ROUND($M$314/$G$310,3)&amp;$F$314&amp;"/"&amp;$F$310</f>
        <v>含钢量：0.125t/m3</v>
      </c>
      <c r="F314" s="4" t="str">
        <f ca="1" t="shared" si="507"/>
        <v>t</v>
      </c>
      <c r="G314" s="4"/>
      <c r="H314" s="4"/>
      <c r="I314" s="4"/>
      <c r="J314" s="4"/>
      <c r="K314" s="4"/>
      <c r="L314" s="517"/>
      <c r="M314" s="4">
        <v>21.4065</v>
      </c>
      <c r="N314" s="4">
        <f ca="1" t="shared" si="508"/>
        <v>4200</v>
      </c>
      <c r="O314" s="4">
        <f ca="1">M314*N314</f>
        <v>89907.3</v>
      </c>
      <c r="P314" s="4"/>
      <c r="Q314" s="4"/>
      <c r="R314" s="4"/>
      <c r="S314" s="4"/>
      <c r="T314" s="4">
        <f ca="1" t="shared" si="509"/>
        <v>0</v>
      </c>
      <c r="U314" s="4">
        <f ca="1" t="shared" si="510"/>
        <v>0</v>
      </c>
      <c r="V314" s="4">
        <f ca="1" t="shared" si="511"/>
        <v>0</v>
      </c>
      <c r="W314" s="4">
        <f ca="1" t="shared" si="512"/>
        <v>0</v>
      </c>
      <c r="X314" s="4">
        <f ca="1" t="shared" si="513"/>
        <v>21.4065</v>
      </c>
      <c r="Y314" s="4">
        <f ca="1" t="shared" si="514"/>
        <v>89907.3</v>
      </c>
      <c r="Z314" s="4">
        <f ca="1" t="shared" si="515"/>
        <v>0</v>
      </c>
      <c r="AA314" s="4">
        <f ca="1" t="shared" si="516"/>
        <v>0</v>
      </c>
      <c r="AB314" s="4"/>
    </row>
    <row r="315" customHeight="1" outlineLevel="3" spans="1:28">
      <c r="A315" s="514" t="s">
        <v>2779</v>
      </c>
      <c r="B315" s="4"/>
      <c r="C315" s="510" t="s">
        <v>64</v>
      </c>
      <c r="D315" s="4" t="s">
        <v>296</v>
      </c>
      <c r="E315" s="4"/>
      <c r="F315" s="4" t="str">
        <f ca="1" t="shared" si="507"/>
        <v>t</v>
      </c>
      <c r="G315" s="4"/>
      <c r="H315" s="4"/>
      <c r="I315" s="4"/>
      <c r="J315" s="4"/>
      <c r="K315" s="4"/>
      <c r="L315" s="517"/>
      <c r="M315" s="4">
        <v>21.4065</v>
      </c>
      <c r="N315" s="4">
        <f ca="1" t="shared" si="508"/>
        <v>700</v>
      </c>
      <c r="O315" s="4">
        <f ca="1">M315*N315</f>
        <v>14984.55</v>
      </c>
      <c r="P315" s="4"/>
      <c r="Q315" s="4"/>
      <c r="R315" s="4"/>
      <c r="S315" s="4"/>
      <c r="T315" s="4">
        <f ca="1" t="shared" si="509"/>
        <v>0</v>
      </c>
      <c r="U315" s="4">
        <f ca="1" t="shared" si="510"/>
        <v>0</v>
      </c>
      <c r="V315" s="4">
        <f ca="1" t="shared" si="511"/>
        <v>0</v>
      </c>
      <c r="W315" s="4">
        <f ca="1" t="shared" si="512"/>
        <v>0</v>
      </c>
      <c r="X315" s="4">
        <f ca="1" t="shared" si="513"/>
        <v>21.4065</v>
      </c>
      <c r="Y315" s="4">
        <f ca="1" t="shared" si="514"/>
        <v>14984.55</v>
      </c>
      <c r="Z315" s="4">
        <f ca="1" t="shared" si="515"/>
        <v>0</v>
      </c>
      <c r="AA315" s="4">
        <f ca="1" t="shared" si="516"/>
        <v>0</v>
      </c>
      <c r="AB315" s="4"/>
    </row>
    <row r="316" customHeight="1" outlineLevel="2" spans="1:28">
      <c r="A316" s="515" t="s">
        <v>2780</v>
      </c>
      <c r="B316" s="4"/>
      <c r="C316" s="510" t="s">
        <v>1309</v>
      </c>
      <c r="D316" s="4" t="s">
        <v>2781</v>
      </c>
      <c r="E316" s="4" t="s">
        <v>2589</v>
      </c>
      <c r="F316" s="4" t="s">
        <v>72</v>
      </c>
      <c r="G316" s="4">
        <v>102.49</v>
      </c>
      <c r="H316" s="4">
        <v>1745.96330275229</v>
      </c>
      <c r="I316" s="4">
        <f>G316*H316</f>
        <v>178943.778899082</v>
      </c>
      <c r="J316" s="4">
        <f t="shared" ref="J316:L316" si="517">+G316</f>
        <v>102.49</v>
      </c>
      <c r="K316" s="4">
        <f t="shared" si="517"/>
        <v>1745.96330275229</v>
      </c>
      <c r="L316" s="517">
        <f t="shared" si="517"/>
        <v>178943.778899082</v>
      </c>
      <c r="M316" s="4">
        <v>102.49</v>
      </c>
      <c r="N316" s="4">
        <f ca="1">O316/M316</f>
        <v>1779.39600448824</v>
      </c>
      <c r="O316" s="4">
        <f ca="1">(+O317+O318+O319+O320)</f>
        <v>182370.2965</v>
      </c>
      <c r="P316" s="4"/>
      <c r="Q316" s="4"/>
      <c r="R316" s="4">
        <f>+P316+J316</f>
        <v>102.49</v>
      </c>
      <c r="S316" s="4">
        <f>+Q316+L316</f>
        <v>178943.778899082</v>
      </c>
      <c r="T316" s="4">
        <f>IFERROR(VLOOKUP(A316,产值统计中间表!A:F,7,FALSE),0)</f>
        <v>0</v>
      </c>
      <c r="U316" s="4">
        <f>+T316*H316</f>
        <v>0</v>
      </c>
      <c r="V316" s="4">
        <f>IFERROR(VLOOKUP(A316,产值统计中间表!A:D,4,FALSE),0)</f>
        <v>0</v>
      </c>
      <c r="W316" s="4">
        <f>+V316*H316</f>
        <v>0</v>
      </c>
      <c r="X316" s="4">
        <f>+R316-V316</f>
        <v>102.49</v>
      </c>
      <c r="Y316" s="4">
        <f>+S316-W316</f>
        <v>178943.778899082</v>
      </c>
      <c r="Z316" s="4">
        <f>IFERROR(VLOOKUP(A316,业主统计中间表!A:D,4,FALSE),0)</f>
        <v>0</v>
      </c>
      <c r="AA316" s="4">
        <f>+Z316*H316</f>
        <v>0</v>
      </c>
      <c r="AB316" s="4"/>
    </row>
    <row r="317" customHeight="1" outlineLevel="3" spans="1:28">
      <c r="A317" s="514" t="s">
        <v>2782</v>
      </c>
      <c r="B317" s="4"/>
      <c r="C317" s="510" t="s">
        <v>64</v>
      </c>
      <c r="D317" s="4" t="s">
        <v>1112</v>
      </c>
      <c r="E317" s="4"/>
      <c r="F317" s="4" t="str">
        <f ca="1" t="shared" ref="F317:F320" si="518">VLOOKUP($D317,INDIRECT($C317),2,0)</f>
        <v>m³</v>
      </c>
      <c r="G317" s="4"/>
      <c r="H317" s="4"/>
      <c r="I317" s="4"/>
      <c r="J317" s="4"/>
      <c r="K317" s="4"/>
      <c r="L317" s="517"/>
      <c r="M317" s="4">
        <v>103.5149</v>
      </c>
      <c r="N317" s="4">
        <f ca="1" t="shared" ref="N317:N320" si="519">VLOOKUP($D317,INDIRECT($C317),3,0)</f>
        <v>185</v>
      </c>
      <c r="O317" s="4">
        <f ca="1">M317*N317</f>
        <v>19150.2565</v>
      </c>
      <c r="P317" s="4"/>
      <c r="Q317" s="4"/>
      <c r="R317" s="4"/>
      <c r="S317" s="4"/>
      <c r="T317" s="4">
        <f ca="1" t="shared" ref="T317:T320" si="520">OFFSET(T317,-RIGHT($A317,LEN($A$6)),,1,1)/OFFSET(T317,-RIGHT($A317,LEN($A$6)),-13,1,1)*$M317</f>
        <v>0</v>
      </c>
      <c r="U317" s="4">
        <f ca="1" t="shared" ref="U317:U320" si="521">+$N317*T317</f>
        <v>0</v>
      </c>
      <c r="V317" s="4">
        <f ca="1" t="shared" ref="V317:V320" si="522">OFFSET(V317,-RIGHT($A317,LEN($A$6)),,1,1)/OFFSET(V317,-RIGHT($A317,LEN($A$6)),-15,1,1)*$M317</f>
        <v>0</v>
      </c>
      <c r="W317" s="4">
        <f ca="1" t="shared" ref="W317:W320" si="523">+$N317*V317</f>
        <v>0</v>
      </c>
      <c r="X317" s="4">
        <f ca="1" t="shared" ref="X317:X320" si="524">+M317-V317</f>
        <v>103.5149</v>
      </c>
      <c r="Y317" s="4">
        <f ca="1" t="shared" ref="Y317:Y320" si="525">+O317-W317</f>
        <v>19150.2565</v>
      </c>
      <c r="Z317" s="4">
        <f ca="1" t="shared" ref="Z317:Z320" si="526">OFFSET(Z317,-RIGHT($A317,LEN($A$6)),,1,1)/OFFSET(Z317,-RIGHT($A317,LEN($A$6)),-19,1,1)*$M317</f>
        <v>0</v>
      </c>
      <c r="AA317" s="4">
        <f ca="1" t="shared" ref="AA317:AA320" si="527">+$N317*Z317</f>
        <v>0</v>
      </c>
      <c r="AB317" s="4"/>
    </row>
    <row r="318" customHeight="1" outlineLevel="3" spans="1:28">
      <c r="A318" s="514" t="s">
        <v>2783</v>
      </c>
      <c r="B318" s="4"/>
      <c r="C318" s="510" t="s">
        <v>59</v>
      </c>
      <c r="D318" s="4" t="s">
        <v>533</v>
      </c>
      <c r="E318" s="4"/>
      <c r="F318" s="4" t="str">
        <f ca="1" t="shared" si="518"/>
        <v>m3</v>
      </c>
      <c r="G318" s="4"/>
      <c r="H318" s="4"/>
      <c r="I318" s="4"/>
      <c r="J318" s="4"/>
      <c r="K318" s="4"/>
      <c r="L318" s="517"/>
      <c r="M318" s="4">
        <v>103.5149</v>
      </c>
      <c r="N318" s="4">
        <f ca="1" t="shared" si="519"/>
        <v>600</v>
      </c>
      <c r="O318" s="4">
        <f ca="1">M318*N318</f>
        <v>62108.94</v>
      </c>
      <c r="P318" s="4"/>
      <c r="Q318" s="4"/>
      <c r="R318" s="4"/>
      <c r="S318" s="4"/>
      <c r="T318" s="4">
        <f ca="1" t="shared" si="520"/>
        <v>0</v>
      </c>
      <c r="U318" s="4">
        <f ca="1" t="shared" si="521"/>
        <v>0</v>
      </c>
      <c r="V318" s="4">
        <f ca="1" t="shared" si="522"/>
        <v>0</v>
      </c>
      <c r="W318" s="4">
        <f ca="1" t="shared" si="523"/>
        <v>0</v>
      </c>
      <c r="X318" s="4">
        <f ca="1" t="shared" si="524"/>
        <v>103.5149</v>
      </c>
      <c r="Y318" s="4">
        <f ca="1" t="shared" si="525"/>
        <v>62108.94</v>
      </c>
      <c r="Z318" s="4">
        <f ca="1" t="shared" si="526"/>
        <v>0</v>
      </c>
      <c r="AA318" s="4">
        <f ca="1" t="shared" si="527"/>
        <v>0</v>
      </c>
      <c r="AB318" s="4"/>
    </row>
    <row r="319" customHeight="1" outlineLevel="3" spans="1:28">
      <c r="A319" s="514" t="s">
        <v>2784</v>
      </c>
      <c r="B319" s="4"/>
      <c r="C319" s="510" t="s">
        <v>59</v>
      </c>
      <c r="D319" s="4" t="s">
        <v>397</v>
      </c>
      <c r="E319" s="4" t="str">
        <f ca="1">"含钢量："&amp;ROUND($M$319/$G$316,3)&amp;$F$319&amp;"/"&amp;$F$316</f>
        <v>含钢量：0.21t/m3</v>
      </c>
      <c r="F319" s="4" t="str">
        <f ca="1" t="shared" si="518"/>
        <v>t</v>
      </c>
      <c r="G319" s="4"/>
      <c r="H319" s="4"/>
      <c r="I319" s="4"/>
      <c r="J319" s="4"/>
      <c r="K319" s="4"/>
      <c r="L319" s="517"/>
      <c r="M319" s="4">
        <v>21.513</v>
      </c>
      <c r="N319" s="4">
        <f ca="1" t="shared" si="519"/>
        <v>4000</v>
      </c>
      <c r="O319" s="4">
        <f ca="1">M319*N319</f>
        <v>86052</v>
      </c>
      <c r="P319" s="4"/>
      <c r="Q319" s="4"/>
      <c r="R319" s="4"/>
      <c r="S319" s="4"/>
      <c r="T319" s="4">
        <f ca="1" t="shared" si="520"/>
        <v>0</v>
      </c>
      <c r="U319" s="4">
        <f ca="1" t="shared" si="521"/>
        <v>0</v>
      </c>
      <c r="V319" s="4">
        <f ca="1" t="shared" si="522"/>
        <v>0</v>
      </c>
      <c r="W319" s="4">
        <f ca="1" t="shared" si="523"/>
        <v>0</v>
      </c>
      <c r="X319" s="4">
        <f ca="1" t="shared" si="524"/>
        <v>21.513</v>
      </c>
      <c r="Y319" s="4">
        <f ca="1" t="shared" si="525"/>
        <v>86052</v>
      </c>
      <c r="Z319" s="4">
        <f ca="1" t="shared" si="526"/>
        <v>0</v>
      </c>
      <c r="AA319" s="4">
        <f ca="1" t="shared" si="527"/>
        <v>0</v>
      </c>
      <c r="AB319" s="4"/>
    </row>
    <row r="320" customHeight="1" outlineLevel="3" spans="1:28">
      <c r="A320" s="514" t="s">
        <v>2785</v>
      </c>
      <c r="B320" s="4"/>
      <c r="C320" s="510" t="s">
        <v>64</v>
      </c>
      <c r="D320" s="4" t="s">
        <v>296</v>
      </c>
      <c r="E320" s="4"/>
      <c r="F320" s="4" t="str">
        <f ca="1" t="shared" si="518"/>
        <v>t</v>
      </c>
      <c r="G320" s="4"/>
      <c r="H320" s="4"/>
      <c r="I320" s="4"/>
      <c r="J320" s="4"/>
      <c r="K320" s="4"/>
      <c r="L320" s="517"/>
      <c r="M320" s="4">
        <v>21.513</v>
      </c>
      <c r="N320" s="4">
        <f ca="1" t="shared" si="519"/>
        <v>700</v>
      </c>
      <c r="O320" s="4">
        <f ca="1">M320*N320</f>
        <v>15059.1</v>
      </c>
      <c r="P320" s="4"/>
      <c r="Q320" s="4"/>
      <c r="R320" s="4"/>
      <c r="S320" s="4"/>
      <c r="T320" s="4">
        <f ca="1" t="shared" si="520"/>
        <v>0</v>
      </c>
      <c r="U320" s="4">
        <f ca="1" t="shared" si="521"/>
        <v>0</v>
      </c>
      <c r="V320" s="4">
        <f ca="1" t="shared" si="522"/>
        <v>0</v>
      </c>
      <c r="W320" s="4">
        <f ca="1" t="shared" si="523"/>
        <v>0</v>
      </c>
      <c r="X320" s="4">
        <f ca="1" t="shared" si="524"/>
        <v>21.513</v>
      </c>
      <c r="Y320" s="4">
        <f ca="1" t="shared" si="525"/>
        <v>15059.1</v>
      </c>
      <c r="Z320" s="4">
        <f ca="1" t="shared" si="526"/>
        <v>0</v>
      </c>
      <c r="AA320" s="4">
        <f ca="1" t="shared" si="527"/>
        <v>0</v>
      </c>
      <c r="AB320" s="4"/>
    </row>
    <row r="321" customHeight="1" outlineLevel="2" spans="1:28">
      <c r="A321" s="515" t="s">
        <v>2786</v>
      </c>
      <c r="B321" s="4"/>
      <c r="C321" s="510" t="s">
        <v>1309</v>
      </c>
      <c r="D321" s="4" t="s">
        <v>2597</v>
      </c>
      <c r="E321" s="4" t="s">
        <v>2589</v>
      </c>
      <c r="F321" s="4" t="s">
        <v>72</v>
      </c>
      <c r="G321" s="4">
        <v>168.29</v>
      </c>
      <c r="H321" s="4">
        <v>4026.60550458716</v>
      </c>
      <c r="I321" s="4">
        <f>G321*H321</f>
        <v>677637.440366973</v>
      </c>
      <c r="J321" s="4">
        <f t="shared" ref="J321:L321" si="528">+G321</f>
        <v>168.29</v>
      </c>
      <c r="K321" s="4">
        <f t="shared" si="528"/>
        <v>4026.60550458716</v>
      </c>
      <c r="L321" s="517">
        <f t="shared" si="528"/>
        <v>677637.440366973</v>
      </c>
      <c r="M321" s="4">
        <v>168.29</v>
      </c>
      <c r="N321" s="4">
        <f ca="1">O321/M321</f>
        <v>7454.78641636868</v>
      </c>
      <c r="O321" s="4">
        <f ca="1">(+O322+O323+O324+O325+O326)</f>
        <v>1254566.00601069</v>
      </c>
      <c r="P321" s="4"/>
      <c r="Q321" s="4"/>
      <c r="R321" s="4">
        <f>+P321+J321</f>
        <v>168.29</v>
      </c>
      <c r="S321" s="4">
        <f>+Q321+L321</f>
        <v>677637.440366973</v>
      </c>
      <c r="T321" s="4">
        <f>IFERROR(VLOOKUP(A321,产值统计中间表!A:F,7,FALSE),0)</f>
        <v>0</v>
      </c>
      <c r="U321" s="4">
        <f>+T321*H321</f>
        <v>0</v>
      </c>
      <c r="V321" s="4">
        <f>IFERROR(VLOOKUP(A321,产值统计中间表!A:D,4,FALSE),0)</f>
        <v>0</v>
      </c>
      <c r="W321" s="4">
        <f>+V321*H321</f>
        <v>0</v>
      </c>
      <c r="X321" s="4">
        <f>+R321-V321</f>
        <v>168.29</v>
      </c>
      <c r="Y321" s="4">
        <f>+S321-W321</f>
        <v>677637.440366973</v>
      </c>
      <c r="Z321" s="4">
        <f>IFERROR(VLOOKUP(A321,业主统计中间表!A:D,4,FALSE),0)</f>
        <v>0</v>
      </c>
      <c r="AA321" s="4">
        <f>+Z321*H321</f>
        <v>0</v>
      </c>
      <c r="AB321" s="4"/>
    </row>
    <row r="322" customHeight="1" outlineLevel="3" spans="1:28">
      <c r="A322" s="514" t="s">
        <v>2787</v>
      </c>
      <c r="B322" s="4"/>
      <c r="C322" s="510" t="s">
        <v>64</v>
      </c>
      <c r="D322" s="4" t="s">
        <v>752</v>
      </c>
      <c r="E322" s="4"/>
      <c r="F322" s="4" t="str">
        <f ca="1" t="shared" ref="F322:F326" si="529">VLOOKUP($D322,INDIRECT($C322),2,0)</f>
        <v>m3</v>
      </c>
      <c r="G322" s="4"/>
      <c r="H322" s="4"/>
      <c r="I322" s="4"/>
      <c r="J322" s="4"/>
      <c r="K322" s="4"/>
      <c r="L322" s="517"/>
      <c r="M322" s="4">
        <v>169.13145</v>
      </c>
      <c r="N322" s="4">
        <f ca="1" t="shared" ref="N322:N326" si="530">VLOOKUP($D322,INDIRECT($C322),3,0)</f>
        <v>30</v>
      </c>
      <c r="O322" s="4">
        <f ca="1">M322*N322</f>
        <v>5073.9435</v>
      </c>
      <c r="P322" s="4"/>
      <c r="Q322" s="4"/>
      <c r="R322" s="4"/>
      <c r="S322" s="4"/>
      <c r="T322" s="4">
        <f ca="1" t="shared" ref="T322:T326" si="531">OFFSET(T322,-RIGHT($A322,LEN($A$6)),,1,1)/OFFSET(T322,-RIGHT($A322,LEN($A$6)),-13,1,1)*$M322</f>
        <v>0</v>
      </c>
      <c r="U322" s="4">
        <f ca="1" t="shared" ref="U322:U326" si="532">+$N322*T322</f>
        <v>0</v>
      </c>
      <c r="V322" s="4">
        <f ca="1" t="shared" ref="V322:V326" si="533">OFFSET(V322,-RIGHT($A322,LEN($A$6)),,1,1)/OFFSET(V322,-RIGHT($A322,LEN($A$6)),-15,1,1)*$M322</f>
        <v>0</v>
      </c>
      <c r="W322" s="4">
        <f ca="1" t="shared" ref="W322:W326" si="534">+$N322*V322</f>
        <v>0</v>
      </c>
      <c r="X322" s="4">
        <f ca="1" t="shared" ref="X322:X326" si="535">+M322-V322</f>
        <v>169.13145</v>
      </c>
      <c r="Y322" s="4">
        <f ca="1" t="shared" ref="Y322:Y326" si="536">+O322-W322</f>
        <v>5073.9435</v>
      </c>
      <c r="Z322" s="4">
        <f ca="1" t="shared" ref="Z322:Z326" si="537">OFFSET(Z322,-RIGHT($A322,LEN($A$6)),,1,1)/OFFSET(Z322,-RIGHT($A322,LEN($A$6)),-19,1,1)*$M322</f>
        <v>0</v>
      </c>
      <c r="AA322" s="4">
        <f ca="1" t="shared" ref="AA322:AA326" si="538">+$N322*Z322</f>
        <v>0</v>
      </c>
      <c r="AB322" s="4"/>
    </row>
    <row r="323" customHeight="1" outlineLevel="3" spans="1:28">
      <c r="A323" s="514" t="s">
        <v>2788</v>
      </c>
      <c r="B323" s="4"/>
      <c r="C323" s="510" t="s">
        <v>59</v>
      </c>
      <c r="D323" s="4" t="s">
        <v>206</v>
      </c>
      <c r="E323" s="4"/>
      <c r="F323" s="4" t="str">
        <f ca="1" t="shared" si="529"/>
        <v>m3</v>
      </c>
      <c r="G323" s="4"/>
      <c r="H323" s="4"/>
      <c r="I323" s="4"/>
      <c r="J323" s="4"/>
      <c r="K323" s="4"/>
      <c r="L323" s="517"/>
      <c r="M323" s="4">
        <v>169.13145</v>
      </c>
      <c r="N323" s="4">
        <f ca="1" t="shared" si="530"/>
        <v>3097.57831858407</v>
      </c>
      <c r="O323" s="4">
        <f ca="1">M323*N323</f>
        <v>523897.912510686</v>
      </c>
      <c r="P323" s="4"/>
      <c r="Q323" s="4"/>
      <c r="R323" s="4"/>
      <c r="S323" s="4"/>
      <c r="T323" s="4">
        <f ca="1" t="shared" si="531"/>
        <v>0</v>
      </c>
      <c r="U323" s="4">
        <f ca="1" t="shared" si="532"/>
        <v>0</v>
      </c>
      <c r="V323" s="4">
        <f ca="1" t="shared" si="533"/>
        <v>0</v>
      </c>
      <c r="W323" s="4">
        <f ca="1" t="shared" si="534"/>
        <v>0</v>
      </c>
      <c r="X323" s="4">
        <f ca="1" t="shared" si="535"/>
        <v>169.13145</v>
      </c>
      <c r="Y323" s="4">
        <f ca="1" t="shared" si="536"/>
        <v>523897.912510686</v>
      </c>
      <c r="Z323" s="4">
        <f ca="1" t="shared" si="537"/>
        <v>0</v>
      </c>
      <c r="AA323" s="4">
        <f ca="1" t="shared" si="538"/>
        <v>0</v>
      </c>
      <c r="AB323" s="4"/>
    </row>
    <row r="324" customHeight="1" outlineLevel="3" spans="1:28">
      <c r="A324" s="514" t="s">
        <v>2789</v>
      </c>
      <c r="B324" s="4"/>
      <c r="C324" s="510" t="s">
        <v>64</v>
      </c>
      <c r="D324" s="4" t="s">
        <v>262</v>
      </c>
      <c r="E324" s="4"/>
      <c r="F324" s="4" t="str">
        <f ca="1" t="shared" si="529"/>
        <v>m2</v>
      </c>
      <c r="G324" s="4"/>
      <c r="H324" s="4"/>
      <c r="I324" s="4"/>
      <c r="J324" s="4"/>
      <c r="K324" s="4"/>
      <c r="L324" s="517"/>
      <c r="M324" s="4">
        <v>1500.33</v>
      </c>
      <c r="N324" s="4">
        <f ca="1" t="shared" si="530"/>
        <v>55</v>
      </c>
      <c r="O324" s="4">
        <f ca="1">M324*N324</f>
        <v>82518.15</v>
      </c>
      <c r="P324" s="4"/>
      <c r="Q324" s="4"/>
      <c r="R324" s="4"/>
      <c r="S324" s="4"/>
      <c r="T324" s="4">
        <f ca="1" t="shared" si="531"/>
        <v>0</v>
      </c>
      <c r="U324" s="4">
        <f ca="1" t="shared" si="532"/>
        <v>0</v>
      </c>
      <c r="V324" s="4">
        <f ca="1" t="shared" si="533"/>
        <v>0</v>
      </c>
      <c r="W324" s="4">
        <f ca="1" t="shared" si="534"/>
        <v>0</v>
      </c>
      <c r="X324" s="4">
        <f ca="1" t="shared" si="535"/>
        <v>1500.33</v>
      </c>
      <c r="Y324" s="4">
        <f ca="1" t="shared" si="536"/>
        <v>82518.15</v>
      </c>
      <c r="Z324" s="4">
        <f ca="1" t="shared" si="537"/>
        <v>0</v>
      </c>
      <c r="AA324" s="4">
        <f ca="1" t="shared" si="538"/>
        <v>0</v>
      </c>
      <c r="AB324" s="4"/>
    </row>
    <row r="325" customHeight="1" outlineLevel="3" spans="1:28">
      <c r="A325" s="514" t="s">
        <v>2790</v>
      </c>
      <c r="B325" s="4"/>
      <c r="C325" s="510" t="s">
        <v>59</v>
      </c>
      <c r="D325" s="4" t="s">
        <v>480</v>
      </c>
      <c r="E325" s="4" t="str">
        <f ca="1">"含钢量："&amp;ROUND($M$325/$G$321,3)&amp;$F$325&amp;"/"&amp;$F$321</f>
        <v>含钢量：0.78t/m3</v>
      </c>
      <c r="F325" s="4" t="str">
        <f ca="1" t="shared" si="529"/>
        <v>t</v>
      </c>
      <c r="G325" s="4"/>
      <c r="H325" s="4"/>
      <c r="I325" s="4"/>
      <c r="J325" s="4"/>
      <c r="K325" s="4"/>
      <c r="L325" s="517"/>
      <c r="M325" s="4">
        <v>131.24</v>
      </c>
      <c r="N325" s="4">
        <f ca="1" t="shared" si="530"/>
        <v>4200</v>
      </c>
      <c r="O325" s="4">
        <f ca="1">M325*N325</f>
        <v>551208</v>
      </c>
      <c r="P325" s="4"/>
      <c r="Q325" s="4"/>
      <c r="R325" s="4"/>
      <c r="S325" s="4"/>
      <c r="T325" s="4">
        <f ca="1" t="shared" si="531"/>
        <v>0</v>
      </c>
      <c r="U325" s="4">
        <f ca="1" t="shared" si="532"/>
        <v>0</v>
      </c>
      <c r="V325" s="4">
        <f ca="1" t="shared" si="533"/>
        <v>0</v>
      </c>
      <c r="W325" s="4">
        <f ca="1" t="shared" si="534"/>
        <v>0</v>
      </c>
      <c r="X325" s="4">
        <f ca="1" t="shared" si="535"/>
        <v>131.24</v>
      </c>
      <c r="Y325" s="4">
        <f ca="1" t="shared" si="536"/>
        <v>551208</v>
      </c>
      <c r="Z325" s="4">
        <f ca="1" t="shared" si="537"/>
        <v>0</v>
      </c>
      <c r="AA325" s="4">
        <f ca="1" t="shared" si="538"/>
        <v>0</v>
      </c>
      <c r="AB325" s="4"/>
    </row>
    <row r="326" customHeight="1" outlineLevel="3" spans="1:28">
      <c r="A326" s="514" t="s">
        <v>2791</v>
      </c>
      <c r="B326" s="4"/>
      <c r="C326" s="510" t="s">
        <v>64</v>
      </c>
      <c r="D326" s="4" t="s">
        <v>296</v>
      </c>
      <c r="E326" s="4"/>
      <c r="F326" s="4" t="str">
        <f ca="1" t="shared" si="529"/>
        <v>t</v>
      </c>
      <c r="G326" s="4"/>
      <c r="H326" s="4"/>
      <c r="I326" s="4"/>
      <c r="J326" s="4"/>
      <c r="K326" s="4"/>
      <c r="L326" s="517"/>
      <c r="M326" s="4">
        <v>131.24</v>
      </c>
      <c r="N326" s="4">
        <f ca="1" t="shared" si="530"/>
        <v>700</v>
      </c>
      <c r="O326" s="4">
        <f ca="1">M326*N326</f>
        <v>91868</v>
      </c>
      <c r="P326" s="4"/>
      <c r="Q326" s="4"/>
      <c r="R326" s="4"/>
      <c r="S326" s="4"/>
      <c r="T326" s="4">
        <f ca="1" t="shared" si="531"/>
        <v>0</v>
      </c>
      <c r="U326" s="4">
        <f ca="1" t="shared" si="532"/>
        <v>0</v>
      </c>
      <c r="V326" s="4">
        <f ca="1" t="shared" si="533"/>
        <v>0</v>
      </c>
      <c r="W326" s="4">
        <f ca="1" t="shared" si="534"/>
        <v>0</v>
      </c>
      <c r="X326" s="4">
        <f ca="1" t="shared" si="535"/>
        <v>131.24</v>
      </c>
      <c r="Y326" s="4">
        <f ca="1" t="shared" si="536"/>
        <v>91868</v>
      </c>
      <c r="Z326" s="4">
        <f ca="1" t="shared" si="537"/>
        <v>0</v>
      </c>
      <c r="AA326" s="4">
        <f ca="1" t="shared" si="538"/>
        <v>0</v>
      </c>
      <c r="AB326" s="4"/>
    </row>
    <row r="327" customHeight="1" outlineLevel="2" spans="1:28">
      <c r="A327" s="515" t="s">
        <v>2792</v>
      </c>
      <c r="B327" s="4"/>
      <c r="C327" s="510" t="s">
        <v>1309</v>
      </c>
      <c r="D327" s="4" t="s">
        <v>822</v>
      </c>
      <c r="E327" s="4" t="s">
        <v>2604</v>
      </c>
      <c r="F327" s="4" t="s">
        <v>76</v>
      </c>
      <c r="G327" s="4">
        <v>427.06</v>
      </c>
      <c r="H327" s="4">
        <v>1122.11009174312</v>
      </c>
      <c r="I327" s="4">
        <f>G327*H327</f>
        <v>479208.335779817</v>
      </c>
      <c r="J327" s="4">
        <f t="shared" ref="J327:L327" si="539">+G327</f>
        <v>427.06</v>
      </c>
      <c r="K327" s="4">
        <f t="shared" si="539"/>
        <v>1122.11009174312</v>
      </c>
      <c r="L327" s="517">
        <f t="shared" si="539"/>
        <v>479208.335779817</v>
      </c>
      <c r="M327" s="4">
        <v>427.06</v>
      </c>
      <c r="N327" s="4">
        <f ca="1" t="shared" ref="N327:N331" si="540">O327/M327</f>
        <v>550</v>
      </c>
      <c r="O327" s="4">
        <f ca="1">(+O328)</f>
        <v>234883</v>
      </c>
      <c r="P327" s="4"/>
      <c r="Q327" s="4"/>
      <c r="R327" s="4">
        <f t="shared" ref="R327:R331" si="541">+P327+J327</f>
        <v>427.06</v>
      </c>
      <c r="S327" s="4">
        <f t="shared" ref="S327:S331" si="542">+Q327+L327</f>
        <v>479208.335779817</v>
      </c>
      <c r="T327" s="4">
        <f>IFERROR(VLOOKUP(A327,产值统计中间表!A:F,7,FALSE),0)</f>
        <v>0</v>
      </c>
      <c r="U327" s="4">
        <f t="shared" ref="U327:U331" si="543">+T327*H327</f>
        <v>0</v>
      </c>
      <c r="V327" s="4">
        <f>IFERROR(VLOOKUP(A327,产值统计中间表!A:D,4,FALSE),0)</f>
        <v>0</v>
      </c>
      <c r="W327" s="4">
        <f t="shared" ref="W327:W331" si="544">+V327*H327</f>
        <v>0</v>
      </c>
      <c r="X327" s="4">
        <f t="shared" ref="X327:X331" si="545">+R327-V327</f>
        <v>427.06</v>
      </c>
      <c r="Y327" s="4">
        <f t="shared" ref="Y327:Y331" si="546">+S327-W327</f>
        <v>479208.335779817</v>
      </c>
      <c r="Z327" s="4">
        <f>IFERROR(VLOOKUP(A327,业主统计中间表!A:D,4,FALSE),0)</f>
        <v>0</v>
      </c>
      <c r="AA327" s="4">
        <f t="shared" ref="AA327:AA331" si="547">+Z327*H327</f>
        <v>0</v>
      </c>
      <c r="AB327" s="4"/>
    </row>
    <row r="328" customHeight="1" outlineLevel="3" spans="1:28">
      <c r="A328" s="514" t="s">
        <v>2793</v>
      </c>
      <c r="B328" s="4"/>
      <c r="C328" s="510" t="s">
        <v>65</v>
      </c>
      <c r="D328" s="4" t="s">
        <v>822</v>
      </c>
      <c r="E328" s="4"/>
      <c r="F328" s="4" t="str">
        <f ca="1" t="shared" ref="F328:F333" si="548">VLOOKUP($D328,INDIRECT($C328),2,0)</f>
        <v>m</v>
      </c>
      <c r="G328" s="4"/>
      <c r="H328" s="4"/>
      <c r="I328" s="4"/>
      <c r="J328" s="4"/>
      <c r="K328" s="4"/>
      <c r="L328" s="517"/>
      <c r="M328" s="4">
        <v>427.06</v>
      </c>
      <c r="N328" s="4">
        <f ca="1" t="shared" ref="N328:N333" si="549">VLOOKUP($D328,INDIRECT($C328),3,0)</f>
        <v>550</v>
      </c>
      <c r="O328" s="4">
        <f ca="1">M328*N328</f>
        <v>234883</v>
      </c>
      <c r="P328" s="4"/>
      <c r="Q328" s="4"/>
      <c r="R328" s="4"/>
      <c r="S328" s="4"/>
      <c r="T328" s="4">
        <f ca="1" t="shared" ref="T328:T333" si="550">OFFSET(T328,-RIGHT($A328,LEN($A$6)),,1,1)/OFFSET(T328,-RIGHT($A328,LEN($A$6)),-13,1,1)*$M328</f>
        <v>0</v>
      </c>
      <c r="U328" s="4">
        <f ca="1" t="shared" ref="U328:U333" si="551">+$N328*T328</f>
        <v>0</v>
      </c>
      <c r="V328" s="4">
        <f ca="1" t="shared" ref="V328:V333" si="552">OFFSET(V328,-RIGHT($A328,LEN($A$6)),,1,1)/OFFSET(V328,-RIGHT($A328,LEN($A$6)),-15,1,1)*$M328</f>
        <v>0</v>
      </c>
      <c r="W328" s="4">
        <f ca="1" t="shared" ref="W328:W333" si="553">+$N328*V328</f>
        <v>0</v>
      </c>
      <c r="X328" s="4">
        <f ca="1" t="shared" ref="X328:X333" si="554">+M328-V328</f>
        <v>427.06</v>
      </c>
      <c r="Y328" s="4">
        <f ca="1" t="shared" ref="Y328:Y333" si="555">+O328-W328</f>
        <v>234883</v>
      </c>
      <c r="Z328" s="4">
        <f ca="1" t="shared" ref="Z328:Z333" si="556">OFFSET(Z328,-RIGHT($A328,LEN($A$6)),,1,1)/OFFSET(Z328,-RIGHT($A328,LEN($A$6)),-19,1,1)*$M328</f>
        <v>0</v>
      </c>
      <c r="AA328" s="4">
        <f ca="1" t="shared" ref="AA328:AA333" si="557">+$N328*Z328</f>
        <v>0</v>
      </c>
      <c r="AB328" s="4"/>
    </row>
    <row r="329" customHeight="1" outlineLevel="2" spans="1:28">
      <c r="A329" s="515" t="s">
        <v>2794</v>
      </c>
      <c r="B329" s="4"/>
      <c r="C329" s="510" t="s">
        <v>1309</v>
      </c>
      <c r="D329" s="4" t="s">
        <v>2607</v>
      </c>
      <c r="E329" s="4" t="s">
        <v>2604</v>
      </c>
      <c r="F329" s="4" t="s">
        <v>76</v>
      </c>
      <c r="G329" s="4">
        <v>427.06</v>
      </c>
      <c r="H329" s="4">
        <v>1684.3119266055</v>
      </c>
      <c r="I329" s="4">
        <f>G329*H329</f>
        <v>719302.251376145</v>
      </c>
      <c r="J329" s="4">
        <f t="shared" ref="J329:L329" si="558">+G329</f>
        <v>427.06</v>
      </c>
      <c r="K329" s="4">
        <f t="shared" si="558"/>
        <v>1684.3119266055</v>
      </c>
      <c r="L329" s="517">
        <f t="shared" si="558"/>
        <v>719302.251376145</v>
      </c>
      <c r="M329" s="4">
        <v>427.06</v>
      </c>
      <c r="N329" s="4">
        <f ca="1" t="shared" si="540"/>
        <v>500</v>
      </c>
      <c r="O329" s="4">
        <f ca="1">(+O330)</f>
        <v>213530</v>
      </c>
      <c r="P329" s="4"/>
      <c r="Q329" s="4"/>
      <c r="R329" s="4">
        <f t="shared" si="541"/>
        <v>427.06</v>
      </c>
      <c r="S329" s="4">
        <f t="shared" si="542"/>
        <v>719302.251376145</v>
      </c>
      <c r="T329" s="4">
        <f>IFERROR(VLOOKUP(A329,产值统计中间表!A:F,7,FALSE),0)</f>
        <v>0</v>
      </c>
      <c r="U329" s="4">
        <f t="shared" si="543"/>
        <v>0</v>
      </c>
      <c r="V329" s="4">
        <f>IFERROR(VLOOKUP(A329,产值统计中间表!A:D,4,FALSE),0)</f>
        <v>0</v>
      </c>
      <c r="W329" s="4">
        <f t="shared" si="544"/>
        <v>0</v>
      </c>
      <c r="X329" s="4">
        <f t="shared" si="545"/>
        <v>427.06</v>
      </c>
      <c r="Y329" s="4">
        <f t="shared" si="546"/>
        <v>719302.251376145</v>
      </c>
      <c r="Z329" s="4">
        <f>IFERROR(VLOOKUP(A329,业主统计中间表!A:D,4,FALSE),0)</f>
        <v>0</v>
      </c>
      <c r="AA329" s="4">
        <f t="shared" si="547"/>
        <v>0</v>
      </c>
      <c r="AB329" s="4"/>
    </row>
    <row r="330" customHeight="1" outlineLevel="3" spans="1:28">
      <c r="A330" s="514" t="s">
        <v>2795</v>
      </c>
      <c r="B330" s="4"/>
      <c r="C330" s="510" t="s">
        <v>65</v>
      </c>
      <c r="D330" s="4" t="s">
        <v>622</v>
      </c>
      <c r="E330" s="4"/>
      <c r="F330" s="4" t="str">
        <f ca="1" t="shared" si="548"/>
        <v>m</v>
      </c>
      <c r="G330" s="4"/>
      <c r="H330" s="4"/>
      <c r="I330" s="4"/>
      <c r="J330" s="4"/>
      <c r="K330" s="4"/>
      <c r="L330" s="517"/>
      <c r="M330" s="4">
        <v>427.06</v>
      </c>
      <c r="N330" s="4">
        <f ca="1" t="shared" si="549"/>
        <v>500</v>
      </c>
      <c r="O330" s="4">
        <f ca="1">M330*N330</f>
        <v>213530</v>
      </c>
      <c r="P330" s="4"/>
      <c r="Q330" s="4"/>
      <c r="R330" s="4"/>
      <c r="S330" s="4"/>
      <c r="T330" s="4">
        <f ca="1" t="shared" si="550"/>
        <v>0</v>
      </c>
      <c r="U330" s="4">
        <f ca="1" t="shared" si="551"/>
        <v>0</v>
      </c>
      <c r="V330" s="4">
        <f ca="1" t="shared" si="552"/>
        <v>0</v>
      </c>
      <c r="W330" s="4">
        <f ca="1" t="shared" si="553"/>
        <v>0</v>
      </c>
      <c r="X330" s="4">
        <f ca="1" t="shared" si="554"/>
        <v>427.06</v>
      </c>
      <c r="Y330" s="4">
        <f ca="1" t="shared" si="555"/>
        <v>213530</v>
      </c>
      <c r="Z330" s="4">
        <f ca="1" t="shared" si="556"/>
        <v>0</v>
      </c>
      <c r="AA330" s="4">
        <f ca="1" t="shared" si="557"/>
        <v>0</v>
      </c>
      <c r="AB330" s="4"/>
    </row>
    <row r="331" customHeight="1" outlineLevel="2" spans="1:28">
      <c r="A331" s="515" t="s">
        <v>2796</v>
      </c>
      <c r="B331" s="4"/>
      <c r="C331" s="510" t="s">
        <v>1309</v>
      </c>
      <c r="D331" s="4" t="s">
        <v>1026</v>
      </c>
      <c r="E331" s="4" t="s">
        <v>2610</v>
      </c>
      <c r="F331" s="4" t="s">
        <v>169</v>
      </c>
      <c r="G331" s="4">
        <v>15</v>
      </c>
      <c r="H331" s="4">
        <v>9854.02752293578</v>
      </c>
      <c r="I331" s="4">
        <f>G331*H331</f>
        <v>147810.412844037</v>
      </c>
      <c r="J331" s="4">
        <f t="shared" ref="J331:L331" si="559">+G331</f>
        <v>15</v>
      </c>
      <c r="K331" s="4">
        <f t="shared" si="559"/>
        <v>9854.02752293578</v>
      </c>
      <c r="L331" s="517">
        <f t="shared" si="559"/>
        <v>147810.412844037</v>
      </c>
      <c r="M331" s="4">
        <v>15</v>
      </c>
      <c r="N331" s="4">
        <f ca="1" t="shared" si="540"/>
        <v>0</v>
      </c>
      <c r="O331" s="4">
        <f ca="1">(+O332+O333)</f>
        <v>0</v>
      </c>
      <c r="P331" s="4"/>
      <c r="Q331" s="4"/>
      <c r="R331" s="4">
        <f t="shared" si="541"/>
        <v>15</v>
      </c>
      <c r="S331" s="4">
        <f t="shared" si="542"/>
        <v>147810.412844037</v>
      </c>
      <c r="T331" s="4">
        <f>IFERROR(VLOOKUP(A331,产值统计中间表!A:F,7,FALSE),0)</f>
        <v>0</v>
      </c>
      <c r="U331" s="4">
        <f t="shared" si="543"/>
        <v>0</v>
      </c>
      <c r="V331" s="4">
        <f>IFERROR(VLOOKUP(A331,产值统计中间表!A:D,4,FALSE),0)</f>
        <v>0</v>
      </c>
      <c r="W331" s="4">
        <f t="shared" si="544"/>
        <v>0</v>
      </c>
      <c r="X331" s="4">
        <f t="shared" si="545"/>
        <v>15</v>
      </c>
      <c r="Y331" s="4">
        <f t="shared" si="546"/>
        <v>147810.412844037</v>
      </c>
      <c r="Z331" s="4">
        <f>IFERROR(VLOOKUP(A331,业主统计中间表!A:D,4,FALSE),0)</f>
        <v>0</v>
      </c>
      <c r="AA331" s="4">
        <f t="shared" si="547"/>
        <v>0</v>
      </c>
      <c r="AB331" s="4"/>
    </row>
    <row r="332" customHeight="1" outlineLevel="3" spans="1:28">
      <c r="A332" s="514" t="s">
        <v>2797</v>
      </c>
      <c r="B332" s="4"/>
      <c r="C332" s="510" t="s">
        <v>59</v>
      </c>
      <c r="D332" s="4" t="s">
        <v>1026</v>
      </c>
      <c r="E332" s="4"/>
      <c r="F332" s="4" t="str">
        <f ca="1" t="shared" si="548"/>
        <v>套</v>
      </c>
      <c r="G332" s="4"/>
      <c r="H332" s="4"/>
      <c r="I332" s="4"/>
      <c r="J332" s="4"/>
      <c r="K332" s="4"/>
      <c r="L332" s="517"/>
      <c r="M332" s="4">
        <v>15</v>
      </c>
      <c r="N332" s="4">
        <f ca="1" t="shared" si="549"/>
        <v>0</v>
      </c>
      <c r="O332" s="4">
        <f ca="1">M332*N332</f>
        <v>0</v>
      </c>
      <c r="P332" s="4"/>
      <c r="Q332" s="4"/>
      <c r="R332" s="4"/>
      <c r="S332" s="4"/>
      <c r="T332" s="4">
        <f ca="1" t="shared" si="550"/>
        <v>0</v>
      </c>
      <c r="U332" s="4">
        <f ca="1" t="shared" si="551"/>
        <v>0</v>
      </c>
      <c r="V332" s="4">
        <f ca="1" t="shared" si="552"/>
        <v>0</v>
      </c>
      <c r="W332" s="4">
        <f ca="1" t="shared" si="553"/>
        <v>0</v>
      </c>
      <c r="X332" s="4">
        <f ca="1" t="shared" si="554"/>
        <v>15</v>
      </c>
      <c r="Y332" s="4">
        <f ca="1" t="shared" si="555"/>
        <v>0</v>
      </c>
      <c r="Z332" s="4">
        <f ca="1" t="shared" si="556"/>
        <v>0</v>
      </c>
      <c r="AA332" s="4">
        <f ca="1" t="shared" si="557"/>
        <v>0</v>
      </c>
      <c r="AB332" s="4"/>
    </row>
    <row r="333" customHeight="1" outlineLevel="3" spans="1:28">
      <c r="A333" s="514" t="s">
        <v>2798</v>
      </c>
      <c r="B333" s="4"/>
      <c r="C333" s="510" t="s">
        <v>64</v>
      </c>
      <c r="D333" s="4" t="s">
        <v>1034</v>
      </c>
      <c r="E333" s="4"/>
      <c r="F333" s="4" t="str">
        <f ca="1" t="shared" si="548"/>
        <v>套</v>
      </c>
      <c r="G333" s="4"/>
      <c r="H333" s="4"/>
      <c r="I333" s="4"/>
      <c r="J333" s="4"/>
      <c r="K333" s="4"/>
      <c r="L333" s="517"/>
      <c r="M333" s="4">
        <v>15</v>
      </c>
      <c r="N333" s="4">
        <f ca="1" t="shared" si="549"/>
        <v>0</v>
      </c>
      <c r="O333" s="4">
        <f ca="1">M333*N333</f>
        <v>0</v>
      </c>
      <c r="P333" s="4"/>
      <c r="Q333" s="4"/>
      <c r="R333" s="4"/>
      <c r="S333" s="4"/>
      <c r="T333" s="4">
        <f ca="1" t="shared" si="550"/>
        <v>0</v>
      </c>
      <c r="U333" s="4">
        <f ca="1" t="shared" si="551"/>
        <v>0</v>
      </c>
      <c r="V333" s="4">
        <f ca="1" t="shared" si="552"/>
        <v>0</v>
      </c>
      <c r="W333" s="4">
        <f ca="1" t="shared" si="553"/>
        <v>0</v>
      </c>
      <c r="X333" s="4">
        <f ca="1" t="shared" si="554"/>
        <v>15</v>
      </c>
      <c r="Y333" s="4">
        <f ca="1" t="shared" si="555"/>
        <v>0</v>
      </c>
      <c r="Z333" s="4">
        <f ca="1" t="shared" si="556"/>
        <v>0</v>
      </c>
      <c r="AA333" s="4">
        <f ca="1" t="shared" si="557"/>
        <v>0</v>
      </c>
      <c r="AB333" s="4"/>
    </row>
    <row r="334" customHeight="1" outlineLevel="2" spans="1:28">
      <c r="A334" s="515" t="s">
        <v>2799</v>
      </c>
      <c r="B334" s="4"/>
      <c r="C334" s="510" t="s">
        <v>1309</v>
      </c>
      <c r="D334" s="4" t="s">
        <v>1029</v>
      </c>
      <c r="E334" s="4" t="s">
        <v>2610</v>
      </c>
      <c r="F334" s="4" t="s">
        <v>169</v>
      </c>
      <c r="G334" s="4">
        <v>5</v>
      </c>
      <c r="H334" s="4">
        <v>5747.2752293578</v>
      </c>
      <c r="I334" s="4">
        <f>G334*H334</f>
        <v>28736.376146789</v>
      </c>
      <c r="J334" s="4">
        <f t="shared" ref="J334:L334" si="560">+G334</f>
        <v>5</v>
      </c>
      <c r="K334" s="4">
        <f t="shared" si="560"/>
        <v>5747.2752293578</v>
      </c>
      <c r="L334" s="517">
        <f t="shared" si="560"/>
        <v>28736.376146789</v>
      </c>
      <c r="M334" s="4">
        <v>5</v>
      </c>
      <c r="N334" s="4">
        <f ca="1">O334/M334</f>
        <v>0</v>
      </c>
      <c r="O334" s="4">
        <f ca="1">(+O335+O336)</f>
        <v>0</v>
      </c>
      <c r="P334" s="4"/>
      <c r="Q334" s="4"/>
      <c r="R334" s="4">
        <f>+P334+J334</f>
        <v>5</v>
      </c>
      <c r="S334" s="4">
        <f>+Q334+L334</f>
        <v>28736.376146789</v>
      </c>
      <c r="T334" s="4">
        <f>IFERROR(VLOOKUP(A334,产值统计中间表!A:F,7,FALSE),0)</f>
        <v>0</v>
      </c>
      <c r="U334" s="4">
        <f>+T334*H334</f>
        <v>0</v>
      </c>
      <c r="V334" s="4">
        <f>IFERROR(VLOOKUP(A334,产值统计中间表!A:D,4,FALSE),0)</f>
        <v>0</v>
      </c>
      <c r="W334" s="4">
        <f>+V334*H334</f>
        <v>0</v>
      </c>
      <c r="X334" s="4">
        <f>+R334-V334</f>
        <v>5</v>
      </c>
      <c r="Y334" s="4">
        <f>+S334-W334</f>
        <v>28736.376146789</v>
      </c>
      <c r="Z334" s="4">
        <f>IFERROR(VLOOKUP(A334,业主统计中间表!A:D,4,FALSE),0)</f>
        <v>0</v>
      </c>
      <c r="AA334" s="4">
        <f>+Z334*H334</f>
        <v>0</v>
      </c>
      <c r="AB334" s="4"/>
    </row>
    <row r="335" customHeight="1" outlineLevel="3" spans="1:28">
      <c r="A335" s="514" t="s">
        <v>2800</v>
      </c>
      <c r="B335" s="4"/>
      <c r="C335" s="510" t="s">
        <v>59</v>
      </c>
      <c r="D335" s="4" t="s">
        <v>1029</v>
      </c>
      <c r="E335" s="4"/>
      <c r="F335" s="4" t="str">
        <f ca="1" t="shared" ref="F335:F339" si="561">VLOOKUP($D335,INDIRECT($C335),2,0)</f>
        <v>套</v>
      </c>
      <c r="G335" s="4"/>
      <c r="H335" s="4"/>
      <c r="I335" s="4"/>
      <c r="J335" s="4"/>
      <c r="K335" s="4"/>
      <c r="L335" s="517"/>
      <c r="M335" s="4">
        <v>5</v>
      </c>
      <c r="N335" s="4">
        <f ca="1" t="shared" ref="N335:N339" si="562">VLOOKUP($D335,INDIRECT($C335),3,0)</f>
        <v>0</v>
      </c>
      <c r="O335" s="4">
        <f ca="1">M335*N335</f>
        <v>0</v>
      </c>
      <c r="P335" s="4"/>
      <c r="Q335" s="4"/>
      <c r="R335" s="4"/>
      <c r="S335" s="4"/>
      <c r="T335" s="4">
        <f ca="1" t="shared" ref="T335:T339" si="563">OFFSET(T335,-RIGHT($A335,LEN($A$6)),,1,1)/OFFSET(T335,-RIGHT($A335,LEN($A$6)),-13,1,1)*$M335</f>
        <v>0</v>
      </c>
      <c r="U335" s="4">
        <f ca="1" t="shared" ref="U335:U339" si="564">+$N335*T335</f>
        <v>0</v>
      </c>
      <c r="V335" s="4">
        <f ca="1" t="shared" ref="V335:V339" si="565">OFFSET(V335,-RIGHT($A335,LEN($A$6)),,1,1)/OFFSET(V335,-RIGHT($A335,LEN($A$6)),-15,1,1)*$M335</f>
        <v>0</v>
      </c>
      <c r="W335" s="4">
        <f ca="1" t="shared" ref="W335:W339" si="566">+$N335*V335</f>
        <v>0</v>
      </c>
      <c r="X335" s="4">
        <f ca="1" t="shared" ref="X335:X339" si="567">+M335-V335</f>
        <v>5</v>
      </c>
      <c r="Y335" s="4">
        <f ca="1" t="shared" ref="Y335:Y339" si="568">+O335-W335</f>
        <v>0</v>
      </c>
      <c r="Z335" s="4">
        <f ca="1" t="shared" ref="Z335:Z339" si="569">OFFSET(Z335,-RIGHT($A335,LEN($A$6)),,1,1)/OFFSET(Z335,-RIGHT($A335,LEN($A$6)),-19,1,1)*$M335</f>
        <v>0</v>
      </c>
      <c r="AA335" s="4">
        <f ca="1" t="shared" ref="AA335:AA339" si="570">+$N335*Z335</f>
        <v>0</v>
      </c>
      <c r="AB335" s="4"/>
    </row>
    <row r="336" customHeight="1" outlineLevel="3" spans="1:28">
      <c r="A336" s="514" t="s">
        <v>2801</v>
      </c>
      <c r="B336" s="4"/>
      <c r="C336" s="510" t="s">
        <v>64</v>
      </c>
      <c r="D336" s="4" t="s">
        <v>1034</v>
      </c>
      <c r="E336" s="4"/>
      <c r="F336" s="4" t="str">
        <f ca="1" t="shared" si="561"/>
        <v>套</v>
      </c>
      <c r="G336" s="4"/>
      <c r="H336" s="4"/>
      <c r="I336" s="4"/>
      <c r="J336" s="4"/>
      <c r="K336" s="4"/>
      <c r="L336" s="517"/>
      <c r="M336" s="4">
        <v>5</v>
      </c>
      <c r="N336" s="4">
        <f ca="1" t="shared" si="562"/>
        <v>0</v>
      </c>
      <c r="O336" s="4">
        <f ca="1">M336*N336</f>
        <v>0</v>
      </c>
      <c r="P336" s="4"/>
      <c r="Q336" s="4"/>
      <c r="R336" s="4"/>
      <c r="S336" s="4"/>
      <c r="T336" s="4">
        <f ca="1" t="shared" si="563"/>
        <v>0</v>
      </c>
      <c r="U336" s="4">
        <f ca="1" t="shared" si="564"/>
        <v>0</v>
      </c>
      <c r="V336" s="4">
        <f ca="1" t="shared" si="565"/>
        <v>0</v>
      </c>
      <c r="W336" s="4">
        <f ca="1" t="shared" si="566"/>
        <v>0</v>
      </c>
      <c r="X336" s="4">
        <f ca="1" t="shared" si="567"/>
        <v>5</v>
      </c>
      <c r="Y336" s="4">
        <f ca="1" t="shared" si="568"/>
        <v>0</v>
      </c>
      <c r="Z336" s="4">
        <f ca="1" t="shared" si="569"/>
        <v>0</v>
      </c>
      <c r="AA336" s="4">
        <f ca="1" t="shared" si="570"/>
        <v>0</v>
      </c>
      <c r="AB336" s="4"/>
    </row>
    <row r="337" customHeight="1" outlineLevel="2" spans="1:28">
      <c r="A337" s="515" t="s">
        <v>2802</v>
      </c>
      <c r="B337" s="4"/>
      <c r="C337" s="510" t="s">
        <v>1309</v>
      </c>
      <c r="D337" s="4" t="s">
        <v>1032</v>
      </c>
      <c r="E337" s="4" t="s">
        <v>2610</v>
      </c>
      <c r="F337" s="4" t="s">
        <v>169</v>
      </c>
      <c r="G337" s="4">
        <v>6</v>
      </c>
      <c r="H337" s="4">
        <v>10044.5779816514</v>
      </c>
      <c r="I337" s="4">
        <f>G337*H337</f>
        <v>60267.4678899084</v>
      </c>
      <c r="J337" s="4">
        <f t="shared" ref="J337:L337" si="571">+G337</f>
        <v>6</v>
      </c>
      <c r="K337" s="4">
        <f t="shared" si="571"/>
        <v>10044.5779816514</v>
      </c>
      <c r="L337" s="517">
        <f t="shared" si="571"/>
        <v>60267.4678899084</v>
      </c>
      <c r="M337" s="4">
        <v>6</v>
      </c>
      <c r="N337" s="4">
        <f ca="1">O337/M337</f>
        <v>0</v>
      </c>
      <c r="O337" s="4">
        <f ca="1">(+O338+O339)</f>
        <v>0</v>
      </c>
      <c r="P337" s="4"/>
      <c r="Q337" s="4"/>
      <c r="R337" s="4">
        <f>+P337+J337</f>
        <v>6</v>
      </c>
      <c r="S337" s="4">
        <f>+Q337+L337</f>
        <v>60267.4678899084</v>
      </c>
      <c r="T337" s="4">
        <f>IFERROR(VLOOKUP(A337,产值统计中间表!A:F,7,FALSE),0)</f>
        <v>0</v>
      </c>
      <c r="U337" s="4">
        <f>+T337*H337</f>
        <v>0</v>
      </c>
      <c r="V337" s="4">
        <f>IFERROR(VLOOKUP(A337,产值统计中间表!A:D,4,FALSE),0)</f>
        <v>0</v>
      </c>
      <c r="W337" s="4">
        <f>+V337*H337</f>
        <v>0</v>
      </c>
      <c r="X337" s="4">
        <f>+R337-V337</f>
        <v>6</v>
      </c>
      <c r="Y337" s="4">
        <f>+S337-W337</f>
        <v>60267.4678899084</v>
      </c>
      <c r="Z337" s="4">
        <f>IFERROR(VLOOKUP(A337,业主统计中间表!A:D,4,FALSE),0)</f>
        <v>0</v>
      </c>
      <c r="AA337" s="4">
        <f>+Z337*H337</f>
        <v>0</v>
      </c>
      <c r="AB337" s="4"/>
    </row>
    <row r="338" customHeight="1" outlineLevel="3" spans="1:28">
      <c r="A338" s="514" t="s">
        <v>2803</v>
      </c>
      <c r="B338" s="4"/>
      <c r="C338" s="510" t="s">
        <v>59</v>
      </c>
      <c r="D338" s="4" t="s">
        <v>1032</v>
      </c>
      <c r="E338" s="4"/>
      <c r="F338" s="4" t="str">
        <f ca="1" t="shared" si="561"/>
        <v>套</v>
      </c>
      <c r="G338" s="4"/>
      <c r="H338" s="4"/>
      <c r="I338" s="4"/>
      <c r="J338" s="4"/>
      <c r="K338" s="4"/>
      <c r="L338" s="517"/>
      <c r="M338" s="4">
        <v>6</v>
      </c>
      <c r="N338" s="4">
        <f ca="1" t="shared" si="562"/>
        <v>0</v>
      </c>
      <c r="O338" s="4">
        <f ca="1">M338*N338</f>
        <v>0</v>
      </c>
      <c r="P338" s="4"/>
      <c r="Q338" s="4"/>
      <c r="R338" s="4"/>
      <c r="S338" s="4"/>
      <c r="T338" s="4">
        <f ca="1" t="shared" si="563"/>
        <v>0</v>
      </c>
      <c r="U338" s="4">
        <f ca="1" t="shared" si="564"/>
        <v>0</v>
      </c>
      <c r="V338" s="4">
        <f ca="1" t="shared" si="565"/>
        <v>0</v>
      </c>
      <c r="W338" s="4">
        <f ca="1" t="shared" si="566"/>
        <v>0</v>
      </c>
      <c r="X338" s="4">
        <f ca="1" t="shared" si="567"/>
        <v>6</v>
      </c>
      <c r="Y338" s="4">
        <f ca="1" t="shared" si="568"/>
        <v>0</v>
      </c>
      <c r="Z338" s="4">
        <f ca="1" t="shared" si="569"/>
        <v>0</v>
      </c>
      <c r="AA338" s="4">
        <f ca="1" t="shared" si="570"/>
        <v>0</v>
      </c>
      <c r="AB338" s="4"/>
    </row>
    <row r="339" customHeight="1" outlineLevel="3" spans="1:28">
      <c r="A339" s="514" t="s">
        <v>2804</v>
      </c>
      <c r="B339" s="4"/>
      <c r="C339" s="510" t="s">
        <v>64</v>
      </c>
      <c r="D339" s="4" t="s">
        <v>1034</v>
      </c>
      <c r="E339" s="4"/>
      <c r="F339" s="4" t="str">
        <f ca="1" t="shared" si="561"/>
        <v>套</v>
      </c>
      <c r="G339" s="4"/>
      <c r="H339" s="4"/>
      <c r="I339" s="4"/>
      <c r="J339" s="4"/>
      <c r="K339" s="4"/>
      <c r="L339" s="517"/>
      <c r="M339" s="4">
        <v>6</v>
      </c>
      <c r="N339" s="4">
        <f ca="1" t="shared" si="562"/>
        <v>0</v>
      </c>
      <c r="O339" s="4">
        <f ca="1">M339*N339</f>
        <v>0</v>
      </c>
      <c r="P339" s="4"/>
      <c r="Q339" s="4"/>
      <c r="R339" s="4"/>
      <c r="S339" s="4"/>
      <c r="T339" s="4">
        <f ca="1" t="shared" si="563"/>
        <v>0</v>
      </c>
      <c r="U339" s="4">
        <f ca="1" t="shared" si="564"/>
        <v>0</v>
      </c>
      <c r="V339" s="4">
        <f ca="1" t="shared" si="565"/>
        <v>0</v>
      </c>
      <c r="W339" s="4">
        <f ca="1" t="shared" si="566"/>
        <v>0</v>
      </c>
      <c r="X339" s="4">
        <f ca="1" t="shared" si="567"/>
        <v>6</v>
      </c>
      <c r="Y339" s="4">
        <f ca="1" t="shared" si="568"/>
        <v>0</v>
      </c>
      <c r="Z339" s="4">
        <f ca="1" t="shared" si="569"/>
        <v>0</v>
      </c>
      <c r="AA339" s="4">
        <f ca="1" t="shared" si="570"/>
        <v>0</v>
      </c>
      <c r="AB339" s="4"/>
    </row>
    <row r="340" customHeight="1" outlineLevel="2" spans="1:28">
      <c r="A340" s="515" t="s">
        <v>2805</v>
      </c>
      <c r="B340" s="4"/>
      <c r="C340" s="510" t="s">
        <v>1309</v>
      </c>
      <c r="D340" s="4" t="s">
        <v>999</v>
      </c>
      <c r="E340" s="4" t="s">
        <v>2610</v>
      </c>
      <c r="F340" s="4" t="s">
        <v>169</v>
      </c>
      <c r="G340" s="4">
        <v>4</v>
      </c>
      <c r="H340" s="4">
        <v>43.348623853211</v>
      </c>
      <c r="I340" s="4">
        <f>G340*H340</f>
        <v>173.394495412844</v>
      </c>
      <c r="J340" s="4">
        <f t="shared" ref="J340:L340" si="572">+G340</f>
        <v>4</v>
      </c>
      <c r="K340" s="4">
        <f t="shared" si="572"/>
        <v>43.348623853211</v>
      </c>
      <c r="L340" s="517">
        <f t="shared" si="572"/>
        <v>173.394495412844</v>
      </c>
      <c r="M340" s="4">
        <v>4</v>
      </c>
      <c r="N340" s="4">
        <f ca="1">O340/M340</f>
        <v>10</v>
      </c>
      <c r="O340" s="4">
        <f ca="1">(+O341+O342)</f>
        <v>40</v>
      </c>
      <c r="P340" s="4"/>
      <c r="Q340" s="4"/>
      <c r="R340" s="4">
        <f>+P340+J340</f>
        <v>4</v>
      </c>
      <c r="S340" s="4">
        <f>+Q340+L340</f>
        <v>173.394495412844</v>
      </c>
      <c r="T340" s="4">
        <f>IFERROR(VLOOKUP(A340,产值统计中间表!A:F,7,FALSE),0)</f>
        <v>0</v>
      </c>
      <c r="U340" s="4">
        <f>+T340*H340</f>
        <v>0</v>
      </c>
      <c r="V340" s="4">
        <f>IFERROR(VLOOKUP(A340,产值统计中间表!A:D,4,FALSE),0)</f>
        <v>0</v>
      </c>
      <c r="W340" s="4">
        <f>+V340*H340</f>
        <v>0</v>
      </c>
      <c r="X340" s="4">
        <f>+R340-V340</f>
        <v>4</v>
      </c>
      <c r="Y340" s="4">
        <f>+S340-W340</f>
        <v>173.394495412844</v>
      </c>
      <c r="Z340" s="4">
        <f>IFERROR(VLOOKUP(A340,业主统计中间表!A:D,4,FALSE),0)</f>
        <v>0</v>
      </c>
      <c r="AA340" s="4">
        <f>+Z340*H340</f>
        <v>0</v>
      </c>
      <c r="AB340" s="4"/>
    </row>
    <row r="341" customHeight="1" outlineLevel="3" spans="1:28">
      <c r="A341" s="514" t="s">
        <v>2806</v>
      </c>
      <c r="B341" s="4"/>
      <c r="C341" s="510" t="s">
        <v>64</v>
      </c>
      <c r="D341" s="4" t="s">
        <v>1121</v>
      </c>
      <c r="E341" s="4"/>
      <c r="F341" s="4" t="str">
        <f ca="1" t="shared" ref="F341:F345" si="573">VLOOKUP($D341,INDIRECT($C341),2,0)</f>
        <v>个</v>
      </c>
      <c r="G341" s="4"/>
      <c r="H341" s="4"/>
      <c r="I341" s="4"/>
      <c r="J341" s="4"/>
      <c r="K341" s="4"/>
      <c r="L341" s="517"/>
      <c r="M341" s="4">
        <v>4</v>
      </c>
      <c r="N341" s="4">
        <f ca="1" t="shared" ref="N341:N345" si="574">VLOOKUP($D341,INDIRECT($C341),3,0)</f>
        <v>10</v>
      </c>
      <c r="O341" s="4">
        <f ca="1">M341*N341</f>
        <v>40</v>
      </c>
      <c r="P341" s="4"/>
      <c r="Q341" s="4"/>
      <c r="R341" s="4"/>
      <c r="S341" s="4"/>
      <c r="T341" s="4">
        <f ca="1" t="shared" ref="T341:T345" si="575">OFFSET(T341,-RIGHT($A341,LEN($A$6)),,1,1)/OFFSET(T341,-RIGHT($A341,LEN($A$6)),-13,1,1)*$M341</f>
        <v>0</v>
      </c>
      <c r="U341" s="4">
        <f ca="1" t="shared" ref="U341:U345" si="576">+$N341*T341</f>
        <v>0</v>
      </c>
      <c r="V341" s="4">
        <f ca="1" t="shared" ref="V341:V345" si="577">OFFSET(V341,-RIGHT($A341,LEN($A$6)),,1,1)/OFFSET(V341,-RIGHT($A341,LEN($A$6)),-15,1,1)*$M341</f>
        <v>0</v>
      </c>
      <c r="W341" s="4">
        <f ca="1" t="shared" ref="W341:W345" si="578">+$N341*V341</f>
        <v>0</v>
      </c>
      <c r="X341" s="4">
        <f ca="1" t="shared" ref="X341:X345" si="579">+M341-V341</f>
        <v>4</v>
      </c>
      <c r="Y341" s="4">
        <f ca="1" t="shared" ref="Y341:Y345" si="580">+O341-W341</f>
        <v>40</v>
      </c>
      <c r="Z341" s="4">
        <f ca="1" t="shared" ref="Z341:Z345" si="581">OFFSET(Z341,-RIGHT($A341,LEN($A$6)),,1,1)/OFFSET(Z341,-RIGHT($A341,LEN($A$6)),-19,1,1)*$M341</f>
        <v>0</v>
      </c>
      <c r="AA341" s="4">
        <f ca="1" t="shared" ref="AA341:AA345" si="582">+$N341*Z341</f>
        <v>0</v>
      </c>
      <c r="AB341" s="4"/>
    </row>
    <row r="342" customHeight="1" outlineLevel="3" spans="1:28">
      <c r="A342" s="514" t="s">
        <v>2807</v>
      </c>
      <c r="B342" s="4"/>
      <c r="C342" s="510" t="s">
        <v>59</v>
      </c>
      <c r="D342" s="4" t="s">
        <v>999</v>
      </c>
      <c r="E342" s="4"/>
      <c r="F342" s="4" t="str">
        <f ca="1" t="shared" si="573"/>
        <v>套</v>
      </c>
      <c r="G342" s="4"/>
      <c r="H342" s="4"/>
      <c r="I342" s="4"/>
      <c r="J342" s="4"/>
      <c r="K342" s="4"/>
      <c r="L342" s="517"/>
      <c r="M342" s="4">
        <v>4</v>
      </c>
      <c r="N342" s="4">
        <f ca="1" t="shared" si="574"/>
        <v>0</v>
      </c>
      <c r="O342" s="4">
        <f ca="1">M342*N342</f>
        <v>0</v>
      </c>
      <c r="P342" s="4"/>
      <c r="Q342" s="4"/>
      <c r="R342" s="4"/>
      <c r="S342" s="4"/>
      <c r="T342" s="4">
        <f ca="1" t="shared" si="575"/>
        <v>0</v>
      </c>
      <c r="U342" s="4">
        <f ca="1" t="shared" si="576"/>
        <v>0</v>
      </c>
      <c r="V342" s="4">
        <f ca="1" t="shared" si="577"/>
        <v>0</v>
      </c>
      <c r="W342" s="4">
        <f ca="1" t="shared" si="578"/>
        <v>0</v>
      </c>
      <c r="X342" s="4">
        <f ca="1" t="shared" si="579"/>
        <v>4</v>
      </c>
      <c r="Y342" s="4">
        <f ca="1" t="shared" si="580"/>
        <v>0</v>
      </c>
      <c r="Z342" s="4">
        <f ca="1" t="shared" si="581"/>
        <v>0</v>
      </c>
      <c r="AA342" s="4">
        <f ca="1" t="shared" si="582"/>
        <v>0</v>
      </c>
      <c r="AB342" s="4"/>
    </row>
    <row r="343" customHeight="1" outlineLevel="2" spans="1:28">
      <c r="A343" s="515" t="s">
        <v>2808</v>
      </c>
      <c r="B343" s="4"/>
      <c r="C343" s="510" t="s">
        <v>1309</v>
      </c>
      <c r="D343" s="4" t="s">
        <v>993</v>
      </c>
      <c r="E343" s="4" t="s">
        <v>2610</v>
      </c>
      <c r="F343" s="4" t="s">
        <v>169</v>
      </c>
      <c r="G343" s="4">
        <v>144</v>
      </c>
      <c r="H343" s="4">
        <v>27.302752293578</v>
      </c>
      <c r="I343" s="4">
        <f>G343*H343</f>
        <v>3931.59633027523</v>
      </c>
      <c r="J343" s="4">
        <f t="shared" ref="J343:L343" si="583">+G343</f>
        <v>144</v>
      </c>
      <c r="K343" s="4">
        <f t="shared" si="583"/>
        <v>27.302752293578</v>
      </c>
      <c r="L343" s="517">
        <f t="shared" si="583"/>
        <v>3931.59633027523</v>
      </c>
      <c r="M343" s="4">
        <v>144</v>
      </c>
      <c r="N343" s="4">
        <f ca="1">O343/M343</f>
        <v>10</v>
      </c>
      <c r="O343" s="4">
        <f ca="1">(+O344+O345)</f>
        <v>1440</v>
      </c>
      <c r="P343" s="4"/>
      <c r="Q343" s="4"/>
      <c r="R343" s="4">
        <f>+P343+J343</f>
        <v>144</v>
      </c>
      <c r="S343" s="4">
        <f>+Q343+L343</f>
        <v>3931.59633027523</v>
      </c>
      <c r="T343" s="4">
        <f>IFERROR(VLOOKUP(A343,产值统计中间表!A:F,7,FALSE),0)</f>
        <v>0</v>
      </c>
      <c r="U343" s="4">
        <f>+T343*H343</f>
        <v>0</v>
      </c>
      <c r="V343" s="4">
        <f>IFERROR(VLOOKUP(A343,产值统计中间表!A:D,4,FALSE),0)</f>
        <v>0</v>
      </c>
      <c r="W343" s="4">
        <f>+V343*H343</f>
        <v>0</v>
      </c>
      <c r="X343" s="4">
        <f>+R343-V343</f>
        <v>144</v>
      </c>
      <c r="Y343" s="4">
        <f>+S343-W343</f>
        <v>3931.59633027523</v>
      </c>
      <c r="Z343" s="4">
        <f>IFERROR(VLOOKUP(A343,业主统计中间表!A:D,4,FALSE),0)</f>
        <v>0</v>
      </c>
      <c r="AA343" s="4">
        <f>+Z343*H343</f>
        <v>0</v>
      </c>
      <c r="AB343" s="4"/>
    </row>
    <row r="344" customHeight="1" outlineLevel="3" spans="1:28">
      <c r="A344" s="514" t="s">
        <v>2809</v>
      </c>
      <c r="B344" s="4"/>
      <c r="C344" s="510" t="s">
        <v>64</v>
      </c>
      <c r="D344" s="4" t="s">
        <v>1121</v>
      </c>
      <c r="E344" s="4"/>
      <c r="F344" s="4" t="str">
        <f ca="1" t="shared" si="573"/>
        <v>个</v>
      </c>
      <c r="G344" s="4"/>
      <c r="H344" s="4"/>
      <c r="I344" s="4"/>
      <c r="J344" s="4"/>
      <c r="K344" s="4"/>
      <c r="L344" s="517"/>
      <c r="M344" s="4">
        <v>144</v>
      </c>
      <c r="N344" s="4">
        <f ca="1" t="shared" si="574"/>
        <v>10</v>
      </c>
      <c r="O344" s="4">
        <f ca="1">M344*N344</f>
        <v>1440</v>
      </c>
      <c r="P344" s="4"/>
      <c r="Q344" s="4"/>
      <c r="R344" s="4"/>
      <c r="S344" s="4"/>
      <c r="T344" s="4">
        <f ca="1" t="shared" si="575"/>
        <v>0</v>
      </c>
      <c r="U344" s="4">
        <f ca="1" t="shared" si="576"/>
        <v>0</v>
      </c>
      <c r="V344" s="4">
        <f ca="1" t="shared" si="577"/>
        <v>0</v>
      </c>
      <c r="W344" s="4">
        <f ca="1" t="shared" si="578"/>
        <v>0</v>
      </c>
      <c r="X344" s="4">
        <f ca="1" t="shared" si="579"/>
        <v>144</v>
      </c>
      <c r="Y344" s="4">
        <f ca="1" t="shared" si="580"/>
        <v>1440</v>
      </c>
      <c r="Z344" s="4">
        <f ca="1" t="shared" si="581"/>
        <v>0</v>
      </c>
      <c r="AA344" s="4">
        <f ca="1" t="shared" si="582"/>
        <v>0</v>
      </c>
      <c r="AB344" s="4"/>
    </row>
    <row r="345" customHeight="1" outlineLevel="3" spans="1:28">
      <c r="A345" s="514" t="s">
        <v>2810</v>
      </c>
      <c r="B345" s="4"/>
      <c r="C345" s="510" t="s">
        <v>59</v>
      </c>
      <c r="D345" s="4" t="s">
        <v>993</v>
      </c>
      <c r="E345" s="4"/>
      <c r="F345" s="4" t="str">
        <f ca="1" t="shared" si="573"/>
        <v>套</v>
      </c>
      <c r="G345" s="4"/>
      <c r="H345" s="4"/>
      <c r="I345" s="4"/>
      <c r="J345" s="4"/>
      <c r="K345" s="4"/>
      <c r="L345" s="517"/>
      <c r="M345" s="4">
        <v>144</v>
      </c>
      <c r="N345" s="4">
        <f ca="1" t="shared" si="574"/>
        <v>0</v>
      </c>
      <c r="O345" s="4">
        <f ca="1">M345*N345</f>
        <v>0</v>
      </c>
      <c r="P345" s="4"/>
      <c r="Q345" s="4"/>
      <c r="R345" s="4"/>
      <c r="S345" s="4"/>
      <c r="T345" s="4">
        <f ca="1" t="shared" si="575"/>
        <v>0</v>
      </c>
      <c r="U345" s="4">
        <f ca="1" t="shared" si="576"/>
        <v>0</v>
      </c>
      <c r="V345" s="4">
        <f ca="1" t="shared" si="577"/>
        <v>0</v>
      </c>
      <c r="W345" s="4">
        <f ca="1" t="shared" si="578"/>
        <v>0</v>
      </c>
      <c r="X345" s="4">
        <f ca="1" t="shared" si="579"/>
        <v>144</v>
      </c>
      <c r="Y345" s="4">
        <f ca="1" t="shared" si="580"/>
        <v>0</v>
      </c>
      <c r="Z345" s="4">
        <f ca="1" t="shared" si="581"/>
        <v>0</v>
      </c>
      <c r="AA345" s="4">
        <f ca="1" t="shared" si="582"/>
        <v>0</v>
      </c>
      <c r="AB345" s="4"/>
    </row>
    <row r="346" customHeight="1" outlineLevel="2" spans="1:28">
      <c r="A346" s="515" t="s">
        <v>2811</v>
      </c>
      <c r="B346" s="4"/>
      <c r="C346" s="510" t="s">
        <v>1309</v>
      </c>
      <c r="D346" s="4" t="s">
        <v>1035</v>
      </c>
      <c r="E346" s="4" t="s">
        <v>2610</v>
      </c>
      <c r="F346" s="4" t="s">
        <v>169</v>
      </c>
      <c r="G346" s="4">
        <v>12</v>
      </c>
      <c r="H346" s="4">
        <v>122.56880733945</v>
      </c>
      <c r="I346" s="4">
        <f>G346*H346</f>
        <v>1470.8256880734</v>
      </c>
      <c r="J346" s="4">
        <f t="shared" ref="J346:L346" si="584">+G346</f>
        <v>12</v>
      </c>
      <c r="K346" s="4">
        <f t="shared" si="584"/>
        <v>122.56880733945</v>
      </c>
      <c r="L346" s="517">
        <f t="shared" si="584"/>
        <v>1470.8256880734</v>
      </c>
      <c r="M346" s="4">
        <v>12</v>
      </c>
      <c r="N346" s="4">
        <f ca="1">O346/M346</f>
        <v>10</v>
      </c>
      <c r="O346" s="4">
        <f ca="1">(+O347+O348)</f>
        <v>120</v>
      </c>
      <c r="P346" s="4"/>
      <c r="Q346" s="4"/>
      <c r="R346" s="4">
        <f>+P346+J346</f>
        <v>12</v>
      </c>
      <c r="S346" s="4">
        <f>+Q346+L346</f>
        <v>1470.8256880734</v>
      </c>
      <c r="T346" s="4">
        <f>IFERROR(VLOOKUP(A346,产值统计中间表!A:F,7,FALSE),0)</f>
        <v>0</v>
      </c>
      <c r="U346" s="4">
        <f>+T346*H346</f>
        <v>0</v>
      </c>
      <c r="V346" s="4">
        <f>IFERROR(VLOOKUP(A346,产值统计中间表!A:D,4,FALSE),0)</f>
        <v>0</v>
      </c>
      <c r="W346" s="4">
        <f>+V346*H346</f>
        <v>0</v>
      </c>
      <c r="X346" s="4">
        <f>+R346-V346</f>
        <v>12</v>
      </c>
      <c r="Y346" s="4">
        <f>+S346-W346</f>
        <v>1470.8256880734</v>
      </c>
      <c r="Z346" s="4">
        <f>IFERROR(VLOOKUP(A346,业主统计中间表!A:D,4,FALSE),0)</f>
        <v>0</v>
      </c>
      <c r="AA346" s="4">
        <f>+Z346*H346</f>
        <v>0</v>
      </c>
      <c r="AB346" s="4"/>
    </row>
    <row r="347" customHeight="1" outlineLevel="3" spans="1:28">
      <c r="A347" s="514" t="s">
        <v>2812</v>
      </c>
      <c r="B347" s="4"/>
      <c r="C347" s="510" t="s">
        <v>64</v>
      </c>
      <c r="D347" s="4" t="s">
        <v>1121</v>
      </c>
      <c r="E347" s="4"/>
      <c r="F347" s="4" t="str">
        <f ca="1" t="shared" ref="F347:F351" si="585">VLOOKUP($D347,INDIRECT($C347),2,0)</f>
        <v>个</v>
      </c>
      <c r="G347" s="4"/>
      <c r="H347" s="4"/>
      <c r="I347" s="4"/>
      <c r="J347" s="4"/>
      <c r="K347" s="4"/>
      <c r="L347" s="517"/>
      <c r="M347" s="4">
        <v>12</v>
      </c>
      <c r="N347" s="4">
        <f ca="1" t="shared" ref="N347:N351" si="586">VLOOKUP($D347,INDIRECT($C347),3,0)</f>
        <v>10</v>
      </c>
      <c r="O347" s="4">
        <f ca="1">M347*N347</f>
        <v>120</v>
      </c>
      <c r="P347" s="4"/>
      <c r="Q347" s="4"/>
      <c r="R347" s="4"/>
      <c r="S347" s="4"/>
      <c r="T347" s="4">
        <f ca="1" t="shared" ref="T347:T351" si="587">OFFSET(T347,-RIGHT($A347,LEN($A$6)),,1,1)/OFFSET(T347,-RIGHT($A347,LEN($A$6)),-13,1,1)*$M347</f>
        <v>0</v>
      </c>
      <c r="U347" s="4">
        <f ca="1" t="shared" ref="U347:U351" si="588">+$N347*T347</f>
        <v>0</v>
      </c>
      <c r="V347" s="4">
        <f ca="1" t="shared" ref="V347:V351" si="589">OFFSET(V347,-RIGHT($A347,LEN($A$6)),,1,1)/OFFSET(V347,-RIGHT($A347,LEN($A$6)),-15,1,1)*$M347</f>
        <v>0</v>
      </c>
      <c r="W347" s="4">
        <f ca="1" t="shared" ref="W347:W351" si="590">+$N347*V347</f>
        <v>0</v>
      </c>
      <c r="X347" s="4">
        <f ca="1" t="shared" ref="X347:X351" si="591">+M347-V347</f>
        <v>12</v>
      </c>
      <c r="Y347" s="4">
        <f ca="1" t="shared" ref="Y347:Y351" si="592">+O347-W347</f>
        <v>120</v>
      </c>
      <c r="Z347" s="4">
        <f ca="1" t="shared" ref="Z347:Z351" si="593">OFFSET(Z347,-RIGHT($A347,LEN($A$6)),,1,1)/OFFSET(Z347,-RIGHT($A347,LEN($A$6)),-19,1,1)*$M347</f>
        <v>0</v>
      </c>
      <c r="AA347" s="4">
        <f ca="1" t="shared" ref="AA347:AA351" si="594">+$N347*Z347</f>
        <v>0</v>
      </c>
      <c r="AB347" s="4"/>
    </row>
    <row r="348" customHeight="1" outlineLevel="3" spans="1:28">
      <c r="A348" s="514" t="s">
        <v>2813</v>
      </c>
      <c r="B348" s="4"/>
      <c r="C348" s="510" t="s">
        <v>59</v>
      </c>
      <c r="D348" s="4" t="s">
        <v>1035</v>
      </c>
      <c r="E348" s="4"/>
      <c r="F348" s="4" t="str">
        <f ca="1" t="shared" si="585"/>
        <v>套</v>
      </c>
      <c r="G348" s="4"/>
      <c r="H348" s="4"/>
      <c r="I348" s="4"/>
      <c r="J348" s="4"/>
      <c r="K348" s="4"/>
      <c r="L348" s="517"/>
      <c r="M348" s="4">
        <v>12</v>
      </c>
      <c r="N348" s="4">
        <f ca="1" t="shared" si="586"/>
        <v>0</v>
      </c>
      <c r="O348" s="4">
        <f ca="1">M348*N348</f>
        <v>0</v>
      </c>
      <c r="P348" s="4"/>
      <c r="Q348" s="4"/>
      <c r="R348" s="4"/>
      <c r="S348" s="4"/>
      <c r="T348" s="4">
        <f ca="1" t="shared" si="587"/>
        <v>0</v>
      </c>
      <c r="U348" s="4">
        <f ca="1" t="shared" si="588"/>
        <v>0</v>
      </c>
      <c r="V348" s="4">
        <f ca="1" t="shared" si="589"/>
        <v>0</v>
      </c>
      <c r="W348" s="4">
        <f ca="1" t="shared" si="590"/>
        <v>0</v>
      </c>
      <c r="X348" s="4">
        <f ca="1" t="shared" si="591"/>
        <v>12</v>
      </c>
      <c r="Y348" s="4">
        <f ca="1" t="shared" si="592"/>
        <v>0</v>
      </c>
      <c r="Z348" s="4">
        <f ca="1" t="shared" si="593"/>
        <v>0</v>
      </c>
      <c r="AA348" s="4">
        <f ca="1" t="shared" si="594"/>
        <v>0</v>
      </c>
      <c r="AB348" s="4"/>
    </row>
    <row r="349" customHeight="1" outlineLevel="2" spans="1:28">
      <c r="A349" s="515" t="s">
        <v>2814</v>
      </c>
      <c r="B349" s="4"/>
      <c r="C349" s="510" t="s">
        <v>1309</v>
      </c>
      <c r="D349" s="4" t="s">
        <v>1038</v>
      </c>
      <c r="E349" s="4" t="s">
        <v>2610</v>
      </c>
      <c r="F349" s="4" t="s">
        <v>169</v>
      </c>
      <c r="G349" s="4">
        <v>4</v>
      </c>
      <c r="H349" s="4">
        <v>58.3853211009174</v>
      </c>
      <c r="I349" s="4">
        <f>G349*H349</f>
        <v>233.54128440367</v>
      </c>
      <c r="J349" s="4">
        <f t="shared" ref="J349:L349" si="595">+G349</f>
        <v>4</v>
      </c>
      <c r="K349" s="4">
        <f t="shared" si="595"/>
        <v>58.3853211009174</v>
      </c>
      <c r="L349" s="517">
        <f t="shared" si="595"/>
        <v>233.54128440367</v>
      </c>
      <c r="M349" s="4">
        <v>4</v>
      </c>
      <c r="N349" s="4">
        <f ca="1">O349/M349</f>
        <v>10</v>
      </c>
      <c r="O349" s="4">
        <f ca="1">(+O350+O351)</f>
        <v>40</v>
      </c>
      <c r="P349" s="4"/>
      <c r="Q349" s="4"/>
      <c r="R349" s="4">
        <f>+P349+J349</f>
        <v>4</v>
      </c>
      <c r="S349" s="4">
        <f>+Q349+L349</f>
        <v>233.54128440367</v>
      </c>
      <c r="T349" s="4">
        <f>IFERROR(VLOOKUP(A349,产值统计中间表!A:F,7,FALSE),0)</f>
        <v>0</v>
      </c>
      <c r="U349" s="4">
        <f>+T349*H349</f>
        <v>0</v>
      </c>
      <c r="V349" s="4">
        <f>IFERROR(VLOOKUP(A349,产值统计中间表!A:D,4,FALSE),0)</f>
        <v>0</v>
      </c>
      <c r="W349" s="4">
        <f>+V349*H349</f>
        <v>0</v>
      </c>
      <c r="X349" s="4">
        <f>+R349-V349</f>
        <v>4</v>
      </c>
      <c r="Y349" s="4">
        <f>+S349-W349</f>
        <v>233.54128440367</v>
      </c>
      <c r="Z349" s="4">
        <f>IFERROR(VLOOKUP(A349,业主统计中间表!A:D,4,FALSE),0)</f>
        <v>0</v>
      </c>
      <c r="AA349" s="4">
        <f>+Z349*H349</f>
        <v>0</v>
      </c>
      <c r="AB349" s="4"/>
    </row>
    <row r="350" customHeight="1" outlineLevel="3" spans="1:28">
      <c r="A350" s="514" t="s">
        <v>2815</v>
      </c>
      <c r="B350" s="4"/>
      <c r="C350" s="510" t="s">
        <v>64</v>
      </c>
      <c r="D350" s="4" t="s">
        <v>1121</v>
      </c>
      <c r="E350" s="4"/>
      <c r="F350" s="4" t="str">
        <f ca="1" t="shared" si="585"/>
        <v>个</v>
      </c>
      <c r="G350" s="4"/>
      <c r="H350" s="4"/>
      <c r="I350" s="4"/>
      <c r="J350" s="4"/>
      <c r="K350" s="4"/>
      <c r="L350" s="517"/>
      <c r="M350" s="4">
        <v>4</v>
      </c>
      <c r="N350" s="4">
        <f ca="1" t="shared" si="586"/>
        <v>10</v>
      </c>
      <c r="O350" s="4">
        <f ca="1">M350*N350</f>
        <v>40</v>
      </c>
      <c r="P350" s="4"/>
      <c r="Q350" s="4"/>
      <c r="R350" s="4"/>
      <c r="S350" s="4"/>
      <c r="T350" s="4">
        <f ca="1" t="shared" si="587"/>
        <v>0</v>
      </c>
      <c r="U350" s="4">
        <f ca="1" t="shared" si="588"/>
        <v>0</v>
      </c>
      <c r="V350" s="4">
        <f ca="1" t="shared" si="589"/>
        <v>0</v>
      </c>
      <c r="W350" s="4">
        <f ca="1" t="shared" si="590"/>
        <v>0</v>
      </c>
      <c r="X350" s="4">
        <f ca="1" t="shared" si="591"/>
        <v>4</v>
      </c>
      <c r="Y350" s="4">
        <f ca="1" t="shared" si="592"/>
        <v>40</v>
      </c>
      <c r="Z350" s="4">
        <f ca="1" t="shared" si="593"/>
        <v>0</v>
      </c>
      <c r="AA350" s="4">
        <f ca="1" t="shared" si="594"/>
        <v>0</v>
      </c>
      <c r="AB350" s="4"/>
    </row>
    <row r="351" customHeight="1" outlineLevel="3" spans="1:28">
      <c r="A351" s="514" t="s">
        <v>2816</v>
      </c>
      <c r="B351" s="4"/>
      <c r="C351" s="510" t="s">
        <v>59</v>
      </c>
      <c r="D351" s="4" t="s">
        <v>1038</v>
      </c>
      <c r="E351" s="4"/>
      <c r="F351" s="4" t="str">
        <f ca="1" t="shared" si="585"/>
        <v>套</v>
      </c>
      <c r="G351" s="4"/>
      <c r="H351" s="4"/>
      <c r="I351" s="4"/>
      <c r="J351" s="4"/>
      <c r="K351" s="4"/>
      <c r="L351" s="517"/>
      <c r="M351" s="4">
        <v>4</v>
      </c>
      <c r="N351" s="4">
        <f ca="1" t="shared" si="586"/>
        <v>0</v>
      </c>
      <c r="O351" s="4">
        <f ca="1">M351*N351</f>
        <v>0</v>
      </c>
      <c r="P351" s="4"/>
      <c r="Q351" s="4"/>
      <c r="R351" s="4"/>
      <c r="S351" s="4"/>
      <c r="T351" s="4">
        <f ca="1" t="shared" si="587"/>
        <v>0</v>
      </c>
      <c r="U351" s="4">
        <f ca="1" t="shared" si="588"/>
        <v>0</v>
      </c>
      <c r="V351" s="4">
        <f ca="1" t="shared" si="589"/>
        <v>0</v>
      </c>
      <c r="W351" s="4">
        <f ca="1" t="shared" si="590"/>
        <v>0</v>
      </c>
      <c r="X351" s="4">
        <f ca="1" t="shared" si="591"/>
        <v>4</v>
      </c>
      <c r="Y351" s="4">
        <f ca="1" t="shared" si="592"/>
        <v>0</v>
      </c>
      <c r="Z351" s="4">
        <f ca="1" t="shared" si="593"/>
        <v>0</v>
      </c>
      <c r="AA351" s="4">
        <f ca="1" t="shared" si="594"/>
        <v>0</v>
      </c>
      <c r="AB351" s="4"/>
    </row>
    <row r="352" customHeight="1" outlineLevel="2" spans="1:28">
      <c r="A352" s="515" t="s">
        <v>2817</v>
      </c>
      <c r="B352" s="4"/>
      <c r="C352" s="510" t="s">
        <v>1309</v>
      </c>
      <c r="D352" s="4" t="s">
        <v>2517</v>
      </c>
      <c r="E352" s="4" t="s">
        <v>2472</v>
      </c>
      <c r="F352" s="4" t="s">
        <v>72</v>
      </c>
      <c r="G352" s="4">
        <v>0.85</v>
      </c>
      <c r="H352" s="4">
        <v>2841.33944954128</v>
      </c>
      <c r="I352" s="4">
        <f>G352*H352</f>
        <v>2415.13853211009</v>
      </c>
      <c r="J352" s="4">
        <f t="shared" ref="J352:L352" si="596">+G352</f>
        <v>0.85</v>
      </c>
      <c r="K352" s="4">
        <f t="shared" si="596"/>
        <v>2841.33944954128</v>
      </c>
      <c r="L352" s="517">
        <f t="shared" si="596"/>
        <v>2415.13853211009</v>
      </c>
      <c r="M352" s="4">
        <v>0.85</v>
      </c>
      <c r="N352" s="4">
        <f ca="1">O352/M352</f>
        <v>2532.50896470588</v>
      </c>
      <c r="O352" s="4">
        <f ca="1">(+O353+O354+O355+O356+O357)</f>
        <v>2152.63262</v>
      </c>
      <c r="P352" s="4"/>
      <c r="Q352" s="4"/>
      <c r="R352" s="4">
        <f>+P352+J352</f>
        <v>0.85</v>
      </c>
      <c r="S352" s="4">
        <f>+Q352+L352</f>
        <v>2415.13853211009</v>
      </c>
      <c r="T352" s="4">
        <f>IFERROR(VLOOKUP(A352,产值统计中间表!A:F,7,FALSE),0)</f>
        <v>0</v>
      </c>
      <c r="U352" s="4">
        <f>+T352*H352</f>
        <v>0</v>
      </c>
      <c r="V352" s="4">
        <f>IFERROR(VLOOKUP(A352,产值统计中间表!A:D,4,FALSE),0)</f>
        <v>0</v>
      </c>
      <c r="W352" s="4">
        <f>+V352*H352</f>
        <v>0</v>
      </c>
      <c r="X352" s="4">
        <f>+R352-V352</f>
        <v>0.85</v>
      </c>
      <c r="Y352" s="4">
        <f>+S352-W352</f>
        <v>2415.13853211009</v>
      </c>
      <c r="Z352" s="4">
        <f>IFERROR(VLOOKUP(A352,业主统计中间表!A:D,4,FALSE),0)</f>
        <v>0</v>
      </c>
      <c r="AA352" s="4">
        <f>+Z352*H352</f>
        <v>0</v>
      </c>
      <c r="AB352" s="4"/>
    </row>
    <row r="353" customHeight="1" outlineLevel="3" spans="1:28">
      <c r="A353" s="514" t="s">
        <v>2818</v>
      </c>
      <c r="B353" s="4"/>
      <c r="C353" s="510" t="s">
        <v>64</v>
      </c>
      <c r="D353" s="4" t="s">
        <v>752</v>
      </c>
      <c r="E353" s="4"/>
      <c r="F353" s="4" t="str">
        <f ca="1" t="shared" ref="F353:F357" si="597">VLOOKUP($D353,INDIRECT($C353),2,0)</f>
        <v>m3</v>
      </c>
      <c r="G353" s="4"/>
      <c r="H353" s="4"/>
      <c r="I353" s="4"/>
      <c r="J353" s="4"/>
      <c r="K353" s="4"/>
      <c r="L353" s="517"/>
      <c r="M353" s="4">
        <v>0.85425</v>
      </c>
      <c r="N353" s="4">
        <f ca="1" t="shared" ref="N353:N357" si="598">VLOOKUP($D353,INDIRECT($C353),3,0)</f>
        <v>30</v>
      </c>
      <c r="O353" s="4">
        <f ca="1">M353*N353</f>
        <v>25.6275</v>
      </c>
      <c r="P353" s="4"/>
      <c r="Q353" s="4"/>
      <c r="R353" s="4"/>
      <c r="S353" s="4"/>
      <c r="T353" s="4">
        <f ca="1" t="shared" ref="T353:T357" si="599">OFFSET(T353,-RIGHT($A353,LEN($A$6)),,1,1)/OFFSET(T353,-RIGHT($A353,LEN($A$6)),-13,1,1)*$M353</f>
        <v>0</v>
      </c>
      <c r="U353" s="4">
        <f ca="1" t="shared" ref="U353:U357" si="600">+$N353*T353</f>
        <v>0</v>
      </c>
      <c r="V353" s="4">
        <f ca="1" t="shared" ref="V353:V357" si="601">OFFSET(V353,-RIGHT($A353,LEN($A$6)),,1,1)/OFFSET(V353,-RIGHT($A353,LEN($A$6)),-15,1,1)*$M353</f>
        <v>0</v>
      </c>
      <c r="W353" s="4">
        <f ca="1" t="shared" ref="W353:W357" si="602">+$N353*V353</f>
        <v>0</v>
      </c>
      <c r="X353" s="4">
        <f ca="1" t="shared" ref="X353:X357" si="603">+M353-V353</f>
        <v>0.85425</v>
      </c>
      <c r="Y353" s="4">
        <f ca="1" t="shared" ref="Y353:Y357" si="604">+O353-W353</f>
        <v>25.6275</v>
      </c>
      <c r="Z353" s="4">
        <f ca="1" t="shared" ref="Z353:Z357" si="605">OFFSET(Z353,-RIGHT($A353,LEN($A$6)),,1,1)/OFFSET(Z353,-RIGHT($A353,LEN($A$6)),-19,1,1)*$M353</f>
        <v>0</v>
      </c>
      <c r="AA353" s="4">
        <f ca="1" t="shared" ref="AA353:AA357" si="606">+$N353*Z353</f>
        <v>0</v>
      </c>
      <c r="AB353" s="4"/>
    </row>
    <row r="354" customHeight="1" outlineLevel="3" spans="1:28">
      <c r="A354" s="514" t="s">
        <v>2819</v>
      </c>
      <c r="B354" s="4"/>
      <c r="C354" s="510" t="s">
        <v>64</v>
      </c>
      <c r="D354" s="4" t="s">
        <v>262</v>
      </c>
      <c r="E354" s="4" t="s">
        <v>1352</v>
      </c>
      <c r="F354" s="4" t="str">
        <f ca="1" t="shared" si="597"/>
        <v>m2</v>
      </c>
      <c r="G354" s="4"/>
      <c r="H354" s="4"/>
      <c r="I354" s="4"/>
      <c r="J354" s="4"/>
      <c r="K354" s="4"/>
      <c r="L354" s="517"/>
      <c r="M354" s="4">
        <v>0.217184</v>
      </c>
      <c r="N354" s="4">
        <f ca="1" t="shared" si="598"/>
        <v>55</v>
      </c>
      <c r="O354" s="4">
        <f ca="1">M354*N354</f>
        <v>11.94512</v>
      </c>
      <c r="P354" s="4"/>
      <c r="Q354" s="4"/>
      <c r="R354" s="4"/>
      <c r="S354" s="4"/>
      <c r="T354" s="4">
        <f ca="1" t="shared" si="599"/>
        <v>0</v>
      </c>
      <c r="U354" s="4">
        <f ca="1" t="shared" si="600"/>
        <v>0</v>
      </c>
      <c r="V354" s="4">
        <f ca="1" t="shared" si="601"/>
        <v>0</v>
      </c>
      <c r="W354" s="4">
        <f ca="1" t="shared" si="602"/>
        <v>0</v>
      </c>
      <c r="X354" s="4">
        <f ca="1" t="shared" si="603"/>
        <v>0.217184</v>
      </c>
      <c r="Y354" s="4">
        <f ca="1" t="shared" si="604"/>
        <v>11.94512</v>
      </c>
      <c r="Z354" s="4">
        <f ca="1" t="shared" si="605"/>
        <v>0</v>
      </c>
      <c r="AA354" s="4">
        <f ca="1" t="shared" si="606"/>
        <v>0</v>
      </c>
      <c r="AB354" s="4"/>
    </row>
    <row r="355" customHeight="1" outlineLevel="3" spans="1:28">
      <c r="A355" s="514" t="s">
        <v>2820</v>
      </c>
      <c r="B355" s="4"/>
      <c r="C355" s="510" t="s">
        <v>59</v>
      </c>
      <c r="D355" s="4" t="s">
        <v>812</v>
      </c>
      <c r="E355" s="4"/>
      <c r="F355" s="4" t="str">
        <f ca="1" t="shared" si="597"/>
        <v>m³</v>
      </c>
      <c r="G355" s="4"/>
      <c r="H355" s="4"/>
      <c r="I355" s="4"/>
      <c r="J355" s="4"/>
      <c r="K355" s="4"/>
      <c r="L355" s="517"/>
      <c r="M355" s="4">
        <v>0.85425</v>
      </c>
      <c r="N355" s="4">
        <f ca="1" t="shared" si="598"/>
        <v>460</v>
      </c>
      <c r="O355" s="4">
        <f ca="1">M355*N355</f>
        <v>392.955</v>
      </c>
      <c r="P355" s="4"/>
      <c r="Q355" s="4"/>
      <c r="R355" s="4"/>
      <c r="S355" s="4"/>
      <c r="T355" s="4">
        <f ca="1" t="shared" si="599"/>
        <v>0</v>
      </c>
      <c r="U355" s="4">
        <f ca="1" t="shared" si="600"/>
        <v>0</v>
      </c>
      <c r="V355" s="4">
        <f ca="1" t="shared" si="601"/>
        <v>0</v>
      </c>
      <c r="W355" s="4">
        <f ca="1" t="shared" si="602"/>
        <v>0</v>
      </c>
      <c r="X355" s="4">
        <f ca="1" t="shared" si="603"/>
        <v>0.85425</v>
      </c>
      <c r="Y355" s="4">
        <f ca="1" t="shared" si="604"/>
        <v>392.955</v>
      </c>
      <c r="Z355" s="4">
        <f ca="1" t="shared" si="605"/>
        <v>0</v>
      </c>
      <c r="AA355" s="4">
        <f ca="1" t="shared" si="606"/>
        <v>0</v>
      </c>
      <c r="AB355" s="4"/>
    </row>
    <row r="356" customHeight="1" outlineLevel="3" spans="1:28">
      <c r="A356" s="514" t="s">
        <v>2821</v>
      </c>
      <c r="B356" s="4"/>
      <c r="C356" s="510" t="s">
        <v>59</v>
      </c>
      <c r="D356" s="4" t="s">
        <v>480</v>
      </c>
      <c r="E356" s="4" t="str">
        <f ca="1">"含钢量："&amp;ROUND($M$356/$G$352,3)&amp;$F$356&amp;"/"&amp;$F$352</f>
        <v>含钢量：0.413t/m3</v>
      </c>
      <c r="F356" s="4" t="str">
        <f ca="1" t="shared" si="597"/>
        <v>t</v>
      </c>
      <c r="G356" s="4"/>
      <c r="H356" s="4"/>
      <c r="I356" s="4"/>
      <c r="J356" s="4"/>
      <c r="K356" s="4"/>
      <c r="L356" s="517"/>
      <c r="M356" s="4">
        <v>0.35145</v>
      </c>
      <c r="N356" s="4">
        <f ca="1" t="shared" si="598"/>
        <v>4200</v>
      </c>
      <c r="O356" s="4">
        <f ca="1">M356*N356</f>
        <v>1476.09</v>
      </c>
      <c r="P356" s="4"/>
      <c r="Q356" s="4"/>
      <c r="R356" s="4"/>
      <c r="S356" s="4"/>
      <c r="T356" s="4">
        <f ca="1" t="shared" si="599"/>
        <v>0</v>
      </c>
      <c r="U356" s="4">
        <f ca="1" t="shared" si="600"/>
        <v>0</v>
      </c>
      <c r="V356" s="4">
        <f ca="1" t="shared" si="601"/>
        <v>0</v>
      </c>
      <c r="W356" s="4">
        <f ca="1" t="shared" si="602"/>
        <v>0</v>
      </c>
      <c r="X356" s="4">
        <f ca="1" t="shared" si="603"/>
        <v>0.35145</v>
      </c>
      <c r="Y356" s="4">
        <f ca="1" t="shared" si="604"/>
        <v>1476.09</v>
      </c>
      <c r="Z356" s="4">
        <f ca="1" t="shared" si="605"/>
        <v>0</v>
      </c>
      <c r="AA356" s="4">
        <f ca="1" t="shared" si="606"/>
        <v>0</v>
      </c>
      <c r="AB356" s="4"/>
    </row>
    <row r="357" customHeight="1" outlineLevel="3" spans="1:28">
      <c r="A357" s="514" t="s">
        <v>2822</v>
      </c>
      <c r="B357" s="4"/>
      <c r="C357" s="510" t="s">
        <v>64</v>
      </c>
      <c r="D357" s="4" t="s">
        <v>296</v>
      </c>
      <c r="E357" s="4"/>
      <c r="F357" s="4" t="str">
        <f ca="1" t="shared" si="597"/>
        <v>t</v>
      </c>
      <c r="G357" s="4"/>
      <c r="H357" s="4"/>
      <c r="I357" s="4"/>
      <c r="J357" s="4"/>
      <c r="K357" s="4"/>
      <c r="L357" s="517"/>
      <c r="M357" s="4">
        <v>0.35145</v>
      </c>
      <c r="N357" s="4">
        <f ca="1" t="shared" si="598"/>
        <v>700</v>
      </c>
      <c r="O357" s="4">
        <f ca="1">M357*N357</f>
        <v>246.015</v>
      </c>
      <c r="P357" s="4"/>
      <c r="Q357" s="4"/>
      <c r="R357" s="4"/>
      <c r="S357" s="4"/>
      <c r="T357" s="4">
        <f ca="1" t="shared" si="599"/>
        <v>0</v>
      </c>
      <c r="U357" s="4">
        <f ca="1" t="shared" si="600"/>
        <v>0</v>
      </c>
      <c r="V357" s="4">
        <f ca="1" t="shared" si="601"/>
        <v>0</v>
      </c>
      <c r="W357" s="4">
        <f ca="1" t="shared" si="602"/>
        <v>0</v>
      </c>
      <c r="X357" s="4">
        <f ca="1" t="shared" si="603"/>
        <v>0.35145</v>
      </c>
      <c r="Y357" s="4">
        <f ca="1" t="shared" si="604"/>
        <v>246.015</v>
      </c>
      <c r="Z357" s="4">
        <f ca="1" t="shared" si="605"/>
        <v>0</v>
      </c>
      <c r="AA357" s="4">
        <f ca="1" t="shared" si="606"/>
        <v>0</v>
      </c>
      <c r="AB357" s="4"/>
    </row>
    <row r="358" customHeight="1" outlineLevel="2" spans="1:28">
      <c r="A358" s="515" t="s">
        <v>2823</v>
      </c>
      <c r="B358" s="4"/>
      <c r="C358" s="510" t="s">
        <v>1309</v>
      </c>
      <c r="D358" s="4" t="s">
        <v>2824</v>
      </c>
      <c r="E358" s="4" t="s">
        <v>2472</v>
      </c>
      <c r="F358" s="4" t="s">
        <v>82</v>
      </c>
      <c r="G358" s="4">
        <v>11.186</v>
      </c>
      <c r="H358" s="4">
        <v>7946.88073394495</v>
      </c>
      <c r="I358" s="4">
        <f>G358*H358</f>
        <v>88893.8078899082</v>
      </c>
      <c r="J358" s="4">
        <f t="shared" ref="J358:L358" si="607">+G358</f>
        <v>11.186</v>
      </c>
      <c r="K358" s="4">
        <f t="shared" si="607"/>
        <v>7946.88073394495</v>
      </c>
      <c r="L358" s="517">
        <f t="shared" si="607"/>
        <v>88893.8078899082</v>
      </c>
      <c r="M358" s="4">
        <v>11.186</v>
      </c>
      <c r="N358" s="4">
        <f ca="1">O358/M358</f>
        <v>9000</v>
      </c>
      <c r="O358" s="4">
        <f ca="1">(+O359+O360)</f>
        <v>100674</v>
      </c>
      <c r="P358" s="4"/>
      <c r="Q358" s="4"/>
      <c r="R358" s="4">
        <f>+P358+J358</f>
        <v>11.186</v>
      </c>
      <c r="S358" s="4">
        <f>+Q358+L358</f>
        <v>88893.8078899082</v>
      </c>
      <c r="T358" s="4">
        <f>IFERROR(VLOOKUP(A358,产值统计中间表!A:F,7,FALSE),0)</f>
        <v>0</v>
      </c>
      <c r="U358" s="4">
        <f>+T358*H358</f>
        <v>0</v>
      </c>
      <c r="V358" s="4">
        <f>IFERROR(VLOOKUP(A358,产值统计中间表!A:D,4,FALSE),0)</f>
        <v>0</v>
      </c>
      <c r="W358" s="4">
        <f>+V358*H358</f>
        <v>0</v>
      </c>
      <c r="X358" s="4">
        <f>+R358-V358</f>
        <v>11.186</v>
      </c>
      <c r="Y358" s="4">
        <f>+S358-W358</f>
        <v>88893.8078899082</v>
      </c>
      <c r="Z358" s="4">
        <f>IFERROR(VLOOKUP(A358,业主统计中间表!A:D,4,FALSE),0)</f>
        <v>0</v>
      </c>
      <c r="AA358" s="4">
        <f>+Z358*H358</f>
        <v>0</v>
      </c>
      <c r="AB358" s="4"/>
    </row>
    <row r="359" customHeight="1" outlineLevel="3" spans="1:28">
      <c r="A359" s="514" t="s">
        <v>2825</v>
      </c>
      <c r="B359" s="4"/>
      <c r="C359" s="510" t="s">
        <v>59</v>
      </c>
      <c r="D359" s="4" t="s">
        <v>831</v>
      </c>
      <c r="E359" s="4"/>
      <c r="F359" s="4" t="str">
        <f ca="1" t="shared" ref="F359:F364" si="608">VLOOKUP($D359,INDIRECT($C359),2,0)</f>
        <v>t</v>
      </c>
      <c r="G359" s="4"/>
      <c r="H359" s="4"/>
      <c r="I359" s="4"/>
      <c r="J359" s="4"/>
      <c r="K359" s="4"/>
      <c r="L359" s="517"/>
      <c r="M359" s="4">
        <v>11.186</v>
      </c>
      <c r="N359" s="4">
        <f ca="1" t="shared" ref="N359:N364" si="609">VLOOKUP($D359,INDIRECT($C359),3,0)</f>
        <v>6000</v>
      </c>
      <c r="O359" s="4">
        <f ca="1">M359*N359</f>
        <v>67116</v>
      </c>
      <c r="P359" s="4"/>
      <c r="Q359" s="4"/>
      <c r="R359" s="4"/>
      <c r="S359" s="4"/>
      <c r="T359" s="4">
        <f ca="1" t="shared" ref="T359:T364" si="610">OFFSET(T359,-RIGHT($A359,LEN($A$6)),,1,1)/OFFSET(T359,-RIGHT($A359,LEN($A$6)),-13,1,1)*$M359</f>
        <v>0</v>
      </c>
      <c r="U359" s="4">
        <f ca="1" t="shared" ref="U359:U364" si="611">+$N359*T359</f>
        <v>0</v>
      </c>
      <c r="V359" s="4">
        <f ca="1" t="shared" ref="V359:V364" si="612">OFFSET(V359,-RIGHT($A359,LEN($A$6)),,1,1)/OFFSET(V359,-RIGHT($A359,LEN($A$6)),-15,1,1)*$M359</f>
        <v>0</v>
      </c>
      <c r="W359" s="4">
        <f ca="1" t="shared" ref="W359:W364" si="613">+$N359*V359</f>
        <v>0</v>
      </c>
      <c r="X359" s="4">
        <f ca="1" t="shared" ref="X359:X364" si="614">+M359-V359</f>
        <v>11.186</v>
      </c>
      <c r="Y359" s="4">
        <f ca="1" t="shared" ref="Y359:Y364" si="615">+O359-W359</f>
        <v>67116</v>
      </c>
      <c r="Z359" s="4">
        <f ca="1" t="shared" ref="Z359:Z364" si="616">OFFSET(Z359,-RIGHT($A359,LEN($A$6)),,1,1)/OFFSET(Z359,-RIGHT($A359,LEN($A$6)),-19,1,1)*$M359</f>
        <v>0</v>
      </c>
      <c r="AA359" s="4">
        <f ca="1" t="shared" ref="AA359:AA364" si="617">+$N359*Z359</f>
        <v>0</v>
      </c>
      <c r="AB359" s="4"/>
    </row>
    <row r="360" customHeight="1" outlineLevel="3" spans="1:28">
      <c r="A360" s="514" t="s">
        <v>2826</v>
      </c>
      <c r="B360" s="4"/>
      <c r="C360" s="510" t="s">
        <v>64</v>
      </c>
      <c r="D360" s="4" t="s">
        <v>1052</v>
      </c>
      <c r="E360" s="4"/>
      <c r="F360" s="4" t="str">
        <f ca="1" t="shared" si="608"/>
        <v>t</v>
      </c>
      <c r="G360" s="4"/>
      <c r="H360" s="4"/>
      <c r="I360" s="4"/>
      <c r="J360" s="4"/>
      <c r="K360" s="4"/>
      <c r="L360" s="517"/>
      <c r="M360" s="4">
        <v>11.186</v>
      </c>
      <c r="N360" s="4">
        <f ca="1" t="shared" si="609"/>
        <v>3000</v>
      </c>
      <c r="O360" s="4">
        <f ca="1">M360*N360</f>
        <v>33558</v>
      </c>
      <c r="P360" s="4"/>
      <c r="Q360" s="4"/>
      <c r="R360" s="4"/>
      <c r="S360" s="4"/>
      <c r="T360" s="4">
        <f ca="1" t="shared" si="610"/>
        <v>0</v>
      </c>
      <c r="U360" s="4">
        <f ca="1" t="shared" si="611"/>
        <v>0</v>
      </c>
      <c r="V360" s="4">
        <f ca="1" t="shared" si="612"/>
        <v>0</v>
      </c>
      <c r="W360" s="4">
        <f ca="1" t="shared" si="613"/>
        <v>0</v>
      </c>
      <c r="X360" s="4">
        <f ca="1" t="shared" si="614"/>
        <v>11.186</v>
      </c>
      <c r="Y360" s="4">
        <f ca="1" t="shared" si="615"/>
        <v>33558</v>
      </c>
      <c r="Z360" s="4">
        <f ca="1" t="shared" si="616"/>
        <v>0</v>
      </c>
      <c r="AA360" s="4">
        <f ca="1" t="shared" si="617"/>
        <v>0</v>
      </c>
      <c r="AB360" s="4"/>
    </row>
    <row r="361" customHeight="1" outlineLevel="2" spans="1:28">
      <c r="A361" s="515" t="s">
        <v>2827</v>
      </c>
      <c r="B361" s="4"/>
      <c r="C361" s="510" t="s">
        <v>1309</v>
      </c>
      <c r="D361" s="4" t="s">
        <v>2531</v>
      </c>
      <c r="E361" s="4" t="s">
        <v>2472</v>
      </c>
      <c r="F361" s="4" t="s">
        <v>72</v>
      </c>
      <c r="G361" s="4">
        <v>5.87</v>
      </c>
      <c r="H361" s="4">
        <v>2806.5504587156</v>
      </c>
      <c r="I361" s="4">
        <f>G361*H361</f>
        <v>16474.4511926606</v>
      </c>
      <c r="J361" s="4">
        <f t="shared" ref="J361:L361" si="618">+G361</f>
        <v>5.87</v>
      </c>
      <c r="K361" s="4">
        <f t="shared" si="618"/>
        <v>2806.5504587156</v>
      </c>
      <c r="L361" s="517">
        <f t="shared" si="618"/>
        <v>16474.4511926606</v>
      </c>
      <c r="M361" s="4">
        <v>5.87</v>
      </c>
      <c r="N361" s="4">
        <f ca="1">O361/M361</f>
        <v>533.172</v>
      </c>
      <c r="O361" s="4">
        <f ca="1">(+O362+O363+O364)</f>
        <v>3129.71964</v>
      </c>
      <c r="P361" s="4"/>
      <c r="Q361" s="4"/>
      <c r="R361" s="4">
        <f>+P361+J361</f>
        <v>5.87</v>
      </c>
      <c r="S361" s="4">
        <f>+Q361+L361</f>
        <v>16474.4511926606</v>
      </c>
      <c r="T361" s="4">
        <f>IFERROR(VLOOKUP(A361,产值统计中间表!A:F,7,FALSE),0)</f>
        <v>0</v>
      </c>
      <c r="U361" s="4">
        <f>+T361*H361</f>
        <v>0</v>
      </c>
      <c r="V361" s="4">
        <f>IFERROR(VLOOKUP(A361,产值统计中间表!A:D,4,FALSE),0)</f>
        <v>0</v>
      </c>
      <c r="W361" s="4">
        <f>+V361*H361</f>
        <v>0</v>
      </c>
      <c r="X361" s="4">
        <f>+R361-V361</f>
        <v>5.87</v>
      </c>
      <c r="Y361" s="4">
        <f>+S361-W361</f>
        <v>16474.4511926606</v>
      </c>
      <c r="Z361" s="4">
        <f>IFERROR(VLOOKUP(A361,业主统计中间表!A:D,4,FALSE),0)</f>
        <v>0</v>
      </c>
      <c r="AA361" s="4">
        <f>+Z361*H361</f>
        <v>0</v>
      </c>
      <c r="AB361" s="4"/>
    </row>
    <row r="362" customHeight="1" outlineLevel="3" spans="1:28">
      <c r="A362" s="514" t="s">
        <v>2828</v>
      </c>
      <c r="B362" s="4"/>
      <c r="C362" s="510" t="s">
        <v>64</v>
      </c>
      <c r="D362" s="4" t="s">
        <v>752</v>
      </c>
      <c r="E362" s="4"/>
      <c r="F362" s="4" t="str">
        <f ca="1" t="shared" si="608"/>
        <v>m3</v>
      </c>
      <c r="G362" s="4"/>
      <c r="H362" s="4"/>
      <c r="I362" s="4"/>
      <c r="J362" s="4"/>
      <c r="K362" s="4"/>
      <c r="L362" s="517"/>
      <c r="M362" s="4">
        <v>5.89935</v>
      </c>
      <c r="N362" s="4">
        <f ca="1" t="shared" si="609"/>
        <v>30</v>
      </c>
      <c r="O362" s="4">
        <f ca="1">M362*N362</f>
        <v>176.9805</v>
      </c>
      <c r="P362" s="4"/>
      <c r="Q362" s="4"/>
      <c r="R362" s="4"/>
      <c r="S362" s="4"/>
      <c r="T362" s="4">
        <f ca="1" t="shared" si="610"/>
        <v>0</v>
      </c>
      <c r="U362" s="4">
        <f ca="1" t="shared" si="611"/>
        <v>0</v>
      </c>
      <c r="V362" s="4">
        <f ca="1" t="shared" si="612"/>
        <v>0</v>
      </c>
      <c r="W362" s="4">
        <f ca="1" t="shared" si="613"/>
        <v>0</v>
      </c>
      <c r="X362" s="4">
        <f ca="1" t="shared" si="614"/>
        <v>5.89935</v>
      </c>
      <c r="Y362" s="4">
        <f ca="1" t="shared" si="615"/>
        <v>176.9805</v>
      </c>
      <c r="Z362" s="4">
        <f ca="1" t="shared" si="616"/>
        <v>0</v>
      </c>
      <c r="AA362" s="4">
        <f ca="1" t="shared" si="617"/>
        <v>0</v>
      </c>
      <c r="AB362" s="4"/>
    </row>
    <row r="363" customHeight="1" outlineLevel="3" spans="1:28">
      <c r="A363" s="514" t="s">
        <v>2829</v>
      </c>
      <c r="B363" s="4"/>
      <c r="C363" s="510" t="s">
        <v>64</v>
      </c>
      <c r="D363" s="4" t="s">
        <v>262</v>
      </c>
      <c r="E363" s="4"/>
      <c r="F363" s="4" t="str">
        <f ca="1" t="shared" si="608"/>
        <v>m2</v>
      </c>
      <c r="G363" s="4"/>
      <c r="H363" s="4"/>
      <c r="I363" s="4"/>
      <c r="J363" s="4"/>
      <c r="K363" s="4"/>
      <c r="L363" s="517"/>
      <c r="M363" s="4">
        <v>4.346148</v>
      </c>
      <c r="N363" s="4">
        <f ca="1" t="shared" si="609"/>
        <v>55</v>
      </c>
      <c r="O363" s="4">
        <f ca="1">M363*N363</f>
        <v>239.03814</v>
      </c>
      <c r="P363" s="4"/>
      <c r="Q363" s="4"/>
      <c r="R363" s="4"/>
      <c r="S363" s="4"/>
      <c r="T363" s="4">
        <f ca="1" t="shared" si="610"/>
        <v>0</v>
      </c>
      <c r="U363" s="4">
        <f ca="1" t="shared" si="611"/>
        <v>0</v>
      </c>
      <c r="V363" s="4">
        <f ca="1" t="shared" si="612"/>
        <v>0</v>
      </c>
      <c r="W363" s="4">
        <f ca="1" t="shared" si="613"/>
        <v>0</v>
      </c>
      <c r="X363" s="4">
        <f ca="1" t="shared" si="614"/>
        <v>4.346148</v>
      </c>
      <c r="Y363" s="4">
        <f ca="1" t="shared" si="615"/>
        <v>239.03814</v>
      </c>
      <c r="Z363" s="4">
        <f ca="1" t="shared" si="616"/>
        <v>0</v>
      </c>
      <c r="AA363" s="4">
        <f ca="1" t="shared" si="617"/>
        <v>0</v>
      </c>
      <c r="AB363" s="4"/>
    </row>
    <row r="364" customHeight="1" outlineLevel="3" spans="1:28">
      <c r="A364" s="514" t="s">
        <v>2830</v>
      </c>
      <c r="B364" s="4"/>
      <c r="C364" s="510" t="s">
        <v>59</v>
      </c>
      <c r="D364" s="4" t="s">
        <v>812</v>
      </c>
      <c r="E364" s="4"/>
      <c r="F364" s="4" t="str">
        <f ca="1" t="shared" si="608"/>
        <v>m³</v>
      </c>
      <c r="G364" s="4"/>
      <c r="H364" s="4"/>
      <c r="I364" s="4"/>
      <c r="J364" s="4"/>
      <c r="K364" s="4"/>
      <c r="L364" s="517"/>
      <c r="M364" s="4">
        <v>5.89935</v>
      </c>
      <c r="N364" s="4">
        <f ca="1" t="shared" si="609"/>
        <v>460</v>
      </c>
      <c r="O364" s="4">
        <f ca="1">M364*N364</f>
        <v>2713.701</v>
      </c>
      <c r="P364" s="4"/>
      <c r="Q364" s="4"/>
      <c r="R364" s="4"/>
      <c r="S364" s="4"/>
      <c r="T364" s="4">
        <f ca="1" t="shared" si="610"/>
        <v>0</v>
      </c>
      <c r="U364" s="4">
        <f ca="1" t="shared" si="611"/>
        <v>0</v>
      </c>
      <c r="V364" s="4">
        <f ca="1" t="shared" si="612"/>
        <v>0</v>
      </c>
      <c r="W364" s="4">
        <f ca="1" t="shared" si="613"/>
        <v>0</v>
      </c>
      <c r="X364" s="4">
        <f ca="1" t="shared" si="614"/>
        <v>5.89935</v>
      </c>
      <c r="Y364" s="4">
        <f ca="1" t="shared" si="615"/>
        <v>2713.701</v>
      </c>
      <c r="Z364" s="4">
        <f ca="1" t="shared" si="616"/>
        <v>0</v>
      </c>
      <c r="AA364" s="4">
        <f ca="1" t="shared" si="617"/>
        <v>0</v>
      </c>
      <c r="AB364" s="4"/>
    </row>
    <row r="365" customHeight="1" outlineLevel="2" spans="1:28">
      <c r="A365" s="515" t="s">
        <v>2831</v>
      </c>
      <c r="B365" s="4"/>
      <c r="C365" s="510" t="s">
        <v>1309</v>
      </c>
      <c r="D365" s="4" t="s">
        <v>1041</v>
      </c>
      <c r="E365" s="4" t="s">
        <v>2626</v>
      </c>
      <c r="F365" s="4" t="s">
        <v>76</v>
      </c>
      <c r="G365" s="4">
        <v>62</v>
      </c>
      <c r="H365" s="4">
        <v>3705.64220183486</v>
      </c>
      <c r="I365" s="4">
        <f>G365*H365</f>
        <v>229749.816513761</v>
      </c>
      <c r="J365" s="4">
        <f t="shared" ref="J365:L365" si="619">+G365</f>
        <v>62</v>
      </c>
      <c r="K365" s="4">
        <f t="shared" si="619"/>
        <v>3705.64220183486</v>
      </c>
      <c r="L365" s="517">
        <f t="shared" si="619"/>
        <v>229749.816513761</v>
      </c>
      <c r="M365" s="4">
        <v>62</v>
      </c>
      <c r="N365" s="4">
        <f ca="1">O365/M365</f>
        <v>30</v>
      </c>
      <c r="O365" s="4">
        <f ca="1">(+O366+O367)</f>
        <v>1860</v>
      </c>
      <c r="P365" s="4"/>
      <c r="Q365" s="4"/>
      <c r="R365" s="4">
        <f>+P365+J365</f>
        <v>62</v>
      </c>
      <c r="S365" s="4">
        <f>+Q365+L365</f>
        <v>229749.816513761</v>
      </c>
      <c r="T365" s="4">
        <f>IFERROR(VLOOKUP(A365,产值统计中间表!A:F,7,FALSE),0)</f>
        <v>0</v>
      </c>
      <c r="U365" s="4">
        <f>+T365*H365</f>
        <v>0</v>
      </c>
      <c r="V365" s="4">
        <f>IFERROR(VLOOKUP(A365,产值统计中间表!A:D,4,FALSE),0)</f>
        <v>0</v>
      </c>
      <c r="W365" s="4">
        <f>+V365*H365</f>
        <v>0</v>
      </c>
      <c r="X365" s="4">
        <f>+R365-V365</f>
        <v>62</v>
      </c>
      <c r="Y365" s="4">
        <f>+S365-W365</f>
        <v>229749.816513761</v>
      </c>
      <c r="Z365" s="4">
        <f>IFERROR(VLOOKUP(A365,业主统计中间表!A:D,4,FALSE),0)</f>
        <v>0</v>
      </c>
      <c r="AA365" s="4">
        <f>+Z365*H365</f>
        <v>0</v>
      </c>
      <c r="AB365" s="4"/>
    </row>
    <row r="366" customHeight="1" outlineLevel="3" spans="1:28">
      <c r="A366" s="514" t="s">
        <v>2832</v>
      </c>
      <c r="B366" s="4"/>
      <c r="C366" s="510" t="s">
        <v>64</v>
      </c>
      <c r="D366" s="4" t="s">
        <v>1046</v>
      </c>
      <c r="E366" s="4" t="s">
        <v>2634</v>
      </c>
      <c r="F366" s="4" t="str">
        <f ca="1" t="shared" ref="F366:F370" si="620">VLOOKUP($D366,INDIRECT($C366),2,0)</f>
        <v>m</v>
      </c>
      <c r="G366" s="4"/>
      <c r="H366" s="4"/>
      <c r="I366" s="4"/>
      <c r="J366" s="4"/>
      <c r="K366" s="4"/>
      <c r="L366" s="517"/>
      <c r="M366" s="4">
        <v>62</v>
      </c>
      <c r="N366" s="4">
        <f ca="1" t="shared" ref="N366:N370" si="621">VLOOKUP($D366,INDIRECT($C366),3,0)</f>
        <v>30</v>
      </c>
      <c r="O366" s="4">
        <f ca="1">M366*N366</f>
        <v>1860</v>
      </c>
      <c r="P366" s="4"/>
      <c r="Q366" s="4"/>
      <c r="R366" s="4"/>
      <c r="S366" s="4"/>
      <c r="T366" s="4">
        <f ca="1" t="shared" ref="T366:T370" si="622">OFFSET(T366,-RIGHT($A366,LEN($A$6)),,1,1)/OFFSET(T366,-RIGHT($A366,LEN($A$6)),-13,1,1)*$M366</f>
        <v>0</v>
      </c>
      <c r="U366" s="4">
        <f ca="1" t="shared" ref="U366:U370" si="623">+$N366*T366</f>
        <v>0</v>
      </c>
      <c r="V366" s="4">
        <f ca="1" t="shared" ref="V366:V370" si="624">OFFSET(V366,-RIGHT($A366,LEN($A$6)),,1,1)/OFFSET(V366,-RIGHT($A366,LEN($A$6)),-15,1,1)*$M366</f>
        <v>0</v>
      </c>
      <c r="W366" s="4">
        <f ca="1" t="shared" ref="W366:W370" si="625">+$N366*V366</f>
        <v>0</v>
      </c>
      <c r="X366" s="4">
        <f ca="1" t="shared" ref="X366:X370" si="626">+M366-V366</f>
        <v>62</v>
      </c>
      <c r="Y366" s="4">
        <f ca="1" t="shared" ref="Y366:Y370" si="627">+O366-W366</f>
        <v>1860</v>
      </c>
      <c r="Z366" s="4">
        <f ca="1" t="shared" ref="Z366:Z370" si="628">OFFSET(Z366,-RIGHT($A366,LEN($A$6)),,1,1)/OFFSET(Z366,-RIGHT($A366,LEN($A$6)),-19,1,1)*$M366</f>
        <v>0</v>
      </c>
      <c r="AA366" s="4">
        <f ca="1" t="shared" ref="AA366:AA370" si="629">+$N366*Z366</f>
        <v>0</v>
      </c>
      <c r="AB366" s="4"/>
    </row>
    <row r="367" customHeight="1" outlineLevel="3" spans="1:28">
      <c r="A367" s="514" t="s">
        <v>2833</v>
      </c>
      <c r="B367" s="4"/>
      <c r="C367" s="510" t="s">
        <v>59</v>
      </c>
      <c r="D367" s="4" t="s">
        <v>1041</v>
      </c>
      <c r="E367" s="4"/>
      <c r="F367" s="4" t="str">
        <f ca="1" t="shared" si="620"/>
        <v>m</v>
      </c>
      <c r="G367" s="4"/>
      <c r="H367" s="4"/>
      <c r="I367" s="4"/>
      <c r="J367" s="4"/>
      <c r="K367" s="4"/>
      <c r="L367" s="517"/>
      <c r="M367" s="4">
        <v>62</v>
      </c>
      <c r="N367" s="4">
        <f ca="1" t="shared" si="621"/>
        <v>0</v>
      </c>
      <c r="O367" s="4">
        <f ca="1">M367*N367</f>
        <v>0</v>
      </c>
      <c r="P367" s="4"/>
      <c r="Q367" s="4"/>
      <c r="R367" s="4"/>
      <c r="S367" s="4"/>
      <c r="T367" s="4">
        <f ca="1" t="shared" si="622"/>
        <v>0</v>
      </c>
      <c r="U367" s="4">
        <f ca="1" t="shared" si="623"/>
        <v>0</v>
      </c>
      <c r="V367" s="4">
        <f ca="1" t="shared" si="624"/>
        <v>0</v>
      </c>
      <c r="W367" s="4">
        <f ca="1" t="shared" si="625"/>
        <v>0</v>
      </c>
      <c r="X367" s="4">
        <f ca="1" t="shared" si="626"/>
        <v>62</v>
      </c>
      <c r="Y367" s="4">
        <f ca="1" t="shared" si="627"/>
        <v>0</v>
      </c>
      <c r="Z367" s="4">
        <f ca="1" t="shared" si="628"/>
        <v>0</v>
      </c>
      <c r="AA367" s="4">
        <f ca="1" t="shared" si="629"/>
        <v>0</v>
      </c>
      <c r="AB367" s="4"/>
    </row>
    <row r="368" customHeight="1" outlineLevel="2" spans="1:28">
      <c r="A368" s="515" t="s">
        <v>2834</v>
      </c>
      <c r="B368" s="4"/>
      <c r="C368" s="510" t="s">
        <v>1309</v>
      </c>
      <c r="D368" s="4" t="s">
        <v>1002</v>
      </c>
      <c r="E368" s="4" t="s">
        <v>2626</v>
      </c>
      <c r="F368" s="4" t="s">
        <v>76</v>
      </c>
      <c r="G368" s="4">
        <v>31</v>
      </c>
      <c r="H368" s="4">
        <v>1741.01834862385</v>
      </c>
      <c r="I368" s="4">
        <f>G368*H368</f>
        <v>53971.5688073393</v>
      </c>
      <c r="J368" s="4">
        <f t="shared" ref="J368:L368" si="630">+G368</f>
        <v>31</v>
      </c>
      <c r="K368" s="4">
        <f t="shared" si="630"/>
        <v>1741.01834862385</v>
      </c>
      <c r="L368" s="517">
        <f t="shared" si="630"/>
        <v>53971.5688073393</v>
      </c>
      <c r="M368" s="4">
        <v>31</v>
      </c>
      <c r="N368" s="4">
        <f ca="1">O368/M368</f>
        <v>30</v>
      </c>
      <c r="O368" s="4">
        <f ca="1">(+O369+O370)</f>
        <v>930</v>
      </c>
      <c r="P368" s="4"/>
      <c r="Q368" s="4"/>
      <c r="R368" s="4">
        <f>+P368+J368</f>
        <v>31</v>
      </c>
      <c r="S368" s="4">
        <f>+Q368+L368</f>
        <v>53971.5688073393</v>
      </c>
      <c r="T368" s="4">
        <f>IFERROR(VLOOKUP(A368,产值统计中间表!A:F,7,FALSE),0)</f>
        <v>0</v>
      </c>
      <c r="U368" s="4">
        <f>+T368*H368</f>
        <v>0</v>
      </c>
      <c r="V368" s="4">
        <f>IFERROR(VLOOKUP(A368,产值统计中间表!A:D,4,FALSE),0)</f>
        <v>0</v>
      </c>
      <c r="W368" s="4">
        <f>+V368*H368</f>
        <v>0</v>
      </c>
      <c r="X368" s="4">
        <f>+R368-V368</f>
        <v>31</v>
      </c>
      <c r="Y368" s="4">
        <f>+S368-W368</f>
        <v>53971.5688073393</v>
      </c>
      <c r="Z368" s="4">
        <f>IFERROR(VLOOKUP(A368,业主统计中间表!A:D,4,FALSE),0)</f>
        <v>0</v>
      </c>
      <c r="AA368" s="4">
        <f>+Z368*H368</f>
        <v>0</v>
      </c>
      <c r="AB368" s="4"/>
    </row>
    <row r="369" customHeight="1" outlineLevel="3" spans="1:28">
      <c r="A369" s="514" t="s">
        <v>2835</v>
      </c>
      <c r="B369" s="4"/>
      <c r="C369" s="510" t="s">
        <v>64</v>
      </c>
      <c r="D369" s="4" t="s">
        <v>1046</v>
      </c>
      <c r="E369" s="4" t="s">
        <v>2634</v>
      </c>
      <c r="F369" s="4" t="str">
        <f ca="1" t="shared" si="620"/>
        <v>m</v>
      </c>
      <c r="G369" s="4"/>
      <c r="H369" s="4"/>
      <c r="I369" s="4"/>
      <c r="J369" s="4"/>
      <c r="K369" s="4"/>
      <c r="L369" s="517"/>
      <c r="M369" s="4">
        <v>31</v>
      </c>
      <c r="N369" s="4">
        <f ca="1" t="shared" si="621"/>
        <v>30</v>
      </c>
      <c r="O369" s="4">
        <f ca="1">M369*N369</f>
        <v>930</v>
      </c>
      <c r="P369" s="4"/>
      <c r="Q369" s="4"/>
      <c r="R369" s="4"/>
      <c r="S369" s="4"/>
      <c r="T369" s="4">
        <f ca="1" t="shared" si="622"/>
        <v>0</v>
      </c>
      <c r="U369" s="4">
        <f ca="1" t="shared" si="623"/>
        <v>0</v>
      </c>
      <c r="V369" s="4">
        <f ca="1" t="shared" si="624"/>
        <v>0</v>
      </c>
      <c r="W369" s="4">
        <f ca="1" t="shared" si="625"/>
        <v>0</v>
      </c>
      <c r="X369" s="4">
        <f ca="1" t="shared" si="626"/>
        <v>31</v>
      </c>
      <c r="Y369" s="4">
        <f ca="1" t="shared" si="627"/>
        <v>930</v>
      </c>
      <c r="Z369" s="4">
        <f ca="1" t="shared" si="628"/>
        <v>0</v>
      </c>
      <c r="AA369" s="4">
        <f ca="1" t="shared" si="629"/>
        <v>0</v>
      </c>
      <c r="AB369" s="4"/>
    </row>
    <row r="370" customHeight="1" outlineLevel="3" spans="1:28">
      <c r="A370" s="514" t="s">
        <v>2836</v>
      </c>
      <c r="B370" s="4"/>
      <c r="C370" s="510" t="s">
        <v>59</v>
      </c>
      <c r="D370" s="4" t="s">
        <v>1002</v>
      </c>
      <c r="E370" s="4"/>
      <c r="F370" s="4" t="str">
        <f ca="1" t="shared" si="620"/>
        <v>m</v>
      </c>
      <c r="G370" s="4"/>
      <c r="H370" s="4"/>
      <c r="I370" s="4"/>
      <c r="J370" s="4"/>
      <c r="K370" s="4"/>
      <c r="L370" s="517"/>
      <c r="M370" s="4">
        <v>31</v>
      </c>
      <c r="N370" s="4">
        <f ca="1" t="shared" si="621"/>
        <v>0</v>
      </c>
      <c r="O370" s="4">
        <f ca="1">M370*N370</f>
        <v>0</v>
      </c>
      <c r="P370" s="4"/>
      <c r="Q370" s="4"/>
      <c r="R370" s="4"/>
      <c r="S370" s="4"/>
      <c r="T370" s="4">
        <f ca="1" t="shared" si="622"/>
        <v>0</v>
      </c>
      <c r="U370" s="4">
        <f ca="1" t="shared" si="623"/>
        <v>0</v>
      </c>
      <c r="V370" s="4">
        <f ca="1" t="shared" si="624"/>
        <v>0</v>
      </c>
      <c r="W370" s="4">
        <f ca="1" t="shared" si="625"/>
        <v>0</v>
      </c>
      <c r="X370" s="4">
        <f ca="1" t="shared" si="626"/>
        <v>31</v>
      </c>
      <c r="Y370" s="4">
        <f ca="1" t="shared" si="627"/>
        <v>0</v>
      </c>
      <c r="Z370" s="4">
        <f ca="1" t="shared" si="628"/>
        <v>0</v>
      </c>
      <c r="AA370" s="4">
        <f ca="1" t="shared" si="629"/>
        <v>0</v>
      </c>
      <c r="AB370" s="4"/>
    </row>
    <row r="371" customHeight="1" outlineLevel="2" spans="1:28">
      <c r="A371" s="515" t="s">
        <v>2837</v>
      </c>
      <c r="B371" s="4"/>
      <c r="C371" s="510" t="s">
        <v>1309</v>
      </c>
      <c r="D371" s="4" t="s">
        <v>1005</v>
      </c>
      <c r="E371" s="4" t="s">
        <v>2626</v>
      </c>
      <c r="F371" s="4" t="s">
        <v>76</v>
      </c>
      <c r="G371" s="4">
        <v>57.72</v>
      </c>
      <c r="H371" s="4">
        <v>1030.88073394495</v>
      </c>
      <c r="I371" s="4">
        <f>G371*H371</f>
        <v>59502.4359633025</v>
      </c>
      <c r="J371" s="4">
        <f t="shared" ref="J371:L371" si="631">+G371</f>
        <v>57.72</v>
      </c>
      <c r="K371" s="4">
        <f t="shared" si="631"/>
        <v>1030.88073394495</v>
      </c>
      <c r="L371" s="517">
        <f t="shared" si="631"/>
        <v>59502.4359633025</v>
      </c>
      <c r="M371" s="4">
        <v>57.72</v>
      </c>
      <c r="N371" s="4">
        <f ca="1">O371/M371</f>
        <v>30</v>
      </c>
      <c r="O371" s="4">
        <f ca="1">(+O372+O373)</f>
        <v>1731.6</v>
      </c>
      <c r="P371" s="4"/>
      <c r="Q371" s="4"/>
      <c r="R371" s="4">
        <f>+P371+J371</f>
        <v>57.72</v>
      </c>
      <c r="S371" s="4">
        <f>+Q371+L371</f>
        <v>59502.4359633025</v>
      </c>
      <c r="T371" s="4">
        <f>IFERROR(VLOOKUP(A371,产值统计中间表!A:F,7,FALSE),0)</f>
        <v>0</v>
      </c>
      <c r="U371" s="4">
        <f>+T371*H371</f>
        <v>0</v>
      </c>
      <c r="V371" s="4">
        <f>IFERROR(VLOOKUP(A371,产值统计中间表!A:D,4,FALSE),0)</f>
        <v>0</v>
      </c>
      <c r="W371" s="4">
        <f>+V371*H371</f>
        <v>0</v>
      </c>
      <c r="X371" s="4">
        <f>+R371-V371</f>
        <v>57.72</v>
      </c>
      <c r="Y371" s="4">
        <f>+S371-W371</f>
        <v>59502.4359633025</v>
      </c>
      <c r="Z371" s="4">
        <f>IFERROR(VLOOKUP(A371,业主统计中间表!A:D,4,FALSE),0)</f>
        <v>0</v>
      </c>
      <c r="AA371" s="4">
        <f>+Z371*H371</f>
        <v>0</v>
      </c>
      <c r="AB371" s="4"/>
    </row>
    <row r="372" customHeight="1" outlineLevel="3" spans="1:28">
      <c r="A372" s="514" t="s">
        <v>2838</v>
      </c>
      <c r="B372" s="4"/>
      <c r="C372" s="510" t="s">
        <v>64</v>
      </c>
      <c r="D372" s="4" t="s">
        <v>1049</v>
      </c>
      <c r="E372" s="4"/>
      <c r="F372" s="4" t="s">
        <v>76</v>
      </c>
      <c r="G372" s="4"/>
      <c r="H372" s="4"/>
      <c r="I372" s="4"/>
      <c r="J372" s="4"/>
      <c r="K372" s="4"/>
      <c r="L372" s="517"/>
      <c r="M372" s="4">
        <v>57.72</v>
      </c>
      <c r="N372" s="4">
        <v>30</v>
      </c>
      <c r="O372" s="4">
        <f>M372*N372</f>
        <v>1731.6</v>
      </c>
      <c r="P372" s="4"/>
      <c r="Q372" s="4"/>
      <c r="R372" s="4"/>
      <c r="S372" s="4"/>
      <c r="T372" s="4">
        <f ca="1" t="shared" ref="T372:T378" si="632">OFFSET(T372,-RIGHT($A372,LEN($A$6)),,1,1)/OFFSET(T372,-RIGHT($A372,LEN($A$6)),-13,1,1)*$M372</f>
        <v>0</v>
      </c>
      <c r="U372" s="4">
        <f ca="1" t="shared" ref="U372:U378" si="633">+$N372*T372</f>
        <v>0</v>
      </c>
      <c r="V372" s="4">
        <f ca="1" t="shared" ref="V372:V378" si="634">OFFSET(V372,-RIGHT($A372,LEN($A$6)),,1,1)/OFFSET(V372,-RIGHT($A372,LEN($A$6)),-15,1,1)*$M372</f>
        <v>0</v>
      </c>
      <c r="W372" s="4">
        <f ca="1" t="shared" ref="W372:W378" si="635">+$N372*V372</f>
        <v>0</v>
      </c>
      <c r="X372" s="4">
        <f ca="1" t="shared" ref="X372:X378" si="636">+M372-V372</f>
        <v>57.72</v>
      </c>
      <c r="Y372" s="4">
        <f ca="1" t="shared" ref="Y372:Y378" si="637">+O372-W372</f>
        <v>1731.6</v>
      </c>
      <c r="Z372" s="4">
        <f ca="1" t="shared" ref="Z372:Z378" si="638">OFFSET(Z372,-RIGHT($A372,LEN($A$6)),,1,1)/OFFSET(Z372,-RIGHT($A372,LEN($A$6)),-19,1,1)*$M372</f>
        <v>0</v>
      </c>
      <c r="AA372" s="4">
        <f ca="1" t="shared" ref="AA372:AA378" si="639">+$N372*Z372</f>
        <v>0</v>
      </c>
      <c r="AB372" s="4"/>
    </row>
    <row r="373" customHeight="1" outlineLevel="3" spans="1:28">
      <c r="A373" s="514" t="s">
        <v>2839</v>
      </c>
      <c r="B373" s="4"/>
      <c r="C373" s="510" t="s">
        <v>59</v>
      </c>
      <c r="D373" s="4" t="s">
        <v>1005</v>
      </c>
      <c r="E373" s="4"/>
      <c r="F373" s="4" t="str">
        <f ca="1" t="shared" ref="F373:F378" si="640">VLOOKUP($D373,INDIRECT($C373),2,0)</f>
        <v>m</v>
      </c>
      <c r="G373" s="4"/>
      <c r="H373" s="4"/>
      <c r="I373" s="4"/>
      <c r="J373" s="4"/>
      <c r="K373" s="4"/>
      <c r="L373" s="517"/>
      <c r="M373" s="4">
        <v>57.72</v>
      </c>
      <c r="N373" s="4">
        <f ca="1" t="shared" ref="N373:N378" si="641">VLOOKUP($D373,INDIRECT($C373),3,0)</f>
        <v>0</v>
      </c>
      <c r="O373" s="4">
        <f ca="1">M373*N373</f>
        <v>0</v>
      </c>
      <c r="P373" s="4"/>
      <c r="Q373" s="4"/>
      <c r="R373" s="4"/>
      <c r="S373" s="4"/>
      <c r="T373" s="4">
        <f ca="1" t="shared" si="632"/>
        <v>0</v>
      </c>
      <c r="U373" s="4">
        <f ca="1" t="shared" si="633"/>
        <v>0</v>
      </c>
      <c r="V373" s="4">
        <f ca="1" t="shared" si="634"/>
        <v>0</v>
      </c>
      <c r="W373" s="4">
        <f ca="1" t="shared" si="635"/>
        <v>0</v>
      </c>
      <c r="X373" s="4">
        <f ca="1" t="shared" si="636"/>
        <v>57.72</v>
      </c>
      <c r="Y373" s="4">
        <f ca="1" t="shared" si="637"/>
        <v>0</v>
      </c>
      <c r="Z373" s="4">
        <f ca="1" t="shared" si="638"/>
        <v>0</v>
      </c>
      <c r="AA373" s="4">
        <f ca="1" t="shared" si="639"/>
        <v>0</v>
      </c>
      <c r="AB373" s="4"/>
    </row>
    <row r="374" customHeight="1" outlineLevel="2" spans="1:28">
      <c r="A374" s="515" t="s">
        <v>2840</v>
      </c>
      <c r="B374" s="4"/>
      <c r="C374" s="510" t="s">
        <v>1309</v>
      </c>
      <c r="D374" s="4" t="s">
        <v>2643</v>
      </c>
      <c r="E374" s="4" t="s">
        <v>2644</v>
      </c>
      <c r="F374" s="4" t="s">
        <v>195</v>
      </c>
      <c r="G374" s="4">
        <v>1</v>
      </c>
      <c r="H374" s="4">
        <v>90670.9816513761</v>
      </c>
      <c r="I374" s="4">
        <f>G374*H374</f>
        <v>90670.9816513761</v>
      </c>
      <c r="J374" s="4">
        <f t="shared" ref="J374:L374" si="642">+G374</f>
        <v>1</v>
      </c>
      <c r="K374" s="4">
        <f t="shared" si="642"/>
        <v>90670.9816513761</v>
      </c>
      <c r="L374" s="517">
        <f t="shared" si="642"/>
        <v>90670.9816513761</v>
      </c>
      <c r="M374" s="4">
        <v>1</v>
      </c>
      <c r="N374" s="4">
        <f ca="1">O374/M374</f>
        <v>88111.731</v>
      </c>
      <c r="O374" s="4">
        <f ca="1">(+O375+O376+O377+O378)</f>
        <v>88111.731</v>
      </c>
      <c r="P374" s="4"/>
      <c r="Q374" s="4"/>
      <c r="R374" s="4">
        <f>+P374+J374</f>
        <v>1</v>
      </c>
      <c r="S374" s="4">
        <f>+Q374+L374</f>
        <v>90670.9816513761</v>
      </c>
      <c r="T374" s="4">
        <f>IFERROR(VLOOKUP(A374,产值统计中间表!A:F,7,FALSE),0)</f>
        <v>0</v>
      </c>
      <c r="U374" s="4">
        <f>+T374*H374</f>
        <v>0</v>
      </c>
      <c r="V374" s="4">
        <f>IFERROR(VLOOKUP(A374,产值统计中间表!A:D,4,FALSE),0)</f>
        <v>0</v>
      </c>
      <c r="W374" s="4">
        <f>+V374*H374</f>
        <v>0</v>
      </c>
      <c r="X374" s="4">
        <f>+R374-V374</f>
        <v>1</v>
      </c>
      <c r="Y374" s="4">
        <f>+S374-W374</f>
        <v>90670.9816513761</v>
      </c>
      <c r="Z374" s="4">
        <f>IFERROR(VLOOKUP(A374,业主统计中间表!A:D,4,FALSE),0)</f>
        <v>0</v>
      </c>
      <c r="AA374" s="4">
        <f>+Z374*H374</f>
        <v>0</v>
      </c>
      <c r="AB374" s="4"/>
    </row>
    <row r="375" customHeight="1" outlineLevel="3" spans="1:28">
      <c r="A375" s="514" t="s">
        <v>2841</v>
      </c>
      <c r="B375" s="4"/>
      <c r="C375" s="510" t="s">
        <v>64</v>
      </c>
      <c r="D375" s="4" t="s">
        <v>1037</v>
      </c>
      <c r="E375" s="4"/>
      <c r="F375" s="4" t="str">
        <f ca="1" t="shared" si="640"/>
        <v>m</v>
      </c>
      <c r="G375" s="4"/>
      <c r="H375" s="4"/>
      <c r="I375" s="4"/>
      <c r="J375" s="4"/>
      <c r="K375" s="4"/>
      <c r="L375" s="517"/>
      <c r="M375" s="4">
        <v>2404.14</v>
      </c>
      <c r="N375" s="4">
        <f ca="1" t="shared" si="641"/>
        <v>12</v>
      </c>
      <c r="O375" s="4">
        <f ca="1">M375*N375</f>
        <v>28849.68</v>
      </c>
      <c r="P375" s="4"/>
      <c r="Q375" s="4"/>
      <c r="R375" s="4"/>
      <c r="S375" s="4"/>
      <c r="T375" s="4">
        <f ca="1" t="shared" si="632"/>
        <v>0</v>
      </c>
      <c r="U375" s="4">
        <f ca="1" t="shared" si="633"/>
        <v>0</v>
      </c>
      <c r="V375" s="4">
        <f ca="1" t="shared" si="634"/>
        <v>0</v>
      </c>
      <c r="W375" s="4">
        <f ca="1" t="shared" si="635"/>
        <v>0</v>
      </c>
      <c r="X375" s="4">
        <f ca="1" t="shared" si="636"/>
        <v>2404.14</v>
      </c>
      <c r="Y375" s="4">
        <f ca="1" t="shared" si="637"/>
        <v>28849.68</v>
      </c>
      <c r="Z375" s="4">
        <f ca="1" t="shared" si="638"/>
        <v>0</v>
      </c>
      <c r="AA375" s="4">
        <f ca="1" t="shared" si="639"/>
        <v>0</v>
      </c>
      <c r="AB375" s="4"/>
    </row>
    <row r="376" customHeight="1" outlineLevel="3" spans="1:28">
      <c r="A376" s="514" t="s">
        <v>2842</v>
      </c>
      <c r="B376" s="4"/>
      <c r="C376" s="510" t="s">
        <v>59</v>
      </c>
      <c r="D376" s="4" t="s">
        <v>867</v>
      </c>
      <c r="E376" s="4"/>
      <c r="F376" s="4" t="str">
        <f ca="1" t="shared" si="640"/>
        <v>m</v>
      </c>
      <c r="G376" s="4"/>
      <c r="H376" s="4"/>
      <c r="I376" s="4"/>
      <c r="J376" s="4"/>
      <c r="K376" s="4"/>
      <c r="L376" s="517"/>
      <c r="M376" s="4">
        <v>2404.14</v>
      </c>
      <c r="N376" s="4">
        <f ca="1" t="shared" si="641"/>
        <v>24.65</v>
      </c>
      <c r="O376" s="4">
        <f ca="1">M376*N376</f>
        <v>59262.051</v>
      </c>
      <c r="P376" s="4"/>
      <c r="Q376" s="4"/>
      <c r="R376" s="4"/>
      <c r="S376" s="4"/>
      <c r="T376" s="4">
        <f ca="1" t="shared" si="632"/>
        <v>0</v>
      </c>
      <c r="U376" s="4">
        <f ca="1" t="shared" si="633"/>
        <v>0</v>
      </c>
      <c r="V376" s="4">
        <f ca="1" t="shared" si="634"/>
        <v>0</v>
      </c>
      <c r="W376" s="4">
        <f ca="1" t="shared" si="635"/>
        <v>0</v>
      </c>
      <c r="X376" s="4">
        <f ca="1" t="shared" si="636"/>
        <v>2404.14</v>
      </c>
      <c r="Y376" s="4">
        <f ca="1" t="shared" si="637"/>
        <v>59262.051</v>
      </c>
      <c r="Z376" s="4">
        <f ca="1" t="shared" si="638"/>
        <v>0</v>
      </c>
      <c r="AA376" s="4">
        <f ca="1" t="shared" si="639"/>
        <v>0</v>
      </c>
      <c r="AB376" s="4"/>
    </row>
    <row r="377" customHeight="1" outlineLevel="3" spans="1:28">
      <c r="A377" s="514" t="s">
        <v>2843</v>
      </c>
      <c r="B377" s="4"/>
      <c r="C377" s="510" t="s">
        <v>59</v>
      </c>
      <c r="D377" s="4" t="s">
        <v>1008</v>
      </c>
      <c r="E377" s="4"/>
      <c r="F377" s="4" t="str">
        <f ca="1" t="shared" si="640"/>
        <v>套</v>
      </c>
      <c r="G377" s="4"/>
      <c r="H377" s="4"/>
      <c r="I377" s="4"/>
      <c r="J377" s="4"/>
      <c r="K377" s="4"/>
      <c r="L377" s="517"/>
      <c r="M377" s="4">
        <v>12</v>
      </c>
      <c r="N377" s="4">
        <f ca="1" t="shared" si="641"/>
        <v>0</v>
      </c>
      <c r="O377" s="4">
        <f ca="1">M377*N377</f>
        <v>0</v>
      </c>
      <c r="P377" s="4"/>
      <c r="Q377" s="4"/>
      <c r="R377" s="4"/>
      <c r="S377" s="4"/>
      <c r="T377" s="4">
        <f ca="1" t="shared" si="632"/>
        <v>0</v>
      </c>
      <c r="U377" s="4">
        <f ca="1" t="shared" si="633"/>
        <v>0</v>
      </c>
      <c r="V377" s="4">
        <f ca="1" t="shared" si="634"/>
        <v>0</v>
      </c>
      <c r="W377" s="4">
        <f ca="1" t="shared" si="635"/>
        <v>0</v>
      </c>
      <c r="X377" s="4">
        <f ca="1" t="shared" si="636"/>
        <v>12</v>
      </c>
      <c r="Y377" s="4">
        <f ca="1" t="shared" si="637"/>
        <v>0</v>
      </c>
      <c r="Z377" s="4">
        <f ca="1" t="shared" si="638"/>
        <v>0</v>
      </c>
      <c r="AA377" s="4">
        <f ca="1" t="shared" si="639"/>
        <v>0</v>
      </c>
      <c r="AB377" s="4"/>
    </row>
    <row r="378" customHeight="1" outlineLevel="3" spans="1:28">
      <c r="A378" s="514" t="s">
        <v>2844</v>
      </c>
      <c r="B378" s="4"/>
      <c r="C378" s="510" t="s">
        <v>64</v>
      </c>
      <c r="D378" s="4" t="s">
        <v>890</v>
      </c>
      <c r="E378" s="4"/>
      <c r="F378" s="4" t="str">
        <f ca="1" t="shared" si="640"/>
        <v>m</v>
      </c>
      <c r="G378" s="4"/>
      <c r="H378" s="4"/>
      <c r="I378" s="4"/>
      <c r="J378" s="4"/>
      <c r="K378" s="4"/>
      <c r="L378" s="517"/>
      <c r="M378" s="4">
        <v>12</v>
      </c>
      <c r="N378" s="4">
        <f ca="1" t="shared" si="641"/>
        <v>0</v>
      </c>
      <c r="O378" s="4">
        <f ca="1">M378*N378</f>
        <v>0</v>
      </c>
      <c r="P378" s="4"/>
      <c r="Q378" s="4"/>
      <c r="R378" s="4"/>
      <c r="S378" s="4"/>
      <c r="T378" s="4">
        <f ca="1" t="shared" si="632"/>
        <v>0</v>
      </c>
      <c r="U378" s="4">
        <f ca="1" t="shared" si="633"/>
        <v>0</v>
      </c>
      <c r="V378" s="4">
        <f ca="1" t="shared" si="634"/>
        <v>0</v>
      </c>
      <c r="W378" s="4">
        <f ca="1" t="shared" si="635"/>
        <v>0</v>
      </c>
      <c r="X378" s="4">
        <f ca="1" t="shared" si="636"/>
        <v>12</v>
      </c>
      <c r="Y378" s="4">
        <f ca="1" t="shared" si="637"/>
        <v>0</v>
      </c>
      <c r="Z378" s="4">
        <f ca="1" t="shared" si="638"/>
        <v>0</v>
      </c>
      <c r="AA378" s="4">
        <f ca="1" t="shared" si="639"/>
        <v>0</v>
      </c>
      <c r="AB378" s="4"/>
    </row>
    <row r="379" customHeight="1" outlineLevel="2" spans="1:28">
      <c r="A379" s="515" t="s">
        <v>2845</v>
      </c>
      <c r="B379" s="4"/>
      <c r="C379" s="510" t="s">
        <v>1309</v>
      </c>
      <c r="D379" s="4" t="s">
        <v>2650</v>
      </c>
      <c r="E379" s="4" t="s">
        <v>2651</v>
      </c>
      <c r="F379" s="4" t="s">
        <v>195</v>
      </c>
      <c r="G379" s="4">
        <v>1</v>
      </c>
      <c r="H379" s="4">
        <v>922486.990825688</v>
      </c>
      <c r="I379" s="4">
        <f>G379*H379</f>
        <v>922486.990825688</v>
      </c>
      <c r="J379" s="4">
        <f t="shared" ref="J379:L379" si="643">+G379</f>
        <v>1</v>
      </c>
      <c r="K379" s="4">
        <f t="shared" si="643"/>
        <v>922486.990825688</v>
      </c>
      <c r="L379" s="517">
        <f t="shared" si="643"/>
        <v>922486.990825688</v>
      </c>
      <c r="M379" s="4">
        <v>1</v>
      </c>
      <c r="N379" s="4">
        <f ca="1">O379/M379</f>
        <v>39694.36488</v>
      </c>
      <c r="O379" s="4">
        <f ca="1">(+O380+O381+O382+O383)</f>
        <v>39694.36488</v>
      </c>
      <c r="P379" s="4"/>
      <c r="Q379" s="4"/>
      <c r="R379" s="4">
        <f>+P379+J379</f>
        <v>1</v>
      </c>
      <c r="S379" s="4">
        <f>+Q379+L379</f>
        <v>922486.990825688</v>
      </c>
      <c r="T379" s="4">
        <f>IFERROR(VLOOKUP(A379,产值统计中间表!A:F,7,FALSE),0)</f>
        <v>0</v>
      </c>
      <c r="U379" s="4">
        <f>+T379*H379</f>
        <v>0</v>
      </c>
      <c r="V379" s="4">
        <f>IFERROR(VLOOKUP(A379,产值统计中间表!A:D,4,FALSE),0)</f>
        <v>0</v>
      </c>
      <c r="W379" s="4">
        <f>+V379*H379</f>
        <v>0</v>
      </c>
      <c r="X379" s="4">
        <f>+R379-V379</f>
        <v>1</v>
      </c>
      <c r="Y379" s="4">
        <f>+S379-W379</f>
        <v>922486.990825688</v>
      </c>
      <c r="Z379" s="4">
        <f>IFERROR(VLOOKUP(A379,业主统计中间表!A:D,4,FALSE),0)</f>
        <v>0</v>
      </c>
      <c r="AA379" s="4">
        <f>+Z379*H379</f>
        <v>0</v>
      </c>
      <c r="AB379" s="4"/>
    </row>
    <row r="380" customHeight="1" outlineLevel="3" spans="1:28">
      <c r="A380" s="514" t="s">
        <v>2846</v>
      </c>
      <c r="B380" s="4"/>
      <c r="C380" s="510" t="s">
        <v>64</v>
      </c>
      <c r="D380" s="4" t="s">
        <v>744</v>
      </c>
      <c r="E380" s="4"/>
      <c r="F380" s="4" t="str">
        <f ca="1" t="shared" ref="F380:F383" si="644">VLOOKUP($D380,INDIRECT($C380),2,0)</f>
        <v>m2</v>
      </c>
      <c r="G380" s="4"/>
      <c r="H380" s="4"/>
      <c r="I380" s="4"/>
      <c r="J380" s="4"/>
      <c r="K380" s="4"/>
      <c r="L380" s="517"/>
      <c r="M380" s="4">
        <v>2976</v>
      </c>
      <c r="N380" s="4">
        <f ca="1" t="shared" ref="N380:N383" si="645">VLOOKUP($D380,INDIRECT($C380),3,0)</f>
        <v>2</v>
      </c>
      <c r="O380" s="4">
        <f ca="1">M380*N380</f>
        <v>5952</v>
      </c>
      <c r="P380" s="4"/>
      <c r="Q380" s="4"/>
      <c r="R380" s="4"/>
      <c r="S380" s="4"/>
      <c r="T380" s="4">
        <f ca="1" t="shared" ref="T380:T383" si="646">OFFSET(T380,-RIGHT($A380,LEN($A$6)),,1,1)/OFFSET(T380,-RIGHT($A380,LEN($A$6)),-13,1,1)*$M380</f>
        <v>0</v>
      </c>
      <c r="U380" s="4">
        <f ca="1" t="shared" ref="U380:U383" si="647">+$N380*T380</f>
        <v>0</v>
      </c>
      <c r="V380" s="4">
        <f ca="1" t="shared" ref="V380:V383" si="648">OFFSET(V380,-RIGHT($A380,LEN($A$6)),,1,1)/OFFSET(V380,-RIGHT($A380,LEN($A$6)),-15,1,1)*$M380</f>
        <v>0</v>
      </c>
      <c r="W380" s="4">
        <f ca="1" t="shared" ref="W380:W383" si="649">+$N380*V380</f>
        <v>0</v>
      </c>
      <c r="X380" s="4">
        <f ca="1" t="shared" ref="X380:X383" si="650">+M380-V380</f>
        <v>2976</v>
      </c>
      <c r="Y380" s="4">
        <f ca="1" t="shared" ref="Y380:Y383" si="651">+O380-W380</f>
        <v>5952</v>
      </c>
      <c r="Z380" s="4">
        <f ca="1" t="shared" ref="Z380:Z383" si="652">OFFSET(Z380,-RIGHT($A380,LEN($A$6)),,1,1)/OFFSET(Z380,-RIGHT($A380,LEN($A$6)),-19,1,1)*$M380</f>
        <v>0</v>
      </c>
      <c r="AA380" s="4">
        <f ca="1" t="shared" ref="AA380:AA383" si="653">+$N380*Z380</f>
        <v>0</v>
      </c>
      <c r="AB380" s="4"/>
    </row>
    <row r="381" customHeight="1" outlineLevel="3" spans="1:28">
      <c r="A381" s="514" t="s">
        <v>2847</v>
      </c>
      <c r="B381" s="4"/>
      <c r="C381" s="510" t="s">
        <v>59</v>
      </c>
      <c r="D381" s="4" t="s">
        <v>1011</v>
      </c>
      <c r="E381" s="4"/>
      <c r="F381" s="4" t="str">
        <f ca="1" t="shared" si="644"/>
        <v>m2</v>
      </c>
      <c r="G381" s="4"/>
      <c r="H381" s="4"/>
      <c r="I381" s="4"/>
      <c r="J381" s="4"/>
      <c r="K381" s="4"/>
      <c r="L381" s="517"/>
      <c r="M381" s="4">
        <v>3160.8096</v>
      </c>
      <c r="N381" s="4">
        <f ca="1" t="shared" si="645"/>
        <v>0</v>
      </c>
      <c r="O381" s="4">
        <f ca="1">M381*N381</f>
        <v>0</v>
      </c>
      <c r="P381" s="4"/>
      <c r="Q381" s="4"/>
      <c r="R381" s="4"/>
      <c r="S381" s="4"/>
      <c r="T381" s="4">
        <f ca="1" t="shared" si="646"/>
        <v>0</v>
      </c>
      <c r="U381" s="4">
        <f ca="1" t="shared" si="647"/>
        <v>0</v>
      </c>
      <c r="V381" s="4">
        <f ca="1" t="shared" si="648"/>
        <v>0</v>
      </c>
      <c r="W381" s="4">
        <f ca="1" t="shared" si="649"/>
        <v>0</v>
      </c>
      <c r="X381" s="4">
        <f ca="1" t="shared" si="650"/>
        <v>3160.8096</v>
      </c>
      <c r="Y381" s="4">
        <f ca="1" t="shared" si="651"/>
        <v>0</v>
      </c>
      <c r="Z381" s="4">
        <f ca="1" t="shared" si="652"/>
        <v>0</v>
      </c>
      <c r="AA381" s="4">
        <f ca="1" t="shared" si="653"/>
        <v>0</v>
      </c>
      <c r="AB381" s="4"/>
    </row>
    <row r="382" customHeight="1" outlineLevel="3" spans="1:28">
      <c r="A382" s="514" t="s">
        <v>2848</v>
      </c>
      <c r="B382" s="4"/>
      <c r="C382" s="510" t="s">
        <v>59</v>
      </c>
      <c r="D382" s="4" t="s">
        <v>1014</v>
      </c>
      <c r="E382" s="4"/>
      <c r="F382" s="4" t="str">
        <f ca="1" t="shared" si="644"/>
        <v>m3</v>
      </c>
      <c r="G382" s="4"/>
      <c r="H382" s="4"/>
      <c r="I382" s="4"/>
      <c r="J382" s="4"/>
      <c r="K382" s="4"/>
      <c r="L382" s="517"/>
      <c r="M382" s="4">
        <v>5709.368</v>
      </c>
      <c r="N382" s="4">
        <f ca="1" t="shared" si="645"/>
        <v>0</v>
      </c>
      <c r="O382" s="4">
        <f ca="1">M382*N382</f>
        <v>0</v>
      </c>
      <c r="P382" s="4"/>
      <c r="Q382" s="4"/>
      <c r="R382" s="4"/>
      <c r="S382" s="4"/>
      <c r="T382" s="4">
        <f ca="1" t="shared" si="646"/>
        <v>0</v>
      </c>
      <c r="U382" s="4">
        <f ca="1" t="shared" si="647"/>
        <v>0</v>
      </c>
      <c r="V382" s="4">
        <f ca="1" t="shared" si="648"/>
        <v>0</v>
      </c>
      <c r="W382" s="4">
        <f ca="1" t="shared" si="649"/>
        <v>0</v>
      </c>
      <c r="X382" s="4">
        <f ca="1" t="shared" si="650"/>
        <v>5709.368</v>
      </c>
      <c r="Y382" s="4">
        <f ca="1" t="shared" si="651"/>
        <v>0</v>
      </c>
      <c r="Z382" s="4">
        <f ca="1" t="shared" si="652"/>
        <v>0</v>
      </c>
      <c r="AA382" s="4">
        <f ca="1" t="shared" si="653"/>
        <v>0</v>
      </c>
      <c r="AB382" s="4"/>
    </row>
    <row r="383" customHeight="1" outlineLevel="3" spans="1:28">
      <c r="A383" s="514" t="s">
        <v>2849</v>
      </c>
      <c r="B383" s="4"/>
      <c r="C383" s="510" t="s">
        <v>63</v>
      </c>
      <c r="D383" s="4" t="s">
        <v>801</v>
      </c>
      <c r="E383" s="4"/>
      <c r="F383" s="4" t="str">
        <f ca="1" t="shared" si="644"/>
        <v>m3</v>
      </c>
      <c r="G383" s="4"/>
      <c r="H383" s="4"/>
      <c r="I383" s="4"/>
      <c r="J383" s="4"/>
      <c r="K383" s="4"/>
      <c r="L383" s="517"/>
      <c r="M383" s="4">
        <v>5709.368</v>
      </c>
      <c r="N383" s="4">
        <f ca="1" t="shared" si="645"/>
        <v>5.91</v>
      </c>
      <c r="O383" s="4">
        <f ca="1">M383*N383</f>
        <v>33742.36488</v>
      </c>
      <c r="P383" s="4"/>
      <c r="Q383" s="4"/>
      <c r="R383" s="4"/>
      <c r="S383" s="4"/>
      <c r="T383" s="4">
        <f ca="1" t="shared" si="646"/>
        <v>0</v>
      </c>
      <c r="U383" s="4">
        <f ca="1" t="shared" si="647"/>
        <v>0</v>
      </c>
      <c r="V383" s="4">
        <f ca="1" t="shared" si="648"/>
        <v>0</v>
      </c>
      <c r="W383" s="4">
        <f ca="1" t="shared" si="649"/>
        <v>0</v>
      </c>
      <c r="X383" s="4">
        <f ca="1" t="shared" si="650"/>
        <v>5709.368</v>
      </c>
      <c r="Y383" s="4">
        <f ca="1" t="shared" si="651"/>
        <v>33742.36488</v>
      </c>
      <c r="Z383" s="4">
        <f ca="1" t="shared" si="652"/>
        <v>0</v>
      </c>
      <c r="AA383" s="4">
        <f ca="1" t="shared" si="653"/>
        <v>0</v>
      </c>
      <c r="AB383" s="4"/>
    </row>
    <row r="384" customHeight="1" outlineLevel="2" spans="1:28">
      <c r="A384" s="515" t="s">
        <v>2850</v>
      </c>
      <c r="B384" s="4"/>
      <c r="C384" s="510" t="s">
        <v>1309</v>
      </c>
      <c r="D384" s="4" t="s">
        <v>2657</v>
      </c>
      <c r="E384" s="4" t="s">
        <v>2658</v>
      </c>
      <c r="F384" s="4" t="s">
        <v>69</v>
      </c>
      <c r="G384" s="4">
        <v>778.6</v>
      </c>
      <c r="H384" s="4">
        <v>509.082568807339</v>
      </c>
      <c r="I384" s="4">
        <f>G384*H384</f>
        <v>396371.688073394</v>
      </c>
      <c r="J384" s="4">
        <f t="shared" ref="J384:L384" si="654">+G384</f>
        <v>778.6</v>
      </c>
      <c r="K384" s="4">
        <f t="shared" si="654"/>
        <v>509.082568807339</v>
      </c>
      <c r="L384" s="517">
        <f t="shared" si="654"/>
        <v>396371.688073394</v>
      </c>
      <c r="M384" s="4">
        <v>778.6</v>
      </c>
      <c r="N384" s="4">
        <f ca="1">O384/M384</f>
        <v>159.192409452864</v>
      </c>
      <c r="O384" s="4">
        <f ca="1">(+O385+O386+O387+O388+O389+O390+O391+O392)</f>
        <v>123947.21</v>
      </c>
      <c r="P384" s="4"/>
      <c r="Q384" s="4"/>
      <c r="R384" s="4">
        <f>+P384+J384</f>
        <v>778.6</v>
      </c>
      <c r="S384" s="4">
        <f>+Q384+L384</f>
        <v>396371.688073394</v>
      </c>
      <c r="T384" s="4">
        <f>IFERROR(VLOOKUP(A384,产值统计中间表!A:F,7,FALSE),0)</f>
        <v>0</v>
      </c>
      <c r="U384" s="4">
        <f>+T384*H384</f>
        <v>0</v>
      </c>
      <c r="V384" s="4">
        <f>IFERROR(VLOOKUP(A384,产值统计中间表!A:D,4,FALSE),0)</f>
        <v>0</v>
      </c>
      <c r="W384" s="4">
        <f>+V384*H384</f>
        <v>0</v>
      </c>
      <c r="X384" s="4">
        <f>+R384-V384</f>
        <v>778.6</v>
      </c>
      <c r="Y384" s="4">
        <f>+S384-W384</f>
        <v>396371.688073394</v>
      </c>
      <c r="Z384" s="4">
        <f>IFERROR(VLOOKUP(A384,业主统计中间表!A:D,4,FALSE),0)</f>
        <v>0</v>
      </c>
      <c r="AA384" s="4">
        <f>+Z384*H384</f>
        <v>0</v>
      </c>
      <c r="AB384" s="4"/>
    </row>
    <row r="385" customHeight="1" outlineLevel="3" spans="1:28">
      <c r="A385" s="514" t="s">
        <v>2851</v>
      </c>
      <c r="B385" s="4"/>
      <c r="C385" s="510" t="s">
        <v>64</v>
      </c>
      <c r="D385" s="4" t="s">
        <v>1028</v>
      </c>
      <c r="E385" s="4"/>
      <c r="F385" s="4" t="str">
        <f ca="1" t="shared" ref="F385:F392" si="655">VLOOKUP($D385,INDIRECT($C385),2,0)</f>
        <v>m3</v>
      </c>
      <c r="G385" s="4"/>
      <c r="H385" s="4"/>
      <c r="I385" s="4"/>
      <c r="J385" s="4"/>
      <c r="K385" s="4"/>
      <c r="L385" s="517"/>
      <c r="M385" s="4">
        <v>251.60175</v>
      </c>
      <c r="N385" s="4">
        <f ca="1" t="shared" ref="N385:N392" si="656">VLOOKUP($D385,INDIRECT($C385),3,0)</f>
        <v>60</v>
      </c>
      <c r="O385" s="4">
        <f ca="1" t="shared" ref="O385:O392" si="657">M385*N385</f>
        <v>15096.105</v>
      </c>
      <c r="P385" s="4"/>
      <c r="Q385" s="4"/>
      <c r="R385" s="4"/>
      <c r="S385" s="4"/>
      <c r="T385" s="4">
        <f ca="1" t="shared" ref="T385:T392" si="658">OFFSET(T385,-RIGHT($A385,LEN($A$6)),,1,1)/OFFSET(T385,-RIGHT($A385,LEN($A$6)),-13,1,1)*$M385</f>
        <v>0</v>
      </c>
      <c r="U385" s="4">
        <f ca="1" t="shared" ref="U385:U392" si="659">+$N385*T385</f>
        <v>0</v>
      </c>
      <c r="V385" s="4">
        <f ca="1" t="shared" ref="V385:V392" si="660">OFFSET(V385,-RIGHT($A385,LEN($A$6)),,1,1)/OFFSET(V385,-RIGHT($A385,LEN($A$6)),-15,1,1)*$M385</f>
        <v>0</v>
      </c>
      <c r="W385" s="4">
        <f ca="1" t="shared" ref="W385:W392" si="661">+$N385*V385</f>
        <v>0</v>
      </c>
      <c r="X385" s="4">
        <f ca="1" t="shared" ref="X385:X392" si="662">+M385-V385</f>
        <v>251.60175</v>
      </c>
      <c r="Y385" s="4">
        <f ca="1" t="shared" ref="Y385:Y392" si="663">+O385-W385</f>
        <v>15096.105</v>
      </c>
      <c r="Z385" s="4">
        <f ca="1" t="shared" ref="Z385:Z392" si="664">OFFSET(Z385,-RIGHT($A385,LEN($A$6)),,1,1)/OFFSET(Z385,-RIGHT($A385,LEN($A$6)),-19,1,1)*$M385</f>
        <v>0</v>
      </c>
      <c r="AA385" s="4">
        <f ca="1" t="shared" ref="AA385:AA392" si="665">+$N385*Z385</f>
        <v>0</v>
      </c>
      <c r="AB385" s="4"/>
    </row>
    <row r="386" customHeight="1" outlineLevel="3" spans="1:28">
      <c r="A386" s="514" t="s">
        <v>2852</v>
      </c>
      <c r="B386" s="4"/>
      <c r="C386" s="510" t="s">
        <v>64</v>
      </c>
      <c r="D386" s="4" t="s">
        <v>1124</v>
      </c>
      <c r="E386" s="4"/>
      <c r="F386" s="4" t="str">
        <f ca="1" t="shared" si="655"/>
        <v>m3</v>
      </c>
      <c r="G386" s="4"/>
      <c r="H386" s="4"/>
      <c r="I386" s="4"/>
      <c r="J386" s="4"/>
      <c r="K386" s="4"/>
      <c r="L386" s="517"/>
      <c r="M386" s="4">
        <f>+G384*0.2*0.1</f>
        <v>15.572</v>
      </c>
      <c r="N386" s="4">
        <f ca="1" t="shared" si="656"/>
        <v>180</v>
      </c>
      <c r="O386" s="4">
        <f ca="1" t="shared" si="657"/>
        <v>2802.96</v>
      </c>
      <c r="P386" s="4"/>
      <c r="Q386" s="4"/>
      <c r="R386" s="4"/>
      <c r="S386" s="4"/>
      <c r="T386" s="4">
        <f ca="1" t="shared" si="658"/>
        <v>0</v>
      </c>
      <c r="U386" s="4">
        <f ca="1" t="shared" si="659"/>
        <v>0</v>
      </c>
      <c r="V386" s="4">
        <f ca="1" t="shared" si="660"/>
        <v>0</v>
      </c>
      <c r="W386" s="4">
        <f ca="1" t="shared" si="661"/>
        <v>0</v>
      </c>
      <c r="X386" s="4">
        <f ca="1" t="shared" si="662"/>
        <v>15.572</v>
      </c>
      <c r="Y386" s="4">
        <f ca="1" t="shared" si="663"/>
        <v>2802.96</v>
      </c>
      <c r="Z386" s="4">
        <f ca="1" t="shared" si="664"/>
        <v>0</v>
      </c>
      <c r="AA386" s="4">
        <f ca="1" t="shared" si="665"/>
        <v>0</v>
      </c>
      <c r="AB386" s="4"/>
    </row>
    <row r="387" customHeight="1" outlineLevel="3" spans="1:28">
      <c r="A387" s="514" t="s">
        <v>2853</v>
      </c>
      <c r="B387" s="4"/>
      <c r="C387" s="510" t="s">
        <v>59</v>
      </c>
      <c r="D387" s="4" t="s">
        <v>1017</v>
      </c>
      <c r="E387" s="4"/>
      <c r="F387" s="4" t="str">
        <f ca="1" t="shared" si="655"/>
        <v>m3</v>
      </c>
      <c r="G387" s="4"/>
      <c r="H387" s="4"/>
      <c r="I387" s="4"/>
      <c r="J387" s="4"/>
      <c r="K387" s="4"/>
      <c r="L387" s="517"/>
      <c r="M387" s="4">
        <v>251.60175</v>
      </c>
      <c r="N387" s="4">
        <f ca="1" t="shared" si="656"/>
        <v>0</v>
      </c>
      <c r="O387" s="4">
        <f ca="1" t="shared" si="657"/>
        <v>0</v>
      </c>
      <c r="P387" s="4"/>
      <c r="Q387" s="4"/>
      <c r="R387" s="4"/>
      <c r="S387" s="4"/>
      <c r="T387" s="4">
        <f ca="1" t="shared" si="658"/>
        <v>0</v>
      </c>
      <c r="U387" s="4">
        <f ca="1" t="shared" si="659"/>
        <v>0</v>
      </c>
      <c r="V387" s="4">
        <f ca="1" t="shared" si="660"/>
        <v>0</v>
      </c>
      <c r="W387" s="4">
        <f ca="1" t="shared" si="661"/>
        <v>0</v>
      </c>
      <c r="X387" s="4">
        <f ca="1" t="shared" si="662"/>
        <v>251.60175</v>
      </c>
      <c r="Y387" s="4">
        <f ca="1" t="shared" si="663"/>
        <v>0</v>
      </c>
      <c r="Z387" s="4">
        <f ca="1" t="shared" si="664"/>
        <v>0</v>
      </c>
      <c r="AA387" s="4">
        <f ca="1" t="shared" si="665"/>
        <v>0</v>
      </c>
      <c r="AB387" s="4"/>
    </row>
    <row r="388" customHeight="1" outlineLevel="3" spans="1:28">
      <c r="A388" s="514" t="s">
        <v>2854</v>
      </c>
      <c r="B388" s="4"/>
      <c r="C388" s="510" t="s">
        <v>59</v>
      </c>
      <c r="D388" s="4" t="s">
        <v>347</v>
      </c>
      <c r="E388" s="4"/>
      <c r="F388" s="4" t="str">
        <f ca="1" t="shared" si="655"/>
        <v>m3</v>
      </c>
      <c r="G388" s="4"/>
      <c r="H388" s="4"/>
      <c r="I388" s="4"/>
      <c r="J388" s="4"/>
      <c r="K388" s="4"/>
      <c r="L388" s="517"/>
      <c r="M388" s="4">
        <v>0</v>
      </c>
      <c r="N388" s="4">
        <f ca="1" t="shared" si="656"/>
        <v>120</v>
      </c>
      <c r="O388" s="4">
        <f ca="1" t="shared" si="657"/>
        <v>0</v>
      </c>
      <c r="P388" s="4"/>
      <c r="Q388" s="4"/>
      <c r="R388" s="4"/>
      <c r="S388" s="4"/>
      <c r="T388" s="4">
        <f ca="1" t="shared" si="658"/>
        <v>0</v>
      </c>
      <c r="U388" s="4">
        <f ca="1" t="shared" si="659"/>
        <v>0</v>
      </c>
      <c r="V388" s="4">
        <f ca="1" t="shared" si="660"/>
        <v>0</v>
      </c>
      <c r="W388" s="4">
        <f ca="1" t="shared" si="661"/>
        <v>0</v>
      </c>
      <c r="X388" s="4">
        <f ca="1" t="shared" si="662"/>
        <v>0</v>
      </c>
      <c r="Y388" s="4">
        <f ca="1" t="shared" si="663"/>
        <v>0</v>
      </c>
      <c r="Z388" s="4">
        <f ca="1" t="shared" si="664"/>
        <v>0</v>
      </c>
      <c r="AA388" s="4">
        <f ca="1" t="shared" si="665"/>
        <v>0</v>
      </c>
      <c r="AB388" s="4"/>
    </row>
    <row r="389" customHeight="1" outlineLevel="3" spans="1:28">
      <c r="A389" s="514" t="s">
        <v>2855</v>
      </c>
      <c r="B389" s="4"/>
      <c r="C389" s="510" t="s">
        <v>59</v>
      </c>
      <c r="D389" s="4" t="s">
        <v>1020</v>
      </c>
      <c r="E389" s="4"/>
      <c r="F389" s="4" t="str">
        <f ca="1" t="shared" si="655"/>
        <v>m3</v>
      </c>
      <c r="G389" s="4"/>
      <c r="H389" s="4"/>
      <c r="I389" s="4"/>
      <c r="J389" s="4"/>
      <c r="K389" s="4"/>
      <c r="L389" s="517"/>
      <c r="M389" s="4">
        <v>1416.69864</v>
      </c>
      <c r="N389" s="4">
        <f ca="1" t="shared" si="656"/>
        <v>0</v>
      </c>
      <c r="O389" s="4">
        <f ca="1" t="shared" si="657"/>
        <v>0</v>
      </c>
      <c r="P389" s="4"/>
      <c r="Q389" s="4"/>
      <c r="R389" s="4"/>
      <c r="S389" s="4"/>
      <c r="T389" s="4">
        <f ca="1" t="shared" si="658"/>
        <v>0</v>
      </c>
      <c r="U389" s="4">
        <f ca="1" t="shared" si="659"/>
        <v>0</v>
      </c>
      <c r="V389" s="4">
        <f ca="1" t="shared" si="660"/>
        <v>0</v>
      </c>
      <c r="W389" s="4">
        <f ca="1" t="shared" si="661"/>
        <v>0</v>
      </c>
      <c r="X389" s="4">
        <f ca="1" t="shared" si="662"/>
        <v>1416.69864</v>
      </c>
      <c r="Y389" s="4">
        <f ca="1" t="shared" si="663"/>
        <v>0</v>
      </c>
      <c r="Z389" s="4">
        <f ca="1" t="shared" si="664"/>
        <v>0</v>
      </c>
      <c r="AA389" s="4">
        <f ca="1" t="shared" si="665"/>
        <v>0</v>
      </c>
      <c r="AB389" s="4"/>
    </row>
    <row r="390" customHeight="1" outlineLevel="3" spans="1:28">
      <c r="A390" s="514" t="s">
        <v>2856</v>
      </c>
      <c r="B390" s="4"/>
      <c r="C390" s="510" t="s">
        <v>65</v>
      </c>
      <c r="D390" s="4" t="s">
        <v>667</v>
      </c>
      <c r="E390" s="4"/>
      <c r="F390" s="4" t="str">
        <f ca="1" t="shared" si="655"/>
        <v>m2</v>
      </c>
      <c r="G390" s="4"/>
      <c r="H390" s="4"/>
      <c r="I390" s="4"/>
      <c r="J390" s="4"/>
      <c r="K390" s="4"/>
      <c r="L390" s="517"/>
      <c r="M390" s="4">
        <v>778.6</v>
      </c>
      <c r="N390" s="4">
        <f ca="1" t="shared" si="656"/>
        <v>20</v>
      </c>
      <c r="O390" s="4">
        <f ca="1" t="shared" si="657"/>
        <v>15572</v>
      </c>
      <c r="P390" s="4"/>
      <c r="Q390" s="4"/>
      <c r="R390" s="4"/>
      <c r="S390" s="4"/>
      <c r="T390" s="4">
        <f ca="1" t="shared" si="658"/>
        <v>0</v>
      </c>
      <c r="U390" s="4">
        <f ca="1" t="shared" si="659"/>
        <v>0</v>
      </c>
      <c r="V390" s="4">
        <f ca="1" t="shared" si="660"/>
        <v>0</v>
      </c>
      <c r="W390" s="4">
        <f ca="1" t="shared" si="661"/>
        <v>0</v>
      </c>
      <c r="X390" s="4">
        <f ca="1" t="shared" si="662"/>
        <v>778.6</v>
      </c>
      <c r="Y390" s="4">
        <f ca="1" t="shared" si="663"/>
        <v>15572</v>
      </c>
      <c r="Z390" s="4">
        <f ca="1" t="shared" si="664"/>
        <v>0</v>
      </c>
      <c r="AA390" s="4">
        <f ca="1" t="shared" si="665"/>
        <v>0</v>
      </c>
      <c r="AB390" s="4"/>
    </row>
    <row r="391" customHeight="1" outlineLevel="3" spans="1:28">
      <c r="A391" s="514" t="s">
        <v>2857</v>
      </c>
      <c r="B391" s="4"/>
      <c r="C391" s="510" t="s">
        <v>59</v>
      </c>
      <c r="D391" s="4" t="s">
        <v>888</v>
      </c>
      <c r="E391" s="4"/>
      <c r="F391" s="4" t="str">
        <f ca="1" t="shared" si="655"/>
        <v>m3</v>
      </c>
      <c r="G391" s="4"/>
      <c r="H391" s="4"/>
      <c r="I391" s="4"/>
      <c r="J391" s="4"/>
      <c r="K391" s="4"/>
      <c r="L391" s="517"/>
      <c r="M391" s="4">
        <v>245.5215</v>
      </c>
      <c r="N391" s="4">
        <f ca="1" t="shared" si="656"/>
        <v>30</v>
      </c>
      <c r="O391" s="4">
        <f ca="1" t="shared" si="657"/>
        <v>7365.645</v>
      </c>
      <c r="P391" s="4"/>
      <c r="Q391" s="4"/>
      <c r="R391" s="4"/>
      <c r="S391" s="4"/>
      <c r="T391" s="4">
        <f ca="1" t="shared" si="658"/>
        <v>0</v>
      </c>
      <c r="U391" s="4">
        <f ca="1" t="shared" si="659"/>
        <v>0</v>
      </c>
      <c r="V391" s="4">
        <f ca="1" t="shared" si="660"/>
        <v>0</v>
      </c>
      <c r="W391" s="4">
        <f ca="1" t="shared" si="661"/>
        <v>0</v>
      </c>
      <c r="X391" s="4">
        <f ca="1" t="shared" si="662"/>
        <v>245.5215</v>
      </c>
      <c r="Y391" s="4">
        <f ca="1" t="shared" si="663"/>
        <v>7365.645</v>
      </c>
      <c r="Z391" s="4">
        <f ca="1" t="shared" si="664"/>
        <v>0</v>
      </c>
      <c r="AA391" s="4">
        <f ca="1" t="shared" si="665"/>
        <v>0</v>
      </c>
      <c r="AB391" s="4"/>
    </row>
    <row r="392" customHeight="1" outlineLevel="3" spans="1:28">
      <c r="A392" s="514" t="s">
        <v>2858</v>
      </c>
      <c r="B392" s="4"/>
      <c r="C392" s="510" t="s">
        <v>64</v>
      </c>
      <c r="D392" s="4" t="s">
        <v>325</v>
      </c>
      <c r="E392" s="4" t="s">
        <v>2667</v>
      </c>
      <c r="F392" s="4" t="str">
        <f ca="1" t="shared" si="655"/>
        <v>m3</v>
      </c>
      <c r="G392" s="4"/>
      <c r="H392" s="4"/>
      <c r="I392" s="4"/>
      <c r="J392" s="4"/>
      <c r="K392" s="4"/>
      <c r="L392" s="517"/>
      <c r="M392" s="4">
        <f>1416.69+245.52</f>
        <v>1662.21</v>
      </c>
      <c r="N392" s="4">
        <f ca="1" t="shared" si="656"/>
        <v>50</v>
      </c>
      <c r="O392" s="4">
        <f ca="1" t="shared" si="657"/>
        <v>83110.5</v>
      </c>
      <c r="P392" s="4"/>
      <c r="Q392" s="4"/>
      <c r="R392" s="4"/>
      <c r="S392" s="4"/>
      <c r="T392" s="4">
        <f ca="1" t="shared" si="658"/>
        <v>0</v>
      </c>
      <c r="U392" s="4">
        <f ca="1" t="shared" si="659"/>
        <v>0</v>
      </c>
      <c r="V392" s="4">
        <f ca="1" t="shared" si="660"/>
        <v>0</v>
      </c>
      <c r="W392" s="4">
        <f ca="1" t="shared" si="661"/>
        <v>0</v>
      </c>
      <c r="X392" s="4">
        <f ca="1" t="shared" si="662"/>
        <v>1662.21</v>
      </c>
      <c r="Y392" s="4">
        <f ca="1" t="shared" si="663"/>
        <v>83110.5</v>
      </c>
      <c r="Z392" s="4">
        <f ca="1" t="shared" si="664"/>
        <v>0</v>
      </c>
      <c r="AA392" s="4">
        <f ca="1" t="shared" si="665"/>
        <v>0</v>
      </c>
      <c r="AB392" s="4"/>
    </row>
    <row r="393" customHeight="1" outlineLevel="2" spans="1:28">
      <c r="A393" s="515" t="s">
        <v>2859</v>
      </c>
      <c r="B393" s="4"/>
      <c r="C393" s="510" t="s">
        <v>1309</v>
      </c>
      <c r="D393" s="4" t="s">
        <v>2669</v>
      </c>
      <c r="E393" s="4" t="s">
        <v>2670</v>
      </c>
      <c r="F393" s="4" t="s">
        <v>69</v>
      </c>
      <c r="G393" s="4">
        <v>9891.52</v>
      </c>
      <c r="H393" s="4">
        <v>86.6422018348624</v>
      </c>
      <c r="I393" s="4">
        <f>G393*H393</f>
        <v>857023.072293578</v>
      </c>
      <c r="J393" s="4">
        <f t="shared" ref="J393:L393" si="666">+G393</f>
        <v>9891.52</v>
      </c>
      <c r="K393" s="4">
        <f t="shared" si="666"/>
        <v>86.6422018348624</v>
      </c>
      <c r="L393" s="517">
        <f t="shared" si="666"/>
        <v>857023.072293578</v>
      </c>
      <c r="M393" s="4">
        <v>9891.52</v>
      </c>
      <c r="N393" s="4">
        <f ca="1" t="shared" ref="N393:N397" si="667">O393/M393</f>
        <v>45</v>
      </c>
      <c r="O393" s="4">
        <f ca="1">(+O394)</f>
        <v>445118.4</v>
      </c>
      <c r="P393" s="4"/>
      <c r="Q393" s="4"/>
      <c r="R393" s="4">
        <f t="shared" ref="R393:R397" si="668">+P393+J393</f>
        <v>9891.52</v>
      </c>
      <c r="S393" s="4">
        <f t="shared" ref="S393:S397" si="669">+Q393+L393</f>
        <v>857023.072293578</v>
      </c>
      <c r="T393" s="4">
        <f>IFERROR(VLOOKUP(A393,产值统计中间表!A:F,7,FALSE),0)</f>
        <v>0</v>
      </c>
      <c r="U393" s="4">
        <f t="shared" ref="U393:U397" si="670">+T393*H393</f>
        <v>0</v>
      </c>
      <c r="V393" s="4">
        <f>IFERROR(VLOOKUP(A393,产值统计中间表!A:D,4,FALSE),0)</f>
        <v>0</v>
      </c>
      <c r="W393" s="4">
        <f t="shared" ref="W393:W397" si="671">+V393*H393</f>
        <v>0</v>
      </c>
      <c r="X393" s="4">
        <f t="shared" ref="X393:X397" si="672">+R393-V393</f>
        <v>9891.52</v>
      </c>
      <c r="Y393" s="4">
        <f t="shared" ref="Y393:Y397" si="673">+S393-W393</f>
        <v>857023.072293578</v>
      </c>
      <c r="Z393" s="4">
        <f>IFERROR(VLOOKUP(A393,业主统计中间表!A:D,4,FALSE),0)</f>
        <v>0</v>
      </c>
      <c r="AA393" s="4">
        <f t="shared" ref="AA393:AA397" si="674">+Z393*H393</f>
        <v>0</v>
      </c>
      <c r="AB393" s="4"/>
    </row>
    <row r="394" customHeight="1" outlineLevel="3" spans="1:28">
      <c r="A394" s="514" t="s">
        <v>2860</v>
      </c>
      <c r="B394" s="4"/>
      <c r="C394" s="510" t="s">
        <v>65</v>
      </c>
      <c r="D394" s="4" t="s">
        <v>663</v>
      </c>
      <c r="E394" s="4"/>
      <c r="F394" s="4" t="str">
        <f ca="1" t="shared" ref="F394:F398" si="675">VLOOKUP($D394,INDIRECT($C394),2,0)</f>
        <v>m2</v>
      </c>
      <c r="G394" s="4"/>
      <c r="H394" s="4"/>
      <c r="I394" s="4"/>
      <c r="J394" s="4"/>
      <c r="K394" s="4"/>
      <c r="L394" s="517"/>
      <c r="M394" s="4">
        <v>9891.52</v>
      </c>
      <c r="N394" s="4">
        <f ca="1" t="shared" ref="N394:N398" si="676">VLOOKUP($D394,INDIRECT($C394),3,0)</f>
        <v>45</v>
      </c>
      <c r="O394" s="4">
        <f ca="1">M394*N394</f>
        <v>445118.4</v>
      </c>
      <c r="P394" s="4"/>
      <c r="Q394" s="4"/>
      <c r="R394" s="4"/>
      <c r="S394" s="4"/>
      <c r="T394" s="4">
        <f ca="1" t="shared" ref="T394:T398" si="677">OFFSET(T394,-RIGHT($A394,LEN($A$6)),,1,1)/OFFSET(T394,-RIGHT($A394,LEN($A$6)),-13,1,1)*$M394</f>
        <v>0</v>
      </c>
      <c r="U394" s="4">
        <f ca="1" t="shared" ref="U394:U398" si="678">+$N394*T394</f>
        <v>0</v>
      </c>
      <c r="V394" s="4">
        <f ca="1" t="shared" ref="V394:V398" si="679">OFFSET(V394,-RIGHT($A394,LEN($A$6)),,1,1)/OFFSET(V394,-RIGHT($A394,LEN($A$6)),-15,1,1)*$M394</f>
        <v>0</v>
      </c>
      <c r="W394" s="4">
        <f ca="1" t="shared" ref="W394:W398" si="680">+$N394*V394</f>
        <v>0</v>
      </c>
      <c r="X394" s="4">
        <f ca="1" t="shared" ref="X394:X398" si="681">+M394-V394</f>
        <v>9891.52</v>
      </c>
      <c r="Y394" s="4">
        <f ca="1" t="shared" ref="Y394:Y398" si="682">+O394-W394</f>
        <v>445118.4</v>
      </c>
      <c r="Z394" s="4">
        <f ca="1" t="shared" ref="Z394:Z398" si="683">OFFSET(Z394,-RIGHT($A394,LEN($A$6)),,1,1)/OFFSET(Z394,-RIGHT($A394,LEN($A$6)),-19,1,1)*$M394</f>
        <v>0</v>
      </c>
      <c r="AA394" s="4">
        <f ca="1" t="shared" ref="AA394:AA398" si="684">+$N394*Z394</f>
        <v>0</v>
      </c>
      <c r="AB394" s="4"/>
    </row>
    <row r="395" customHeight="1" outlineLevel="2" spans="1:28">
      <c r="A395" s="515" t="s">
        <v>2861</v>
      </c>
      <c r="B395" s="4"/>
      <c r="C395" s="510" t="s">
        <v>1309</v>
      </c>
      <c r="D395" s="4" t="s">
        <v>2673</v>
      </c>
      <c r="E395" s="4" t="s">
        <v>2674</v>
      </c>
      <c r="F395" s="4" t="s">
        <v>169</v>
      </c>
      <c r="G395" s="4">
        <v>1</v>
      </c>
      <c r="H395" s="4">
        <v>14478.1559633028</v>
      </c>
      <c r="I395" s="4">
        <f>G395*H395</f>
        <v>14478.1559633028</v>
      </c>
      <c r="J395" s="4">
        <f t="shared" ref="J395:L395" si="685">+G395</f>
        <v>1</v>
      </c>
      <c r="K395" s="4">
        <f t="shared" si="685"/>
        <v>14478.1559633028</v>
      </c>
      <c r="L395" s="517">
        <f t="shared" si="685"/>
        <v>14478.1559633028</v>
      </c>
      <c r="M395" s="4">
        <v>1</v>
      </c>
      <c r="N395" s="4">
        <f ca="1" t="shared" si="667"/>
        <v>46662.3</v>
      </c>
      <c r="O395" s="4">
        <f ca="1">(+O396)</f>
        <v>46662.3</v>
      </c>
      <c r="P395" s="4"/>
      <c r="Q395" s="4"/>
      <c r="R395" s="4">
        <f t="shared" si="668"/>
        <v>1</v>
      </c>
      <c r="S395" s="4">
        <f t="shared" si="669"/>
        <v>14478.1559633028</v>
      </c>
      <c r="T395" s="4">
        <f>IFERROR(VLOOKUP(A395,产值统计中间表!A:F,7,FALSE),0)</f>
        <v>0</v>
      </c>
      <c r="U395" s="4">
        <f t="shared" si="670"/>
        <v>0</v>
      </c>
      <c r="V395" s="4">
        <f>IFERROR(VLOOKUP(A395,产值统计中间表!A:D,4,FALSE),0)</f>
        <v>0</v>
      </c>
      <c r="W395" s="4">
        <f t="shared" si="671"/>
        <v>0</v>
      </c>
      <c r="X395" s="4">
        <f t="shared" si="672"/>
        <v>1</v>
      </c>
      <c r="Y395" s="4">
        <f t="shared" si="673"/>
        <v>14478.1559633028</v>
      </c>
      <c r="Z395" s="4">
        <f>IFERROR(VLOOKUP(A395,业主统计中间表!A:D,4,FALSE),0)</f>
        <v>0</v>
      </c>
      <c r="AA395" s="4">
        <f t="shared" si="674"/>
        <v>0</v>
      </c>
      <c r="AB395" s="4"/>
    </row>
    <row r="396" customHeight="1" outlineLevel="3" spans="1:28">
      <c r="A396" s="514" t="s">
        <v>2862</v>
      </c>
      <c r="B396" s="4"/>
      <c r="C396" s="510" t="s">
        <v>65</v>
      </c>
      <c r="D396" s="4" t="s">
        <v>723</v>
      </c>
      <c r="E396" s="4"/>
      <c r="F396" s="4" t="str">
        <f ca="1" t="shared" si="675"/>
        <v>项</v>
      </c>
      <c r="G396" s="4"/>
      <c r="H396" s="4"/>
      <c r="I396" s="4"/>
      <c r="J396" s="4"/>
      <c r="K396" s="4"/>
      <c r="L396" s="517"/>
      <c r="M396" s="4">
        <v>1</v>
      </c>
      <c r="N396" s="4">
        <f ca="1" t="shared" si="676"/>
        <v>46662.3</v>
      </c>
      <c r="O396" s="4">
        <f ca="1">M396*N396</f>
        <v>46662.3</v>
      </c>
      <c r="P396" s="4"/>
      <c r="Q396" s="4"/>
      <c r="R396" s="4"/>
      <c r="S396" s="4"/>
      <c r="T396" s="4">
        <f ca="1" t="shared" si="677"/>
        <v>0</v>
      </c>
      <c r="U396" s="4">
        <f ca="1" t="shared" si="678"/>
        <v>0</v>
      </c>
      <c r="V396" s="4">
        <f ca="1" t="shared" si="679"/>
        <v>0</v>
      </c>
      <c r="W396" s="4">
        <f ca="1" t="shared" si="680"/>
        <v>0</v>
      </c>
      <c r="X396" s="4">
        <f ca="1" t="shared" si="681"/>
        <v>1</v>
      </c>
      <c r="Y396" s="4">
        <f ca="1" t="shared" si="682"/>
        <v>46662.3</v>
      </c>
      <c r="Z396" s="4">
        <f ca="1" t="shared" si="683"/>
        <v>0</v>
      </c>
      <c r="AA396" s="4">
        <f ca="1" t="shared" si="684"/>
        <v>0</v>
      </c>
      <c r="AB396" s="4"/>
    </row>
    <row r="397" customHeight="1" outlineLevel="2" spans="1:28">
      <c r="A397" s="515" t="s">
        <v>2863</v>
      </c>
      <c r="B397" s="4"/>
      <c r="C397" s="510" t="s">
        <v>1309</v>
      </c>
      <c r="D397" s="4" t="s">
        <v>2677</v>
      </c>
      <c r="E397" s="4" t="s">
        <v>2678</v>
      </c>
      <c r="F397" s="4" t="s">
        <v>169</v>
      </c>
      <c r="G397" s="4">
        <v>1</v>
      </c>
      <c r="H397" s="4">
        <v>30534.6788990826</v>
      </c>
      <c r="I397" s="4">
        <f>G397*H397</f>
        <v>30534.6788990826</v>
      </c>
      <c r="J397" s="4">
        <f t="shared" ref="J397:L397" si="686">+G397</f>
        <v>1</v>
      </c>
      <c r="K397" s="4">
        <f t="shared" si="686"/>
        <v>30534.6788990826</v>
      </c>
      <c r="L397" s="517">
        <f t="shared" si="686"/>
        <v>30534.6788990826</v>
      </c>
      <c r="M397" s="4">
        <v>1</v>
      </c>
      <c r="N397" s="4">
        <f ca="1" t="shared" si="667"/>
        <v>4061.86</v>
      </c>
      <c r="O397" s="4">
        <f ca="1">(+O398)</f>
        <v>4061.86</v>
      </c>
      <c r="P397" s="4"/>
      <c r="Q397" s="4"/>
      <c r="R397" s="4">
        <f t="shared" si="668"/>
        <v>1</v>
      </c>
      <c r="S397" s="4">
        <f t="shared" si="669"/>
        <v>30534.6788990826</v>
      </c>
      <c r="T397" s="4">
        <f>IFERROR(VLOOKUP(A397,产值统计中间表!A:F,7,FALSE),0)</f>
        <v>0</v>
      </c>
      <c r="U397" s="4">
        <f t="shared" si="670"/>
        <v>0</v>
      </c>
      <c r="V397" s="4">
        <f>IFERROR(VLOOKUP(A397,产值统计中间表!A:D,4,FALSE),0)</f>
        <v>0</v>
      </c>
      <c r="W397" s="4">
        <f t="shared" si="671"/>
        <v>0</v>
      </c>
      <c r="X397" s="4">
        <f t="shared" si="672"/>
        <v>1</v>
      </c>
      <c r="Y397" s="4">
        <f t="shared" si="673"/>
        <v>30534.6788990826</v>
      </c>
      <c r="Z397" s="4">
        <f>IFERROR(VLOOKUP(A397,业主统计中间表!A:D,4,FALSE),0)</f>
        <v>0</v>
      </c>
      <c r="AA397" s="4">
        <f t="shared" si="674"/>
        <v>0</v>
      </c>
      <c r="AB397" s="4"/>
    </row>
    <row r="398" customHeight="1" outlineLevel="3" spans="1:28">
      <c r="A398" s="514" t="s">
        <v>2864</v>
      </c>
      <c r="B398" s="4"/>
      <c r="C398" s="510" t="s">
        <v>65</v>
      </c>
      <c r="D398" s="4" t="s">
        <v>727</v>
      </c>
      <c r="E398" s="4"/>
      <c r="F398" s="4" t="str">
        <f ca="1" t="shared" si="675"/>
        <v>项</v>
      </c>
      <c r="G398" s="4"/>
      <c r="H398" s="4"/>
      <c r="I398" s="4"/>
      <c r="J398" s="4"/>
      <c r="K398" s="4"/>
      <c r="L398" s="517"/>
      <c r="M398" s="4">
        <v>1</v>
      </c>
      <c r="N398" s="4">
        <f ca="1" t="shared" si="676"/>
        <v>4061.86</v>
      </c>
      <c r="O398" s="4">
        <f ca="1">M398*N398</f>
        <v>4061.86</v>
      </c>
      <c r="P398" s="4"/>
      <c r="Q398" s="4"/>
      <c r="R398" s="4"/>
      <c r="S398" s="4"/>
      <c r="T398" s="4">
        <f ca="1" t="shared" si="677"/>
        <v>0</v>
      </c>
      <c r="U398" s="4">
        <f ca="1" t="shared" si="678"/>
        <v>0</v>
      </c>
      <c r="V398" s="4">
        <f ca="1" t="shared" si="679"/>
        <v>0</v>
      </c>
      <c r="W398" s="4">
        <f ca="1" t="shared" si="680"/>
        <v>0</v>
      </c>
      <c r="X398" s="4">
        <f ca="1" t="shared" si="681"/>
        <v>1</v>
      </c>
      <c r="Y398" s="4">
        <f ca="1" t="shared" si="682"/>
        <v>4061.86</v>
      </c>
      <c r="Z398" s="4">
        <f ca="1" t="shared" si="683"/>
        <v>0</v>
      </c>
      <c r="AA398" s="4">
        <f ca="1" t="shared" si="684"/>
        <v>0</v>
      </c>
      <c r="AB398" s="4"/>
    </row>
    <row r="399" customHeight="1" outlineLevel="2" spans="1:28">
      <c r="A399" s="515" t="s">
        <v>2865</v>
      </c>
      <c r="B399" s="4"/>
      <c r="C399" s="510" t="s">
        <v>1309</v>
      </c>
      <c r="D399" s="4" t="s">
        <v>2681</v>
      </c>
      <c r="E399" s="4" t="s">
        <v>2678</v>
      </c>
      <c r="F399" s="4" t="s">
        <v>169</v>
      </c>
      <c r="G399" s="4">
        <v>1</v>
      </c>
      <c r="H399" s="4">
        <v>82970.9724770642</v>
      </c>
      <c r="I399" s="4">
        <f>G399*H399</f>
        <v>82970.9724770642</v>
      </c>
      <c r="J399" s="4">
        <f t="shared" ref="J399:L399" si="687">+G399</f>
        <v>1</v>
      </c>
      <c r="K399" s="4">
        <f t="shared" si="687"/>
        <v>82970.9724770642</v>
      </c>
      <c r="L399" s="517">
        <f t="shared" si="687"/>
        <v>82970.9724770642</v>
      </c>
      <c r="M399" s="4">
        <v>1</v>
      </c>
      <c r="N399" s="4">
        <f ca="1">O399/M399</f>
        <v>555504.55</v>
      </c>
      <c r="O399" s="4">
        <f ca="1">(+O400)</f>
        <v>555504.55</v>
      </c>
      <c r="P399" s="4"/>
      <c r="Q399" s="4"/>
      <c r="R399" s="4">
        <f>+P399+J399</f>
        <v>1</v>
      </c>
      <c r="S399" s="4">
        <f>+Q399+L399</f>
        <v>82970.9724770642</v>
      </c>
      <c r="T399" s="4">
        <f>IFERROR(VLOOKUP(A399,产值统计中间表!A:F,7,FALSE),0)</f>
        <v>0</v>
      </c>
      <c r="U399" s="4">
        <f>+T399*H399</f>
        <v>0</v>
      </c>
      <c r="V399" s="4">
        <f>IFERROR(VLOOKUP(A399,产值统计中间表!A:D,4,FALSE),0)</f>
        <v>0</v>
      </c>
      <c r="W399" s="4">
        <f>+V399*H399</f>
        <v>0</v>
      </c>
      <c r="X399" s="4">
        <f>+R399-V399</f>
        <v>1</v>
      </c>
      <c r="Y399" s="4">
        <f>+S399-W399</f>
        <v>82970.9724770642</v>
      </c>
      <c r="Z399" s="4">
        <f>IFERROR(VLOOKUP(A399,业主统计中间表!A:D,4,FALSE),0)</f>
        <v>0</v>
      </c>
      <c r="AA399" s="4">
        <f>+Z399*H399</f>
        <v>0</v>
      </c>
      <c r="AB399" s="4"/>
    </row>
    <row r="400" customHeight="1" outlineLevel="3" spans="1:28">
      <c r="A400" s="514" t="s">
        <v>2866</v>
      </c>
      <c r="B400" s="4"/>
      <c r="C400" s="510" t="s">
        <v>65</v>
      </c>
      <c r="D400" s="4" t="s">
        <v>719</v>
      </c>
      <c r="E400" s="4"/>
      <c r="F400" s="4" t="str">
        <f ca="1" t="shared" ref="F400:F405" si="688">VLOOKUP($D400,INDIRECT($C400),2,0)</f>
        <v>项</v>
      </c>
      <c r="G400" s="4"/>
      <c r="H400" s="4"/>
      <c r="I400" s="4"/>
      <c r="J400" s="4"/>
      <c r="K400" s="4"/>
      <c r="L400" s="517"/>
      <c r="M400" s="4">
        <v>1</v>
      </c>
      <c r="N400" s="4">
        <f ca="1" t="shared" ref="N400:N405" si="689">VLOOKUP($D400,INDIRECT($C400),3,0)</f>
        <v>555504.55</v>
      </c>
      <c r="O400" s="4">
        <f ca="1">M400*N400</f>
        <v>555504.55</v>
      </c>
      <c r="P400" s="4"/>
      <c r="Q400" s="4"/>
      <c r="R400" s="4"/>
      <c r="S400" s="4"/>
      <c r="T400" s="4">
        <f ca="1" t="shared" ref="T400:T405" si="690">OFFSET(T400,-RIGHT($A400,LEN($A$6)),,1,1)/OFFSET(T400,-RIGHT($A400,LEN($A$6)),-13,1,1)*$M400</f>
        <v>0</v>
      </c>
      <c r="U400" s="4">
        <f ca="1" t="shared" ref="U400:U405" si="691">+$N400*T400</f>
        <v>0</v>
      </c>
      <c r="V400" s="4">
        <f ca="1" t="shared" ref="V400:V405" si="692">OFFSET(V400,-RIGHT($A400,LEN($A$6)),,1,1)/OFFSET(V400,-RIGHT($A400,LEN($A$6)),-15,1,1)*$M400</f>
        <v>0</v>
      </c>
      <c r="W400" s="4">
        <f ca="1" t="shared" ref="W400:W405" si="693">+$N400*V400</f>
        <v>0</v>
      </c>
      <c r="X400" s="4">
        <f ca="1" t="shared" ref="X400:X405" si="694">+M400-V400</f>
        <v>1</v>
      </c>
      <c r="Y400" s="4">
        <f ca="1" t="shared" ref="Y400:Y405" si="695">+O400-W400</f>
        <v>555504.55</v>
      </c>
      <c r="Z400" s="4">
        <f ca="1" t="shared" ref="Z400:Z405" si="696">OFFSET(Z400,-RIGHT($A400,LEN($A$6)),,1,1)/OFFSET(Z400,-RIGHT($A400,LEN($A$6)),-19,1,1)*$M400</f>
        <v>0</v>
      </c>
      <c r="AA400" s="4">
        <f ca="1" t="shared" ref="AA400:AA405" si="697">+$N400*Z400</f>
        <v>0</v>
      </c>
      <c r="AB400" s="4"/>
    </row>
    <row r="401" customHeight="1" outlineLevel="2" spans="1:28">
      <c r="A401" s="515" t="s">
        <v>2867</v>
      </c>
      <c r="B401" s="4"/>
      <c r="C401" s="510" t="s">
        <v>1309</v>
      </c>
      <c r="D401" s="4" t="s">
        <v>2684</v>
      </c>
      <c r="E401" s="4" t="s">
        <v>2685</v>
      </c>
      <c r="F401" s="4" t="s">
        <v>72</v>
      </c>
      <c r="G401" s="4">
        <v>33423</v>
      </c>
      <c r="H401" s="4">
        <v>18.8623853211009</v>
      </c>
      <c r="I401" s="4">
        <f>G401*H401</f>
        <v>630437.504587155</v>
      </c>
      <c r="J401" s="4">
        <f t="shared" ref="J401:L401" si="698">+G401</f>
        <v>33423</v>
      </c>
      <c r="K401" s="4">
        <f t="shared" si="698"/>
        <v>18.8623853211009</v>
      </c>
      <c r="L401" s="517">
        <f t="shared" si="698"/>
        <v>630437.504587155</v>
      </c>
      <c r="M401" s="4">
        <v>33423</v>
      </c>
      <c r="N401" s="4">
        <f ca="1">O401/M401</f>
        <v>8.951</v>
      </c>
      <c r="O401" s="4">
        <f ca="1">(+O402+O403+O404+O405)</f>
        <v>299169.273</v>
      </c>
      <c r="P401" s="4"/>
      <c r="Q401" s="4"/>
      <c r="R401" s="4">
        <f>+P401+J401</f>
        <v>33423</v>
      </c>
      <c r="S401" s="4">
        <f>+Q401+L401</f>
        <v>630437.504587155</v>
      </c>
      <c r="T401" s="4">
        <f>IFERROR(VLOOKUP(A401,产值统计中间表!A:F,7,FALSE),0)</f>
        <v>0</v>
      </c>
      <c r="U401" s="4">
        <f>+T401*H401</f>
        <v>0</v>
      </c>
      <c r="V401" s="4">
        <f>IFERROR(VLOOKUP(A401,产值统计中间表!A:D,4,FALSE),0)</f>
        <v>0</v>
      </c>
      <c r="W401" s="4">
        <f>+V401*H401</f>
        <v>0</v>
      </c>
      <c r="X401" s="4">
        <f>+R401-V401</f>
        <v>33423</v>
      </c>
      <c r="Y401" s="4">
        <f>+S401-W401</f>
        <v>630437.504587155</v>
      </c>
      <c r="Z401" s="4">
        <f>IFERROR(VLOOKUP(A401,业主统计中间表!A:D,4,FALSE),0)</f>
        <v>0</v>
      </c>
      <c r="AA401" s="4">
        <f>+Z401*H401</f>
        <v>0</v>
      </c>
      <c r="AB401" s="4"/>
    </row>
    <row r="402" customHeight="1" outlineLevel="3" spans="1:28">
      <c r="A402" s="514" t="s">
        <v>2868</v>
      </c>
      <c r="B402" s="4"/>
      <c r="C402" s="510" t="s">
        <v>63</v>
      </c>
      <c r="D402" s="4" t="s">
        <v>422</v>
      </c>
      <c r="E402" s="4"/>
      <c r="F402" s="4" t="str">
        <f ca="1" t="shared" si="688"/>
        <v>m3</v>
      </c>
      <c r="G402" s="4"/>
      <c r="H402" s="4"/>
      <c r="I402" s="4"/>
      <c r="J402" s="4"/>
      <c r="K402" s="4"/>
      <c r="L402" s="517"/>
      <c r="M402" s="4">
        <f>G401*0.3</f>
        <v>10026.9</v>
      </c>
      <c r="N402" s="4">
        <f ca="1" t="shared" si="689"/>
        <v>4.3</v>
      </c>
      <c r="O402" s="4">
        <f ca="1">M402*N402</f>
        <v>43115.67</v>
      </c>
      <c r="P402" s="4"/>
      <c r="Q402" s="4"/>
      <c r="R402" s="4"/>
      <c r="S402" s="4"/>
      <c r="T402" s="4">
        <f ca="1" t="shared" si="690"/>
        <v>0</v>
      </c>
      <c r="U402" s="4">
        <f ca="1" t="shared" si="691"/>
        <v>0</v>
      </c>
      <c r="V402" s="4">
        <f ca="1" t="shared" si="692"/>
        <v>0</v>
      </c>
      <c r="W402" s="4">
        <f ca="1" t="shared" si="693"/>
        <v>0</v>
      </c>
      <c r="X402" s="4">
        <f ca="1" t="shared" si="694"/>
        <v>10026.9</v>
      </c>
      <c r="Y402" s="4">
        <f ca="1" t="shared" si="695"/>
        <v>43115.67</v>
      </c>
      <c r="Z402" s="4">
        <f ca="1" t="shared" si="696"/>
        <v>0</v>
      </c>
      <c r="AA402" s="4">
        <f ca="1" t="shared" si="697"/>
        <v>0</v>
      </c>
      <c r="AB402" s="4"/>
    </row>
    <row r="403" customHeight="1" outlineLevel="3" spans="1:28">
      <c r="A403" s="514" t="s">
        <v>2869</v>
      </c>
      <c r="B403" s="4"/>
      <c r="C403" s="510" t="s">
        <v>63</v>
      </c>
      <c r="D403" s="4" t="s">
        <v>366</v>
      </c>
      <c r="E403" s="4"/>
      <c r="F403" s="4" t="str">
        <f ca="1" t="shared" si="688"/>
        <v>m3</v>
      </c>
      <c r="G403" s="4"/>
      <c r="H403" s="4"/>
      <c r="I403" s="4"/>
      <c r="J403" s="4"/>
      <c r="K403" s="4"/>
      <c r="L403" s="517"/>
      <c r="M403" s="4">
        <f>G401*0.7</f>
        <v>23396.1</v>
      </c>
      <c r="N403" s="4">
        <f ca="1" t="shared" si="689"/>
        <v>3.45</v>
      </c>
      <c r="O403" s="4">
        <f ca="1">M403*N403</f>
        <v>80716.545</v>
      </c>
      <c r="P403" s="4"/>
      <c r="Q403" s="4"/>
      <c r="R403" s="4"/>
      <c r="S403" s="4"/>
      <c r="T403" s="4">
        <f ca="1" t="shared" si="690"/>
        <v>0</v>
      </c>
      <c r="U403" s="4">
        <f ca="1" t="shared" si="691"/>
        <v>0</v>
      </c>
      <c r="V403" s="4">
        <f ca="1" t="shared" si="692"/>
        <v>0</v>
      </c>
      <c r="W403" s="4">
        <f ca="1" t="shared" si="693"/>
        <v>0</v>
      </c>
      <c r="X403" s="4">
        <f ca="1" t="shared" si="694"/>
        <v>23396.1</v>
      </c>
      <c r="Y403" s="4">
        <f ca="1" t="shared" si="695"/>
        <v>80716.545</v>
      </c>
      <c r="Z403" s="4">
        <f ca="1" t="shared" si="696"/>
        <v>0</v>
      </c>
      <c r="AA403" s="4">
        <f ca="1" t="shared" si="697"/>
        <v>0</v>
      </c>
      <c r="AB403" s="4"/>
    </row>
    <row r="404" customHeight="1" outlineLevel="3" spans="1:28">
      <c r="A404" s="514" t="s">
        <v>2870</v>
      </c>
      <c r="B404" s="4"/>
      <c r="C404" s="510" t="s">
        <v>63</v>
      </c>
      <c r="D404" s="4" t="s">
        <v>729</v>
      </c>
      <c r="E404" s="4"/>
      <c r="F404" s="4" t="str">
        <f ca="1" t="shared" si="688"/>
        <v>m3</v>
      </c>
      <c r="G404" s="4"/>
      <c r="H404" s="4"/>
      <c r="I404" s="4"/>
      <c r="J404" s="4"/>
      <c r="K404" s="4"/>
      <c r="L404" s="517"/>
      <c r="M404" s="4">
        <f>M403</f>
        <v>23396.1</v>
      </c>
      <c r="N404" s="4">
        <f ca="1" t="shared" si="689"/>
        <v>5</v>
      </c>
      <c r="O404" s="4">
        <f ca="1">M404*N404</f>
        <v>116980.5</v>
      </c>
      <c r="P404" s="4"/>
      <c r="Q404" s="4"/>
      <c r="R404" s="4"/>
      <c r="S404" s="4"/>
      <c r="T404" s="4">
        <f ca="1" t="shared" si="690"/>
        <v>0</v>
      </c>
      <c r="U404" s="4">
        <f ca="1" t="shared" si="691"/>
        <v>0</v>
      </c>
      <c r="V404" s="4">
        <f ca="1" t="shared" si="692"/>
        <v>0</v>
      </c>
      <c r="W404" s="4">
        <f ca="1" t="shared" si="693"/>
        <v>0</v>
      </c>
      <c r="X404" s="4">
        <f ca="1" t="shared" si="694"/>
        <v>23396.1</v>
      </c>
      <c r="Y404" s="4">
        <f ca="1" t="shared" si="695"/>
        <v>116980.5</v>
      </c>
      <c r="Z404" s="4">
        <f ca="1" t="shared" si="696"/>
        <v>0</v>
      </c>
      <c r="AA404" s="4">
        <f ca="1" t="shared" si="697"/>
        <v>0</v>
      </c>
      <c r="AB404" s="4"/>
    </row>
    <row r="405" customHeight="1" outlineLevel="3" spans="1:28">
      <c r="A405" s="514" t="s">
        <v>2871</v>
      </c>
      <c r="B405" s="4"/>
      <c r="C405" s="510" t="s">
        <v>63</v>
      </c>
      <c r="D405" s="4" t="s">
        <v>677</v>
      </c>
      <c r="E405" s="4"/>
      <c r="F405" s="4" t="str">
        <f ca="1" t="shared" si="688"/>
        <v>m3</v>
      </c>
      <c r="G405" s="4"/>
      <c r="H405" s="4"/>
      <c r="I405" s="4"/>
      <c r="J405" s="4"/>
      <c r="K405" s="4"/>
      <c r="L405" s="517"/>
      <c r="M405" s="4">
        <f>M402</f>
        <v>10026.9</v>
      </c>
      <c r="N405" s="4">
        <f ca="1" t="shared" si="689"/>
        <v>5.82</v>
      </c>
      <c r="O405" s="4">
        <f ca="1">M405*N405</f>
        <v>58356.558</v>
      </c>
      <c r="P405" s="4"/>
      <c r="Q405" s="4"/>
      <c r="R405" s="4"/>
      <c r="S405" s="4"/>
      <c r="T405" s="4">
        <f ca="1" t="shared" si="690"/>
        <v>0</v>
      </c>
      <c r="U405" s="4">
        <f ca="1" t="shared" si="691"/>
        <v>0</v>
      </c>
      <c r="V405" s="4">
        <f ca="1" t="shared" si="692"/>
        <v>0</v>
      </c>
      <c r="W405" s="4">
        <f ca="1" t="shared" si="693"/>
        <v>0</v>
      </c>
      <c r="X405" s="4">
        <f ca="1" t="shared" si="694"/>
        <v>10026.9</v>
      </c>
      <c r="Y405" s="4">
        <f ca="1" t="shared" si="695"/>
        <v>58356.558</v>
      </c>
      <c r="Z405" s="4">
        <f ca="1" t="shared" si="696"/>
        <v>0</v>
      </c>
      <c r="AA405" s="4">
        <f ca="1" t="shared" si="697"/>
        <v>0</v>
      </c>
      <c r="AB405" s="4"/>
    </row>
    <row r="406" customHeight="1" outlineLevel="2" spans="1:28">
      <c r="A406" s="515" t="s">
        <v>2872</v>
      </c>
      <c r="B406" s="4"/>
      <c r="C406" s="510" t="s">
        <v>1309</v>
      </c>
      <c r="D406" s="4" t="s">
        <v>2691</v>
      </c>
      <c r="E406" s="4" t="s">
        <v>2692</v>
      </c>
      <c r="F406" s="4" t="s">
        <v>72</v>
      </c>
      <c r="G406" s="4">
        <v>28176</v>
      </c>
      <c r="H406" s="4">
        <v>6.10091743119266</v>
      </c>
      <c r="I406" s="4">
        <f>G406*H406</f>
        <v>171899.449541284</v>
      </c>
      <c r="J406" s="4">
        <f t="shared" ref="J406:L406" si="699">+G406</f>
        <v>28176</v>
      </c>
      <c r="K406" s="4">
        <f t="shared" si="699"/>
        <v>6.10091743119266</v>
      </c>
      <c r="L406" s="517">
        <f t="shared" si="699"/>
        <v>171899.449541284</v>
      </c>
      <c r="M406" s="4">
        <v>28176</v>
      </c>
      <c r="N406" s="4">
        <f ca="1">O406/M406</f>
        <v>11.73</v>
      </c>
      <c r="O406" s="4">
        <f ca="1">(+O407+O408)</f>
        <v>330504.48</v>
      </c>
      <c r="P406" s="4"/>
      <c r="Q406" s="4"/>
      <c r="R406" s="4">
        <f>+P406+J406</f>
        <v>28176</v>
      </c>
      <c r="S406" s="4">
        <f>+Q406+L406</f>
        <v>171899.449541284</v>
      </c>
      <c r="T406" s="4">
        <f>IFERROR(VLOOKUP(A406,产值统计中间表!A:F,7,FALSE),0)</f>
        <v>0</v>
      </c>
      <c r="U406" s="4">
        <f>+T406*H406</f>
        <v>0</v>
      </c>
      <c r="V406" s="4">
        <f>IFERROR(VLOOKUP(A406,产值统计中间表!A:D,4,FALSE),0)</f>
        <v>0</v>
      </c>
      <c r="W406" s="4">
        <f>+V406*H406</f>
        <v>0</v>
      </c>
      <c r="X406" s="4">
        <f>+R406-V406</f>
        <v>28176</v>
      </c>
      <c r="Y406" s="4">
        <f>+S406-W406</f>
        <v>171899.449541284</v>
      </c>
      <c r="Z406" s="4">
        <f>IFERROR(VLOOKUP(A406,业主统计中间表!A:D,4,FALSE),0)</f>
        <v>0</v>
      </c>
      <c r="AA406" s="4">
        <f>+Z406*H406</f>
        <v>0</v>
      </c>
      <c r="AB406" s="4"/>
    </row>
    <row r="407" customHeight="1" outlineLevel="3" spans="1:28">
      <c r="A407" s="514" t="s">
        <v>2873</v>
      </c>
      <c r="B407" s="4"/>
      <c r="C407" s="510" t="s">
        <v>63</v>
      </c>
      <c r="D407" s="4" t="s">
        <v>916</v>
      </c>
      <c r="E407" s="4"/>
      <c r="F407" s="4" t="str">
        <f ca="1" t="shared" ref="F407:F416" si="700">VLOOKUP($D407,INDIRECT($C407),2,0)</f>
        <v>m3</v>
      </c>
      <c r="G407" s="4"/>
      <c r="H407" s="4"/>
      <c r="I407" s="4"/>
      <c r="J407" s="4"/>
      <c r="K407" s="4"/>
      <c r="L407" s="517"/>
      <c r="M407" s="4">
        <f>M406</f>
        <v>28176</v>
      </c>
      <c r="N407" s="4">
        <f ca="1" t="shared" ref="N407:N416" si="701">VLOOKUP($D407,INDIRECT($C407),3,0)</f>
        <v>5.82</v>
      </c>
      <c r="O407" s="4">
        <f ca="1">M407*N407</f>
        <v>163984.32</v>
      </c>
      <c r="P407" s="4"/>
      <c r="Q407" s="4"/>
      <c r="R407" s="4"/>
      <c r="S407" s="4"/>
      <c r="T407" s="4">
        <f ca="1" t="shared" ref="T407:T416" si="702">OFFSET(T407,-RIGHT($A407,LEN($A$6)),,1,1)/OFFSET(T407,-RIGHT($A407,LEN($A$6)),-13,1,1)*$M407</f>
        <v>0</v>
      </c>
      <c r="U407" s="4">
        <f ca="1" t="shared" ref="U407:U416" si="703">+$N407*T407</f>
        <v>0</v>
      </c>
      <c r="V407" s="4">
        <f ca="1" t="shared" ref="V407:V416" si="704">OFFSET(V407,-RIGHT($A407,LEN($A$6)),,1,1)/OFFSET(V407,-RIGHT($A407,LEN($A$6)),-15,1,1)*$M407</f>
        <v>0</v>
      </c>
      <c r="W407" s="4">
        <f ca="1" t="shared" ref="W407:W416" si="705">+$N407*V407</f>
        <v>0</v>
      </c>
      <c r="X407" s="4">
        <f ca="1" t="shared" ref="X407:X416" si="706">+M407-V407</f>
        <v>28176</v>
      </c>
      <c r="Y407" s="4">
        <f ca="1" t="shared" ref="Y407:Y416" si="707">+O407-W407</f>
        <v>163984.32</v>
      </c>
      <c r="Z407" s="4">
        <f ca="1" t="shared" ref="Z407:Z416" si="708">OFFSET(Z407,-RIGHT($A407,LEN($A$6)),,1,1)/OFFSET(Z407,-RIGHT($A407,LEN($A$6)),-19,1,1)*$M407</f>
        <v>0</v>
      </c>
      <c r="AA407" s="4">
        <f ca="1" t="shared" ref="AA407:AA416" si="709">+$N407*Z407</f>
        <v>0</v>
      </c>
      <c r="AB407" s="4"/>
    </row>
    <row r="408" customHeight="1" outlineLevel="3" spans="1:28">
      <c r="A408" s="514" t="s">
        <v>2874</v>
      </c>
      <c r="B408" s="4"/>
      <c r="C408" s="510" t="s">
        <v>63</v>
      </c>
      <c r="D408" s="4" t="s">
        <v>801</v>
      </c>
      <c r="E408" s="4"/>
      <c r="F408" s="4" t="str">
        <f ca="1" t="shared" si="700"/>
        <v>m3</v>
      </c>
      <c r="G408" s="4"/>
      <c r="H408" s="4"/>
      <c r="I408" s="4"/>
      <c r="J408" s="4"/>
      <c r="K408" s="4"/>
      <c r="L408" s="517"/>
      <c r="M408" s="4">
        <f>M406</f>
        <v>28176</v>
      </c>
      <c r="N408" s="4">
        <f ca="1" t="shared" si="701"/>
        <v>5.91</v>
      </c>
      <c r="O408" s="4">
        <f ca="1">M408*N408</f>
        <v>166520.16</v>
      </c>
      <c r="P408" s="4"/>
      <c r="Q408" s="4"/>
      <c r="R408" s="4"/>
      <c r="S408" s="4"/>
      <c r="T408" s="4">
        <f ca="1" t="shared" si="702"/>
        <v>0</v>
      </c>
      <c r="U408" s="4">
        <f ca="1" t="shared" si="703"/>
        <v>0</v>
      </c>
      <c r="V408" s="4">
        <f ca="1" t="shared" si="704"/>
        <v>0</v>
      </c>
      <c r="W408" s="4">
        <f ca="1" t="shared" si="705"/>
        <v>0</v>
      </c>
      <c r="X408" s="4">
        <f ca="1" t="shared" si="706"/>
        <v>28176</v>
      </c>
      <c r="Y408" s="4">
        <f ca="1" t="shared" si="707"/>
        <v>166520.16</v>
      </c>
      <c r="Z408" s="4">
        <f ca="1" t="shared" si="708"/>
        <v>0</v>
      </c>
      <c r="AA408" s="4">
        <f ca="1" t="shared" si="709"/>
        <v>0</v>
      </c>
      <c r="AB408" s="4"/>
    </row>
    <row r="409" customHeight="1" outlineLevel="2" spans="1:28">
      <c r="A409" s="515" t="s">
        <v>2875</v>
      </c>
      <c r="B409" s="4"/>
      <c r="C409" s="510" t="s">
        <v>1309</v>
      </c>
      <c r="D409" s="4" t="s">
        <v>2876</v>
      </c>
      <c r="E409" s="4" t="s">
        <v>2877</v>
      </c>
      <c r="F409" s="4" t="s">
        <v>69</v>
      </c>
      <c r="G409" s="4">
        <v>4000</v>
      </c>
      <c r="H409" s="4">
        <v>137.339449541284</v>
      </c>
      <c r="I409" s="4">
        <f>G409*H409</f>
        <v>549357.798165136</v>
      </c>
      <c r="J409" s="4">
        <f t="shared" ref="J409:L409" si="710">+G409</f>
        <v>4000</v>
      </c>
      <c r="K409" s="4">
        <f t="shared" si="710"/>
        <v>137.339449541284</v>
      </c>
      <c r="L409" s="517">
        <f t="shared" si="710"/>
        <v>549357.798165136</v>
      </c>
      <c r="M409" s="4">
        <v>4000</v>
      </c>
      <c r="N409" s="4">
        <f ca="1">O409/M409</f>
        <v>140.893915088836</v>
      </c>
      <c r="O409" s="4">
        <f ca="1">(+O410+O411+O412+O413+O414+O415+O416)</f>
        <v>563575.660355345</v>
      </c>
      <c r="P409" s="4"/>
      <c r="Q409" s="4"/>
      <c r="R409" s="4">
        <f>+P409+J409</f>
        <v>4000</v>
      </c>
      <c r="S409" s="4">
        <f>+Q409+L409</f>
        <v>549357.798165136</v>
      </c>
      <c r="T409" s="4">
        <f>IFERROR(VLOOKUP(A409,产值统计中间表!A:F,7,FALSE),0)</f>
        <v>0</v>
      </c>
      <c r="U409" s="4">
        <f>+T409*H409</f>
        <v>0</v>
      </c>
      <c r="V409" s="4">
        <f>IFERROR(VLOOKUP(A409,产值统计中间表!A:D,4,FALSE),0)</f>
        <v>0</v>
      </c>
      <c r="W409" s="4">
        <f>+V409*H409</f>
        <v>0</v>
      </c>
      <c r="X409" s="4">
        <f>+R409-V409</f>
        <v>4000</v>
      </c>
      <c r="Y409" s="4">
        <f>+S409-W409</f>
        <v>549357.798165136</v>
      </c>
      <c r="Z409" s="4">
        <f>IFERROR(VLOOKUP(A409,业主统计中间表!A:D,4,FALSE),0)</f>
        <v>0</v>
      </c>
      <c r="AA409" s="4">
        <f>+Z409*H409</f>
        <v>0</v>
      </c>
      <c r="AB409" s="4"/>
    </row>
    <row r="410" customHeight="1" outlineLevel="3" spans="1:28">
      <c r="A410" s="514" t="s">
        <v>2878</v>
      </c>
      <c r="B410" s="4"/>
      <c r="C410" s="510" t="s">
        <v>63</v>
      </c>
      <c r="D410" s="4" t="s">
        <v>1200</v>
      </c>
      <c r="E410" s="4"/>
      <c r="F410" s="4" t="str">
        <f ca="1" t="shared" si="700"/>
        <v>m</v>
      </c>
      <c r="G410" s="4"/>
      <c r="H410" s="4"/>
      <c r="I410" s="4"/>
      <c r="J410" s="4"/>
      <c r="K410" s="4"/>
      <c r="L410" s="517"/>
      <c r="M410" s="4">
        <v>916</v>
      </c>
      <c r="N410" s="4">
        <f ca="1" t="shared" si="701"/>
        <v>35</v>
      </c>
      <c r="O410" s="4">
        <f ca="1" t="shared" ref="O410:O416" si="711">M410*N410</f>
        <v>32060</v>
      </c>
      <c r="P410" s="4"/>
      <c r="Q410" s="4"/>
      <c r="R410" s="4"/>
      <c r="S410" s="4"/>
      <c r="T410" s="4">
        <f ca="1" t="shared" si="702"/>
        <v>0</v>
      </c>
      <c r="U410" s="4">
        <f ca="1" t="shared" si="703"/>
        <v>0</v>
      </c>
      <c r="V410" s="4">
        <f ca="1" t="shared" si="704"/>
        <v>0</v>
      </c>
      <c r="W410" s="4">
        <f ca="1" t="shared" si="705"/>
        <v>0</v>
      </c>
      <c r="X410" s="4">
        <f ca="1" t="shared" si="706"/>
        <v>916</v>
      </c>
      <c r="Y410" s="4">
        <f ca="1" t="shared" si="707"/>
        <v>32060</v>
      </c>
      <c r="Z410" s="4">
        <f ca="1" t="shared" si="708"/>
        <v>0</v>
      </c>
      <c r="AA410" s="4">
        <f ca="1" t="shared" si="709"/>
        <v>0</v>
      </c>
      <c r="AB410" s="4"/>
    </row>
    <row r="411" customHeight="1" outlineLevel="3" spans="1:28">
      <c r="A411" s="514" t="s">
        <v>2879</v>
      </c>
      <c r="B411" s="4"/>
      <c r="C411" s="510" t="s">
        <v>63</v>
      </c>
      <c r="D411" s="4" t="s">
        <v>1201</v>
      </c>
      <c r="E411" s="4"/>
      <c r="F411" s="4" t="str">
        <f ca="1" t="shared" si="700"/>
        <v>m2</v>
      </c>
      <c r="G411" s="4"/>
      <c r="H411" s="4"/>
      <c r="I411" s="4"/>
      <c r="J411" s="4"/>
      <c r="K411" s="4"/>
      <c r="L411" s="517"/>
      <c r="M411" s="4">
        <v>4000</v>
      </c>
      <c r="N411" s="4">
        <f ca="1" t="shared" si="701"/>
        <v>65</v>
      </c>
      <c r="O411" s="4">
        <f ca="1" t="shared" si="711"/>
        <v>260000</v>
      </c>
      <c r="P411" s="4"/>
      <c r="Q411" s="4"/>
      <c r="R411" s="4"/>
      <c r="S411" s="4"/>
      <c r="T411" s="4">
        <f ca="1" t="shared" si="702"/>
        <v>0</v>
      </c>
      <c r="U411" s="4">
        <f ca="1" t="shared" si="703"/>
        <v>0</v>
      </c>
      <c r="V411" s="4">
        <f ca="1" t="shared" si="704"/>
        <v>0</v>
      </c>
      <c r="W411" s="4">
        <f ca="1" t="shared" si="705"/>
        <v>0</v>
      </c>
      <c r="X411" s="4">
        <f ca="1" t="shared" si="706"/>
        <v>4000</v>
      </c>
      <c r="Y411" s="4">
        <f ca="1" t="shared" si="707"/>
        <v>260000</v>
      </c>
      <c r="Z411" s="4">
        <f ca="1" t="shared" si="708"/>
        <v>0</v>
      </c>
      <c r="AA411" s="4">
        <f ca="1" t="shared" si="709"/>
        <v>0</v>
      </c>
      <c r="AB411" s="4"/>
    </row>
    <row r="412" customHeight="1" outlineLevel="3" spans="1:28">
      <c r="A412" s="514" t="s">
        <v>2880</v>
      </c>
      <c r="B412" s="4"/>
      <c r="C412" s="510" t="s">
        <v>59</v>
      </c>
      <c r="D412" s="4" t="s">
        <v>480</v>
      </c>
      <c r="E412" s="4" t="str">
        <f ca="1">"含钢量："&amp;ROUND($M$412/$G$409,3)&amp;$F$412&amp;"/"&amp;$F$409</f>
        <v>含钢量：0.004t/m2</v>
      </c>
      <c r="F412" s="4" t="str">
        <f ca="1" t="shared" si="700"/>
        <v>t</v>
      </c>
      <c r="G412" s="4"/>
      <c r="H412" s="4"/>
      <c r="I412" s="4"/>
      <c r="J412" s="4"/>
      <c r="K412" s="4"/>
      <c r="L412" s="517"/>
      <c r="M412" s="4">
        <v>17.84</v>
      </c>
      <c r="N412" s="4">
        <f ca="1" t="shared" si="701"/>
        <v>4200</v>
      </c>
      <c r="O412" s="4">
        <f ca="1" t="shared" si="711"/>
        <v>74928</v>
      </c>
      <c r="P412" s="4"/>
      <c r="Q412" s="4"/>
      <c r="R412" s="4"/>
      <c r="S412" s="4"/>
      <c r="T412" s="4">
        <f ca="1" t="shared" si="702"/>
        <v>0</v>
      </c>
      <c r="U412" s="4">
        <f ca="1" t="shared" si="703"/>
        <v>0</v>
      </c>
      <c r="V412" s="4">
        <f ca="1" t="shared" si="704"/>
        <v>0</v>
      </c>
      <c r="W412" s="4">
        <f ca="1" t="shared" si="705"/>
        <v>0</v>
      </c>
      <c r="X412" s="4">
        <f ca="1" t="shared" si="706"/>
        <v>17.84</v>
      </c>
      <c r="Y412" s="4">
        <f ca="1" t="shared" si="707"/>
        <v>74928</v>
      </c>
      <c r="Z412" s="4">
        <f ca="1" t="shared" si="708"/>
        <v>0</v>
      </c>
      <c r="AA412" s="4">
        <f ca="1" t="shared" si="709"/>
        <v>0</v>
      </c>
      <c r="AB412" s="4"/>
    </row>
    <row r="413" customHeight="1" outlineLevel="3" spans="1:28">
      <c r="A413" s="514" t="s">
        <v>2881</v>
      </c>
      <c r="B413" s="4"/>
      <c r="C413" s="510" t="s">
        <v>59</v>
      </c>
      <c r="D413" s="4" t="s">
        <v>488</v>
      </c>
      <c r="E413" s="4"/>
      <c r="F413" s="4" t="str">
        <f ca="1" t="shared" si="700"/>
        <v>m3</v>
      </c>
      <c r="G413" s="4"/>
      <c r="H413" s="4"/>
      <c r="I413" s="4"/>
      <c r="J413" s="4"/>
      <c r="K413" s="4"/>
      <c r="L413" s="517"/>
      <c r="M413" s="4">
        <v>423.48</v>
      </c>
      <c r="N413" s="4">
        <f ca="1" t="shared" si="701"/>
        <v>0</v>
      </c>
      <c r="O413" s="4">
        <f ca="1" t="shared" si="711"/>
        <v>0</v>
      </c>
      <c r="P413" s="4"/>
      <c r="Q413" s="4"/>
      <c r="R413" s="4"/>
      <c r="S413" s="4"/>
      <c r="T413" s="4">
        <f ca="1" t="shared" si="702"/>
        <v>0</v>
      </c>
      <c r="U413" s="4">
        <f ca="1" t="shared" si="703"/>
        <v>0</v>
      </c>
      <c r="V413" s="4">
        <f ca="1" t="shared" si="704"/>
        <v>0</v>
      </c>
      <c r="W413" s="4">
        <f ca="1" t="shared" si="705"/>
        <v>0</v>
      </c>
      <c r="X413" s="4">
        <f ca="1" t="shared" si="706"/>
        <v>423.48</v>
      </c>
      <c r="Y413" s="4">
        <f ca="1" t="shared" si="707"/>
        <v>0</v>
      </c>
      <c r="Z413" s="4">
        <f ca="1" t="shared" si="708"/>
        <v>0</v>
      </c>
      <c r="AA413" s="4">
        <f ca="1" t="shared" si="709"/>
        <v>0</v>
      </c>
      <c r="AB413" s="4"/>
    </row>
    <row r="414" customHeight="1" outlineLevel="3" spans="1:28">
      <c r="A414" s="514" t="s">
        <v>2882</v>
      </c>
      <c r="B414" s="4"/>
      <c r="C414" s="510" t="s">
        <v>59</v>
      </c>
      <c r="D414" s="4" t="s">
        <v>239</v>
      </c>
      <c r="E414" s="4"/>
      <c r="F414" s="4" t="str">
        <f ca="1" t="shared" si="700"/>
        <v>m3</v>
      </c>
      <c r="G414" s="4"/>
      <c r="H414" s="4"/>
      <c r="I414" s="4"/>
      <c r="J414" s="4"/>
      <c r="K414" s="4"/>
      <c r="L414" s="517"/>
      <c r="M414" s="4">
        <v>22.01148</v>
      </c>
      <c r="N414" s="4">
        <f ca="1" t="shared" si="701"/>
        <v>244.76592920354</v>
      </c>
      <c r="O414" s="4">
        <f ca="1" t="shared" si="711"/>
        <v>5387.66035534514</v>
      </c>
      <c r="P414" s="4"/>
      <c r="Q414" s="4"/>
      <c r="R414" s="4"/>
      <c r="S414" s="4"/>
      <c r="T414" s="4">
        <f ca="1" t="shared" si="702"/>
        <v>0</v>
      </c>
      <c r="U414" s="4">
        <f ca="1" t="shared" si="703"/>
        <v>0</v>
      </c>
      <c r="V414" s="4">
        <f ca="1" t="shared" si="704"/>
        <v>0</v>
      </c>
      <c r="W414" s="4">
        <f ca="1" t="shared" si="705"/>
        <v>0</v>
      </c>
      <c r="X414" s="4">
        <f ca="1" t="shared" si="706"/>
        <v>22.01148</v>
      </c>
      <c r="Y414" s="4">
        <f ca="1" t="shared" si="707"/>
        <v>5387.66035534514</v>
      </c>
      <c r="Z414" s="4">
        <f ca="1" t="shared" si="708"/>
        <v>0</v>
      </c>
      <c r="AA414" s="4">
        <f ca="1" t="shared" si="709"/>
        <v>0</v>
      </c>
      <c r="AB414" s="4"/>
    </row>
    <row r="415" customHeight="1" outlineLevel="3" spans="1:28">
      <c r="A415" s="514" t="s">
        <v>2883</v>
      </c>
      <c r="B415" s="4"/>
      <c r="C415" s="510" t="s">
        <v>65</v>
      </c>
      <c r="D415" s="4" t="s">
        <v>708</v>
      </c>
      <c r="E415" s="4"/>
      <c r="F415" s="4" t="str">
        <f ca="1" t="shared" si="700"/>
        <v>m</v>
      </c>
      <c r="G415" s="4"/>
      <c r="H415" s="4"/>
      <c r="I415" s="4"/>
      <c r="J415" s="4"/>
      <c r="K415" s="4"/>
      <c r="L415" s="517"/>
      <c r="M415" s="4">
        <v>500</v>
      </c>
      <c r="N415" s="4">
        <f ca="1" t="shared" si="701"/>
        <v>300</v>
      </c>
      <c r="O415" s="4">
        <f ca="1" t="shared" si="711"/>
        <v>150000</v>
      </c>
      <c r="P415" s="4"/>
      <c r="Q415" s="4"/>
      <c r="R415" s="4"/>
      <c r="S415" s="4"/>
      <c r="T415" s="4">
        <f ca="1" t="shared" si="702"/>
        <v>0</v>
      </c>
      <c r="U415" s="4">
        <f ca="1" t="shared" si="703"/>
        <v>0</v>
      </c>
      <c r="V415" s="4">
        <f ca="1" t="shared" si="704"/>
        <v>0</v>
      </c>
      <c r="W415" s="4">
        <f ca="1" t="shared" si="705"/>
        <v>0</v>
      </c>
      <c r="X415" s="4">
        <f ca="1" t="shared" si="706"/>
        <v>500</v>
      </c>
      <c r="Y415" s="4">
        <f ca="1" t="shared" si="707"/>
        <v>150000</v>
      </c>
      <c r="Z415" s="4">
        <f ca="1" t="shared" si="708"/>
        <v>0</v>
      </c>
      <c r="AA415" s="4">
        <f ca="1" t="shared" si="709"/>
        <v>0</v>
      </c>
      <c r="AB415" s="4"/>
    </row>
    <row r="416" customHeight="1" outlineLevel="3" spans="1:28">
      <c r="A416" s="514" t="s">
        <v>2884</v>
      </c>
      <c r="B416" s="4"/>
      <c r="C416" s="510" t="s">
        <v>59</v>
      </c>
      <c r="D416" s="4" t="s">
        <v>389</v>
      </c>
      <c r="E416" s="4" t="str">
        <f ca="1">"含钢量："&amp;ROUND($M$416/$G$409,3)&amp;$F$416&amp;"/"&amp;$F$409</f>
        <v>含钢量：0.002t/m2</v>
      </c>
      <c r="F416" s="4" t="str">
        <f ca="1" t="shared" si="700"/>
        <v>t</v>
      </c>
      <c r="G416" s="4"/>
      <c r="H416" s="4"/>
      <c r="I416" s="4"/>
      <c r="J416" s="4"/>
      <c r="K416" s="4"/>
      <c r="L416" s="517"/>
      <c r="M416" s="4">
        <v>8.24</v>
      </c>
      <c r="N416" s="4">
        <f ca="1" t="shared" si="701"/>
        <v>5000</v>
      </c>
      <c r="O416" s="4">
        <f ca="1" t="shared" si="711"/>
        <v>41200</v>
      </c>
      <c r="P416" s="4"/>
      <c r="Q416" s="4"/>
      <c r="R416" s="4"/>
      <c r="S416" s="4"/>
      <c r="T416" s="4">
        <f ca="1" t="shared" si="702"/>
        <v>0</v>
      </c>
      <c r="U416" s="4">
        <f ca="1" t="shared" si="703"/>
        <v>0</v>
      </c>
      <c r="V416" s="4">
        <f ca="1" t="shared" si="704"/>
        <v>0</v>
      </c>
      <c r="W416" s="4">
        <f ca="1" t="shared" si="705"/>
        <v>0</v>
      </c>
      <c r="X416" s="4">
        <f ca="1" t="shared" si="706"/>
        <v>8.24</v>
      </c>
      <c r="Y416" s="4">
        <f ca="1" t="shared" si="707"/>
        <v>41200</v>
      </c>
      <c r="Z416" s="4">
        <f ca="1" t="shared" si="708"/>
        <v>0</v>
      </c>
      <c r="AA416" s="4">
        <f ca="1" t="shared" si="709"/>
        <v>0</v>
      </c>
      <c r="AB416" s="4"/>
    </row>
    <row r="417" customHeight="1" outlineLevel="1" spans="1:28">
      <c r="A417" s="518" t="s">
        <v>2885</v>
      </c>
      <c r="B417" s="4"/>
      <c r="C417" s="510" t="s">
        <v>60</v>
      </c>
      <c r="D417" s="4" t="s">
        <v>2886</v>
      </c>
      <c r="E417" s="4"/>
      <c r="F417" s="4"/>
      <c r="G417" s="4"/>
      <c r="H417" s="4"/>
      <c r="I417" s="4">
        <f>(+I418+I420)</f>
        <v>543172.052293578</v>
      </c>
      <c r="J417" s="4"/>
      <c r="K417" s="4"/>
      <c r="L417" s="517">
        <f>(+L418+L420)</f>
        <v>543172.052293578</v>
      </c>
      <c r="M417" s="4"/>
      <c r="N417" s="4"/>
      <c r="O417" s="4">
        <f ca="1">(+O418+O420)</f>
        <v>408554.589</v>
      </c>
      <c r="P417" s="4"/>
      <c r="Q417" s="4"/>
      <c r="R417" s="4"/>
      <c r="S417" s="4"/>
      <c r="T417" s="4"/>
      <c r="U417" s="4"/>
      <c r="V417" s="4"/>
      <c r="W417" s="4"/>
      <c r="X417" s="4"/>
      <c r="Y417" s="4"/>
      <c r="Z417" s="4"/>
      <c r="AA417" s="4"/>
      <c r="AB417" s="4"/>
    </row>
    <row r="418" customHeight="1" outlineLevel="2" spans="1:28">
      <c r="A418" s="515" t="s">
        <v>2887</v>
      </c>
      <c r="B418" s="4"/>
      <c r="C418" s="510" t="s">
        <v>1309</v>
      </c>
      <c r="D418" s="4" t="s">
        <v>2684</v>
      </c>
      <c r="E418" s="4" t="s">
        <v>2685</v>
      </c>
      <c r="F418" s="4" t="s">
        <v>72</v>
      </c>
      <c r="G418" s="4">
        <v>35012</v>
      </c>
      <c r="H418" s="4">
        <v>10.8348623853211</v>
      </c>
      <c r="I418" s="4">
        <f>G418*H418</f>
        <v>379350.201834862</v>
      </c>
      <c r="J418" s="4">
        <f t="shared" ref="J418:L418" si="712">+G418</f>
        <v>35012</v>
      </c>
      <c r="K418" s="4">
        <f t="shared" si="712"/>
        <v>10.8348623853211</v>
      </c>
      <c r="L418" s="517">
        <f t="shared" si="712"/>
        <v>379350.201834862</v>
      </c>
      <c r="M418" s="4">
        <v>35012</v>
      </c>
      <c r="N418" s="4">
        <f ca="1" t="shared" ref="N418:N423" si="713">O418/M418</f>
        <v>7.5</v>
      </c>
      <c r="O418" s="4">
        <f ca="1">(+O419)</f>
        <v>262590</v>
      </c>
      <c r="P418" s="4"/>
      <c r="Q418" s="4"/>
      <c r="R418" s="4">
        <f t="shared" ref="R418:R423" si="714">+P418+J418</f>
        <v>35012</v>
      </c>
      <c r="S418" s="4">
        <f t="shared" ref="S418:S423" si="715">+Q418+L418</f>
        <v>379350.201834862</v>
      </c>
      <c r="T418" s="4">
        <f>IFERROR(VLOOKUP(A418,产值统计中间表!A:F,7,FALSE),0)</f>
        <v>0</v>
      </c>
      <c r="U418" s="4">
        <f t="shared" ref="U418:U423" si="716">+T418*H418</f>
        <v>0</v>
      </c>
      <c r="V418" s="4">
        <f>IFERROR(VLOOKUP(A418,产值统计中间表!A:D,4,FALSE),0)</f>
        <v>0</v>
      </c>
      <c r="W418" s="4">
        <f t="shared" ref="W418:W423" si="717">+V418*H418</f>
        <v>0</v>
      </c>
      <c r="X418" s="4">
        <f t="shared" ref="X418:X423" si="718">+R418-V418</f>
        <v>35012</v>
      </c>
      <c r="Y418" s="4">
        <f t="shared" ref="Y418:Y423" si="719">+S418-W418</f>
        <v>379350.201834862</v>
      </c>
      <c r="Z418" s="4">
        <f>IFERROR(VLOOKUP(A418,业主统计中间表!A:D,4,FALSE),0)</f>
        <v>0</v>
      </c>
      <c r="AA418" s="4">
        <f t="shared" ref="AA418:AA423" si="720">+Z418*H418</f>
        <v>0</v>
      </c>
      <c r="AB418" s="4"/>
    </row>
    <row r="419" customHeight="1" outlineLevel="3" spans="1:28">
      <c r="A419" s="514" t="s">
        <v>2888</v>
      </c>
      <c r="B419" s="4"/>
      <c r="C419" s="510" t="s">
        <v>63</v>
      </c>
      <c r="D419" s="4" t="s">
        <v>1202</v>
      </c>
      <c r="E419" s="4"/>
      <c r="F419" s="4" t="str">
        <f ca="1" t="shared" ref="F419:F425" si="721">VLOOKUP($D419,INDIRECT($C419),2,0)</f>
        <v>m3</v>
      </c>
      <c r="G419" s="4"/>
      <c r="H419" s="4"/>
      <c r="I419" s="4"/>
      <c r="J419" s="4"/>
      <c r="K419" s="4"/>
      <c r="L419" s="517"/>
      <c r="M419" s="4">
        <f>+G418</f>
        <v>35012</v>
      </c>
      <c r="N419" s="4">
        <f ca="1">VLOOKUP($D419,INDIRECT($C419),3,0)</f>
        <v>7.5</v>
      </c>
      <c r="O419" s="4">
        <f ca="1">M419*N419</f>
        <v>262590</v>
      </c>
      <c r="P419" s="4"/>
      <c r="Q419" s="4"/>
      <c r="R419" s="4"/>
      <c r="S419" s="4"/>
      <c r="T419" s="4">
        <f ca="1" t="shared" ref="T419:T425" si="722">OFFSET(T419,-RIGHT($A419,LEN($A$6)),,1,1)/OFFSET(T419,-RIGHT($A419,LEN($A$6)),-13,1,1)*$M419</f>
        <v>0</v>
      </c>
      <c r="U419" s="4">
        <f ca="1" t="shared" ref="U419:U425" si="723">+$N419*T419</f>
        <v>0</v>
      </c>
      <c r="V419" s="4">
        <f ca="1" t="shared" ref="V419:V425" si="724">OFFSET(V419,-RIGHT($A419,LEN($A$6)),,1,1)/OFFSET(V419,-RIGHT($A419,LEN($A$6)),-15,1,1)*$M419</f>
        <v>0</v>
      </c>
      <c r="W419" s="4">
        <f ca="1" t="shared" ref="W419:W425" si="725">+$N419*V419</f>
        <v>0</v>
      </c>
      <c r="X419" s="4">
        <f ca="1" t="shared" ref="X419:X425" si="726">+M419-V419</f>
        <v>35012</v>
      </c>
      <c r="Y419" s="4">
        <f ca="1" t="shared" ref="Y419:Y425" si="727">+O419-W419</f>
        <v>262590</v>
      </c>
      <c r="Z419" s="4">
        <f ca="1" t="shared" ref="Z419:Z425" si="728">OFFSET(Z419,-RIGHT($A419,LEN($A$6)),,1,1)/OFFSET(Z419,-RIGHT($A419,LEN($A$6)),-19,1,1)*$M419</f>
        <v>0</v>
      </c>
      <c r="AA419" s="4">
        <f ca="1" t="shared" ref="AA419:AA425" si="729">+$N419*Z419</f>
        <v>0</v>
      </c>
      <c r="AB419" s="4"/>
    </row>
    <row r="420" customHeight="1" outlineLevel="2" spans="1:28">
      <c r="A420" s="515" t="s">
        <v>2889</v>
      </c>
      <c r="B420" s="4"/>
      <c r="C420" s="510" t="s">
        <v>1309</v>
      </c>
      <c r="D420" s="4" t="s">
        <v>2691</v>
      </c>
      <c r="E420" s="4" t="s">
        <v>2692</v>
      </c>
      <c r="F420" s="4" t="s">
        <v>72</v>
      </c>
      <c r="G420" s="4">
        <v>24697.9</v>
      </c>
      <c r="H420" s="4">
        <v>6.63302752293578</v>
      </c>
      <c r="I420" s="4">
        <f>G420*H420</f>
        <v>163821.850458716</v>
      </c>
      <c r="J420" s="4">
        <f t="shared" ref="J420:L420" si="730">+G420</f>
        <v>24697.9</v>
      </c>
      <c r="K420" s="4">
        <f t="shared" si="730"/>
        <v>6.63302752293578</v>
      </c>
      <c r="L420" s="517">
        <f t="shared" si="730"/>
        <v>163821.850458716</v>
      </c>
      <c r="M420" s="4">
        <v>24697.9</v>
      </c>
      <c r="N420" s="4">
        <f ca="1" t="shared" si="713"/>
        <v>5.91</v>
      </c>
      <c r="O420" s="4">
        <f ca="1">(+O421)</f>
        <v>145964.589</v>
      </c>
      <c r="P420" s="4"/>
      <c r="Q420" s="4"/>
      <c r="R420" s="4">
        <f t="shared" si="714"/>
        <v>24697.9</v>
      </c>
      <c r="S420" s="4">
        <f t="shared" si="715"/>
        <v>163821.850458716</v>
      </c>
      <c r="T420" s="4">
        <f>IFERROR(VLOOKUP(A420,产值统计中间表!A:F,7,FALSE),0)</f>
        <v>0</v>
      </c>
      <c r="U420" s="4">
        <f t="shared" si="716"/>
        <v>0</v>
      </c>
      <c r="V420" s="4">
        <f>IFERROR(VLOOKUP(A420,产值统计中间表!A:D,4,FALSE),0)</f>
        <v>0</v>
      </c>
      <c r="W420" s="4">
        <f t="shared" si="717"/>
        <v>0</v>
      </c>
      <c r="X420" s="4">
        <f t="shared" si="718"/>
        <v>24697.9</v>
      </c>
      <c r="Y420" s="4">
        <f t="shared" si="719"/>
        <v>163821.850458716</v>
      </c>
      <c r="Z420" s="4">
        <f>IFERROR(VLOOKUP(A420,业主统计中间表!A:D,4,FALSE),0)</f>
        <v>0</v>
      </c>
      <c r="AA420" s="4">
        <f t="shared" si="720"/>
        <v>0</v>
      </c>
      <c r="AB420" s="4"/>
    </row>
    <row r="421" customHeight="1" outlineLevel="3" spans="1:28">
      <c r="A421" s="514" t="s">
        <v>2890</v>
      </c>
      <c r="B421" s="4"/>
      <c r="C421" s="510" t="s">
        <v>63</v>
      </c>
      <c r="D421" s="4" t="s">
        <v>801</v>
      </c>
      <c r="E421" s="4"/>
      <c r="F421" s="4" t="str">
        <f ca="1" t="shared" si="721"/>
        <v>m3</v>
      </c>
      <c r="G421" s="4"/>
      <c r="H421" s="4"/>
      <c r="I421" s="4"/>
      <c r="J421" s="4"/>
      <c r="K421" s="4"/>
      <c r="L421" s="517"/>
      <c r="M421" s="4">
        <f>+G420</f>
        <v>24697.9</v>
      </c>
      <c r="N421" s="4">
        <f ca="1">VLOOKUP($D421,INDIRECT($C421),3,0)</f>
        <v>5.91</v>
      </c>
      <c r="O421" s="4">
        <f ca="1">M421*N421</f>
        <v>145964.589</v>
      </c>
      <c r="P421" s="4"/>
      <c r="Q421" s="4"/>
      <c r="R421" s="4"/>
      <c r="S421" s="4"/>
      <c r="T421" s="4">
        <f ca="1" t="shared" si="722"/>
        <v>0</v>
      </c>
      <c r="U421" s="4">
        <f ca="1" t="shared" si="723"/>
        <v>0</v>
      </c>
      <c r="V421" s="4">
        <f ca="1" t="shared" si="724"/>
        <v>0</v>
      </c>
      <c r="W421" s="4">
        <f ca="1" t="shared" si="725"/>
        <v>0</v>
      </c>
      <c r="X421" s="4">
        <f ca="1" t="shared" si="726"/>
        <v>24697.9</v>
      </c>
      <c r="Y421" s="4">
        <f ca="1" t="shared" si="727"/>
        <v>145964.589</v>
      </c>
      <c r="Z421" s="4">
        <f ca="1" t="shared" si="728"/>
        <v>0</v>
      </c>
      <c r="AA421" s="4">
        <f ca="1" t="shared" si="729"/>
        <v>0</v>
      </c>
      <c r="AB421" s="4"/>
    </row>
    <row r="422" customHeight="1" outlineLevel="1" spans="1:28">
      <c r="A422" s="518" t="s">
        <v>2891</v>
      </c>
      <c r="B422" s="4"/>
      <c r="C422" s="510" t="s">
        <v>60</v>
      </c>
      <c r="D422" s="4" t="s">
        <v>2892</v>
      </c>
      <c r="E422" s="4"/>
      <c r="F422" s="4"/>
      <c r="G422" s="4"/>
      <c r="H422" s="4"/>
      <c r="I422" s="4">
        <f>(+I423+I426+I431+I436+I438+I442+I452+I471+I480+I483)</f>
        <v>950881.061009175</v>
      </c>
      <c r="J422" s="4"/>
      <c r="K422" s="4"/>
      <c r="L422" s="517">
        <f>(+L423+L426+L431+L436+L438+L442+L452+L471+L480+L483)</f>
        <v>950881.061009175</v>
      </c>
      <c r="M422" s="4"/>
      <c r="N422" s="4"/>
      <c r="O422" s="4">
        <f ca="1">(+O423+O426+O431+O436+O438+O442+O452+O471+O480+O483)</f>
        <v>851296.15677411</v>
      </c>
      <c r="P422" s="4"/>
      <c r="Q422" s="4"/>
      <c r="R422" s="4"/>
      <c r="S422" s="4"/>
      <c r="T422" s="4"/>
      <c r="U422" s="4"/>
      <c r="V422" s="4"/>
      <c r="W422" s="4"/>
      <c r="X422" s="4"/>
      <c r="Y422" s="4"/>
      <c r="Z422" s="4"/>
      <c r="AA422" s="4"/>
      <c r="AB422" s="4"/>
    </row>
    <row r="423" customHeight="1" outlineLevel="2" spans="1:28">
      <c r="A423" s="515" t="s">
        <v>2893</v>
      </c>
      <c r="B423" s="4"/>
      <c r="C423" s="510" t="s">
        <v>1309</v>
      </c>
      <c r="D423" s="4" t="s">
        <v>2894</v>
      </c>
      <c r="E423" s="4" t="s">
        <v>2651</v>
      </c>
      <c r="F423" s="4" t="s">
        <v>69</v>
      </c>
      <c r="G423" s="4">
        <v>1141</v>
      </c>
      <c r="H423" s="4">
        <v>21.1284403669725</v>
      </c>
      <c r="I423" s="4">
        <f>G423*H423</f>
        <v>24107.5504587156</v>
      </c>
      <c r="J423" s="4">
        <f t="shared" ref="J423:L423" si="731">+G423</f>
        <v>1141</v>
      </c>
      <c r="K423" s="4">
        <f t="shared" si="731"/>
        <v>21.1284403669725</v>
      </c>
      <c r="L423" s="517">
        <f t="shared" si="731"/>
        <v>24107.5504587156</v>
      </c>
      <c r="M423" s="4">
        <v>1141</v>
      </c>
      <c r="N423" s="4">
        <f ca="1" t="shared" si="713"/>
        <v>30.5690359333918</v>
      </c>
      <c r="O423" s="4">
        <f ca="1">(+O424+O425)</f>
        <v>34879.27</v>
      </c>
      <c r="P423" s="4"/>
      <c r="Q423" s="4"/>
      <c r="R423" s="4">
        <f t="shared" si="714"/>
        <v>1141</v>
      </c>
      <c r="S423" s="4">
        <f t="shared" si="715"/>
        <v>24107.5504587156</v>
      </c>
      <c r="T423" s="4">
        <f>IFERROR(VLOOKUP(A423,产值统计中间表!A:F,7,FALSE),0)</f>
        <v>0</v>
      </c>
      <c r="U423" s="4">
        <f t="shared" si="716"/>
        <v>0</v>
      </c>
      <c r="V423" s="4">
        <f>IFERROR(VLOOKUP(A423,产值统计中间表!A:D,4,FALSE),0)</f>
        <v>0</v>
      </c>
      <c r="W423" s="4">
        <f t="shared" si="717"/>
        <v>0</v>
      </c>
      <c r="X423" s="4">
        <f t="shared" si="718"/>
        <v>1141</v>
      </c>
      <c r="Y423" s="4">
        <f t="shared" si="719"/>
        <v>24107.5504587156</v>
      </c>
      <c r="Z423" s="4">
        <f>IFERROR(VLOOKUP(A423,业主统计中间表!A:D,4,FALSE),0)</f>
        <v>0</v>
      </c>
      <c r="AA423" s="4">
        <f t="shared" si="720"/>
        <v>0</v>
      </c>
      <c r="AB423" s="4"/>
    </row>
    <row r="424" customHeight="1" outlineLevel="3" spans="1:28">
      <c r="A424" s="514" t="s">
        <v>2895</v>
      </c>
      <c r="B424" s="4"/>
      <c r="C424" s="510" t="s">
        <v>63</v>
      </c>
      <c r="D424" s="4" t="s">
        <v>1203</v>
      </c>
      <c r="E424" s="4"/>
      <c r="F424" s="4" t="str">
        <f ca="1" t="shared" si="721"/>
        <v>m3</v>
      </c>
      <c r="G424" s="4"/>
      <c r="H424" s="4"/>
      <c r="I424" s="4"/>
      <c r="J424" s="4"/>
      <c r="K424" s="4"/>
      <c r="L424" s="517"/>
      <c r="M424" s="4">
        <v>912.8</v>
      </c>
      <c r="N424" s="4">
        <v>32.3</v>
      </c>
      <c r="O424" s="4">
        <f>M424*N424</f>
        <v>29483.44</v>
      </c>
      <c r="P424" s="4"/>
      <c r="Q424" s="4"/>
      <c r="R424" s="4"/>
      <c r="S424" s="4"/>
      <c r="T424" s="4">
        <f ca="1" t="shared" si="722"/>
        <v>0</v>
      </c>
      <c r="U424" s="4">
        <f ca="1" t="shared" si="723"/>
        <v>0</v>
      </c>
      <c r="V424" s="4">
        <f ca="1" t="shared" si="724"/>
        <v>0</v>
      </c>
      <c r="W424" s="4">
        <f ca="1" t="shared" si="725"/>
        <v>0</v>
      </c>
      <c r="X424" s="4">
        <f ca="1" t="shared" si="726"/>
        <v>912.8</v>
      </c>
      <c r="Y424" s="4">
        <f ca="1" t="shared" si="727"/>
        <v>29483.44</v>
      </c>
      <c r="Z424" s="4">
        <f ca="1" t="shared" si="728"/>
        <v>0</v>
      </c>
      <c r="AA424" s="4">
        <f ca="1" t="shared" si="729"/>
        <v>0</v>
      </c>
      <c r="AB424" s="4"/>
    </row>
    <row r="425" customHeight="1" outlineLevel="3" spans="1:28">
      <c r="A425" s="514" t="s">
        <v>2896</v>
      </c>
      <c r="B425" s="4"/>
      <c r="C425" s="510" t="s">
        <v>63</v>
      </c>
      <c r="D425" s="4" t="s">
        <v>801</v>
      </c>
      <c r="E425" s="4"/>
      <c r="F425" s="4" t="str">
        <f ca="1" t="shared" si="721"/>
        <v>m3</v>
      </c>
      <c r="G425" s="4"/>
      <c r="H425" s="4"/>
      <c r="I425" s="4"/>
      <c r="J425" s="4"/>
      <c r="K425" s="4"/>
      <c r="L425" s="517"/>
      <c r="M425" s="4">
        <v>913</v>
      </c>
      <c r="N425" s="4">
        <f ca="1" t="shared" ref="N425:N429" si="732">VLOOKUP($D425,INDIRECT($C425),3,0)</f>
        <v>5.91</v>
      </c>
      <c r="O425" s="4">
        <f ca="1">M425*N425</f>
        <v>5395.83</v>
      </c>
      <c r="P425" s="4"/>
      <c r="Q425" s="4"/>
      <c r="R425" s="4"/>
      <c r="S425" s="4"/>
      <c r="T425" s="4">
        <f ca="1" t="shared" si="722"/>
        <v>0</v>
      </c>
      <c r="U425" s="4">
        <f ca="1" t="shared" si="723"/>
        <v>0</v>
      </c>
      <c r="V425" s="4">
        <f ca="1" t="shared" si="724"/>
        <v>0</v>
      </c>
      <c r="W425" s="4">
        <f ca="1" t="shared" si="725"/>
        <v>0</v>
      </c>
      <c r="X425" s="4">
        <f ca="1" t="shared" si="726"/>
        <v>913</v>
      </c>
      <c r="Y425" s="4">
        <f ca="1" t="shared" si="727"/>
        <v>5395.83</v>
      </c>
      <c r="Z425" s="4">
        <f ca="1" t="shared" si="728"/>
        <v>0</v>
      </c>
      <c r="AA425" s="4">
        <f ca="1" t="shared" si="729"/>
        <v>0</v>
      </c>
      <c r="AB425" s="4"/>
    </row>
    <row r="426" customHeight="1" outlineLevel="2" spans="1:28">
      <c r="A426" s="515" t="s">
        <v>2897</v>
      </c>
      <c r="B426" s="4"/>
      <c r="C426" s="510" t="s">
        <v>1309</v>
      </c>
      <c r="D426" s="4" t="s">
        <v>2898</v>
      </c>
      <c r="E426" s="4" t="s">
        <v>2697</v>
      </c>
      <c r="F426" s="4" t="s">
        <v>76</v>
      </c>
      <c r="G426" s="4">
        <v>150</v>
      </c>
      <c r="H426" s="4">
        <v>45.7155963302752</v>
      </c>
      <c r="I426" s="4">
        <f>G426*H426</f>
        <v>6857.33944954128</v>
      </c>
      <c r="J426" s="4">
        <f t="shared" ref="J426:L426" si="733">+G426</f>
        <v>150</v>
      </c>
      <c r="K426" s="4">
        <f t="shared" si="733"/>
        <v>45.7155963302752</v>
      </c>
      <c r="L426" s="517">
        <f t="shared" si="733"/>
        <v>6857.33944954128</v>
      </c>
      <c r="M426" s="4">
        <v>150</v>
      </c>
      <c r="N426" s="4">
        <f ca="1">O426/M426</f>
        <v>111.130848</v>
      </c>
      <c r="O426" s="4">
        <f ca="1">(+O427+O428+O429+O430)</f>
        <v>16669.6272</v>
      </c>
      <c r="P426" s="4"/>
      <c r="Q426" s="4"/>
      <c r="R426" s="4">
        <f>+P426+J426</f>
        <v>150</v>
      </c>
      <c r="S426" s="4">
        <f>+Q426+L426</f>
        <v>6857.33944954128</v>
      </c>
      <c r="T426" s="4">
        <f>IFERROR(VLOOKUP(A426,产值统计中间表!A:F,7,FALSE),0)</f>
        <v>0</v>
      </c>
      <c r="U426" s="4">
        <f>+T426*H426</f>
        <v>0</v>
      </c>
      <c r="V426" s="4">
        <f>IFERROR(VLOOKUP(A426,产值统计中间表!A:D,4,FALSE),0)</f>
        <v>0</v>
      </c>
      <c r="W426" s="4">
        <f>+V426*H426</f>
        <v>0</v>
      </c>
      <c r="X426" s="4">
        <f>+R426-V426</f>
        <v>150</v>
      </c>
      <c r="Y426" s="4">
        <f>+S426-W426</f>
        <v>6857.33944954128</v>
      </c>
      <c r="Z426" s="4">
        <f>IFERROR(VLOOKUP(A426,业主统计中间表!A:D,4,FALSE),0)</f>
        <v>0</v>
      </c>
      <c r="AA426" s="4">
        <f>+Z426*H426</f>
        <v>0</v>
      </c>
      <c r="AB426" s="4"/>
    </row>
    <row r="427" customHeight="1" outlineLevel="3" spans="1:28">
      <c r="A427" s="514" t="s">
        <v>2899</v>
      </c>
      <c r="B427" s="4"/>
      <c r="C427" s="510" t="s">
        <v>64</v>
      </c>
      <c r="D427" s="4" t="s">
        <v>248</v>
      </c>
      <c r="E427" s="4"/>
      <c r="F427" s="4" t="str">
        <f ca="1" t="shared" ref="F427:F430" si="734">VLOOKUP($D427,INDIRECT($C427),2,0)</f>
        <v>m2</v>
      </c>
      <c r="G427" s="4"/>
      <c r="H427" s="4"/>
      <c r="I427" s="4"/>
      <c r="J427" s="4"/>
      <c r="K427" s="4"/>
      <c r="L427" s="517"/>
      <c r="M427" s="4">
        <v>345</v>
      </c>
      <c r="N427" s="4">
        <f ca="1" t="shared" si="732"/>
        <v>10</v>
      </c>
      <c r="O427" s="4">
        <f ca="1">M427*N427</f>
        <v>3450</v>
      </c>
      <c r="P427" s="4"/>
      <c r="Q427" s="4"/>
      <c r="R427" s="4"/>
      <c r="S427" s="4"/>
      <c r="T427" s="4">
        <f ca="1" t="shared" ref="T427:T430" si="735">OFFSET(T427,-RIGHT($A427,LEN($A$6)),,1,1)/OFFSET(T427,-RIGHT($A427,LEN($A$6)),-13,1,1)*$M427</f>
        <v>0</v>
      </c>
      <c r="U427" s="4">
        <f ca="1" t="shared" ref="U427:U430" si="736">+$N427*T427</f>
        <v>0</v>
      </c>
      <c r="V427" s="4">
        <f ca="1" t="shared" ref="V427:V430" si="737">OFFSET(V427,-RIGHT($A427,LEN($A$6)),,1,1)/OFFSET(V427,-RIGHT($A427,LEN($A$6)),-15,1,1)*$M427</f>
        <v>0</v>
      </c>
      <c r="W427" s="4">
        <f ca="1" t="shared" ref="W427:W430" si="738">+$N427*V427</f>
        <v>0</v>
      </c>
      <c r="X427" s="4">
        <f ca="1" t="shared" ref="X427:X430" si="739">+M427-V427</f>
        <v>345</v>
      </c>
      <c r="Y427" s="4">
        <f ca="1" t="shared" ref="Y427:Y430" si="740">+O427-W427</f>
        <v>3450</v>
      </c>
      <c r="Z427" s="4">
        <f ca="1" t="shared" ref="Z427:Z430" si="741">OFFSET(Z427,-RIGHT($A427,LEN($A$6)),,1,1)/OFFSET(Z427,-RIGHT($A427,LEN($A$6)),-19,1,1)*$M427</f>
        <v>0</v>
      </c>
      <c r="AA427" s="4">
        <f ca="1" t="shared" ref="AA427:AA430" si="742">+$N427*Z427</f>
        <v>0</v>
      </c>
      <c r="AB427" s="4"/>
    </row>
    <row r="428" customHeight="1" outlineLevel="3" spans="1:28">
      <c r="A428" s="514" t="s">
        <v>2900</v>
      </c>
      <c r="B428" s="4"/>
      <c r="C428" s="510" t="s">
        <v>59</v>
      </c>
      <c r="D428" s="4" t="s">
        <v>1044</v>
      </c>
      <c r="E428" s="4"/>
      <c r="F428" s="4" t="str">
        <f ca="1" t="shared" si="734"/>
        <v>m3</v>
      </c>
      <c r="G428" s="4"/>
      <c r="H428" s="4"/>
      <c r="I428" s="4"/>
      <c r="J428" s="4"/>
      <c r="K428" s="4"/>
      <c r="L428" s="517"/>
      <c r="M428" s="4">
        <v>16.6704</v>
      </c>
      <c r="N428" s="4">
        <f ca="1" t="shared" si="732"/>
        <v>0</v>
      </c>
      <c r="O428" s="4">
        <f ca="1">M428*N428</f>
        <v>0</v>
      </c>
      <c r="P428" s="4"/>
      <c r="Q428" s="4"/>
      <c r="R428" s="4"/>
      <c r="S428" s="4"/>
      <c r="T428" s="4">
        <f ca="1" t="shared" si="735"/>
        <v>0</v>
      </c>
      <c r="U428" s="4">
        <f ca="1" t="shared" si="736"/>
        <v>0</v>
      </c>
      <c r="V428" s="4">
        <f ca="1" t="shared" si="737"/>
        <v>0</v>
      </c>
      <c r="W428" s="4">
        <f ca="1" t="shared" si="738"/>
        <v>0</v>
      </c>
      <c r="X428" s="4">
        <f ca="1" t="shared" si="739"/>
        <v>16.6704</v>
      </c>
      <c r="Y428" s="4">
        <f ca="1" t="shared" si="740"/>
        <v>0</v>
      </c>
      <c r="Z428" s="4">
        <f ca="1" t="shared" si="741"/>
        <v>0</v>
      </c>
      <c r="AA428" s="4">
        <f ca="1" t="shared" si="742"/>
        <v>0</v>
      </c>
      <c r="AB428" s="4"/>
    </row>
    <row r="429" customHeight="1" outlineLevel="3" spans="1:28">
      <c r="A429" s="514" t="s">
        <v>2901</v>
      </c>
      <c r="B429" s="4"/>
      <c r="C429" s="510" t="s">
        <v>64</v>
      </c>
      <c r="D429" s="4" t="s">
        <v>564</v>
      </c>
      <c r="E429" s="4"/>
      <c r="F429" s="4" t="str">
        <f ca="1" t="shared" si="734"/>
        <v>m3</v>
      </c>
      <c r="G429" s="4"/>
      <c r="H429" s="4"/>
      <c r="I429" s="4"/>
      <c r="J429" s="4"/>
      <c r="K429" s="4"/>
      <c r="L429" s="517"/>
      <c r="M429" s="4">
        <v>16.6704</v>
      </c>
      <c r="N429" s="4">
        <f ca="1" t="shared" si="732"/>
        <v>700</v>
      </c>
      <c r="O429" s="4">
        <f ca="1">M429*N429</f>
        <v>11669.28</v>
      </c>
      <c r="P429" s="4"/>
      <c r="Q429" s="4"/>
      <c r="R429" s="4"/>
      <c r="S429" s="4"/>
      <c r="T429" s="4">
        <f ca="1" t="shared" si="735"/>
        <v>0</v>
      </c>
      <c r="U429" s="4">
        <f ca="1" t="shared" si="736"/>
        <v>0</v>
      </c>
      <c r="V429" s="4">
        <f ca="1" t="shared" si="737"/>
        <v>0</v>
      </c>
      <c r="W429" s="4">
        <f ca="1" t="shared" si="738"/>
        <v>0</v>
      </c>
      <c r="X429" s="4">
        <f ca="1" t="shared" si="739"/>
        <v>16.6704</v>
      </c>
      <c r="Y429" s="4">
        <f ca="1" t="shared" si="740"/>
        <v>11669.28</v>
      </c>
      <c r="Z429" s="4">
        <f ca="1" t="shared" si="741"/>
        <v>0</v>
      </c>
      <c r="AA429" s="4">
        <f ca="1" t="shared" si="742"/>
        <v>0</v>
      </c>
      <c r="AB429" s="4"/>
    </row>
    <row r="430" customHeight="1" outlineLevel="3" spans="1:28">
      <c r="A430" s="514" t="s">
        <v>2902</v>
      </c>
      <c r="B430" s="4"/>
      <c r="C430" s="510" t="s">
        <v>59</v>
      </c>
      <c r="D430" s="4" t="s">
        <v>1047</v>
      </c>
      <c r="E430" s="4"/>
      <c r="F430" s="4" t="str">
        <f ca="1" t="shared" si="734"/>
        <v>m3</v>
      </c>
      <c r="G430" s="4"/>
      <c r="H430" s="4"/>
      <c r="I430" s="4"/>
      <c r="J430" s="4"/>
      <c r="K430" s="4"/>
      <c r="L430" s="517"/>
      <c r="M430" s="4">
        <v>16.6704</v>
      </c>
      <c r="N430" s="4">
        <v>93</v>
      </c>
      <c r="O430" s="4">
        <f>M430*N430</f>
        <v>1550.3472</v>
      </c>
      <c r="P430" s="4"/>
      <c r="Q430" s="4"/>
      <c r="R430" s="4"/>
      <c r="S430" s="4"/>
      <c r="T430" s="4">
        <f ca="1" t="shared" si="735"/>
        <v>0</v>
      </c>
      <c r="U430" s="4">
        <f ca="1" t="shared" si="736"/>
        <v>0</v>
      </c>
      <c r="V430" s="4">
        <f ca="1" t="shared" si="737"/>
        <v>0</v>
      </c>
      <c r="W430" s="4">
        <f ca="1" t="shared" si="738"/>
        <v>0</v>
      </c>
      <c r="X430" s="4">
        <f ca="1" t="shared" si="739"/>
        <v>16.6704</v>
      </c>
      <c r="Y430" s="4">
        <f ca="1" t="shared" si="740"/>
        <v>1550.3472</v>
      </c>
      <c r="Z430" s="4">
        <f ca="1" t="shared" si="741"/>
        <v>0</v>
      </c>
      <c r="AA430" s="4">
        <f ca="1" t="shared" si="742"/>
        <v>0</v>
      </c>
      <c r="AB430" s="4"/>
    </row>
    <row r="431" customHeight="1" outlineLevel="2" spans="1:28">
      <c r="A431" s="515" t="s">
        <v>2903</v>
      </c>
      <c r="B431" s="4"/>
      <c r="C431" s="510" t="s">
        <v>1309</v>
      </c>
      <c r="D431" s="4" t="s">
        <v>2904</v>
      </c>
      <c r="E431" s="4" t="s">
        <v>2697</v>
      </c>
      <c r="F431" s="4" t="s">
        <v>76</v>
      </c>
      <c r="G431" s="4">
        <v>40</v>
      </c>
      <c r="H431" s="4">
        <v>27.1467889908257</v>
      </c>
      <c r="I431" s="4">
        <f>G431*H431</f>
        <v>1085.87155963303</v>
      </c>
      <c r="J431" s="4">
        <f t="shared" ref="J431:L431" si="743">+G431</f>
        <v>40</v>
      </c>
      <c r="K431" s="4">
        <f t="shared" si="743"/>
        <v>27.1467889908257</v>
      </c>
      <c r="L431" s="517">
        <f t="shared" si="743"/>
        <v>1085.87155963303</v>
      </c>
      <c r="M431" s="4">
        <v>40</v>
      </c>
      <c r="N431" s="4">
        <f ca="1">O431/M431</f>
        <v>305.392</v>
      </c>
      <c r="O431" s="4">
        <f ca="1">(+O432+O433+O434+O435)</f>
        <v>12215.68</v>
      </c>
      <c r="P431" s="4"/>
      <c r="Q431" s="4"/>
      <c r="R431" s="4">
        <f>+P431+J431</f>
        <v>40</v>
      </c>
      <c r="S431" s="4">
        <f>+Q431+L431</f>
        <v>1085.87155963303</v>
      </c>
      <c r="T431" s="4">
        <f>IFERROR(VLOOKUP(A431,产值统计中间表!A:F,7,FALSE),0)</f>
        <v>0</v>
      </c>
      <c r="U431" s="4">
        <f>+T431*H431</f>
        <v>0</v>
      </c>
      <c r="V431" s="4">
        <f>IFERROR(VLOOKUP(A431,产值统计中间表!A:D,4,FALSE),0)</f>
        <v>0</v>
      </c>
      <c r="W431" s="4">
        <f>+V431*H431</f>
        <v>0</v>
      </c>
      <c r="X431" s="4">
        <f>+R431-V431</f>
        <v>40</v>
      </c>
      <c r="Y431" s="4">
        <f>+S431-W431</f>
        <v>1085.87155963303</v>
      </c>
      <c r="Z431" s="4">
        <f>IFERROR(VLOOKUP(A431,业主统计中间表!A:D,4,FALSE),0)</f>
        <v>0</v>
      </c>
      <c r="AA431" s="4">
        <f>+Z431*H431</f>
        <v>0</v>
      </c>
      <c r="AB431" s="4"/>
    </row>
    <row r="432" customHeight="1" outlineLevel="3" spans="1:28">
      <c r="A432" s="514" t="s">
        <v>2905</v>
      </c>
      <c r="B432" s="4"/>
      <c r="C432" s="510" t="s">
        <v>64</v>
      </c>
      <c r="D432" s="4" t="s">
        <v>248</v>
      </c>
      <c r="E432" s="4"/>
      <c r="F432" s="4" t="str">
        <f ca="1" t="shared" ref="F432:F435" si="744">VLOOKUP($D432,INDIRECT($C432),2,0)</f>
        <v>m2</v>
      </c>
      <c r="G432" s="4"/>
      <c r="H432" s="4"/>
      <c r="I432" s="4"/>
      <c r="J432" s="4"/>
      <c r="K432" s="4"/>
      <c r="L432" s="517"/>
      <c r="M432" s="4">
        <v>54.64</v>
      </c>
      <c r="N432" s="4">
        <f ca="1" t="shared" ref="N432:N435" si="745">VLOOKUP($D432,INDIRECT($C432),3,0)</f>
        <v>10</v>
      </c>
      <c r="O432" s="4">
        <f ca="1">M432*N432</f>
        <v>546.4</v>
      </c>
      <c r="P432" s="4"/>
      <c r="Q432" s="4"/>
      <c r="R432" s="4"/>
      <c r="S432" s="4"/>
      <c r="T432" s="4">
        <f ca="1" t="shared" ref="T432:T435" si="746">OFFSET(T432,-RIGHT($A432,LEN($A$6)),,1,1)/OFFSET(T432,-RIGHT($A432,LEN($A$6)),-13,1,1)*$M432</f>
        <v>0</v>
      </c>
      <c r="U432" s="4">
        <f ca="1" t="shared" ref="U432:U435" si="747">+$N432*T432</f>
        <v>0</v>
      </c>
      <c r="V432" s="4">
        <f ca="1" t="shared" ref="V432:V435" si="748">OFFSET(V432,-RIGHT($A432,LEN($A$6)),,1,1)/OFFSET(V432,-RIGHT($A432,LEN($A$6)),-15,1,1)*$M432</f>
        <v>0</v>
      </c>
      <c r="W432" s="4">
        <f ca="1" t="shared" ref="W432:W435" si="749">+$N432*V432</f>
        <v>0</v>
      </c>
      <c r="X432" s="4">
        <f ca="1" t="shared" ref="X432:X435" si="750">+M432-V432</f>
        <v>54.64</v>
      </c>
      <c r="Y432" s="4">
        <f ca="1" t="shared" ref="Y432:Y435" si="751">+O432-W432</f>
        <v>546.4</v>
      </c>
      <c r="Z432" s="4">
        <f ca="1" t="shared" ref="Z432:Z435" si="752">OFFSET(Z432,-RIGHT($A432,LEN($A$6)),,1,1)/OFFSET(Z432,-RIGHT($A432,LEN($A$6)),-19,1,1)*$M432</f>
        <v>0</v>
      </c>
      <c r="AA432" s="4">
        <f ca="1" t="shared" ref="AA432:AA435" si="753">+$N432*Z432</f>
        <v>0</v>
      </c>
      <c r="AB432" s="4"/>
    </row>
    <row r="433" customHeight="1" outlineLevel="3" spans="1:28">
      <c r="A433" s="514" t="s">
        <v>2906</v>
      </c>
      <c r="B433" s="4"/>
      <c r="C433" s="510" t="s">
        <v>59</v>
      </c>
      <c r="D433" s="4" t="s">
        <v>1044</v>
      </c>
      <c r="E433" s="4"/>
      <c r="F433" s="4" t="str">
        <f ca="1" t="shared" si="744"/>
        <v>m3</v>
      </c>
      <c r="G433" s="4"/>
      <c r="H433" s="4"/>
      <c r="I433" s="4"/>
      <c r="J433" s="4"/>
      <c r="K433" s="4"/>
      <c r="L433" s="517"/>
      <c r="M433" s="4">
        <v>2.638272</v>
      </c>
      <c r="N433" s="4">
        <f ca="1" t="shared" si="745"/>
        <v>0</v>
      </c>
      <c r="O433" s="4">
        <f ca="1">M433*N433</f>
        <v>0</v>
      </c>
      <c r="P433" s="4"/>
      <c r="Q433" s="4"/>
      <c r="R433" s="4"/>
      <c r="S433" s="4"/>
      <c r="T433" s="4">
        <f ca="1" t="shared" si="746"/>
        <v>0</v>
      </c>
      <c r="U433" s="4">
        <f ca="1" t="shared" si="747"/>
        <v>0</v>
      </c>
      <c r="V433" s="4">
        <f ca="1" t="shared" si="748"/>
        <v>0</v>
      </c>
      <c r="W433" s="4">
        <f ca="1" t="shared" si="749"/>
        <v>0</v>
      </c>
      <c r="X433" s="4">
        <f ca="1" t="shared" si="750"/>
        <v>2.638272</v>
      </c>
      <c r="Y433" s="4">
        <f ca="1" t="shared" si="751"/>
        <v>0</v>
      </c>
      <c r="Z433" s="4">
        <f ca="1" t="shared" si="752"/>
        <v>0</v>
      </c>
      <c r="AA433" s="4">
        <f ca="1" t="shared" si="753"/>
        <v>0</v>
      </c>
      <c r="AB433" s="4"/>
    </row>
    <row r="434" customHeight="1" outlineLevel="3" spans="1:28">
      <c r="A434" s="514" t="s">
        <v>2907</v>
      </c>
      <c r="B434" s="4"/>
      <c r="C434" s="510" t="s">
        <v>64</v>
      </c>
      <c r="D434" s="4" t="s">
        <v>564</v>
      </c>
      <c r="E434" s="4"/>
      <c r="F434" s="4" t="str">
        <f ca="1" t="shared" si="744"/>
        <v>m3</v>
      </c>
      <c r="G434" s="4"/>
      <c r="H434" s="4"/>
      <c r="I434" s="4"/>
      <c r="J434" s="4"/>
      <c r="K434" s="4"/>
      <c r="L434" s="517"/>
      <c r="M434" s="4">
        <v>16.6704</v>
      </c>
      <c r="N434" s="4">
        <f ca="1" t="shared" si="745"/>
        <v>700</v>
      </c>
      <c r="O434" s="4">
        <f ca="1">M434*N434</f>
        <v>11669.28</v>
      </c>
      <c r="P434" s="4"/>
      <c r="Q434" s="4"/>
      <c r="R434" s="4"/>
      <c r="S434" s="4"/>
      <c r="T434" s="4">
        <f ca="1" t="shared" si="746"/>
        <v>0</v>
      </c>
      <c r="U434" s="4">
        <f ca="1" t="shared" si="747"/>
        <v>0</v>
      </c>
      <c r="V434" s="4">
        <f ca="1" t="shared" si="748"/>
        <v>0</v>
      </c>
      <c r="W434" s="4">
        <f ca="1" t="shared" si="749"/>
        <v>0</v>
      </c>
      <c r="X434" s="4">
        <f ca="1" t="shared" si="750"/>
        <v>16.6704</v>
      </c>
      <c r="Y434" s="4">
        <f ca="1" t="shared" si="751"/>
        <v>11669.28</v>
      </c>
      <c r="Z434" s="4">
        <f ca="1" t="shared" si="752"/>
        <v>0</v>
      </c>
      <c r="AA434" s="4">
        <f ca="1" t="shared" si="753"/>
        <v>0</v>
      </c>
      <c r="AB434" s="4"/>
    </row>
    <row r="435" customHeight="1" outlineLevel="3" spans="1:28">
      <c r="A435" s="514" t="s">
        <v>2908</v>
      </c>
      <c r="B435" s="4"/>
      <c r="C435" s="510" t="s">
        <v>59</v>
      </c>
      <c r="D435" s="4" t="s">
        <v>1047</v>
      </c>
      <c r="E435" s="4"/>
      <c r="F435" s="4" t="str">
        <f ca="1" t="shared" si="744"/>
        <v>m3</v>
      </c>
      <c r="G435" s="4"/>
      <c r="H435" s="4"/>
      <c r="I435" s="4"/>
      <c r="J435" s="4"/>
      <c r="K435" s="4"/>
      <c r="L435" s="517"/>
      <c r="M435" s="4">
        <v>16.6704</v>
      </c>
      <c r="N435" s="4">
        <f ca="1" t="shared" si="745"/>
        <v>0</v>
      </c>
      <c r="O435" s="4">
        <f ca="1">M435*N435</f>
        <v>0</v>
      </c>
      <c r="P435" s="4"/>
      <c r="Q435" s="4"/>
      <c r="R435" s="4"/>
      <c r="S435" s="4"/>
      <c r="T435" s="4">
        <f ca="1" t="shared" si="746"/>
        <v>0</v>
      </c>
      <c r="U435" s="4">
        <f ca="1" t="shared" si="747"/>
        <v>0</v>
      </c>
      <c r="V435" s="4">
        <f ca="1" t="shared" si="748"/>
        <v>0</v>
      </c>
      <c r="W435" s="4">
        <f ca="1" t="shared" si="749"/>
        <v>0</v>
      </c>
      <c r="X435" s="4">
        <f ca="1" t="shared" si="750"/>
        <v>16.6704</v>
      </c>
      <c r="Y435" s="4">
        <f ca="1" t="shared" si="751"/>
        <v>0</v>
      </c>
      <c r="Z435" s="4">
        <f ca="1" t="shared" si="752"/>
        <v>0</v>
      </c>
      <c r="AA435" s="4">
        <f ca="1" t="shared" si="753"/>
        <v>0</v>
      </c>
      <c r="AB435" s="4"/>
    </row>
    <row r="436" customHeight="1" outlineLevel="2" spans="1:28">
      <c r="A436" s="515" t="s">
        <v>2909</v>
      </c>
      <c r="B436" s="4"/>
      <c r="C436" s="510" t="s">
        <v>1309</v>
      </c>
      <c r="D436" s="4" t="s">
        <v>2910</v>
      </c>
      <c r="E436" s="4" t="s">
        <v>2911</v>
      </c>
      <c r="F436" s="4" t="s">
        <v>69</v>
      </c>
      <c r="G436" s="4">
        <v>279.5</v>
      </c>
      <c r="H436" s="4">
        <v>36.0550458715596</v>
      </c>
      <c r="I436" s="4">
        <f>G436*H436</f>
        <v>10077.3853211009</v>
      </c>
      <c r="J436" s="4">
        <f t="shared" ref="J436:L436" si="754">+G436</f>
        <v>279.5</v>
      </c>
      <c r="K436" s="4">
        <f t="shared" si="754"/>
        <v>36.0550458715596</v>
      </c>
      <c r="L436" s="517">
        <f t="shared" si="754"/>
        <v>10077.3853211009</v>
      </c>
      <c r="M436" s="4">
        <f>G436</f>
        <v>279.5</v>
      </c>
      <c r="N436" s="4">
        <f>O436/M436</f>
        <v>8</v>
      </c>
      <c r="O436" s="4">
        <f>(+O437)</f>
        <v>2236</v>
      </c>
      <c r="P436" s="4"/>
      <c r="Q436" s="4"/>
      <c r="R436" s="4">
        <f>+P436+J436</f>
        <v>279.5</v>
      </c>
      <c r="S436" s="4">
        <f>+Q436+L436</f>
        <v>10077.3853211009</v>
      </c>
      <c r="T436" s="4">
        <f>IFERROR(VLOOKUP(A436,产值统计中间表!A:F,7,FALSE),0)</f>
        <v>0</v>
      </c>
      <c r="U436" s="4">
        <f>+T436*H436</f>
        <v>0</v>
      </c>
      <c r="V436" s="4">
        <f>IFERROR(VLOOKUP(A436,产值统计中间表!A:D,4,FALSE),0)</f>
        <v>0</v>
      </c>
      <c r="W436" s="4">
        <f>+V436*H436</f>
        <v>0</v>
      </c>
      <c r="X436" s="4">
        <f>+R436-V436</f>
        <v>279.5</v>
      </c>
      <c r="Y436" s="4">
        <f>+S436-W436</f>
        <v>10077.3853211009</v>
      </c>
      <c r="Z436" s="4">
        <f>IFERROR(VLOOKUP(A436,业主统计中间表!A:D,4,FALSE),0)</f>
        <v>0</v>
      </c>
      <c r="AA436" s="4">
        <f>+Z436*H436</f>
        <v>0</v>
      </c>
      <c r="AB436" s="4"/>
    </row>
    <row r="437" customHeight="1" outlineLevel="3" spans="1:28">
      <c r="A437" s="514" t="s">
        <v>2912</v>
      </c>
      <c r="B437" s="4"/>
      <c r="C437" s="510" t="s">
        <v>65</v>
      </c>
      <c r="D437" s="4" t="s">
        <v>692</v>
      </c>
      <c r="E437" s="4"/>
      <c r="F437" s="4" t="str">
        <f ca="1" t="shared" ref="F437:F441" si="755">VLOOKUP($D437,INDIRECT($C437),2,0)</f>
        <v>m2</v>
      </c>
      <c r="G437" s="4"/>
      <c r="H437" s="4"/>
      <c r="I437" s="4"/>
      <c r="J437" s="4"/>
      <c r="K437" s="4"/>
      <c r="L437" s="517"/>
      <c r="M437" s="4">
        <v>279.5</v>
      </c>
      <c r="N437" s="4">
        <v>8</v>
      </c>
      <c r="O437" s="4">
        <f>M437*N437</f>
        <v>2236</v>
      </c>
      <c r="P437" s="4"/>
      <c r="Q437" s="4"/>
      <c r="R437" s="4"/>
      <c r="S437" s="4"/>
      <c r="T437" s="4">
        <f ca="1" t="shared" ref="T437:T441" si="756">OFFSET(T437,-RIGHT($A437,LEN($A$6)),,1,1)/OFFSET(T437,-RIGHT($A437,LEN($A$6)),-13,1,1)*$M437</f>
        <v>0</v>
      </c>
      <c r="U437" s="4">
        <f ca="1" t="shared" ref="U437:U441" si="757">+$N437*T437</f>
        <v>0</v>
      </c>
      <c r="V437" s="4">
        <f ca="1" t="shared" ref="V437:V441" si="758">OFFSET(V437,-RIGHT($A437,LEN($A$6)),,1,1)/OFFSET(V437,-RIGHT($A437,LEN($A$6)),-15,1,1)*$M437</f>
        <v>0</v>
      </c>
      <c r="W437" s="4">
        <f ca="1" t="shared" ref="W437:W441" si="759">+$N437*V437</f>
        <v>0</v>
      </c>
      <c r="X437" s="4">
        <f ca="1" t="shared" ref="X437:X441" si="760">+M437-V437</f>
        <v>279.5</v>
      </c>
      <c r="Y437" s="4">
        <f ca="1" t="shared" ref="Y437:Y441" si="761">+O437-W437</f>
        <v>2236</v>
      </c>
      <c r="Z437" s="4">
        <f ca="1" t="shared" ref="Z437:Z441" si="762">OFFSET(Z437,-RIGHT($A437,LEN($A$6)),,1,1)/OFFSET(Z437,-RIGHT($A437,LEN($A$6)),-19,1,1)*$M437</f>
        <v>0</v>
      </c>
      <c r="AA437" s="4">
        <f ca="1" t="shared" ref="AA437:AA441" si="763">+$N437*Z437</f>
        <v>0</v>
      </c>
      <c r="AB437" s="4"/>
    </row>
    <row r="438" customHeight="1" outlineLevel="2" spans="1:28">
      <c r="A438" s="515" t="s">
        <v>2913</v>
      </c>
      <c r="B438" s="4"/>
      <c r="C438" s="510" t="s">
        <v>1309</v>
      </c>
      <c r="D438" s="4" t="s">
        <v>2914</v>
      </c>
      <c r="E438" s="4" t="s">
        <v>2915</v>
      </c>
      <c r="F438" s="4" t="s">
        <v>195</v>
      </c>
      <c r="G438" s="4">
        <v>1</v>
      </c>
      <c r="H438" s="4">
        <v>2023.11926605505</v>
      </c>
      <c r="I438" s="4">
        <f>G438*H438</f>
        <v>2023.11926605505</v>
      </c>
      <c r="J438" s="4">
        <f t="shared" ref="J438:L438" si="764">+G438</f>
        <v>1</v>
      </c>
      <c r="K438" s="4">
        <f t="shared" si="764"/>
        <v>2023.11926605505</v>
      </c>
      <c r="L438" s="517">
        <f t="shared" si="764"/>
        <v>2023.11926605505</v>
      </c>
      <c r="M438" s="4">
        <v>1</v>
      </c>
      <c r="N438" s="4">
        <f ca="1">O438/M438</f>
        <v>7699.35</v>
      </c>
      <c r="O438" s="4">
        <f ca="1">(+O439+O440+O441)</f>
        <v>7699.35</v>
      </c>
      <c r="P438" s="4"/>
      <c r="Q438" s="4"/>
      <c r="R438" s="4">
        <f>+P438+J438</f>
        <v>1</v>
      </c>
      <c r="S438" s="4">
        <f>+Q438+L438</f>
        <v>2023.11926605505</v>
      </c>
      <c r="T438" s="4">
        <f>IFERROR(VLOOKUP(A438,产值统计中间表!A:F,7,FALSE),0)</f>
        <v>0</v>
      </c>
      <c r="U438" s="4">
        <f>+T438*H438</f>
        <v>0</v>
      </c>
      <c r="V438" s="4">
        <f>IFERROR(VLOOKUP(A438,产值统计中间表!A:D,4,FALSE),0)</f>
        <v>0</v>
      </c>
      <c r="W438" s="4">
        <f>+V438*H438</f>
        <v>0</v>
      </c>
      <c r="X438" s="4">
        <f>+R438-V438</f>
        <v>1</v>
      </c>
      <c r="Y438" s="4">
        <f>+S438-W438</f>
        <v>2023.11926605505</v>
      </c>
      <c r="Z438" s="4">
        <f>IFERROR(VLOOKUP(A438,业主统计中间表!A:D,4,FALSE),0)</f>
        <v>0</v>
      </c>
      <c r="AA438" s="4">
        <f>+Z438*H438</f>
        <v>0</v>
      </c>
      <c r="AB438" s="4"/>
    </row>
    <row r="439" customHeight="1" outlineLevel="3" spans="1:28">
      <c r="A439" s="514" t="s">
        <v>2916</v>
      </c>
      <c r="B439" s="4"/>
      <c r="C439" s="510" t="s">
        <v>63</v>
      </c>
      <c r="D439" s="4" t="s">
        <v>1204</v>
      </c>
      <c r="E439" s="4"/>
      <c r="F439" s="4" t="str">
        <f ca="1" t="shared" si="755"/>
        <v>m</v>
      </c>
      <c r="G439" s="4"/>
      <c r="H439" s="4"/>
      <c r="I439" s="4"/>
      <c r="J439" s="4"/>
      <c r="K439" s="4"/>
      <c r="L439" s="517"/>
      <c r="M439" s="4">
        <v>90</v>
      </c>
      <c r="N439" s="4">
        <v>3</v>
      </c>
      <c r="O439" s="4">
        <f>M439*N439</f>
        <v>270</v>
      </c>
      <c r="P439" s="4"/>
      <c r="Q439" s="4"/>
      <c r="R439" s="4"/>
      <c r="S439" s="4"/>
      <c r="T439" s="4">
        <f ca="1" t="shared" si="756"/>
        <v>0</v>
      </c>
      <c r="U439" s="4">
        <f ca="1" t="shared" si="757"/>
        <v>0</v>
      </c>
      <c r="V439" s="4">
        <f ca="1" t="shared" si="758"/>
        <v>0</v>
      </c>
      <c r="W439" s="4">
        <f ca="1" t="shared" si="759"/>
        <v>0</v>
      </c>
      <c r="X439" s="4">
        <f ca="1" t="shared" si="760"/>
        <v>90</v>
      </c>
      <c r="Y439" s="4">
        <f ca="1" t="shared" si="761"/>
        <v>270</v>
      </c>
      <c r="Z439" s="4">
        <f ca="1" t="shared" si="762"/>
        <v>0</v>
      </c>
      <c r="AA439" s="4">
        <f ca="1" t="shared" si="763"/>
        <v>0</v>
      </c>
      <c r="AB439" s="4"/>
    </row>
    <row r="440" customHeight="1" outlineLevel="3" spans="1:28">
      <c r="A440" s="514" t="s">
        <v>2917</v>
      </c>
      <c r="B440" s="4"/>
      <c r="C440" s="510" t="s">
        <v>63</v>
      </c>
      <c r="D440" s="4" t="s">
        <v>1205</v>
      </c>
      <c r="E440" s="4" t="s">
        <v>2667</v>
      </c>
      <c r="F440" s="4" t="str">
        <f ca="1" t="shared" si="755"/>
        <v>m2</v>
      </c>
      <c r="G440" s="4"/>
      <c r="H440" s="4"/>
      <c r="I440" s="4"/>
      <c r="J440" s="4"/>
      <c r="K440" s="4"/>
      <c r="L440" s="517"/>
      <c r="M440" s="4">
        <v>212.5</v>
      </c>
      <c r="N440" s="4">
        <v>3</v>
      </c>
      <c r="O440" s="4">
        <f>M440*N440</f>
        <v>637.5</v>
      </c>
      <c r="P440" s="4"/>
      <c r="Q440" s="4"/>
      <c r="R440" s="4"/>
      <c r="S440" s="4"/>
      <c r="T440" s="4">
        <f ca="1" t="shared" si="756"/>
        <v>0</v>
      </c>
      <c r="U440" s="4">
        <f ca="1" t="shared" si="757"/>
        <v>0</v>
      </c>
      <c r="V440" s="4">
        <f ca="1" t="shared" si="758"/>
        <v>0</v>
      </c>
      <c r="W440" s="4">
        <f ca="1" t="shared" si="759"/>
        <v>0</v>
      </c>
      <c r="X440" s="4">
        <f ca="1" t="shared" si="760"/>
        <v>212.5</v>
      </c>
      <c r="Y440" s="4">
        <f ca="1" t="shared" si="761"/>
        <v>637.5</v>
      </c>
      <c r="Z440" s="4">
        <f ca="1" t="shared" si="762"/>
        <v>0</v>
      </c>
      <c r="AA440" s="4">
        <f ca="1" t="shared" si="763"/>
        <v>0</v>
      </c>
      <c r="AB440" s="4"/>
    </row>
    <row r="441" customHeight="1" outlineLevel="3" spans="1:28">
      <c r="A441" s="514" t="s">
        <v>2918</v>
      </c>
      <c r="B441" s="4"/>
      <c r="C441" s="510" t="s">
        <v>63</v>
      </c>
      <c r="D441" s="4" t="s">
        <v>1211</v>
      </c>
      <c r="E441" s="4"/>
      <c r="F441" s="4" t="str">
        <f ca="1" t="shared" si="755"/>
        <v>m3</v>
      </c>
      <c r="G441" s="4"/>
      <c r="H441" s="4"/>
      <c r="I441" s="4"/>
      <c r="J441" s="4"/>
      <c r="K441" s="4"/>
      <c r="L441" s="517"/>
      <c r="M441" s="4">
        <v>279.5</v>
      </c>
      <c r="N441" s="4">
        <f ca="1" t="shared" ref="N441:N444" si="765">VLOOKUP($D441,INDIRECT($C441),3,0)</f>
        <v>24.3</v>
      </c>
      <c r="O441" s="4">
        <f ca="1">M441*N441</f>
        <v>6791.85</v>
      </c>
      <c r="P441" s="4"/>
      <c r="Q441" s="4"/>
      <c r="R441" s="4"/>
      <c r="S441" s="4"/>
      <c r="T441" s="4">
        <f ca="1" t="shared" si="756"/>
        <v>0</v>
      </c>
      <c r="U441" s="4">
        <f ca="1" t="shared" si="757"/>
        <v>0</v>
      </c>
      <c r="V441" s="4">
        <f ca="1" t="shared" si="758"/>
        <v>0</v>
      </c>
      <c r="W441" s="4">
        <f ca="1" t="shared" si="759"/>
        <v>0</v>
      </c>
      <c r="X441" s="4">
        <f ca="1" t="shared" si="760"/>
        <v>279.5</v>
      </c>
      <c r="Y441" s="4">
        <f ca="1" t="shared" si="761"/>
        <v>6791.85</v>
      </c>
      <c r="Z441" s="4">
        <f ca="1" t="shared" si="762"/>
        <v>0</v>
      </c>
      <c r="AA441" s="4">
        <f ca="1" t="shared" si="763"/>
        <v>0</v>
      </c>
      <c r="AB441" s="4"/>
    </row>
    <row r="442" customHeight="1" outlineLevel="2" spans="1:28">
      <c r="A442" s="515" t="s">
        <v>2919</v>
      </c>
      <c r="B442" s="4"/>
      <c r="C442" s="510" t="s">
        <v>1309</v>
      </c>
      <c r="D442" s="4" t="s">
        <v>1984</v>
      </c>
      <c r="E442" s="4" t="s">
        <v>2920</v>
      </c>
      <c r="F442" s="4" t="s">
        <v>69</v>
      </c>
      <c r="G442" s="4">
        <v>1728.82</v>
      </c>
      <c r="H442" s="4">
        <v>185.788990825688</v>
      </c>
      <c r="I442" s="4">
        <f>G442*H442</f>
        <v>321195.723119266</v>
      </c>
      <c r="J442" s="4">
        <f t="shared" ref="J442:L442" si="766">+G442</f>
        <v>1728.82</v>
      </c>
      <c r="K442" s="4">
        <f t="shared" si="766"/>
        <v>185.788990825688</v>
      </c>
      <c r="L442" s="517">
        <f t="shared" si="766"/>
        <v>321195.723119266</v>
      </c>
      <c r="M442" s="4">
        <v>1728.82</v>
      </c>
      <c r="N442" s="4">
        <f ca="1">O442/M442</f>
        <v>101.081154618757</v>
      </c>
      <c r="O442" s="4">
        <f ca="1">(+O443+O444+O445+O446+O447+O448+O449+O450+O451)</f>
        <v>174751.121728</v>
      </c>
      <c r="P442" s="4"/>
      <c r="Q442" s="4"/>
      <c r="R442" s="4">
        <f>+P442+J442</f>
        <v>1728.82</v>
      </c>
      <c r="S442" s="4">
        <f>+Q442+L442</f>
        <v>321195.723119266</v>
      </c>
      <c r="T442" s="4">
        <f>IFERROR(VLOOKUP(A442,产值统计中间表!A:F,7,FALSE),0)</f>
        <v>0</v>
      </c>
      <c r="U442" s="4">
        <f>+T442*H442</f>
        <v>0</v>
      </c>
      <c r="V442" s="4">
        <f>IFERROR(VLOOKUP(A442,产值统计中间表!A:D,4,FALSE),0)</f>
        <v>0</v>
      </c>
      <c r="W442" s="4">
        <f>+V442*H442</f>
        <v>0</v>
      </c>
      <c r="X442" s="4">
        <f>+R442-V442</f>
        <v>1728.82</v>
      </c>
      <c r="Y442" s="4">
        <f>+S442-W442</f>
        <v>321195.723119266</v>
      </c>
      <c r="Z442" s="4">
        <f>IFERROR(VLOOKUP(A442,业主统计中间表!A:D,4,FALSE),0)</f>
        <v>0</v>
      </c>
      <c r="AA442" s="4">
        <f>+Z442*H442</f>
        <v>0</v>
      </c>
      <c r="AB442" s="4"/>
    </row>
    <row r="443" customHeight="1" outlineLevel="3" spans="1:28">
      <c r="A443" s="514" t="s">
        <v>2921</v>
      </c>
      <c r="B443" s="4"/>
      <c r="C443" s="510" t="s">
        <v>63</v>
      </c>
      <c r="D443" s="4" t="s">
        <v>1207</v>
      </c>
      <c r="E443" s="4"/>
      <c r="F443" s="4" t="str">
        <f ca="1" t="shared" ref="F443:F451" si="767">VLOOKUP($D443,INDIRECT($C443),2,0)</f>
        <v>m2</v>
      </c>
      <c r="G443" s="4"/>
      <c r="H443" s="4"/>
      <c r="I443" s="4"/>
      <c r="J443" s="4"/>
      <c r="K443" s="4"/>
      <c r="L443" s="517"/>
      <c r="M443" s="4">
        <v>1728.82</v>
      </c>
      <c r="N443" s="4">
        <f ca="1" t="shared" si="765"/>
        <v>2</v>
      </c>
      <c r="O443" s="4">
        <f ca="1" t="shared" ref="O443:O451" si="768">M443*N443</f>
        <v>3457.64</v>
      </c>
      <c r="P443" s="4"/>
      <c r="Q443" s="4"/>
      <c r="R443" s="4"/>
      <c r="S443" s="4"/>
      <c r="T443" s="4">
        <f ca="1" t="shared" ref="T443:T451" si="769">OFFSET(T443,-RIGHT($A443,LEN($A$6)),,1,1)/OFFSET(T443,-RIGHT($A443,LEN($A$6)),-13,1,1)*$M443</f>
        <v>0</v>
      </c>
      <c r="U443" s="4">
        <f ca="1" t="shared" ref="U443:U451" si="770">+$N443*T443</f>
        <v>0</v>
      </c>
      <c r="V443" s="4">
        <f ca="1" t="shared" ref="V443:V451" si="771">OFFSET(V443,-RIGHT($A443,LEN($A$6)),,1,1)/OFFSET(V443,-RIGHT($A443,LEN($A$6)),-15,1,1)*$M443</f>
        <v>0</v>
      </c>
      <c r="W443" s="4">
        <f ca="1" t="shared" ref="W443:W451" si="772">+$N443*V443</f>
        <v>0</v>
      </c>
      <c r="X443" s="4">
        <f ca="1" t="shared" ref="X443:X451" si="773">+M443-V443</f>
        <v>1728.82</v>
      </c>
      <c r="Y443" s="4">
        <f ca="1" t="shared" ref="Y443:Y451" si="774">+O443-W443</f>
        <v>3457.64</v>
      </c>
      <c r="Z443" s="4">
        <f ca="1" t="shared" ref="Z443:Z451" si="775">OFFSET(Z443,-RIGHT($A443,LEN($A$6)),,1,1)/OFFSET(Z443,-RIGHT($A443,LEN($A$6)),-19,1,1)*$M443</f>
        <v>0</v>
      </c>
      <c r="AA443" s="4">
        <f ca="1" t="shared" ref="AA443:AA451" si="776">+$N443*Z443</f>
        <v>0</v>
      </c>
      <c r="AB443" s="4"/>
    </row>
    <row r="444" customHeight="1" outlineLevel="3" spans="1:28">
      <c r="A444" s="514" t="s">
        <v>2922</v>
      </c>
      <c r="B444" s="4"/>
      <c r="C444" s="510" t="s">
        <v>63</v>
      </c>
      <c r="D444" s="4" t="s">
        <v>1208</v>
      </c>
      <c r="E444" s="4"/>
      <c r="F444" s="4" t="str">
        <f ca="1" t="shared" si="767"/>
        <v>m2</v>
      </c>
      <c r="G444" s="4"/>
      <c r="H444" s="4"/>
      <c r="I444" s="4"/>
      <c r="J444" s="4"/>
      <c r="K444" s="4"/>
      <c r="L444" s="517"/>
      <c r="M444" s="4">
        <f>+G442</f>
        <v>1728.82</v>
      </c>
      <c r="N444" s="4">
        <f ca="1" t="shared" si="765"/>
        <v>3.5</v>
      </c>
      <c r="O444" s="4">
        <f ca="1" t="shared" si="768"/>
        <v>6050.87</v>
      </c>
      <c r="P444" s="4"/>
      <c r="Q444" s="4"/>
      <c r="R444" s="4"/>
      <c r="S444" s="4"/>
      <c r="T444" s="4">
        <f ca="1" t="shared" si="769"/>
        <v>0</v>
      </c>
      <c r="U444" s="4">
        <f ca="1" t="shared" si="770"/>
        <v>0</v>
      </c>
      <c r="V444" s="4">
        <f ca="1" t="shared" si="771"/>
        <v>0</v>
      </c>
      <c r="W444" s="4">
        <f ca="1" t="shared" si="772"/>
        <v>0</v>
      </c>
      <c r="X444" s="4">
        <f ca="1" t="shared" si="773"/>
        <v>1728.82</v>
      </c>
      <c r="Y444" s="4">
        <f ca="1" t="shared" si="774"/>
        <v>6050.87</v>
      </c>
      <c r="Z444" s="4">
        <f ca="1" t="shared" si="775"/>
        <v>0</v>
      </c>
      <c r="AA444" s="4">
        <f ca="1" t="shared" si="776"/>
        <v>0</v>
      </c>
      <c r="AB444" s="4"/>
    </row>
    <row r="445" customHeight="1" outlineLevel="3" spans="1:28">
      <c r="A445" s="514" t="s">
        <v>2923</v>
      </c>
      <c r="B445" s="4"/>
      <c r="C445" s="510" t="s">
        <v>59</v>
      </c>
      <c r="D445" s="4" t="s">
        <v>1050</v>
      </c>
      <c r="E445" s="4"/>
      <c r="F445" s="4" t="str">
        <f ca="1" t="shared" si="767"/>
        <v>m3</v>
      </c>
      <c r="G445" s="4"/>
      <c r="H445" s="4"/>
      <c r="I445" s="4"/>
      <c r="J445" s="4"/>
      <c r="K445" s="4"/>
      <c r="L445" s="517"/>
      <c r="M445" s="4">
        <v>238.88868</v>
      </c>
      <c r="N445" s="4">
        <f t="shared" ref="N445:N447" si="777">73/0.625</f>
        <v>116.8</v>
      </c>
      <c r="O445" s="4">
        <f t="shared" si="768"/>
        <v>27902.197824</v>
      </c>
      <c r="P445" s="4"/>
      <c r="Q445" s="4"/>
      <c r="R445" s="4"/>
      <c r="S445" s="4"/>
      <c r="T445" s="4">
        <f ca="1" t="shared" si="769"/>
        <v>0</v>
      </c>
      <c r="U445" s="4">
        <f ca="1" t="shared" si="770"/>
        <v>0</v>
      </c>
      <c r="V445" s="4">
        <f ca="1" t="shared" si="771"/>
        <v>0</v>
      </c>
      <c r="W445" s="4">
        <f ca="1" t="shared" si="772"/>
        <v>0</v>
      </c>
      <c r="X445" s="4">
        <f ca="1" t="shared" si="773"/>
        <v>238.88868</v>
      </c>
      <c r="Y445" s="4">
        <f ca="1" t="shared" si="774"/>
        <v>27902.197824</v>
      </c>
      <c r="Z445" s="4">
        <f ca="1" t="shared" si="775"/>
        <v>0</v>
      </c>
      <c r="AA445" s="4">
        <f ca="1" t="shared" si="776"/>
        <v>0</v>
      </c>
      <c r="AB445" s="4"/>
    </row>
    <row r="446" customHeight="1" outlineLevel="3" spans="1:28">
      <c r="A446" s="514" t="s">
        <v>2924</v>
      </c>
      <c r="B446" s="4"/>
      <c r="C446" s="510" t="s">
        <v>59</v>
      </c>
      <c r="D446" s="4" t="s">
        <v>1053</v>
      </c>
      <c r="E446" s="4"/>
      <c r="F446" s="4" t="str">
        <f ca="1" t="shared" si="767"/>
        <v>m3</v>
      </c>
      <c r="G446" s="4"/>
      <c r="H446" s="4"/>
      <c r="I446" s="4"/>
      <c r="J446" s="4"/>
      <c r="K446" s="4"/>
      <c r="L446" s="517"/>
      <c r="M446" s="4">
        <v>67.98345</v>
      </c>
      <c r="N446" s="4">
        <f t="shared" si="777"/>
        <v>116.8</v>
      </c>
      <c r="O446" s="4">
        <f t="shared" si="768"/>
        <v>7940.46696</v>
      </c>
      <c r="P446" s="4"/>
      <c r="Q446" s="4"/>
      <c r="R446" s="4"/>
      <c r="S446" s="4"/>
      <c r="T446" s="4">
        <f ca="1" t="shared" si="769"/>
        <v>0</v>
      </c>
      <c r="U446" s="4">
        <f ca="1" t="shared" si="770"/>
        <v>0</v>
      </c>
      <c r="V446" s="4">
        <f ca="1" t="shared" si="771"/>
        <v>0</v>
      </c>
      <c r="W446" s="4">
        <f ca="1" t="shared" si="772"/>
        <v>0</v>
      </c>
      <c r="X446" s="4">
        <f ca="1" t="shared" si="773"/>
        <v>67.98345</v>
      </c>
      <c r="Y446" s="4">
        <f ca="1" t="shared" si="774"/>
        <v>7940.46696</v>
      </c>
      <c r="Z446" s="4">
        <f ca="1" t="shared" si="775"/>
        <v>0</v>
      </c>
      <c r="AA446" s="4">
        <f ca="1" t="shared" si="776"/>
        <v>0</v>
      </c>
      <c r="AB446" s="4"/>
    </row>
    <row r="447" customHeight="1" outlineLevel="3" spans="1:28">
      <c r="A447" s="514" t="s">
        <v>2925</v>
      </c>
      <c r="B447" s="4"/>
      <c r="C447" s="510" t="s">
        <v>59</v>
      </c>
      <c r="D447" s="4" t="s">
        <v>1056</v>
      </c>
      <c r="E447" s="4"/>
      <c r="F447" s="4" t="str">
        <f ca="1" t="shared" si="767"/>
        <v>m3</v>
      </c>
      <c r="G447" s="4"/>
      <c r="H447" s="4"/>
      <c r="I447" s="4"/>
      <c r="J447" s="4"/>
      <c r="K447" s="4"/>
      <c r="L447" s="517"/>
      <c r="M447" s="4">
        <v>34.93833</v>
      </c>
      <c r="N447" s="4">
        <f t="shared" si="777"/>
        <v>116.8</v>
      </c>
      <c r="O447" s="4">
        <f t="shared" si="768"/>
        <v>4080.796944</v>
      </c>
      <c r="P447" s="4"/>
      <c r="Q447" s="4"/>
      <c r="R447" s="4"/>
      <c r="S447" s="4"/>
      <c r="T447" s="4">
        <f ca="1" t="shared" si="769"/>
        <v>0</v>
      </c>
      <c r="U447" s="4">
        <f ca="1" t="shared" si="770"/>
        <v>0</v>
      </c>
      <c r="V447" s="4">
        <f ca="1" t="shared" si="771"/>
        <v>0</v>
      </c>
      <c r="W447" s="4">
        <f ca="1" t="shared" si="772"/>
        <v>0</v>
      </c>
      <c r="X447" s="4">
        <f ca="1" t="shared" si="773"/>
        <v>34.93833</v>
      </c>
      <c r="Y447" s="4">
        <f ca="1" t="shared" si="774"/>
        <v>4080.796944</v>
      </c>
      <c r="Z447" s="4">
        <f ca="1" t="shared" si="775"/>
        <v>0</v>
      </c>
      <c r="AA447" s="4">
        <f ca="1" t="shared" si="776"/>
        <v>0</v>
      </c>
      <c r="AB447" s="4"/>
    </row>
    <row r="448" customHeight="1" outlineLevel="3" spans="1:28">
      <c r="A448" s="514" t="s">
        <v>2926</v>
      </c>
      <c r="B448" s="4"/>
      <c r="C448" s="510" t="s">
        <v>63</v>
      </c>
      <c r="D448" s="4" t="s">
        <v>1209</v>
      </c>
      <c r="E448" s="4"/>
      <c r="F448" s="4" t="str">
        <f ca="1" t="shared" si="767"/>
        <v>m2</v>
      </c>
      <c r="G448" s="4"/>
      <c r="H448" s="4"/>
      <c r="I448" s="4"/>
      <c r="J448" s="4"/>
      <c r="K448" s="4"/>
      <c r="L448" s="517"/>
      <c r="M448" s="4">
        <v>1669.9</v>
      </c>
      <c r="N448" s="4">
        <f ca="1" t="shared" ref="N448:N451" si="778">VLOOKUP($D448,INDIRECT($C448),3,0)</f>
        <v>4.5</v>
      </c>
      <c r="O448" s="4">
        <f ca="1" t="shared" si="768"/>
        <v>7514.55</v>
      </c>
      <c r="P448" s="4"/>
      <c r="Q448" s="4"/>
      <c r="R448" s="4"/>
      <c r="S448" s="4"/>
      <c r="T448" s="4">
        <f ca="1" t="shared" si="769"/>
        <v>0</v>
      </c>
      <c r="U448" s="4">
        <f ca="1" t="shared" si="770"/>
        <v>0</v>
      </c>
      <c r="V448" s="4">
        <f ca="1" t="shared" si="771"/>
        <v>0</v>
      </c>
      <c r="W448" s="4">
        <f ca="1" t="shared" si="772"/>
        <v>0</v>
      </c>
      <c r="X448" s="4">
        <f ca="1" t="shared" si="773"/>
        <v>1669.9</v>
      </c>
      <c r="Y448" s="4">
        <f ca="1" t="shared" si="774"/>
        <v>7514.55</v>
      </c>
      <c r="Z448" s="4">
        <f ca="1" t="shared" si="775"/>
        <v>0</v>
      </c>
      <c r="AA448" s="4">
        <f ca="1" t="shared" si="776"/>
        <v>0</v>
      </c>
      <c r="AB448" s="4"/>
    </row>
    <row r="449" customHeight="1" outlineLevel="3" spans="1:28">
      <c r="A449" s="514" t="s">
        <v>2927</v>
      </c>
      <c r="B449" s="4"/>
      <c r="C449" s="510" t="s">
        <v>59</v>
      </c>
      <c r="D449" s="4" t="s">
        <v>1059</v>
      </c>
      <c r="E449" s="4"/>
      <c r="F449" s="4" t="str">
        <f ca="1" t="shared" si="767"/>
        <v>m3</v>
      </c>
      <c r="G449" s="4"/>
      <c r="H449" s="4"/>
      <c r="I449" s="4"/>
      <c r="J449" s="4"/>
      <c r="K449" s="4"/>
      <c r="L449" s="517"/>
      <c r="M449" s="4">
        <v>424.1925</v>
      </c>
      <c r="N449" s="4">
        <v>260</v>
      </c>
      <c r="O449" s="4">
        <f t="shared" si="768"/>
        <v>110290.05</v>
      </c>
      <c r="P449" s="4"/>
      <c r="Q449" s="4"/>
      <c r="R449" s="4"/>
      <c r="S449" s="4"/>
      <c r="T449" s="4">
        <f ca="1" t="shared" si="769"/>
        <v>0</v>
      </c>
      <c r="U449" s="4">
        <f ca="1" t="shared" si="770"/>
        <v>0</v>
      </c>
      <c r="V449" s="4">
        <f ca="1" t="shared" si="771"/>
        <v>0</v>
      </c>
      <c r="W449" s="4">
        <f ca="1" t="shared" si="772"/>
        <v>0</v>
      </c>
      <c r="X449" s="4">
        <f ca="1" t="shared" si="773"/>
        <v>424.1925</v>
      </c>
      <c r="Y449" s="4">
        <f ca="1" t="shared" si="774"/>
        <v>110290.05</v>
      </c>
      <c r="Z449" s="4">
        <f ca="1" t="shared" si="775"/>
        <v>0</v>
      </c>
      <c r="AA449" s="4">
        <f ca="1" t="shared" si="776"/>
        <v>0</v>
      </c>
      <c r="AB449" s="4"/>
    </row>
    <row r="450" customHeight="1" outlineLevel="3" spans="1:28">
      <c r="A450" s="514" t="s">
        <v>2928</v>
      </c>
      <c r="B450" s="4"/>
      <c r="C450" s="510" t="s">
        <v>63</v>
      </c>
      <c r="D450" s="4" t="s">
        <v>1209</v>
      </c>
      <c r="E450" s="4"/>
      <c r="F450" s="4" t="str">
        <f ca="1" t="shared" si="767"/>
        <v>m2</v>
      </c>
      <c r="G450" s="4"/>
      <c r="H450" s="4"/>
      <c r="I450" s="4"/>
      <c r="J450" s="4"/>
      <c r="K450" s="4"/>
      <c r="L450" s="517"/>
      <c r="M450" s="4">
        <v>1669.9</v>
      </c>
      <c r="N450" s="4">
        <f ca="1" t="shared" si="778"/>
        <v>4.5</v>
      </c>
      <c r="O450" s="4">
        <f ca="1" t="shared" si="768"/>
        <v>7514.55</v>
      </c>
      <c r="P450" s="4"/>
      <c r="Q450" s="4"/>
      <c r="R450" s="4"/>
      <c r="S450" s="4"/>
      <c r="T450" s="4">
        <f ca="1" t="shared" si="769"/>
        <v>0</v>
      </c>
      <c r="U450" s="4">
        <f ca="1" t="shared" si="770"/>
        <v>0</v>
      </c>
      <c r="V450" s="4">
        <f ca="1" t="shared" si="771"/>
        <v>0</v>
      </c>
      <c r="W450" s="4">
        <f ca="1" t="shared" si="772"/>
        <v>0</v>
      </c>
      <c r="X450" s="4">
        <f ca="1" t="shared" si="773"/>
        <v>1669.9</v>
      </c>
      <c r="Y450" s="4">
        <f ca="1" t="shared" si="774"/>
        <v>7514.55</v>
      </c>
      <c r="Z450" s="4">
        <f ca="1" t="shared" si="775"/>
        <v>0</v>
      </c>
      <c r="AA450" s="4">
        <f ca="1" t="shared" si="776"/>
        <v>0</v>
      </c>
      <c r="AB450" s="4"/>
    </row>
    <row r="451" customHeight="1" outlineLevel="3" spans="1:28">
      <c r="A451" s="514" t="s">
        <v>2929</v>
      </c>
      <c r="B451" s="4"/>
      <c r="C451" s="510" t="s">
        <v>59</v>
      </c>
      <c r="D451" s="4" t="s">
        <v>1062</v>
      </c>
      <c r="E451" s="4"/>
      <c r="F451" s="4" t="str">
        <f ca="1" t="shared" si="767"/>
        <v>m3</v>
      </c>
      <c r="G451" s="4"/>
      <c r="H451" s="4"/>
      <c r="I451" s="4"/>
      <c r="J451" s="4"/>
      <c r="K451" s="4"/>
      <c r="L451" s="517"/>
      <c r="M451" s="4">
        <v>425.8245</v>
      </c>
      <c r="N451" s="4">
        <f ca="1" t="shared" si="778"/>
        <v>0</v>
      </c>
      <c r="O451" s="4">
        <f ca="1" t="shared" si="768"/>
        <v>0</v>
      </c>
      <c r="P451" s="4"/>
      <c r="Q451" s="4"/>
      <c r="R451" s="4"/>
      <c r="S451" s="4"/>
      <c r="T451" s="4">
        <f ca="1" t="shared" si="769"/>
        <v>0</v>
      </c>
      <c r="U451" s="4">
        <f ca="1" t="shared" si="770"/>
        <v>0</v>
      </c>
      <c r="V451" s="4">
        <f ca="1" t="shared" si="771"/>
        <v>0</v>
      </c>
      <c r="W451" s="4">
        <f ca="1" t="shared" si="772"/>
        <v>0</v>
      </c>
      <c r="X451" s="4">
        <f ca="1" t="shared" si="773"/>
        <v>425.8245</v>
      </c>
      <c r="Y451" s="4">
        <f ca="1" t="shared" si="774"/>
        <v>0</v>
      </c>
      <c r="Z451" s="4">
        <f ca="1" t="shared" si="775"/>
        <v>0</v>
      </c>
      <c r="AA451" s="4">
        <f ca="1" t="shared" si="776"/>
        <v>0</v>
      </c>
      <c r="AB451" s="4"/>
    </row>
    <row r="452" customHeight="1" outlineLevel="2" spans="1:28">
      <c r="A452" s="515" t="s">
        <v>2930</v>
      </c>
      <c r="B452" s="4"/>
      <c r="C452" s="510" t="s">
        <v>1309</v>
      </c>
      <c r="D452" s="4" t="s">
        <v>2931</v>
      </c>
      <c r="E452" s="4" t="s">
        <v>2576</v>
      </c>
      <c r="F452" s="4" t="s">
        <v>69</v>
      </c>
      <c r="G452" s="4">
        <v>1744.92</v>
      </c>
      <c r="H452" s="4">
        <v>252.403669724771</v>
      </c>
      <c r="I452" s="4">
        <f>G452*H452</f>
        <v>440424.211376147</v>
      </c>
      <c r="J452" s="4">
        <f t="shared" ref="J452:L452" si="779">+G452</f>
        <v>1744.92</v>
      </c>
      <c r="K452" s="4">
        <f t="shared" si="779"/>
        <v>252.403669724771</v>
      </c>
      <c r="L452" s="517">
        <f t="shared" si="779"/>
        <v>440424.211376147</v>
      </c>
      <c r="M452" s="4">
        <v>1744.92</v>
      </c>
      <c r="N452" s="4">
        <f ca="1">O452/M452</f>
        <v>94.8495966110194</v>
      </c>
      <c r="O452" s="4">
        <f ca="1">(+O453+O454+O455+O456+O457+O458+O459+O460+O461+O462+O463+O464+O465+O466+O467+O468+O469+O470)</f>
        <v>165504.9581185</v>
      </c>
      <c r="P452" s="4"/>
      <c r="Q452" s="4"/>
      <c r="R452" s="4">
        <f>+P452+J452</f>
        <v>1744.92</v>
      </c>
      <c r="S452" s="4">
        <f>+Q452+L452</f>
        <v>440424.211376147</v>
      </c>
      <c r="T452" s="4">
        <f>IFERROR(VLOOKUP(A452,产值统计中间表!A:F,7,FALSE),0)</f>
        <v>0</v>
      </c>
      <c r="U452" s="4">
        <f>+T452*H452</f>
        <v>0</v>
      </c>
      <c r="V452" s="4">
        <f>IFERROR(VLOOKUP(A452,产值统计中间表!A:D,4,FALSE),0)</f>
        <v>0</v>
      </c>
      <c r="W452" s="4">
        <f>+V452*H452</f>
        <v>0</v>
      </c>
      <c r="X452" s="4">
        <f>+R452-V452</f>
        <v>1744.92</v>
      </c>
      <c r="Y452" s="4">
        <f>+S452-W452</f>
        <v>440424.211376147</v>
      </c>
      <c r="Z452" s="4">
        <f>IFERROR(VLOOKUP(A452,业主统计中间表!A:D,4,FALSE),0)</f>
        <v>0</v>
      </c>
      <c r="AA452" s="4">
        <f>+Z452*H452</f>
        <v>0</v>
      </c>
      <c r="AB452" s="4"/>
    </row>
    <row r="453" customHeight="1" outlineLevel="3" spans="1:28">
      <c r="A453" s="514" t="s">
        <v>2932</v>
      </c>
      <c r="B453" s="4"/>
      <c r="C453" s="510" t="s">
        <v>59</v>
      </c>
      <c r="D453" s="4" t="s">
        <v>250</v>
      </c>
      <c r="E453" s="4"/>
      <c r="F453" s="4" t="str">
        <f ca="1" t="shared" ref="F453:F470" si="780">VLOOKUP($D453,INDIRECT($C453),2,0)</f>
        <v>m3</v>
      </c>
      <c r="G453" s="4"/>
      <c r="H453" s="4"/>
      <c r="I453" s="4"/>
      <c r="J453" s="4"/>
      <c r="K453" s="4"/>
      <c r="L453" s="517"/>
      <c r="M453" s="4">
        <v>70.66845</v>
      </c>
      <c r="N453" s="4">
        <v>1543</v>
      </c>
      <c r="O453" s="4">
        <f t="shared" ref="O453:O470" si="781">M453*N453</f>
        <v>109041.41835</v>
      </c>
      <c r="P453" s="4"/>
      <c r="Q453" s="4"/>
      <c r="R453" s="4"/>
      <c r="S453" s="4"/>
      <c r="T453" s="4">
        <f ca="1" t="shared" ref="T453:T470" si="782">OFFSET(T453,-RIGHT($A453,LEN($A$6)),,1,1)/OFFSET(T453,-RIGHT($A453,LEN($A$6)),-13,1,1)*$M453</f>
        <v>0</v>
      </c>
      <c r="U453" s="4">
        <f ca="1" t="shared" ref="U453:U470" si="783">+$N453*T453</f>
        <v>0</v>
      </c>
      <c r="V453" s="4">
        <f ca="1" t="shared" ref="V453:V470" si="784">OFFSET(V453,-RIGHT($A453,LEN($A$6)),,1,1)/OFFSET(V453,-RIGHT($A453,LEN($A$6)),-15,1,1)*$M453</f>
        <v>0</v>
      </c>
      <c r="W453" s="4">
        <f ca="1" t="shared" ref="W453:W470" si="785">+$N453*V453</f>
        <v>0</v>
      </c>
      <c r="X453" s="4">
        <f ca="1" t="shared" ref="X453:X470" si="786">+M453-V453</f>
        <v>70.66845</v>
      </c>
      <c r="Y453" s="4">
        <f ca="1" t="shared" ref="Y453:Y470" si="787">+O453-W453</f>
        <v>109041.41835</v>
      </c>
      <c r="Z453" s="4">
        <f ca="1" t="shared" ref="Z453:Z470" si="788">OFFSET(Z453,-RIGHT($A453,LEN($A$6)),,1,1)/OFFSET(Z453,-RIGHT($A453,LEN($A$6)),-19,1,1)*$M453</f>
        <v>0</v>
      </c>
      <c r="AA453" s="4">
        <f ca="1" t="shared" ref="AA453:AA470" si="789">+$N453*Z453</f>
        <v>0</v>
      </c>
      <c r="AB453" s="4"/>
    </row>
    <row r="454" customHeight="1" outlineLevel="3" spans="1:28">
      <c r="A454" s="514" t="s">
        <v>2933</v>
      </c>
      <c r="B454" s="4"/>
      <c r="C454" s="510" t="s">
        <v>59</v>
      </c>
      <c r="D454" s="4" t="s">
        <v>981</v>
      </c>
      <c r="E454" s="4"/>
      <c r="F454" s="4" t="str">
        <f ca="1" t="shared" si="780"/>
        <v>m3</v>
      </c>
      <c r="G454" s="4"/>
      <c r="H454" s="4"/>
      <c r="I454" s="4"/>
      <c r="J454" s="4"/>
      <c r="K454" s="4"/>
      <c r="L454" s="517"/>
      <c r="M454" s="4">
        <v>204.76407</v>
      </c>
      <c r="N454" s="4">
        <f ca="1">VLOOKUP($D454,INDIRECT($C454),3,0)</f>
        <v>0</v>
      </c>
      <c r="O454" s="4">
        <f ca="1" t="shared" si="781"/>
        <v>0</v>
      </c>
      <c r="P454" s="4"/>
      <c r="Q454" s="4"/>
      <c r="R454" s="4"/>
      <c r="S454" s="4"/>
      <c r="T454" s="4">
        <f ca="1" t="shared" si="782"/>
        <v>0</v>
      </c>
      <c r="U454" s="4">
        <f ca="1" t="shared" si="783"/>
        <v>0</v>
      </c>
      <c r="V454" s="4">
        <f ca="1" t="shared" si="784"/>
        <v>0</v>
      </c>
      <c r="W454" s="4">
        <f ca="1" t="shared" si="785"/>
        <v>0</v>
      </c>
      <c r="X454" s="4">
        <f ca="1" t="shared" si="786"/>
        <v>204.76407</v>
      </c>
      <c r="Y454" s="4">
        <f ca="1" t="shared" si="787"/>
        <v>0</v>
      </c>
      <c r="Z454" s="4">
        <f ca="1" t="shared" si="788"/>
        <v>0</v>
      </c>
      <c r="AA454" s="4">
        <f ca="1" t="shared" si="789"/>
        <v>0</v>
      </c>
      <c r="AB454" s="4"/>
    </row>
    <row r="455" customHeight="1" outlineLevel="3" spans="1:28">
      <c r="A455" s="514" t="s">
        <v>2934</v>
      </c>
      <c r="B455" s="4"/>
      <c r="C455" s="510" t="s">
        <v>59</v>
      </c>
      <c r="D455" s="4" t="s">
        <v>1065</v>
      </c>
      <c r="E455" s="4"/>
      <c r="F455" s="4" t="str">
        <f ca="1" t="shared" si="780"/>
        <v>t</v>
      </c>
      <c r="G455" s="4"/>
      <c r="H455" s="4"/>
      <c r="I455" s="4"/>
      <c r="J455" s="4"/>
      <c r="K455" s="4"/>
      <c r="L455" s="517"/>
      <c r="M455" s="4">
        <v>1.378543</v>
      </c>
      <c r="N455" s="4">
        <v>3833</v>
      </c>
      <c r="O455" s="4">
        <f t="shared" si="781"/>
        <v>5283.955319</v>
      </c>
      <c r="P455" s="4"/>
      <c r="Q455" s="4"/>
      <c r="R455" s="4"/>
      <c r="S455" s="4"/>
      <c r="T455" s="4">
        <f ca="1" t="shared" si="782"/>
        <v>0</v>
      </c>
      <c r="U455" s="4">
        <f ca="1" t="shared" si="783"/>
        <v>0</v>
      </c>
      <c r="V455" s="4">
        <f ca="1" t="shared" si="784"/>
        <v>0</v>
      </c>
      <c r="W455" s="4">
        <f ca="1" t="shared" si="785"/>
        <v>0</v>
      </c>
      <c r="X455" s="4">
        <f ca="1" t="shared" si="786"/>
        <v>1.378543</v>
      </c>
      <c r="Y455" s="4">
        <f ca="1" t="shared" si="787"/>
        <v>5283.955319</v>
      </c>
      <c r="Z455" s="4">
        <f ca="1" t="shared" si="788"/>
        <v>0</v>
      </c>
      <c r="AA455" s="4">
        <f ca="1" t="shared" si="789"/>
        <v>0</v>
      </c>
      <c r="AB455" s="4"/>
    </row>
    <row r="456" customHeight="1" outlineLevel="3" spans="1:28">
      <c r="A456" s="514" t="s">
        <v>2935</v>
      </c>
      <c r="B456" s="4"/>
      <c r="C456" s="510" t="s">
        <v>59</v>
      </c>
      <c r="D456" s="4" t="s">
        <v>1068</v>
      </c>
      <c r="E456" s="4"/>
      <c r="F456" s="4" t="str">
        <f ca="1" t="shared" si="780"/>
        <v>t</v>
      </c>
      <c r="G456" s="4"/>
      <c r="H456" s="4"/>
      <c r="I456" s="4"/>
      <c r="J456" s="4"/>
      <c r="K456" s="4"/>
      <c r="L456" s="517"/>
      <c r="M456" s="4">
        <v>1.6177</v>
      </c>
      <c r="N456" s="4">
        <v>3200</v>
      </c>
      <c r="O456" s="4">
        <f t="shared" si="781"/>
        <v>5176.64</v>
      </c>
      <c r="P456" s="4"/>
      <c r="Q456" s="4"/>
      <c r="R456" s="4"/>
      <c r="S456" s="4"/>
      <c r="T456" s="4">
        <f ca="1" t="shared" si="782"/>
        <v>0</v>
      </c>
      <c r="U456" s="4">
        <f ca="1" t="shared" si="783"/>
        <v>0</v>
      </c>
      <c r="V456" s="4">
        <f ca="1" t="shared" si="784"/>
        <v>0</v>
      </c>
      <c r="W456" s="4">
        <f ca="1" t="shared" si="785"/>
        <v>0</v>
      </c>
      <c r="X456" s="4">
        <f ca="1" t="shared" si="786"/>
        <v>1.6177</v>
      </c>
      <c r="Y456" s="4">
        <f ca="1" t="shared" si="787"/>
        <v>5176.64</v>
      </c>
      <c r="Z456" s="4">
        <f ca="1" t="shared" si="788"/>
        <v>0</v>
      </c>
      <c r="AA456" s="4">
        <f ca="1" t="shared" si="789"/>
        <v>0</v>
      </c>
      <c r="AB456" s="4"/>
    </row>
    <row r="457" customHeight="1" outlineLevel="3" spans="1:28">
      <c r="A457" s="514" t="s">
        <v>2936</v>
      </c>
      <c r="B457" s="4"/>
      <c r="C457" s="510" t="s">
        <v>59</v>
      </c>
      <c r="D457" s="4" t="s">
        <v>1071</v>
      </c>
      <c r="E457" s="4"/>
      <c r="F457" s="4" t="str">
        <f ca="1" t="shared" si="780"/>
        <v>m2</v>
      </c>
      <c r="G457" s="4"/>
      <c r="H457" s="4"/>
      <c r="I457" s="4"/>
      <c r="J457" s="4"/>
      <c r="K457" s="4"/>
      <c r="L457" s="517"/>
      <c r="M457" s="4">
        <v>45.13925</v>
      </c>
      <c r="N457" s="4">
        <v>5.15</v>
      </c>
      <c r="O457" s="4">
        <f t="shared" si="781"/>
        <v>232.4671375</v>
      </c>
      <c r="P457" s="4"/>
      <c r="Q457" s="4"/>
      <c r="R457" s="4"/>
      <c r="S457" s="4"/>
      <c r="T457" s="4">
        <f ca="1" t="shared" si="782"/>
        <v>0</v>
      </c>
      <c r="U457" s="4">
        <f ca="1" t="shared" si="783"/>
        <v>0</v>
      </c>
      <c r="V457" s="4">
        <f ca="1" t="shared" si="784"/>
        <v>0</v>
      </c>
      <c r="W457" s="4">
        <f ca="1" t="shared" si="785"/>
        <v>0</v>
      </c>
      <c r="X457" s="4">
        <f ca="1" t="shared" si="786"/>
        <v>45.13925</v>
      </c>
      <c r="Y457" s="4">
        <f ca="1" t="shared" si="787"/>
        <v>232.4671375</v>
      </c>
      <c r="Z457" s="4">
        <f ca="1" t="shared" si="788"/>
        <v>0</v>
      </c>
      <c r="AA457" s="4">
        <f ca="1" t="shared" si="789"/>
        <v>0</v>
      </c>
      <c r="AB457" s="4"/>
    </row>
    <row r="458" customHeight="1" outlineLevel="3" spans="1:28">
      <c r="A458" s="514" t="s">
        <v>2937</v>
      </c>
      <c r="B458" s="4"/>
      <c r="C458" s="510" t="s">
        <v>59</v>
      </c>
      <c r="D458" s="4" t="s">
        <v>1074</v>
      </c>
      <c r="E458" s="4"/>
      <c r="F458" s="4" t="str">
        <f ca="1" t="shared" si="780"/>
        <v>m2</v>
      </c>
      <c r="G458" s="4"/>
      <c r="H458" s="4"/>
      <c r="I458" s="4"/>
      <c r="J458" s="4"/>
      <c r="K458" s="4"/>
      <c r="L458" s="517"/>
      <c r="M458" s="4">
        <v>10.649</v>
      </c>
      <c r="N458" s="4">
        <v>2524</v>
      </c>
      <c r="O458" s="4">
        <f t="shared" si="781"/>
        <v>26878.076</v>
      </c>
      <c r="P458" s="4"/>
      <c r="Q458" s="4"/>
      <c r="R458" s="4"/>
      <c r="S458" s="4"/>
      <c r="T458" s="4">
        <f ca="1" t="shared" si="782"/>
        <v>0</v>
      </c>
      <c r="U458" s="4">
        <f ca="1" t="shared" si="783"/>
        <v>0</v>
      </c>
      <c r="V458" s="4">
        <f ca="1" t="shared" si="784"/>
        <v>0</v>
      </c>
      <c r="W458" s="4">
        <f ca="1" t="shared" si="785"/>
        <v>0</v>
      </c>
      <c r="X458" s="4">
        <f ca="1" t="shared" si="786"/>
        <v>10.649</v>
      </c>
      <c r="Y458" s="4">
        <f ca="1" t="shared" si="787"/>
        <v>26878.076</v>
      </c>
      <c r="Z458" s="4">
        <f ca="1" t="shared" si="788"/>
        <v>0</v>
      </c>
      <c r="AA458" s="4">
        <f ca="1" t="shared" si="789"/>
        <v>0</v>
      </c>
      <c r="AB458" s="4"/>
    </row>
    <row r="459" customHeight="1" outlineLevel="3" spans="1:28">
      <c r="A459" s="514" t="s">
        <v>2938</v>
      </c>
      <c r="B459" s="4"/>
      <c r="C459" s="510" t="s">
        <v>59</v>
      </c>
      <c r="D459" s="4" t="s">
        <v>1044</v>
      </c>
      <c r="E459" s="4"/>
      <c r="F459" s="4" t="str">
        <f ca="1" t="shared" si="780"/>
        <v>m3</v>
      </c>
      <c r="G459" s="4"/>
      <c r="H459" s="4"/>
      <c r="I459" s="4"/>
      <c r="J459" s="4"/>
      <c r="K459" s="4"/>
      <c r="L459" s="517"/>
      <c r="M459" s="4">
        <v>0.134</v>
      </c>
      <c r="N459" s="4">
        <f ca="1" t="shared" ref="N459:N466" si="790">VLOOKUP($D459,INDIRECT($C459),3,0)</f>
        <v>0</v>
      </c>
      <c r="O459" s="4">
        <f ca="1" t="shared" si="781"/>
        <v>0</v>
      </c>
      <c r="P459" s="4"/>
      <c r="Q459" s="4"/>
      <c r="R459" s="4"/>
      <c r="S459" s="4"/>
      <c r="T459" s="4">
        <f ca="1" t="shared" si="782"/>
        <v>0</v>
      </c>
      <c r="U459" s="4">
        <f ca="1" t="shared" si="783"/>
        <v>0</v>
      </c>
      <c r="V459" s="4">
        <f ca="1" t="shared" si="784"/>
        <v>0</v>
      </c>
      <c r="W459" s="4">
        <f ca="1" t="shared" si="785"/>
        <v>0</v>
      </c>
      <c r="X459" s="4">
        <f ca="1" t="shared" si="786"/>
        <v>0.134</v>
      </c>
      <c r="Y459" s="4">
        <f ca="1" t="shared" si="787"/>
        <v>0</v>
      </c>
      <c r="Z459" s="4">
        <f ca="1" t="shared" si="788"/>
        <v>0</v>
      </c>
      <c r="AA459" s="4">
        <f ca="1" t="shared" si="789"/>
        <v>0</v>
      </c>
      <c r="AB459" s="4"/>
    </row>
    <row r="460" customHeight="1" outlineLevel="3" spans="1:28">
      <c r="A460" s="514" t="s">
        <v>2939</v>
      </c>
      <c r="B460" s="4"/>
      <c r="C460" s="510" t="s">
        <v>59</v>
      </c>
      <c r="D460" s="4" t="s">
        <v>1077</v>
      </c>
      <c r="E460" s="4"/>
      <c r="F460" s="4" t="str">
        <f ca="1" t="shared" si="780"/>
        <v>m3</v>
      </c>
      <c r="G460" s="4"/>
      <c r="H460" s="4"/>
      <c r="I460" s="4"/>
      <c r="J460" s="4"/>
      <c r="K460" s="4"/>
      <c r="L460" s="517"/>
      <c r="M460" s="4">
        <v>1.705696</v>
      </c>
      <c r="N460" s="4">
        <v>450</v>
      </c>
      <c r="O460" s="4">
        <f t="shared" si="781"/>
        <v>767.5632</v>
      </c>
      <c r="P460" s="4"/>
      <c r="Q460" s="4"/>
      <c r="R460" s="4"/>
      <c r="S460" s="4"/>
      <c r="T460" s="4">
        <f ca="1" t="shared" si="782"/>
        <v>0</v>
      </c>
      <c r="U460" s="4">
        <f ca="1" t="shared" si="783"/>
        <v>0</v>
      </c>
      <c r="V460" s="4">
        <f ca="1" t="shared" si="784"/>
        <v>0</v>
      </c>
      <c r="W460" s="4">
        <f ca="1" t="shared" si="785"/>
        <v>0</v>
      </c>
      <c r="X460" s="4">
        <f ca="1" t="shared" si="786"/>
        <v>1.705696</v>
      </c>
      <c r="Y460" s="4">
        <f ca="1" t="shared" si="787"/>
        <v>767.5632</v>
      </c>
      <c r="Z460" s="4">
        <f ca="1" t="shared" si="788"/>
        <v>0</v>
      </c>
      <c r="AA460" s="4">
        <f ca="1" t="shared" si="789"/>
        <v>0</v>
      </c>
      <c r="AB460" s="4"/>
    </row>
    <row r="461" customHeight="1" outlineLevel="3" spans="1:28">
      <c r="A461" s="514" t="s">
        <v>2940</v>
      </c>
      <c r="B461" s="4"/>
      <c r="C461" s="510" t="s">
        <v>59</v>
      </c>
      <c r="D461" s="4" t="s">
        <v>1080</v>
      </c>
      <c r="E461" s="4"/>
      <c r="F461" s="4" t="str">
        <f ca="1" t="shared" si="780"/>
        <v>m3</v>
      </c>
      <c r="G461" s="4"/>
      <c r="H461" s="4"/>
      <c r="I461" s="4"/>
      <c r="J461" s="4"/>
      <c r="K461" s="4"/>
      <c r="L461" s="517"/>
      <c r="M461" s="4">
        <v>3.3431</v>
      </c>
      <c r="N461" s="4">
        <v>105</v>
      </c>
      <c r="O461" s="4">
        <f t="shared" si="781"/>
        <v>351.0255</v>
      </c>
      <c r="P461" s="4"/>
      <c r="Q461" s="4"/>
      <c r="R461" s="4"/>
      <c r="S461" s="4"/>
      <c r="T461" s="4">
        <f ca="1" t="shared" si="782"/>
        <v>0</v>
      </c>
      <c r="U461" s="4">
        <f ca="1" t="shared" si="783"/>
        <v>0</v>
      </c>
      <c r="V461" s="4">
        <f ca="1" t="shared" si="784"/>
        <v>0</v>
      </c>
      <c r="W461" s="4">
        <f ca="1" t="shared" si="785"/>
        <v>0</v>
      </c>
      <c r="X461" s="4">
        <f ca="1" t="shared" si="786"/>
        <v>3.3431</v>
      </c>
      <c r="Y461" s="4">
        <f ca="1" t="shared" si="787"/>
        <v>351.0255</v>
      </c>
      <c r="Z461" s="4">
        <f ca="1" t="shared" si="788"/>
        <v>0</v>
      </c>
      <c r="AA461" s="4">
        <f ca="1" t="shared" si="789"/>
        <v>0</v>
      </c>
      <c r="AB461" s="4"/>
    </row>
    <row r="462" customHeight="1" outlineLevel="3" spans="1:28">
      <c r="A462" s="514" t="s">
        <v>2941</v>
      </c>
      <c r="B462" s="4"/>
      <c r="C462" s="510" t="s">
        <v>59</v>
      </c>
      <c r="D462" s="4" t="s">
        <v>1083</v>
      </c>
      <c r="E462" s="4"/>
      <c r="F462" s="4" t="str">
        <f ca="1" t="shared" si="780"/>
        <v>m2</v>
      </c>
      <c r="G462" s="4"/>
      <c r="H462" s="4"/>
      <c r="I462" s="4"/>
      <c r="J462" s="4"/>
      <c r="K462" s="4"/>
      <c r="L462" s="517"/>
      <c r="M462" s="4">
        <v>134.9392</v>
      </c>
      <c r="N462" s="4">
        <v>3.36</v>
      </c>
      <c r="O462" s="4">
        <f t="shared" si="781"/>
        <v>453.395712</v>
      </c>
      <c r="P462" s="4"/>
      <c r="Q462" s="4"/>
      <c r="R462" s="4"/>
      <c r="S462" s="4"/>
      <c r="T462" s="4">
        <f ca="1" t="shared" si="782"/>
        <v>0</v>
      </c>
      <c r="U462" s="4">
        <f ca="1" t="shared" si="783"/>
        <v>0</v>
      </c>
      <c r="V462" s="4">
        <f ca="1" t="shared" si="784"/>
        <v>0</v>
      </c>
      <c r="W462" s="4">
        <f ca="1" t="shared" si="785"/>
        <v>0</v>
      </c>
      <c r="X462" s="4">
        <f ca="1" t="shared" si="786"/>
        <v>134.9392</v>
      </c>
      <c r="Y462" s="4">
        <f ca="1" t="shared" si="787"/>
        <v>453.395712</v>
      </c>
      <c r="Z462" s="4">
        <f ca="1" t="shared" si="788"/>
        <v>0</v>
      </c>
      <c r="AA462" s="4">
        <f ca="1" t="shared" si="789"/>
        <v>0</v>
      </c>
      <c r="AB462" s="4"/>
    </row>
    <row r="463" customHeight="1" outlineLevel="3" spans="1:28">
      <c r="A463" s="514" t="s">
        <v>2942</v>
      </c>
      <c r="B463" s="4"/>
      <c r="C463" s="510" t="s">
        <v>63</v>
      </c>
      <c r="D463" s="4" t="s">
        <v>1182</v>
      </c>
      <c r="E463" s="4"/>
      <c r="F463" s="4" t="str">
        <f ca="1" t="shared" si="780"/>
        <v>m2</v>
      </c>
      <c r="G463" s="4"/>
      <c r="H463" s="4"/>
      <c r="I463" s="4"/>
      <c r="J463" s="4"/>
      <c r="K463" s="4"/>
      <c r="L463" s="517"/>
      <c r="M463" s="4">
        <v>1744.92</v>
      </c>
      <c r="N463" s="4">
        <f ca="1" t="shared" si="790"/>
        <v>8</v>
      </c>
      <c r="O463" s="4">
        <f ca="1" t="shared" si="781"/>
        <v>13959.36</v>
      </c>
      <c r="P463" s="4"/>
      <c r="Q463" s="4"/>
      <c r="R463" s="4"/>
      <c r="S463" s="4"/>
      <c r="T463" s="4">
        <f ca="1" t="shared" si="782"/>
        <v>0</v>
      </c>
      <c r="U463" s="4">
        <f ca="1" t="shared" si="783"/>
        <v>0</v>
      </c>
      <c r="V463" s="4">
        <f ca="1" t="shared" si="784"/>
        <v>0</v>
      </c>
      <c r="W463" s="4">
        <f ca="1" t="shared" si="785"/>
        <v>0</v>
      </c>
      <c r="X463" s="4">
        <f ca="1" t="shared" si="786"/>
        <v>1744.92</v>
      </c>
      <c r="Y463" s="4">
        <f ca="1" t="shared" si="787"/>
        <v>13959.36</v>
      </c>
      <c r="Z463" s="4">
        <f ca="1" t="shared" si="788"/>
        <v>0</v>
      </c>
      <c r="AA463" s="4">
        <f ca="1" t="shared" si="789"/>
        <v>0</v>
      </c>
      <c r="AB463" s="4"/>
    </row>
    <row r="464" customHeight="1" outlineLevel="3" spans="1:28">
      <c r="A464" s="514" t="s">
        <v>2943</v>
      </c>
      <c r="B464" s="4"/>
      <c r="C464" s="510" t="s">
        <v>63</v>
      </c>
      <c r="D464" s="4" t="s">
        <v>1183</v>
      </c>
      <c r="E464" s="4"/>
      <c r="F464" s="4" t="str">
        <f ca="1" t="shared" si="780"/>
        <v>m2</v>
      </c>
      <c r="G464" s="4"/>
      <c r="H464" s="4"/>
      <c r="I464" s="4"/>
      <c r="J464" s="4"/>
      <c r="K464" s="4"/>
      <c r="L464" s="517"/>
      <c r="M464" s="4">
        <v>1744.92</v>
      </c>
      <c r="N464" s="4">
        <f ca="1" t="shared" si="790"/>
        <v>0</v>
      </c>
      <c r="O464" s="4">
        <f ca="1" t="shared" si="781"/>
        <v>0</v>
      </c>
      <c r="P464" s="4"/>
      <c r="Q464" s="4"/>
      <c r="R464" s="4"/>
      <c r="S464" s="4"/>
      <c r="T464" s="4">
        <f ca="1" t="shared" si="782"/>
        <v>0</v>
      </c>
      <c r="U464" s="4">
        <f ca="1" t="shared" si="783"/>
        <v>0</v>
      </c>
      <c r="V464" s="4">
        <f ca="1" t="shared" si="784"/>
        <v>0</v>
      </c>
      <c r="W464" s="4">
        <f ca="1" t="shared" si="785"/>
        <v>0</v>
      </c>
      <c r="X464" s="4">
        <f ca="1" t="shared" si="786"/>
        <v>1744.92</v>
      </c>
      <c r="Y464" s="4">
        <f ca="1" t="shared" si="787"/>
        <v>0</v>
      </c>
      <c r="Z464" s="4">
        <f ca="1" t="shared" si="788"/>
        <v>0</v>
      </c>
      <c r="AA464" s="4">
        <f ca="1" t="shared" si="789"/>
        <v>0</v>
      </c>
      <c r="AB464" s="4"/>
    </row>
    <row r="465" customHeight="1" outlineLevel="3" spans="1:28">
      <c r="A465" s="514" t="s">
        <v>2944</v>
      </c>
      <c r="B465" s="4"/>
      <c r="C465" s="510" t="s">
        <v>63</v>
      </c>
      <c r="D465" s="4" t="s">
        <v>1185</v>
      </c>
      <c r="E465" s="4"/>
      <c r="F465" s="4" t="str">
        <f ca="1" t="shared" si="780"/>
        <v>m2</v>
      </c>
      <c r="G465" s="4"/>
      <c r="H465" s="4"/>
      <c r="I465" s="4"/>
      <c r="J465" s="4"/>
      <c r="K465" s="4"/>
      <c r="L465" s="517"/>
      <c r="M465" s="4">
        <v>1744.92</v>
      </c>
      <c r="N465" s="4">
        <f ca="1" t="shared" si="790"/>
        <v>0</v>
      </c>
      <c r="O465" s="4">
        <f ca="1" t="shared" si="781"/>
        <v>0</v>
      </c>
      <c r="P465" s="4"/>
      <c r="Q465" s="4"/>
      <c r="R465" s="4"/>
      <c r="S465" s="4"/>
      <c r="T465" s="4">
        <f ca="1" t="shared" si="782"/>
        <v>0</v>
      </c>
      <c r="U465" s="4">
        <f ca="1" t="shared" si="783"/>
        <v>0</v>
      </c>
      <c r="V465" s="4">
        <f ca="1" t="shared" si="784"/>
        <v>0</v>
      </c>
      <c r="W465" s="4">
        <f ca="1" t="shared" si="785"/>
        <v>0</v>
      </c>
      <c r="X465" s="4">
        <f ca="1" t="shared" si="786"/>
        <v>1744.92</v>
      </c>
      <c r="Y465" s="4">
        <f ca="1" t="shared" si="787"/>
        <v>0</v>
      </c>
      <c r="Z465" s="4">
        <f ca="1" t="shared" si="788"/>
        <v>0</v>
      </c>
      <c r="AA465" s="4">
        <f ca="1" t="shared" si="789"/>
        <v>0</v>
      </c>
      <c r="AB465" s="4"/>
    </row>
    <row r="466" customHeight="1" outlineLevel="3" spans="1:28">
      <c r="A466" s="514" t="s">
        <v>2945</v>
      </c>
      <c r="B466" s="4"/>
      <c r="C466" s="510" t="s">
        <v>63</v>
      </c>
      <c r="D466" s="4" t="s">
        <v>1187</v>
      </c>
      <c r="E466" s="4"/>
      <c r="F466" s="4" t="str">
        <f ca="1" t="shared" si="780"/>
        <v>m2</v>
      </c>
      <c r="G466" s="4"/>
      <c r="H466" s="4"/>
      <c r="I466" s="4"/>
      <c r="J466" s="4"/>
      <c r="K466" s="4"/>
      <c r="L466" s="517"/>
      <c r="M466" s="4">
        <v>1744.92</v>
      </c>
      <c r="N466" s="4">
        <f ca="1" t="shared" si="790"/>
        <v>0</v>
      </c>
      <c r="O466" s="4">
        <f ca="1" t="shared" si="781"/>
        <v>0</v>
      </c>
      <c r="P466" s="4"/>
      <c r="Q466" s="4"/>
      <c r="R466" s="4"/>
      <c r="S466" s="4"/>
      <c r="T466" s="4">
        <f ca="1" t="shared" si="782"/>
        <v>0</v>
      </c>
      <c r="U466" s="4">
        <f ca="1" t="shared" si="783"/>
        <v>0</v>
      </c>
      <c r="V466" s="4">
        <f ca="1" t="shared" si="784"/>
        <v>0</v>
      </c>
      <c r="W466" s="4">
        <f ca="1" t="shared" si="785"/>
        <v>0</v>
      </c>
      <c r="X466" s="4">
        <f ca="1" t="shared" si="786"/>
        <v>1744.92</v>
      </c>
      <c r="Y466" s="4">
        <f ca="1" t="shared" si="787"/>
        <v>0</v>
      </c>
      <c r="Z466" s="4">
        <f ca="1" t="shared" si="788"/>
        <v>0</v>
      </c>
      <c r="AA466" s="4">
        <f ca="1" t="shared" si="789"/>
        <v>0</v>
      </c>
      <c r="AB466" s="4"/>
    </row>
    <row r="467" customHeight="1" outlineLevel="3" spans="1:28">
      <c r="A467" s="514" t="s">
        <v>2946</v>
      </c>
      <c r="B467" s="4"/>
      <c r="C467" s="510" t="s">
        <v>64</v>
      </c>
      <c r="D467" s="4" t="s">
        <v>735</v>
      </c>
      <c r="E467" s="4"/>
      <c r="F467" s="4" t="str">
        <f ca="1" t="shared" si="780"/>
        <v>m2</v>
      </c>
      <c r="G467" s="4"/>
      <c r="H467" s="4"/>
      <c r="I467" s="4"/>
      <c r="J467" s="4"/>
      <c r="K467" s="4"/>
      <c r="L467" s="517"/>
      <c r="M467" s="4">
        <v>134.9392</v>
      </c>
      <c r="N467" s="4">
        <v>2</v>
      </c>
      <c r="O467" s="4">
        <f t="shared" si="781"/>
        <v>269.8784</v>
      </c>
      <c r="P467" s="4"/>
      <c r="Q467" s="4"/>
      <c r="R467" s="4"/>
      <c r="S467" s="4"/>
      <c r="T467" s="4">
        <f ca="1" t="shared" si="782"/>
        <v>0</v>
      </c>
      <c r="U467" s="4">
        <f ca="1" t="shared" si="783"/>
        <v>0</v>
      </c>
      <c r="V467" s="4">
        <f ca="1" t="shared" si="784"/>
        <v>0</v>
      </c>
      <c r="W467" s="4">
        <f ca="1" t="shared" si="785"/>
        <v>0</v>
      </c>
      <c r="X467" s="4">
        <f ca="1" t="shared" si="786"/>
        <v>134.9392</v>
      </c>
      <c r="Y467" s="4">
        <f ca="1" t="shared" si="787"/>
        <v>269.8784</v>
      </c>
      <c r="Z467" s="4">
        <f ca="1" t="shared" si="788"/>
        <v>0</v>
      </c>
      <c r="AA467" s="4">
        <f ca="1" t="shared" si="789"/>
        <v>0</v>
      </c>
      <c r="AB467" s="4"/>
    </row>
    <row r="468" customHeight="1" outlineLevel="3" spans="1:28">
      <c r="A468" s="514" t="s">
        <v>2947</v>
      </c>
      <c r="B468" s="4"/>
      <c r="C468" s="510" t="s">
        <v>64</v>
      </c>
      <c r="D468" s="4" t="s">
        <v>1067</v>
      </c>
      <c r="E468" s="4"/>
      <c r="F468" s="4" t="str">
        <f ca="1" t="shared" si="780"/>
        <v>m2</v>
      </c>
      <c r="G468" s="4"/>
      <c r="H468" s="4"/>
      <c r="I468" s="4"/>
      <c r="J468" s="4"/>
      <c r="K468" s="4"/>
      <c r="L468" s="517"/>
      <c r="M468" s="4">
        <v>45.13925</v>
      </c>
      <c r="N468" s="4">
        <v>2</v>
      </c>
      <c r="O468" s="4">
        <f t="shared" si="781"/>
        <v>90.2785</v>
      </c>
      <c r="P468" s="4"/>
      <c r="Q468" s="4"/>
      <c r="R468" s="4"/>
      <c r="S468" s="4"/>
      <c r="T468" s="4">
        <f ca="1" t="shared" si="782"/>
        <v>0</v>
      </c>
      <c r="U468" s="4">
        <f ca="1" t="shared" si="783"/>
        <v>0</v>
      </c>
      <c r="V468" s="4">
        <f ca="1" t="shared" si="784"/>
        <v>0</v>
      </c>
      <c r="W468" s="4">
        <f ca="1" t="shared" si="785"/>
        <v>0</v>
      </c>
      <c r="X468" s="4">
        <f ca="1" t="shared" si="786"/>
        <v>45.13925</v>
      </c>
      <c r="Y468" s="4">
        <f ca="1" t="shared" si="787"/>
        <v>90.2785</v>
      </c>
      <c r="Z468" s="4">
        <f ca="1" t="shared" si="788"/>
        <v>0</v>
      </c>
      <c r="AA468" s="4">
        <f ca="1" t="shared" si="789"/>
        <v>0</v>
      </c>
      <c r="AB468" s="4"/>
    </row>
    <row r="469" customHeight="1" outlineLevel="3" spans="1:28">
      <c r="A469" s="514" t="s">
        <v>2948</v>
      </c>
      <c r="B469" s="4"/>
      <c r="C469" s="510" t="s">
        <v>64</v>
      </c>
      <c r="D469" s="4" t="s">
        <v>1031</v>
      </c>
      <c r="E469" s="4"/>
      <c r="F469" s="4" t="str">
        <f ca="1" t="shared" si="780"/>
        <v>m</v>
      </c>
      <c r="G469" s="4"/>
      <c r="H469" s="4"/>
      <c r="I469" s="4"/>
      <c r="J469" s="4"/>
      <c r="K469" s="4"/>
      <c r="L469" s="517"/>
      <c r="M469" s="4">
        <v>176.52</v>
      </c>
      <c r="N469" s="4">
        <v>15</v>
      </c>
      <c r="O469" s="4">
        <f t="shared" si="781"/>
        <v>2647.8</v>
      </c>
      <c r="P469" s="4"/>
      <c r="Q469" s="4"/>
      <c r="R469" s="4"/>
      <c r="S469" s="4"/>
      <c r="T469" s="4">
        <f ca="1" t="shared" si="782"/>
        <v>0</v>
      </c>
      <c r="U469" s="4">
        <f ca="1" t="shared" si="783"/>
        <v>0</v>
      </c>
      <c r="V469" s="4">
        <f ca="1" t="shared" si="784"/>
        <v>0</v>
      </c>
      <c r="W469" s="4">
        <f ca="1" t="shared" si="785"/>
        <v>0</v>
      </c>
      <c r="X469" s="4">
        <f ca="1" t="shared" si="786"/>
        <v>176.52</v>
      </c>
      <c r="Y469" s="4">
        <f ca="1" t="shared" si="787"/>
        <v>2647.8</v>
      </c>
      <c r="Z469" s="4">
        <f ca="1" t="shared" si="788"/>
        <v>0</v>
      </c>
      <c r="AA469" s="4">
        <f ca="1" t="shared" si="789"/>
        <v>0</v>
      </c>
      <c r="AB469" s="4"/>
    </row>
    <row r="470" customHeight="1" outlineLevel="3" spans="1:28">
      <c r="A470" s="514" t="s">
        <v>2949</v>
      </c>
      <c r="B470" s="4"/>
      <c r="C470" s="510" t="s">
        <v>64</v>
      </c>
      <c r="D470" s="4" t="s">
        <v>506</v>
      </c>
      <c r="E470" s="4"/>
      <c r="F470" s="4" t="str">
        <f ca="1" t="shared" si="780"/>
        <v>m3</v>
      </c>
      <c r="G470" s="4"/>
      <c r="H470" s="4"/>
      <c r="I470" s="4"/>
      <c r="J470" s="4"/>
      <c r="K470" s="4"/>
      <c r="L470" s="517"/>
      <c r="M470" s="4">
        <v>35.31</v>
      </c>
      <c r="N470" s="4">
        <f ca="1" t="shared" ref="N470:N479" si="791">VLOOKUP($D470,INDIRECT($C470),3,0)</f>
        <v>10</v>
      </c>
      <c r="O470" s="4">
        <f ca="1" t="shared" si="781"/>
        <v>353.1</v>
      </c>
      <c r="P470" s="4"/>
      <c r="Q470" s="4"/>
      <c r="R470" s="4"/>
      <c r="S470" s="4"/>
      <c r="T470" s="4">
        <f ca="1" t="shared" si="782"/>
        <v>0</v>
      </c>
      <c r="U470" s="4">
        <f ca="1" t="shared" si="783"/>
        <v>0</v>
      </c>
      <c r="V470" s="4">
        <f ca="1" t="shared" si="784"/>
        <v>0</v>
      </c>
      <c r="W470" s="4">
        <f ca="1" t="shared" si="785"/>
        <v>0</v>
      </c>
      <c r="X470" s="4">
        <f ca="1" t="shared" si="786"/>
        <v>35.31</v>
      </c>
      <c r="Y470" s="4">
        <f ca="1" t="shared" si="787"/>
        <v>353.1</v>
      </c>
      <c r="Z470" s="4">
        <f ca="1" t="shared" si="788"/>
        <v>0</v>
      </c>
      <c r="AA470" s="4">
        <f ca="1" t="shared" si="789"/>
        <v>0</v>
      </c>
      <c r="AB470" s="4"/>
    </row>
    <row r="471" customHeight="1" outlineLevel="2" spans="1:28">
      <c r="A471" s="515" t="s">
        <v>2950</v>
      </c>
      <c r="B471" s="4"/>
      <c r="C471" s="510" t="s">
        <v>1309</v>
      </c>
      <c r="D471" s="4" t="s">
        <v>2951</v>
      </c>
      <c r="E471" s="4" t="s">
        <v>2920</v>
      </c>
      <c r="F471" s="4" t="s">
        <v>69</v>
      </c>
      <c r="G471" s="4">
        <v>887.37</v>
      </c>
      <c r="H471" s="4">
        <v>142.357798165138</v>
      </c>
      <c r="I471" s="4">
        <f>G471*H471</f>
        <v>126324.039357799</v>
      </c>
      <c r="J471" s="4">
        <f t="shared" ref="J471:L471" si="792">+G471</f>
        <v>887.37</v>
      </c>
      <c r="K471" s="4">
        <f t="shared" si="792"/>
        <v>142.357798165138</v>
      </c>
      <c r="L471" s="517">
        <f t="shared" si="792"/>
        <v>126324.039357799</v>
      </c>
      <c r="M471" s="4">
        <v>887.37</v>
      </c>
      <c r="N471" s="4">
        <f ca="1">O471/M471</f>
        <v>488.592447037437</v>
      </c>
      <c r="O471" s="4">
        <f ca="1">(+O472+O473+O474+O475+O476+O477+O478+O479)</f>
        <v>433562.27972761</v>
      </c>
      <c r="P471" s="4"/>
      <c r="Q471" s="4"/>
      <c r="R471" s="4">
        <f>+P471+J471</f>
        <v>887.37</v>
      </c>
      <c r="S471" s="4">
        <f>+Q471+L471</f>
        <v>126324.039357799</v>
      </c>
      <c r="T471" s="4">
        <f>IFERROR(VLOOKUP(A471,产值统计中间表!A:F,7,FALSE),0)</f>
        <v>0</v>
      </c>
      <c r="U471" s="4">
        <f>+T471*H471</f>
        <v>0</v>
      </c>
      <c r="V471" s="4">
        <f>IFERROR(VLOOKUP(A471,产值统计中间表!A:D,4,FALSE),0)</f>
        <v>0</v>
      </c>
      <c r="W471" s="4">
        <f>+V471*H471</f>
        <v>0</v>
      </c>
      <c r="X471" s="4">
        <f>+R471-V471</f>
        <v>887.37</v>
      </c>
      <c r="Y471" s="4">
        <f>+S471-W471</f>
        <v>126324.039357799</v>
      </c>
      <c r="Z471" s="4">
        <f>IFERROR(VLOOKUP(A471,业主统计中间表!A:D,4,FALSE),0)</f>
        <v>0</v>
      </c>
      <c r="AA471" s="4">
        <f>+Z471*H471</f>
        <v>0</v>
      </c>
      <c r="AB471" s="4"/>
    </row>
    <row r="472" customHeight="1" outlineLevel="3" spans="1:28">
      <c r="A472" s="514" t="s">
        <v>2952</v>
      </c>
      <c r="B472" s="4"/>
      <c r="C472" s="510" t="s">
        <v>63</v>
      </c>
      <c r="D472" s="4" t="s">
        <v>1207</v>
      </c>
      <c r="E472" s="4"/>
      <c r="F472" s="4" t="str">
        <f ca="1" t="shared" ref="F472:F479" si="793">VLOOKUP($D472,INDIRECT($C472),2,0)</f>
        <v>m2</v>
      </c>
      <c r="G472" s="4"/>
      <c r="H472" s="4"/>
      <c r="I472" s="4"/>
      <c r="J472" s="4"/>
      <c r="K472" s="4"/>
      <c r="L472" s="517"/>
      <c r="M472" s="4">
        <v>887.37</v>
      </c>
      <c r="N472" s="4">
        <f ca="1" t="shared" si="791"/>
        <v>2</v>
      </c>
      <c r="O472" s="4">
        <f ca="1" t="shared" ref="O472:O479" si="794">M472*N472</f>
        <v>1774.74</v>
      </c>
      <c r="P472" s="4"/>
      <c r="Q472" s="4"/>
      <c r="R472" s="4"/>
      <c r="S472" s="4"/>
      <c r="T472" s="4">
        <f ca="1" t="shared" ref="T472:T479" si="795">OFFSET(T472,-RIGHT($A472,LEN($A$6)),,1,1)/OFFSET(T472,-RIGHT($A472,LEN($A$6)),-13,1,1)*$M472</f>
        <v>0</v>
      </c>
      <c r="U472" s="4">
        <f ca="1" t="shared" ref="U472:U479" si="796">+$N472*T472</f>
        <v>0</v>
      </c>
      <c r="V472" s="4">
        <f ca="1" t="shared" ref="V472:V479" si="797">OFFSET(V472,-RIGHT($A472,LEN($A$6)),,1,1)/OFFSET(V472,-RIGHT($A472,LEN($A$6)),-15,1,1)*$M472</f>
        <v>0</v>
      </c>
      <c r="W472" s="4">
        <f ca="1" t="shared" ref="W472:W479" si="798">+$N472*V472</f>
        <v>0</v>
      </c>
      <c r="X472" s="4">
        <f ca="1" t="shared" ref="X472:X479" si="799">+M472-V472</f>
        <v>887.37</v>
      </c>
      <c r="Y472" s="4">
        <f ca="1" t="shared" ref="Y472:Y479" si="800">+O472-W472</f>
        <v>1774.74</v>
      </c>
      <c r="Z472" s="4">
        <f ca="1" t="shared" ref="Z472:Z479" si="801">OFFSET(Z472,-RIGHT($A472,LEN($A$6)),,1,1)/OFFSET(Z472,-RIGHT($A472,LEN($A$6)),-19,1,1)*$M472</f>
        <v>0</v>
      </c>
      <c r="AA472" s="4">
        <f ca="1" t="shared" ref="AA472:AA479" si="802">+$N472*Z472</f>
        <v>0</v>
      </c>
      <c r="AB472" s="4"/>
    </row>
    <row r="473" customHeight="1" outlineLevel="3" spans="1:28">
      <c r="A473" s="514" t="s">
        <v>2953</v>
      </c>
      <c r="B473" s="4"/>
      <c r="C473" s="510" t="s">
        <v>63</v>
      </c>
      <c r="D473" s="4" t="s">
        <v>1208</v>
      </c>
      <c r="E473" s="4"/>
      <c r="F473" s="4" t="str">
        <f ca="1" t="shared" si="793"/>
        <v>m2</v>
      </c>
      <c r="G473" s="4"/>
      <c r="H473" s="4"/>
      <c r="I473" s="4"/>
      <c r="J473" s="4"/>
      <c r="K473" s="4"/>
      <c r="L473" s="517"/>
      <c r="M473" s="4">
        <v>99.3888</v>
      </c>
      <c r="N473" s="4">
        <f ca="1" t="shared" si="791"/>
        <v>3.5</v>
      </c>
      <c r="O473" s="4">
        <f ca="1" t="shared" si="794"/>
        <v>347.8608</v>
      </c>
      <c r="P473" s="4"/>
      <c r="Q473" s="4"/>
      <c r="R473" s="4"/>
      <c r="S473" s="4"/>
      <c r="T473" s="4">
        <f ca="1" t="shared" si="795"/>
        <v>0</v>
      </c>
      <c r="U473" s="4">
        <f ca="1" t="shared" si="796"/>
        <v>0</v>
      </c>
      <c r="V473" s="4">
        <f ca="1" t="shared" si="797"/>
        <v>0</v>
      </c>
      <c r="W473" s="4">
        <f ca="1" t="shared" si="798"/>
        <v>0</v>
      </c>
      <c r="X473" s="4">
        <f ca="1" t="shared" si="799"/>
        <v>99.3888</v>
      </c>
      <c r="Y473" s="4">
        <f ca="1" t="shared" si="800"/>
        <v>347.8608</v>
      </c>
      <c r="Z473" s="4">
        <f ca="1" t="shared" si="801"/>
        <v>0</v>
      </c>
      <c r="AA473" s="4">
        <f ca="1" t="shared" si="802"/>
        <v>0</v>
      </c>
      <c r="AB473" s="4"/>
    </row>
    <row r="474" customHeight="1" outlineLevel="3" spans="1:28">
      <c r="A474" s="514" t="s">
        <v>2954</v>
      </c>
      <c r="B474" s="4"/>
      <c r="C474" s="510" t="s">
        <v>59</v>
      </c>
      <c r="D474" s="4" t="s">
        <v>1050</v>
      </c>
      <c r="E474" s="4"/>
      <c r="F474" s="4" t="str">
        <f ca="1" t="shared" si="793"/>
        <v>m3</v>
      </c>
      <c r="G474" s="4"/>
      <c r="H474" s="4"/>
      <c r="I474" s="4"/>
      <c r="J474" s="4"/>
      <c r="K474" s="4"/>
      <c r="L474" s="517"/>
      <c r="M474" s="4">
        <v>99.3888</v>
      </c>
      <c r="N474" s="4">
        <f ca="1" t="shared" si="791"/>
        <v>0</v>
      </c>
      <c r="O474" s="4">
        <f ca="1" t="shared" si="794"/>
        <v>0</v>
      </c>
      <c r="P474" s="4"/>
      <c r="Q474" s="4"/>
      <c r="R474" s="4"/>
      <c r="S474" s="4"/>
      <c r="T474" s="4">
        <f ca="1" t="shared" si="795"/>
        <v>0</v>
      </c>
      <c r="U474" s="4">
        <f ca="1" t="shared" si="796"/>
        <v>0</v>
      </c>
      <c r="V474" s="4">
        <f ca="1" t="shared" si="797"/>
        <v>0</v>
      </c>
      <c r="W474" s="4">
        <f ca="1" t="shared" si="798"/>
        <v>0</v>
      </c>
      <c r="X474" s="4">
        <f ca="1" t="shared" si="799"/>
        <v>99.3888</v>
      </c>
      <c r="Y474" s="4">
        <f ca="1" t="shared" si="800"/>
        <v>0</v>
      </c>
      <c r="Z474" s="4">
        <f ca="1" t="shared" si="801"/>
        <v>0</v>
      </c>
      <c r="AA474" s="4">
        <f ca="1" t="shared" si="802"/>
        <v>0</v>
      </c>
      <c r="AB474" s="4"/>
    </row>
    <row r="475" customHeight="1" outlineLevel="3" spans="1:28">
      <c r="A475" s="514" t="s">
        <v>2955</v>
      </c>
      <c r="B475" s="4"/>
      <c r="C475" s="510" t="s">
        <v>59</v>
      </c>
      <c r="D475" s="4" t="s">
        <v>1020</v>
      </c>
      <c r="E475" s="4"/>
      <c r="F475" s="4" t="str">
        <f ca="1" t="shared" si="793"/>
        <v>m3</v>
      </c>
      <c r="G475" s="4"/>
      <c r="H475" s="4"/>
      <c r="I475" s="4"/>
      <c r="J475" s="4"/>
      <c r="K475" s="4"/>
      <c r="L475" s="517"/>
      <c r="M475" s="4">
        <v>18.6354</v>
      </c>
      <c r="N475" s="4">
        <f ca="1" t="shared" si="791"/>
        <v>0</v>
      </c>
      <c r="O475" s="4">
        <f ca="1" t="shared" si="794"/>
        <v>0</v>
      </c>
      <c r="P475" s="4"/>
      <c r="Q475" s="4"/>
      <c r="R475" s="4"/>
      <c r="S475" s="4"/>
      <c r="T475" s="4">
        <f ca="1" t="shared" si="795"/>
        <v>0</v>
      </c>
      <c r="U475" s="4">
        <f ca="1" t="shared" si="796"/>
        <v>0</v>
      </c>
      <c r="V475" s="4">
        <f ca="1" t="shared" si="797"/>
        <v>0</v>
      </c>
      <c r="W475" s="4">
        <f ca="1" t="shared" si="798"/>
        <v>0</v>
      </c>
      <c r="X475" s="4">
        <f ca="1" t="shared" si="799"/>
        <v>18.6354</v>
      </c>
      <c r="Y475" s="4">
        <f ca="1" t="shared" si="800"/>
        <v>0</v>
      </c>
      <c r="Z475" s="4">
        <f ca="1" t="shared" si="801"/>
        <v>0</v>
      </c>
      <c r="AA475" s="4">
        <f ca="1" t="shared" si="802"/>
        <v>0</v>
      </c>
      <c r="AB475" s="4"/>
    </row>
    <row r="476" customHeight="1" outlineLevel="3" spans="1:28">
      <c r="A476" s="514" t="s">
        <v>2956</v>
      </c>
      <c r="B476" s="4"/>
      <c r="C476" s="510" t="s">
        <v>64</v>
      </c>
      <c r="D476" s="4" t="s">
        <v>300</v>
      </c>
      <c r="E476" s="4"/>
      <c r="F476" s="4" t="str">
        <f ca="1" t="shared" si="793"/>
        <v>m2</v>
      </c>
      <c r="G476" s="4"/>
      <c r="H476" s="4"/>
      <c r="I476" s="4"/>
      <c r="J476" s="4"/>
      <c r="K476" s="4"/>
      <c r="L476" s="517"/>
      <c r="M476" s="4">
        <v>887.37</v>
      </c>
      <c r="N476" s="4">
        <f ca="1" t="shared" si="791"/>
        <v>2</v>
      </c>
      <c r="O476" s="4">
        <f ca="1" t="shared" si="794"/>
        <v>1774.74</v>
      </c>
      <c r="P476" s="4"/>
      <c r="Q476" s="4"/>
      <c r="R476" s="4"/>
      <c r="S476" s="4"/>
      <c r="T476" s="4">
        <f ca="1" t="shared" si="795"/>
        <v>0</v>
      </c>
      <c r="U476" s="4">
        <f ca="1" t="shared" si="796"/>
        <v>0</v>
      </c>
      <c r="V476" s="4">
        <f ca="1" t="shared" si="797"/>
        <v>0</v>
      </c>
      <c r="W476" s="4">
        <f ca="1" t="shared" si="798"/>
        <v>0</v>
      </c>
      <c r="X476" s="4">
        <f ca="1" t="shared" si="799"/>
        <v>887.37</v>
      </c>
      <c r="Y476" s="4">
        <f ca="1" t="shared" si="800"/>
        <v>1774.74</v>
      </c>
      <c r="Z476" s="4">
        <f ca="1" t="shared" si="801"/>
        <v>0</v>
      </c>
      <c r="AA476" s="4">
        <f ca="1" t="shared" si="802"/>
        <v>0</v>
      </c>
      <c r="AB476" s="4"/>
    </row>
    <row r="477" customHeight="1" outlineLevel="3" spans="1:28">
      <c r="A477" s="514" t="s">
        <v>2957</v>
      </c>
      <c r="B477" s="4"/>
      <c r="C477" s="510" t="s">
        <v>59</v>
      </c>
      <c r="D477" s="4" t="s">
        <v>879</v>
      </c>
      <c r="E477" s="4"/>
      <c r="F477" s="4" t="str">
        <f ca="1" t="shared" si="793"/>
        <v>m2</v>
      </c>
      <c r="G477" s="4"/>
      <c r="H477" s="4"/>
      <c r="I477" s="4"/>
      <c r="J477" s="4"/>
      <c r="K477" s="4"/>
      <c r="L477" s="517"/>
      <c r="M477" s="4">
        <v>989.62848</v>
      </c>
      <c r="N477" s="4">
        <f ca="1" t="shared" si="791"/>
        <v>16</v>
      </c>
      <c r="O477" s="4">
        <f ca="1" t="shared" si="794"/>
        <v>15834.05568</v>
      </c>
      <c r="P477" s="4"/>
      <c r="Q477" s="4"/>
      <c r="R477" s="4"/>
      <c r="S477" s="4"/>
      <c r="T477" s="4">
        <f ca="1" t="shared" si="795"/>
        <v>0</v>
      </c>
      <c r="U477" s="4">
        <f ca="1" t="shared" si="796"/>
        <v>0</v>
      </c>
      <c r="V477" s="4">
        <f ca="1" t="shared" si="797"/>
        <v>0</v>
      </c>
      <c r="W477" s="4">
        <f ca="1" t="shared" si="798"/>
        <v>0</v>
      </c>
      <c r="X477" s="4">
        <f ca="1" t="shared" si="799"/>
        <v>989.62848</v>
      </c>
      <c r="Y477" s="4">
        <f ca="1" t="shared" si="800"/>
        <v>15834.05568</v>
      </c>
      <c r="Z477" s="4">
        <f ca="1" t="shared" si="801"/>
        <v>0</v>
      </c>
      <c r="AA477" s="4">
        <f ca="1" t="shared" si="802"/>
        <v>0</v>
      </c>
      <c r="AB477" s="4"/>
    </row>
    <row r="478" customHeight="1" outlineLevel="3" spans="1:28">
      <c r="A478" s="514" t="s">
        <v>2958</v>
      </c>
      <c r="B478" s="4"/>
      <c r="C478" s="510" t="s">
        <v>59</v>
      </c>
      <c r="D478" s="4" t="s">
        <v>191</v>
      </c>
      <c r="E478" s="4"/>
      <c r="F478" s="4" t="str">
        <f ca="1" t="shared" si="793"/>
        <v>m3</v>
      </c>
      <c r="G478" s="4"/>
      <c r="H478" s="4"/>
      <c r="I478" s="4"/>
      <c r="J478" s="4"/>
      <c r="K478" s="4"/>
      <c r="L478" s="517"/>
      <c r="M478" s="4">
        <v>134.4411</v>
      </c>
      <c r="N478" s="4">
        <f ca="1" t="shared" si="791"/>
        <v>3076.65752212389</v>
      </c>
      <c r="O478" s="4">
        <f ca="1" t="shared" si="794"/>
        <v>413629.22159761</v>
      </c>
      <c r="P478" s="4"/>
      <c r="Q478" s="4"/>
      <c r="R478" s="4"/>
      <c r="S478" s="4"/>
      <c r="T478" s="4">
        <f ca="1" t="shared" si="795"/>
        <v>0</v>
      </c>
      <c r="U478" s="4">
        <f ca="1" t="shared" si="796"/>
        <v>0</v>
      </c>
      <c r="V478" s="4">
        <f ca="1" t="shared" si="797"/>
        <v>0</v>
      </c>
      <c r="W478" s="4">
        <f ca="1" t="shared" si="798"/>
        <v>0</v>
      </c>
      <c r="X478" s="4">
        <f ca="1" t="shared" si="799"/>
        <v>134.4411</v>
      </c>
      <c r="Y478" s="4">
        <f ca="1" t="shared" si="800"/>
        <v>413629.22159761</v>
      </c>
      <c r="Z478" s="4">
        <f ca="1" t="shared" si="801"/>
        <v>0</v>
      </c>
      <c r="AA478" s="4">
        <f ca="1" t="shared" si="802"/>
        <v>0</v>
      </c>
      <c r="AB478" s="4"/>
    </row>
    <row r="479" customHeight="1" outlineLevel="3" spans="1:28">
      <c r="A479" s="514" t="s">
        <v>2959</v>
      </c>
      <c r="B479" s="4"/>
      <c r="C479" s="510" t="s">
        <v>64</v>
      </c>
      <c r="D479" s="4" t="s">
        <v>1025</v>
      </c>
      <c r="E479" s="4"/>
      <c r="F479" s="4" t="str">
        <f ca="1" t="shared" si="793"/>
        <v>m3</v>
      </c>
      <c r="G479" s="4"/>
      <c r="H479" s="4"/>
      <c r="I479" s="4"/>
      <c r="J479" s="4"/>
      <c r="K479" s="4"/>
      <c r="L479" s="517"/>
      <c r="M479" s="4">
        <v>134.4411</v>
      </c>
      <c r="N479" s="4">
        <f ca="1" t="shared" si="791"/>
        <v>1.5</v>
      </c>
      <c r="O479" s="4">
        <f ca="1" t="shared" si="794"/>
        <v>201.66165</v>
      </c>
      <c r="P479" s="4"/>
      <c r="Q479" s="4"/>
      <c r="R479" s="4"/>
      <c r="S479" s="4"/>
      <c r="T479" s="4">
        <f ca="1" t="shared" si="795"/>
        <v>0</v>
      </c>
      <c r="U479" s="4">
        <f ca="1" t="shared" si="796"/>
        <v>0</v>
      </c>
      <c r="V479" s="4">
        <f ca="1" t="shared" si="797"/>
        <v>0</v>
      </c>
      <c r="W479" s="4">
        <f ca="1" t="shared" si="798"/>
        <v>0</v>
      </c>
      <c r="X479" s="4">
        <f ca="1" t="shared" si="799"/>
        <v>134.4411</v>
      </c>
      <c r="Y479" s="4">
        <f ca="1" t="shared" si="800"/>
        <v>201.66165</v>
      </c>
      <c r="Z479" s="4">
        <f ca="1" t="shared" si="801"/>
        <v>0</v>
      </c>
      <c r="AA479" s="4">
        <f ca="1" t="shared" si="802"/>
        <v>0</v>
      </c>
      <c r="AB479" s="4"/>
    </row>
    <row r="480" customHeight="1" outlineLevel="2" spans="1:28">
      <c r="A480" s="515" t="s">
        <v>2960</v>
      </c>
      <c r="B480" s="4"/>
      <c r="C480" s="510" t="s">
        <v>1309</v>
      </c>
      <c r="D480" s="4" t="s">
        <v>2961</v>
      </c>
      <c r="E480" s="4" t="s">
        <v>2576</v>
      </c>
      <c r="F480" s="4" t="s">
        <v>69</v>
      </c>
      <c r="G480" s="4">
        <v>114</v>
      </c>
      <c r="H480" s="4">
        <v>81</v>
      </c>
      <c r="I480" s="4">
        <f>G480*H480</f>
        <v>9234</v>
      </c>
      <c r="J480" s="4">
        <f t="shared" ref="J480:L480" si="803">+G480</f>
        <v>114</v>
      </c>
      <c r="K480" s="4">
        <f t="shared" si="803"/>
        <v>81</v>
      </c>
      <c r="L480" s="517">
        <f t="shared" si="803"/>
        <v>9234</v>
      </c>
      <c r="M480" s="4">
        <v>114</v>
      </c>
      <c r="N480" s="4">
        <f ca="1">O480/M480</f>
        <v>15</v>
      </c>
      <c r="O480" s="4">
        <f ca="1">(+O481+O482)</f>
        <v>1710</v>
      </c>
      <c r="P480" s="4"/>
      <c r="Q480" s="4"/>
      <c r="R480" s="4">
        <f>+P480+J480</f>
        <v>114</v>
      </c>
      <c r="S480" s="4">
        <f>+Q480+L480</f>
        <v>9234</v>
      </c>
      <c r="T480" s="4">
        <f>IFERROR(VLOOKUP(A480,产值统计中间表!A:F,7,FALSE),0)</f>
        <v>0</v>
      </c>
      <c r="U480" s="4">
        <f>+T480*H480</f>
        <v>0</v>
      </c>
      <c r="V480" s="4">
        <f>IFERROR(VLOOKUP(A480,产值统计中间表!A:D,4,FALSE),0)</f>
        <v>0</v>
      </c>
      <c r="W480" s="4">
        <f>+V480*H480</f>
        <v>0</v>
      </c>
      <c r="X480" s="4">
        <f>+R480-V480</f>
        <v>114</v>
      </c>
      <c r="Y480" s="4">
        <f>+S480-W480</f>
        <v>9234</v>
      </c>
      <c r="Z480" s="4">
        <f>IFERROR(VLOOKUP(A480,业主统计中间表!A:D,4,FALSE),0)</f>
        <v>0</v>
      </c>
      <c r="AA480" s="4">
        <f>+Z480*H480</f>
        <v>0</v>
      </c>
      <c r="AB480" s="4"/>
    </row>
    <row r="481" customHeight="1" outlineLevel="3" spans="1:28">
      <c r="A481" s="514" t="s">
        <v>2962</v>
      </c>
      <c r="B481" s="4"/>
      <c r="C481" s="510" t="s">
        <v>59</v>
      </c>
      <c r="D481" s="4" t="s">
        <v>1086</v>
      </c>
      <c r="E481" s="4"/>
      <c r="F481" s="4" t="str">
        <f ca="1" t="shared" ref="F481:F487" si="804">VLOOKUP($D481,INDIRECT($C481),2,0)</f>
        <v>m3</v>
      </c>
      <c r="G481" s="4"/>
      <c r="H481" s="4"/>
      <c r="I481" s="4"/>
      <c r="J481" s="4"/>
      <c r="K481" s="4"/>
      <c r="L481" s="517"/>
      <c r="M481" s="4">
        <v>5.757</v>
      </c>
      <c r="N481" s="4">
        <f ca="1" t="shared" ref="N481:N487" si="805">VLOOKUP($D481,INDIRECT($C481),3,0)</f>
        <v>0</v>
      </c>
      <c r="O481" s="4">
        <f ca="1">M481*N481</f>
        <v>0</v>
      </c>
      <c r="P481" s="4"/>
      <c r="Q481" s="4"/>
      <c r="R481" s="4"/>
      <c r="S481" s="4"/>
      <c r="T481" s="4">
        <f ca="1" t="shared" ref="T481:T487" si="806">OFFSET(T481,-RIGHT($A481,LEN($A$6)),,1,1)/OFFSET(T481,-RIGHT($A481,LEN($A$6)),-13,1,1)*$M481</f>
        <v>0</v>
      </c>
      <c r="U481" s="4">
        <f ca="1" t="shared" ref="U481:U487" si="807">+$N481*T481</f>
        <v>0</v>
      </c>
      <c r="V481" s="4">
        <f ca="1" t="shared" ref="V481:V487" si="808">OFFSET(V481,-RIGHT($A481,LEN($A$6)),,1,1)/OFFSET(V481,-RIGHT($A481,LEN($A$6)),-15,1,1)*$M481</f>
        <v>0</v>
      </c>
      <c r="W481" s="4">
        <f ca="1" t="shared" ref="W481:W487" si="809">+$N481*V481</f>
        <v>0</v>
      </c>
      <c r="X481" s="4">
        <f ca="1" t="shared" ref="X481:X487" si="810">+M481-V481</f>
        <v>5.757</v>
      </c>
      <c r="Y481" s="4">
        <f ca="1" t="shared" ref="Y481:Y487" si="811">+O481-W481</f>
        <v>0</v>
      </c>
      <c r="Z481" s="4">
        <f ca="1" t="shared" ref="Z481:Z487" si="812">OFFSET(Z481,-RIGHT($A481,LEN($A$6)),,1,1)/OFFSET(Z481,-RIGHT($A481,LEN($A$6)),-19,1,1)*$M481</f>
        <v>0</v>
      </c>
      <c r="AA481" s="4">
        <f ca="1" t="shared" ref="AA481:AA487" si="813">+$N481*Z481</f>
        <v>0</v>
      </c>
      <c r="AB481" s="4"/>
    </row>
    <row r="482" customHeight="1" outlineLevel="3" spans="1:28">
      <c r="A482" s="514" t="s">
        <v>2963</v>
      </c>
      <c r="B482" s="4"/>
      <c r="C482" s="510" t="s">
        <v>64</v>
      </c>
      <c r="D482" s="4" t="s">
        <v>1103</v>
      </c>
      <c r="E482" s="4"/>
      <c r="F482" s="4" t="str">
        <f ca="1" t="shared" si="804"/>
        <v>m2</v>
      </c>
      <c r="G482" s="4"/>
      <c r="H482" s="4"/>
      <c r="I482" s="4"/>
      <c r="J482" s="4"/>
      <c r="K482" s="4"/>
      <c r="L482" s="517"/>
      <c r="M482" s="4">
        <f>+G480</f>
        <v>114</v>
      </c>
      <c r="N482" s="4">
        <f ca="1" t="shared" si="805"/>
        <v>15</v>
      </c>
      <c r="O482" s="4">
        <f ca="1">M482*N482</f>
        <v>1710</v>
      </c>
      <c r="P482" s="4"/>
      <c r="Q482" s="4"/>
      <c r="R482" s="4"/>
      <c r="S482" s="4"/>
      <c r="T482" s="4">
        <f ca="1" t="shared" si="806"/>
        <v>0</v>
      </c>
      <c r="U482" s="4">
        <f ca="1" t="shared" si="807"/>
        <v>0</v>
      </c>
      <c r="V482" s="4">
        <f ca="1" t="shared" si="808"/>
        <v>0</v>
      </c>
      <c r="W482" s="4">
        <f ca="1" t="shared" si="809"/>
        <v>0</v>
      </c>
      <c r="X482" s="4">
        <f ca="1" t="shared" si="810"/>
        <v>114</v>
      </c>
      <c r="Y482" s="4">
        <f ca="1" t="shared" si="811"/>
        <v>1710</v>
      </c>
      <c r="Z482" s="4">
        <f ca="1" t="shared" si="812"/>
        <v>0</v>
      </c>
      <c r="AA482" s="4">
        <f ca="1" t="shared" si="813"/>
        <v>0</v>
      </c>
      <c r="AB482" s="4"/>
    </row>
    <row r="483" customHeight="1" outlineLevel="2" spans="1:28">
      <c r="A483" s="515" t="s">
        <v>2964</v>
      </c>
      <c r="B483" s="4"/>
      <c r="C483" s="510" t="s">
        <v>1309</v>
      </c>
      <c r="D483" s="4" t="s">
        <v>2965</v>
      </c>
      <c r="E483" s="4" t="s">
        <v>2576</v>
      </c>
      <c r="F483" s="4" t="s">
        <v>76</v>
      </c>
      <c r="G483" s="4">
        <v>48.09</v>
      </c>
      <c r="H483" s="4">
        <v>198.623853211009</v>
      </c>
      <c r="I483" s="4">
        <f>G483*H483</f>
        <v>9551.82110091742</v>
      </c>
      <c r="J483" s="4">
        <f t="shared" ref="J483:L483" si="814">+G483</f>
        <v>48.09</v>
      </c>
      <c r="K483" s="4">
        <f t="shared" si="814"/>
        <v>198.623853211009</v>
      </c>
      <c r="L483" s="517">
        <f t="shared" si="814"/>
        <v>9551.82110091742</v>
      </c>
      <c r="M483" s="4">
        <v>48.09</v>
      </c>
      <c r="N483" s="4">
        <f ca="1">O483/M483</f>
        <v>43</v>
      </c>
      <c r="O483" s="4">
        <f ca="1">(+O484+O485+O486+O487)</f>
        <v>2067.87</v>
      </c>
      <c r="P483" s="4"/>
      <c r="Q483" s="4"/>
      <c r="R483" s="4">
        <f>+P483+J483</f>
        <v>48.09</v>
      </c>
      <c r="S483" s="4">
        <f>+Q483+L483</f>
        <v>9551.82110091742</v>
      </c>
      <c r="T483" s="4">
        <f>IFERROR(VLOOKUP(A483,产值统计中间表!A:F,7,FALSE),0)</f>
        <v>0</v>
      </c>
      <c r="U483" s="4">
        <f>+T483*H483</f>
        <v>0</v>
      </c>
      <c r="V483" s="4">
        <f>IFERROR(VLOOKUP(A483,产值统计中间表!A:D,4,FALSE),0)</f>
        <v>0</v>
      </c>
      <c r="W483" s="4">
        <f>+V483*H483</f>
        <v>0</v>
      </c>
      <c r="X483" s="4">
        <f>+R483-V483</f>
        <v>48.09</v>
      </c>
      <c r="Y483" s="4">
        <f>+S483-W483</f>
        <v>9551.82110091742</v>
      </c>
      <c r="Z483" s="4">
        <f>IFERROR(VLOOKUP(A483,业主统计中间表!A:D,4,FALSE),0)</f>
        <v>0</v>
      </c>
      <c r="AA483" s="4">
        <f>+Z483*H483</f>
        <v>0</v>
      </c>
      <c r="AB483" s="4"/>
    </row>
    <row r="484" customHeight="1" outlineLevel="3" spans="1:28">
      <c r="A484" s="514" t="s">
        <v>2966</v>
      </c>
      <c r="B484" s="4"/>
      <c r="C484" s="510" t="s">
        <v>59</v>
      </c>
      <c r="D484" s="4" t="s">
        <v>1044</v>
      </c>
      <c r="E484" s="4"/>
      <c r="F484" s="4" t="str">
        <f ca="1" t="shared" si="804"/>
        <v>m3</v>
      </c>
      <c r="G484" s="4"/>
      <c r="H484" s="4"/>
      <c r="I484" s="4"/>
      <c r="J484" s="4"/>
      <c r="K484" s="4"/>
      <c r="L484" s="517"/>
      <c r="M484" s="4">
        <v>2.324192</v>
      </c>
      <c r="N484" s="4">
        <f ca="1" t="shared" si="805"/>
        <v>0</v>
      </c>
      <c r="O484" s="4">
        <f ca="1">M484*N484</f>
        <v>0</v>
      </c>
      <c r="P484" s="4"/>
      <c r="Q484" s="4"/>
      <c r="R484" s="4"/>
      <c r="S484" s="4"/>
      <c r="T484" s="4">
        <f ca="1" t="shared" si="806"/>
        <v>0</v>
      </c>
      <c r="U484" s="4">
        <f ca="1" t="shared" si="807"/>
        <v>0</v>
      </c>
      <c r="V484" s="4">
        <f ca="1" t="shared" si="808"/>
        <v>0</v>
      </c>
      <c r="W484" s="4">
        <f ca="1" t="shared" si="809"/>
        <v>0</v>
      </c>
      <c r="X484" s="4">
        <f ca="1" t="shared" si="810"/>
        <v>2.324192</v>
      </c>
      <c r="Y484" s="4">
        <f ca="1" t="shared" si="811"/>
        <v>0</v>
      </c>
      <c r="Z484" s="4">
        <f ca="1" t="shared" si="812"/>
        <v>0</v>
      </c>
      <c r="AA484" s="4">
        <f ca="1" t="shared" si="813"/>
        <v>0</v>
      </c>
      <c r="AB484" s="4"/>
    </row>
    <row r="485" customHeight="1" outlineLevel="3" spans="1:28">
      <c r="A485" s="514" t="s">
        <v>2967</v>
      </c>
      <c r="B485" s="4"/>
      <c r="C485" s="510" t="s">
        <v>64</v>
      </c>
      <c r="D485" s="4" t="s">
        <v>1100</v>
      </c>
      <c r="E485" s="4"/>
      <c r="F485" s="4" t="str">
        <f ca="1" t="shared" si="804"/>
        <v>m2</v>
      </c>
      <c r="G485" s="4"/>
      <c r="H485" s="4"/>
      <c r="I485" s="4"/>
      <c r="J485" s="4"/>
      <c r="K485" s="4"/>
      <c r="L485" s="517"/>
      <c r="M485" s="4">
        <v>48.09</v>
      </c>
      <c r="N485" s="4">
        <f ca="1" t="shared" si="805"/>
        <v>43</v>
      </c>
      <c r="O485" s="4">
        <f ca="1">M485*N485</f>
        <v>2067.87</v>
      </c>
      <c r="P485" s="4"/>
      <c r="Q485" s="4"/>
      <c r="R485" s="4"/>
      <c r="S485" s="4"/>
      <c r="T485" s="4">
        <f ca="1" t="shared" si="806"/>
        <v>0</v>
      </c>
      <c r="U485" s="4">
        <f ca="1" t="shared" si="807"/>
        <v>0</v>
      </c>
      <c r="V485" s="4">
        <f ca="1" t="shared" si="808"/>
        <v>0</v>
      </c>
      <c r="W485" s="4">
        <f ca="1" t="shared" si="809"/>
        <v>0</v>
      </c>
      <c r="X485" s="4">
        <f ca="1" t="shared" si="810"/>
        <v>48.09</v>
      </c>
      <c r="Y485" s="4">
        <f ca="1" t="shared" si="811"/>
        <v>2067.87</v>
      </c>
      <c r="Z485" s="4">
        <f ca="1" t="shared" si="812"/>
        <v>0</v>
      </c>
      <c r="AA485" s="4">
        <f ca="1" t="shared" si="813"/>
        <v>0</v>
      </c>
      <c r="AB485" s="4"/>
    </row>
    <row r="486" customHeight="1" outlineLevel="3" spans="1:28">
      <c r="A486" s="514" t="s">
        <v>2968</v>
      </c>
      <c r="B486" s="4"/>
      <c r="C486" s="510" t="s">
        <v>59</v>
      </c>
      <c r="D486" s="4" t="s">
        <v>1089</v>
      </c>
      <c r="E486" s="4"/>
      <c r="F486" s="4" t="str">
        <f ca="1" t="shared" si="804"/>
        <v>m2</v>
      </c>
      <c r="G486" s="4"/>
      <c r="H486" s="4"/>
      <c r="I486" s="4"/>
      <c r="J486" s="4"/>
      <c r="K486" s="4"/>
      <c r="L486" s="517"/>
      <c r="M486" s="4">
        <v>9.393</v>
      </c>
      <c r="N486" s="4">
        <f ca="1" t="shared" si="805"/>
        <v>0</v>
      </c>
      <c r="O486" s="4">
        <f ca="1">M486*N486</f>
        <v>0</v>
      </c>
      <c r="P486" s="4"/>
      <c r="Q486" s="4"/>
      <c r="R486" s="4"/>
      <c r="S486" s="4"/>
      <c r="T486" s="4">
        <f ca="1" t="shared" si="806"/>
        <v>0</v>
      </c>
      <c r="U486" s="4">
        <f ca="1" t="shared" si="807"/>
        <v>0</v>
      </c>
      <c r="V486" s="4">
        <f ca="1" t="shared" si="808"/>
        <v>0</v>
      </c>
      <c r="W486" s="4">
        <f ca="1" t="shared" si="809"/>
        <v>0</v>
      </c>
      <c r="X486" s="4">
        <f ca="1" t="shared" si="810"/>
        <v>9.393</v>
      </c>
      <c r="Y486" s="4">
        <f ca="1" t="shared" si="811"/>
        <v>0</v>
      </c>
      <c r="Z486" s="4">
        <f ca="1" t="shared" si="812"/>
        <v>0</v>
      </c>
      <c r="AA486" s="4">
        <f ca="1" t="shared" si="813"/>
        <v>0</v>
      </c>
      <c r="AB486" s="4"/>
    </row>
    <row r="487" customHeight="1" outlineLevel="3" spans="1:28">
      <c r="A487" s="514" t="s">
        <v>2969</v>
      </c>
      <c r="B487" s="4"/>
      <c r="C487" s="510" t="s">
        <v>59</v>
      </c>
      <c r="D487" s="4" t="s">
        <v>1092</v>
      </c>
      <c r="E487" s="4"/>
      <c r="F487" s="4" t="str">
        <f ca="1" t="shared" si="804"/>
        <v>m2</v>
      </c>
      <c r="G487" s="4"/>
      <c r="H487" s="4"/>
      <c r="I487" s="4"/>
      <c r="J487" s="4"/>
      <c r="K487" s="4"/>
      <c r="L487" s="517"/>
      <c r="M487" s="4">
        <v>39.188</v>
      </c>
      <c r="N487" s="4">
        <f ca="1" t="shared" si="805"/>
        <v>0</v>
      </c>
      <c r="O487" s="4">
        <f ca="1">M487*N487</f>
        <v>0</v>
      </c>
      <c r="P487" s="4"/>
      <c r="Q487" s="4"/>
      <c r="R487" s="4"/>
      <c r="S487" s="4"/>
      <c r="T487" s="4">
        <f ca="1" t="shared" si="806"/>
        <v>0</v>
      </c>
      <c r="U487" s="4">
        <f ca="1" t="shared" si="807"/>
        <v>0</v>
      </c>
      <c r="V487" s="4">
        <f ca="1" t="shared" si="808"/>
        <v>0</v>
      </c>
      <c r="W487" s="4">
        <f ca="1" t="shared" si="809"/>
        <v>0</v>
      </c>
      <c r="X487" s="4">
        <f ca="1" t="shared" si="810"/>
        <v>39.188</v>
      </c>
      <c r="Y487" s="4">
        <f ca="1" t="shared" si="811"/>
        <v>0</v>
      </c>
      <c r="Z487" s="4">
        <f ca="1" t="shared" si="812"/>
        <v>0</v>
      </c>
      <c r="AA487" s="4">
        <f ca="1" t="shared" si="813"/>
        <v>0</v>
      </c>
      <c r="AB487" s="4"/>
    </row>
    <row r="488" customHeight="1" outlineLevel="1" spans="1:28">
      <c r="A488" s="518" t="s">
        <v>2970</v>
      </c>
      <c r="B488" s="4"/>
      <c r="C488" s="510" t="s">
        <v>60</v>
      </c>
      <c r="D488" s="4" t="s">
        <v>2971</v>
      </c>
      <c r="E488" s="4"/>
      <c r="F488" s="4"/>
      <c r="G488" s="4"/>
      <c r="H488" s="4"/>
      <c r="I488" s="4">
        <f>(+I489+I491+I493+I495)</f>
        <v>167207.436146789</v>
      </c>
      <c r="J488" s="4"/>
      <c r="K488" s="4"/>
      <c r="L488" s="517">
        <f>(+L489+L491+L493+L495)</f>
        <v>167207.436146789</v>
      </c>
      <c r="M488" s="4"/>
      <c r="N488" s="4"/>
      <c r="O488" s="4">
        <f>(+O489+O491+O493+O495)</f>
        <v>167207.436146789</v>
      </c>
      <c r="P488" s="4"/>
      <c r="Q488" s="4"/>
      <c r="R488" s="4"/>
      <c r="S488" s="4"/>
      <c r="T488" s="4"/>
      <c r="U488" s="4"/>
      <c r="V488" s="4"/>
      <c r="W488" s="4"/>
      <c r="X488" s="4"/>
      <c r="Y488" s="4"/>
      <c r="Z488" s="4"/>
      <c r="AA488" s="4"/>
      <c r="AB488" s="4"/>
    </row>
    <row r="489" customHeight="1" outlineLevel="2" spans="1:28">
      <c r="A489" s="515" t="s">
        <v>2972</v>
      </c>
      <c r="B489" s="4"/>
      <c r="C489" s="510" t="s">
        <v>1309</v>
      </c>
      <c r="D489" s="4" t="s">
        <v>2973</v>
      </c>
      <c r="E489" s="4" t="s">
        <v>2974</v>
      </c>
      <c r="F489" s="4" t="s">
        <v>76</v>
      </c>
      <c r="G489" s="4">
        <v>286.01</v>
      </c>
      <c r="H489" s="4">
        <v>103.247706422018</v>
      </c>
      <c r="I489" s="4">
        <f>G489*H489</f>
        <v>29529.8765137614</v>
      </c>
      <c r="J489" s="4">
        <f t="shared" ref="J489:L489" si="815">+G489</f>
        <v>286.01</v>
      </c>
      <c r="K489" s="4">
        <f t="shared" si="815"/>
        <v>103.247706422018</v>
      </c>
      <c r="L489" s="517">
        <f t="shared" si="815"/>
        <v>29529.8765137614</v>
      </c>
      <c r="M489" s="4">
        <f t="shared" ref="M489:M493" si="816">+G489</f>
        <v>286.01</v>
      </c>
      <c r="N489" s="4">
        <f t="shared" ref="N489:N493" si="817">O489/G489</f>
        <v>103.247706422018</v>
      </c>
      <c r="O489" s="4">
        <f>(+O490)</f>
        <v>29529.8765137614</v>
      </c>
      <c r="P489" s="4"/>
      <c r="Q489" s="4"/>
      <c r="R489" s="4">
        <f t="shared" ref="R489:R493" si="818">+P489+J489</f>
        <v>286.01</v>
      </c>
      <c r="S489" s="4">
        <f t="shared" ref="S489:S493" si="819">+Q489+L489</f>
        <v>29529.8765137614</v>
      </c>
      <c r="T489" s="4">
        <f>IFERROR(VLOOKUP(A489,产值统计中间表!A:F,7,FALSE),0)</f>
        <v>0</v>
      </c>
      <c r="U489" s="4">
        <f t="shared" ref="U489:U493" si="820">+T489*H489</f>
        <v>0</v>
      </c>
      <c r="V489" s="4">
        <f>IFERROR(VLOOKUP(A489,产值统计中间表!A:D,4,FALSE),0)</f>
        <v>0</v>
      </c>
      <c r="W489" s="4">
        <f t="shared" ref="W489:W493" si="821">+V489*H489</f>
        <v>0</v>
      </c>
      <c r="X489" s="4">
        <f t="shared" ref="X489:X493" si="822">+R489-V489</f>
        <v>286.01</v>
      </c>
      <c r="Y489" s="4">
        <f t="shared" ref="Y489:Y493" si="823">+S489-W489</f>
        <v>29529.8765137614</v>
      </c>
      <c r="Z489" s="4">
        <f>IFERROR(VLOOKUP(A489,业主统计中间表!A:D,4,FALSE),0)</f>
        <v>0</v>
      </c>
      <c r="AA489" s="4">
        <f t="shared" ref="AA489:AA493" si="824">+Z489*H489</f>
        <v>0</v>
      </c>
      <c r="AB489" s="4"/>
    </row>
    <row r="490" customHeight="1" outlineLevel="3" spans="1:28">
      <c r="A490" s="514" t="s">
        <v>2975</v>
      </c>
      <c r="B490" s="4"/>
      <c r="C490" s="510" t="s">
        <v>65</v>
      </c>
      <c r="D490" s="4" t="s">
        <v>679</v>
      </c>
      <c r="E490" s="4"/>
      <c r="F490" s="4"/>
      <c r="G490" s="4"/>
      <c r="H490" s="4"/>
      <c r="I490" s="4"/>
      <c r="J490" s="4"/>
      <c r="K490" s="4"/>
      <c r="L490" s="517"/>
      <c r="M490" s="4">
        <f t="shared" ref="M490:M494" si="825">I489</f>
        <v>29529.8765137614</v>
      </c>
      <c r="N490" s="4">
        <v>1</v>
      </c>
      <c r="O490" s="4">
        <f>M490*N490</f>
        <v>29529.8765137614</v>
      </c>
      <c r="P490" s="4"/>
      <c r="Q490" s="4"/>
      <c r="R490" s="4"/>
      <c r="S490" s="4"/>
      <c r="T490" s="4">
        <f ca="1" t="shared" ref="T490:T494" si="826">OFFSET(T490,-RIGHT($A490,LEN($A$6)),,1,1)/OFFSET(T490,-RIGHT($A490,LEN($A$6)),-13,1,1)*$M490</f>
        <v>0</v>
      </c>
      <c r="U490" s="4">
        <f ca="1" t="shared" ref="U490:U494" si="827">+$N490*T490</f>
        <v>0</v>
      </c>
      <c r="V490" s="4">
        <f ca="1" t="shared" ref="V490:V494" si="828">OFFSET(V490,-RIGHT($A490,LEN($A$6)),,1,1)/OFFSET(V490,-RIGHT($A490,LEN($A$6)),-15,1,1)*$M490</f>
        <v>0</v>
      </c>
      <c r="W490" s="4">
        <f ca="1" t="shared" ref="W490:W494" si="829">+$N490*V490</f>
        <v>0</v>
      </c>
      <c r="X490" s="4">
        <f ca="1" t="shared" ref="X490:X494" si="830">+M490-V490</f>
        <v>29529.8765137614</v>
      </c>
      <c r="Y490" s="4">
        <f ca="1" t="shared" ref="Y490:Y494" si="831">+O490-W490</f>
        <v>29529.8765137614</v>
      </c>
      <c r="Z490" s="4">
        <f ca="1" t="shared" ref="Z490:Z494" si="832">OFFSET(Z490,-RIGHT($A490,LEN($A$6)),,1,1)/OFFSET(Z490,-RIGHT($A490,LEN($A$6)),-19,1,1)*$M490</f>
        <v>0</v>
      </c>
      <c r="AA490" s="4">
        <f ca="1" t="shared" ref="AA490:AA494" si="833">+$N490*Z490</f>
        <v>0</v>
      </c>
      <c r="AB490" s="4"/>
    </row>
    <row r="491" customHeight="1" outlineLevel="2" spans="1:28">
      <c r="A491" s="515" t="s">
        <v>2976</v>
      </c>
      <c r="B491" s="4"/>
      <c r="C491" s="510" t="s">
        <v>1309</v>
      </c>
      <c r="D491" s="4" t="s">
        <v>2977</v>
      </c>
      <c r="E491" s="4" t="s">
        <v>2978</v>
      </c>
      <c r="F491" s="4" t="s">
        <v>185</v>
      </c>
      <c r="G491" s="4">
        <v>1</v>
      </c>
      <c r="H491" s="4">
        <v>2743.4495412844</v>
      </c>
      <c r="I491" s="4">
        <f>G491*H491</f>
        <v>2743.4495412844</v>
      </c>
      <c r="J491" s="4">
        <f t="shared" ref="J491:L491" si="834">+G491</f>
        <v>1</v>
      </c>
      <c r="K491" s="4">
        <f t="shared" si="834"/>
        <v>2743.4495412844</v>
      </c>
      <c r="L491" s="517">
        <f t="shared" si="834"/>
        <v>2743.4495412844</v>
      </c>
      <c r="M491" s="4">
        <f t="shared" si="816"/>
        <v>1</v>
      </c>
      <c r="N491" s="4">
        <f t="shared" si="817"/>
        <v>2743.4495412844</v>
      </c>
      <c r="O491" s="4">
        <f>(+O492)</f>
        <v>2743.4495412844</v>
      </c>
      <c r="P491" s="4"/>
      <c r="Q491" s="4"/>
      <c r="R491" s="4">
        <f t="shared" si="818"/>
        <v>1</v>
      </c>
      <c r="S491" s="4">
        <f t="shared" si="819"/>
        <v>2743.4495412844</v>
      </c>
      <c r="T491" s="4">
        <f>IFERROR(VLOOKUP(A491,产值统计中间表!A:F,7,FALSE),0)</f>
        <v>0</v>
      </c>
      <c r="U491" s="4">
        <f t="shared" si="820"/>
        <v>0</v>
      </c>
      <c r="V491" s="4">
        <f>IFERROR(VLOOKUP(A491,产值统计中间表!A:D,4,FALSE),0)</f>
        <v>0</v>
      </c>
      <c r="W491" s="4">
        <f t="shared" si="821"/>
        <v>0</v>
      </c>
      <c r="X491" s="4">
        <f t="shared" si="822"/>
        <v>1</v>
      </c>
      <c r="Y491" s="4">
        <f t="shared" si="823"/>
        <v>2743.4495412844</v>
      </c>
      <c r="Z491" s="4">
        <f>IFERROR(VLOOKUP(A491,业主统计中间表!A:D,4,FALSE),0)</f>
        <v>0</v>
      </c>
      <c r="AA491" s="4">
        <f t="shared" si="824"/>
        <v>0</v>
      </c>
      <c r="AB491" s="4"/>
    </row>
    <row r="492" customHeight="1" outlineLevel="3" spans="1:28">
      <c r="A492" s="514" t="s">
        <v>2979</v>
      </c>
      <c r="B492" s="4"/>
      <c r="C492" s="510" t="s">
        <v>65</v>
      </c>
      <c r="D492" s="4" t="s">
        <v>679</v>
      </c>
      <c r="E492" s="4"/>
      <c r="F492" s="4"/>
      <c r="G492" s="4"/>
      <c r="H492" s="4"/>
      <c r="I492" s="4"/>
      <c r="J492" s="4"/>
      <c r="K492" s="4"/>
      <c r="L492" s="517"/>
      <c r="M492" s="4">
        <f t="shared" si="825"/>
        <v>2743.4495412844</v>
      </c>
      <c r="N492" s="4">
        <v>1</v>
      </c>
      <c r="O492" s="4">
        <f>M492*N492</f>
        <v>2743.4495412844</v>
      </c>
      <c r="P492" s="4"/>
      <c r="Q492" s="4"/>
      <c r="R492" s="4"/>
      <c r="S492" s="4"/>
      <c r="T492" s="4">
        <f ca="1" t="shared" si="826"/>
        <v>0</v>
      </c>
      <c r="U492" s="4">
        <f ca="1" t="shared" si="827"/>
        <v>0</v>
      </c>
      <c r="V492" s="4">
        <f ca="1" t="shared" si="828"/>
        <v>0</v>
      </c>
      <c r="W492" s="4">
        <f ca="1" t="shared" si="829"/>
        <v>0</v>
      </c>
      <c r="X492" s="4">
        <f ca="1" t="shared" si="830"/>
        <v>2743.4495412844</v>
      </c>
      <c r="Y492" s="4">
        <f ca="1" t="shared" si="831"/>
        <v>2743.4495412844</v>
      </c>
      <c r="Z492" s="4">
        <f ca="1" t="shared" si="832"/>
        <v>0</v>
      </c>
      <c r="AA492" s="4">
        <f ca="1" t="shared" si="833"/>
        <v>0</v>
      </c>
      <c r="AB492" s="4"/>
    </row>
    <row r="493" customHeight="1" outlineLevel="2" spans="1:28">
      <c r="A493" s="515" t="s">
        <v>2980</v>
      </c>
      <c r="B493" s="4"/>
      <c r="C493" s="510" t="s">
        <v>1309</v>
      </c>
      <c r="D493" s="4" t="s">
        <v>2981</v>
      </c>
      <c r="E493" s="4" t="s">
        <v>2978</v>
      </c>
      <c r="F493" s="4" t="s">
        <v>76</v>
      </c>
      <c r="G493" s="4">
        <v>240</v>
      </c>
      <c r="H493" s="4">
        <v>398.211009174312</v>
      </c>
      <c r="I493" s="4">
        <f>G493*H493</f>
        <v>95570.6422018349</v>
      </c>
      <c r="J493" s="4">
        <f t="shared" ref="J493:L493" si="835">+G493</f>
        <v>240</v>
      </c>
      <c r="K493" s="4">
        <f t="shared" si="835"/>
        <v>398.211009174312</v>
      </c>
      <c r="L493" s="517">
        <f t="shared" si="835"/>
        <v>95570.6422018349</v>
      </c>
      <c r="M493" s="4">
        <f t="shared" si="816"/>
        <v>240</v>
      </c>
      <c r="N493" s="4">
        <f t="shared" si="817"/>
        <v>398.211009174312</v>
      </c>
      <c r="O493" s="4">
        <f>(+O494)</f>
        <v>95570.6422018349</v>
      </c>
      <c r="P493" s="4"/>
      <c r="Q493" s="4"/>
      <c r="R493" s="4">
        <f t="shared" si="818"/>
        <v>240</v>
      </c>
      <c r="S493" s="4">
        <f t="shared" si="819"/>
        <v>95570.6422018349</v>
      </c>
      <c r="T493" s="4">
        <f>IFERROR(VLOOKUP(A493,产值统计中间表!A:F,7,FALSE),0)</f>
        <v>0</v>
      </c>
      <c r="U493" s="4">
        <f t="shared" si="820"/>
        <v>0</v>
      </c>
      <c r="V493" s="4">
        <f>IFERROR(VLOOKUP(A493,产值统计中间表!A:D,4,FALSE),0)</f>
        <v>0</v>
      </c>
      <c r="W493" s="4">
        <f t="shared" si="821"/>
        <v>0</v>
      </c>
      <c r="X493" s="4">
        <f t="shared" si="822"/>
        <v>240</v>
      </c>
      <c r="Y493" s="4">
        <f t="shared" si="823"/>
        <v>95570.6422018349</v>
      </c>
      <c r="Z493" s="4">
        <f>IFERROR(VLOOKUP(A493,业主统计中间表!A:D,4,FALSE),0)</f>
        <v>0</v>
      </c>
      <c r="AA493" s="4">
        <f t="shared" si="824"/>
        <v>0</v>
      </c>
      <c r="AB493" s="4"/>
    </row>
    <row r="494" customHeight="1" outlineLevel="3" spans="1:28">
      <c r="A494" s="514" t="s">
        <v>2982</v>
      </c>
      <c r="B494" s="4"/>
      <c r="C494" s="510" t="s">
        <v>65</v>
      </c>
      <c r="D494" s="4" t="s">
        <v>679</v>
      </c>
      <c r="E494" s="4"/>
      <c r="F494" s="4"/>
      <c r="G494" s="4"/>
      <c r="H494" s="4"/>
      <c r="I494" s="4"/>
      <c r="J494" s="4"/>
      <c r="K494" s="4"/>
      <c r="L494" s="517"/>
      <c r="M494" s="4">
        <f t="shared" si="825"/>
        <v>95570.6422018349</v>
      </c>
      <c r="N494" s="4">
        <v>1</v>
      </c>
      <c r="O494" s="4">
        <f>M494*N494</f>
        <v>95570.6422018349</v>
      </c>
      <c r="P494" s="4"/>
      <c r="Q494" s="4"/>
      <c r="R494" s="4"/>
      <c r="S494" s="4"/>
      <c r="T494" s="4">
        <f ca="1" t="shared" si="826"/>
        <v>0</v>
      </c>
      <c r="U494" s="4">
        <f ca="1" t="shared" si="827"/>
        <v>0</v>
      </c>
      <c r="V494" s="4">
        <f ca="1" t="shared" si="828"/>
        <v>0</v>
      </c>
      <c r="W494" s="4">
        <f ca="1" t="shared" si="829"/>
        <v>0</v>
      </c>
      <c r="X494" s="4">
        <f ca="1" t="shared" si="830"/>
        <v>95570.6422018349</v>
      </c>
      <c r="Y494" s="4">
        <f ca="1" t="shared" si="831"/>
        <v>95570.6422018349</v>
      </c>
      <c r="Z494" s="4">
        <f ca="1" t="shared" si="832"/>
        <v>0</v>
      </c>
      <c r="AA494" s="4">
        <f ca="1" t="shared" si="833"/>
        <v>0</v>
      </c>
      <c r="AB494" s="4"/>
    </row>
    <row r="495" customHeight="1" outlineLevel="2" spans="1:28">
      <c r="A495" s="515" t="s">
        <v>2983</v>
      </c>
      <c r="B495" s="4"/>
      <c r="C495" s="510" t="s">
        <v>1309</v>
      </c>
      <c r="D495" s="4" t="s">
        <v>2984</v>
      </c>
      <c r="E495" s="4" t="s">
        <v>2985</v>
      </c>
      <c r="F495" s="4" t="s">
        <v>169</v>
      </c>
      <c r="G495" s="4">
        <v>19</v>
      </c>
      <c r="H495" s="4">
        <v>2071.76146788991</v>
      </c>
      <c r="I495" s="4">
        <f>G495*H495</f>
        <v>39363.4678899083</v>
      </c>
      <c r="J495" s="4">
        <f t="shared" ref="J495:L495" si="836">+G495</f>
        <v>19</v>
      </c>
      <c r="K495" s="4">
        <f t="shared" si="836"/>
        <v>2071.76146788991</v>
      </c>
      <c r="L495" s="517">
        <f t="shared" si="836"/>
        <v>39363.4678899083</v>
      </c>
      <c r="M495" s="4">
        <f t="shared" ref="M495:M500" si="837">+G495</f>
        <v>19</v>
      </c>
      <c r="N495" s="4">
        <f t="shared" ref="N495:N500" si="838">O495/G495</f>
        <v>2071.76146788991</v>
      </c>
      <c r="O495" s="4">
        <f>(+O496)</f>
        <v>39363.4678899083</v>
      </c>
      <c r="P495" s="4"/>
      <c r="Q495" s="4"/>
      <c r="R495" s="4">
        <f t="shared" ref="R495:R500" si="839">+P495+J495</f>
        <v>19</v>
      </c>
      <c r="S495" s="4">
        <f t="shared" ref="S495:S500" si="840">+Q495+L495</f>
        <v>39363.4678899083</v>
      </c>
      <c r="T495" s="4">
        <f>IFERROR(VLOOKUP(A495,产值统计中间表!A:F,7,FALSE),0)</f>
        <v>0</v>
      </c>
      <c r="U495" s="4">
        <f t="shared" ref="U495:U500" si="841">+T495*H495</f>
        <v>0</v>
      </c>
      <c r="V495" s="4">
        <f>IFERROR(VLOOKUP(A495,产值统计中间表!A:D,4,FALSE),0)</f>
        <v>0</v>
      </c>
      <c r="W495" s="4">
        <f t="shared" ref="W495:W500" si="842">+V495*H495</f>
        <v>0</v>
      </c>
      <c r="X495" s="4">
        <f t="shared" ref="X495:X500" si="843">+R495-V495</f>
        <v>19</v>
      </c>
      <c r="Y495" s="4">
        <f t="shared" ref="Y495:Y500" si="844">+S495-W495</f>
        <v>39363.4678899083</v>
      </c>
      <c r="Z495" s="4">
        <f>IFERROR(VLOOKUP(A495,业主统计中间表!A:D,4,FALSE),0)</f>
        <v>0</v>
      </c>
      <c r="AA495" s="4">
        <f t="shared" ref="AA495:AA500" si="845">+Z495*H495</f>
        <v>0</v>
      </c>
      <c r="AB495" s="4"/>
    </row>
    <row r="496" customHeight="1" outlineLevel="3" spans="1:28">
      <c r="A496" s="514" t="s">
        <v>2986</v>
      </c>
      <c r="B496" s="4"/>
      <c r="C496" s="510" t="s">
        <v>65</v>
      </c>
      <c r="D496" s="4" t="s">
        <v>679</v>
      </c>
      <c r="E496" s="4"/>
      <c r="F496" s="4"/>
      <c r="G496" s="4"/>
      <c r="H496" s="4"/>
      <c r="I496" s="4"/>
      <c r="J496" s="4"/>
      <c r="K496" s="4"/>
      <c r="L496" s="517"/>
      <c r="M496" s="4">
        <f t="shared" ref="M496:M501" si="846">I495</f>
        <v>39363.4678899083</v>
      </c>
      <c r="N496" s="4">
        <v>1</v>
      </c>
      <c r="O496" s="4">
        <f>M496*N496</f>
        <v>39363.4678899083</v>
      </c>
      <c r="P496" s="4"/>
      <c r="Q496" s="4"/>
      <c r="R496" s="4"/>
      <c r="S496" s="4"/>
      <c r="T496" s="4">
        <f ca="1" t="shared" ref="T496:T501" si="847">OFFSET(T496,-RIGHT($A496,LEN($A$6)),,1,1)/OFFSET(T496,-RIGHT($A496,LEN($A$6)),-13,1,1)*$M496</f>
        <v>0</v>
      </c>
      <c r="U496" s="4">
        <f ca="1" t="shared" ref="U496:U501" si="848">+$N496*T496</f>
        <v>0</v>
      </c>
      <c r="V496" s="4">
        <f ca="1" t="shared" ref="V496:V501" si="849">OFFSET(V496,-RIGHT($A496,LEN($A$6)),,1,1)/OFFSET(V496,-RIGHT($A496,LEN($A$6)),-15,1,1)*$M496</f>
        <v>0</v>
      </c>
      <c r="W496" s="4">
        <f ca="1" t="shared" ref="W496:W501" si="850">+$N496*V496</f>
        <v>0</v>
      </c>
      <c r="X496" s="4">
        <f ca="1" t="shared" ref="X496:X501" si="851">+M496-V496</f>
        <v>39363.4678899083</v>
      </c>
      <c r="Y496" s="4">
        <f ca="1" t="shared" ref="Y496:Y501" si="852">+O496-W496</f>
        <v>39363.4678899083</v>
      </c>
      <c r="Z496" s="4">
        <f ca="1" t="shared" ref="Z496:Z501" si="853">OFFSET(Z496,-RIGHT($A496,LEN($A$6)),,1,1)/OFFSET(Z496,-RIGHT($A496,LEN($A$6)),-19,1,1)*$M496</f>
        <v>0</v>
      </c>
      <c r="AA496" s="4">
        <f ca="1" t="shared" ref="AA496:AA501" si="854">+$N496*Z496</f>
        <v>0</v>
      </c>
      <c r="AB496" s="4"/>
    </row>
    <row r="497" customHeight="1" outlineLevel="1" spans="1:28">
      <c r="A497" s="518" t="s">
        <v>2987</v>
      </c>
      <c r="B497" s="4"/>
      <c r="C497" s="510" t="s">
        <v>60</v>
      </c>
      <c r="D497" s="4" t="s">
        <v>2988</v>
      </c>
      <c r="E497" s="4"/>
      <c r="F497" s="4"/>
      <c r="G497" s="4"/>
      <c r="H497" s="4"/>
      <c r="I497" s="4">
        <f>(+I498+I500+I502+I504+I506+I508+I510+I512)</f>
        <v>286275.385321101</v>
      </c>
      <c r="J497" s="4"/>
      <c r="K497" s="4"/>
      <c r="L497" s="517">
        <f>(+L498+L500+L502+L504+L506+L508+L510+L512)</f>
        <v>286275.385321101</v>
      </c>
      <c r="M497" s="4"/>
      <c r="N497" s="4"/>
      <c r="O497" s="4">
        <f>(+O498+O500+O502+O504+O506+O508+O510+O512)</f>
        <v>286275.385321101</v>
      </c>
      <c r="P497" s="4"/>
      <c r="Q497" s="4"/>
      <c r="R497" s="4"/>
      <c r="S497" s="4"/>
      <c r="T497" s="4"/>
      <c r="U497" s="4"/>
      <c r="V497" s="4"/>
      <c r="W497" s="4"/>
      <c r="X497" s="4"/>
      <c r="Y497" s="4"/>
      <c r="Z497" s="4"/>
      <c r="AA497" s="4"/>
      <c r="AB497" s="4"/>
    </row>
    <row r="498" customHeight="1" outlineLevel="2" spans="1:28">
      <c r="A498" s="515" t="s">
        <v>2989</v>
      </c>
      <c r="B498" s="4"/>
      <c r="C498" s="510" t="s">
        <v>1309</v>
      </c>
      <c r="D498" s="4" t="s">
        <v>2990</v>
      </c>
      <c r="E498" s="4" t="s">
        <v>2991</v>
      </c>
      <c r="F498" s="4" t="s">
        <v>169</v>
      </c>
      <c r="G498" s="4">
        <v>2</v>
      </c>
      <c r="H498" s="4">
        <v>10644.4862385321</v>
      </c>
      <c r="I498" s="4">
        <f>G498*H498</f>
        <v>21288.9724770642</v>
      </c>
      <c r="J498" s="4">
        <f t="shared" ref="J498:L498" si="855">+G498</f>
        <v>2</v>
      </c>
      <c r="K498" s="4">
        <f t="shared" si="855"/>
        <v>10644.4862385321</v>
      </c>
      <c r="L498" s="517">
        <f t="shared" si="855"/>
        <v>21288.9724770642</v>
      </c>
      <c r="M498" s="4">
        <f t="shared" si="837"/>
        <v>2</v>
      </c>
      <c r="N498" s="4">
        <f t="shared" si="838"/>
        <v>10644.4862385321</v>
      </c>
      <c r="O498" s="4">
        <f>(+O499)</f>
        <v>21288.9724770642</v>
      </c>
      <c r="P498" s="4"/>
      <c r="Q498" s="4"/>
      <c r="R498" s="4">
        <f t="shared" si="839"/>
        <v>2</v>
      </c>
      <c r="S498" s="4">
        <f t="shared" si="840"/>
        <v>21288.9724770642</v>
      </c>
      <c r="T498" s="4">
        <f>IFERROR(VLOOKUP(A498,产值统计中间表!A:F,7,FALSE),0)</f>
        <v>0</v>
      </c>
      <c r="U498" s="4">
        <f t="shared" si="841"/>
        <v>0</v>
      </c>
      <c r="V498" s="4">
        <f>IFERROR(VLOOKUP(A498,产值统计中间表!A:D,4,FALSE),0)</f>
        <v>0</v>
      </c>
      <c r="W498" s="4">
        <f t="shared" si="842"/>
        <v>0</v>
      </c>
      <c r="X498" s="4">
        <f t="shared" si="843"/>
        <v>2</v>
      </c>
      <c r="Y498" s="4">
        <f t="shared" si="844"/>
        <v>21288.9724770642</v>
      </c>
      <c r="Z498" s="4">
        <f>IFERROR(VLOOKUP(A498,业主统计中间表!A:D,4,FALSE),0)</f>
        <v>0</v>
      </c>
      <c r="AA498" s="4">
        <f t="shared" si="845"/>
        <v>0</v>
      </c>
      <c r="AB498" s="4"/>
    </row>
    <row r="499" customHeight="1" outlineLevel="3" spans="1:28">
      <c r="A499" s="514" t="s">
        <v>2992</v>
      </c>
      <c r="B499" s="4"/>
      <c r="C499" s="510" t="s">
        <v>65</v>
      </c>
      <c r="D499" s="4" t="s">
        <v>683</v>
      </c>
      <c r="E499" s="4"/>
      <c r="F499" s="4"/>
      <c r="G499" s="4"/>
      <c r="H499" s="4"/>
      <c r="I499" s="4"/>
      <c r="J499" s="4"/>
      <c r="K499" s="4"/>
      <c r="L499" s="517"/>
      <c r="M499" s="4">
        <f t="shared" si="846"/>
        <v>21288.9724770642</v>
      </c>
      <c r="N499" s="4">
        <v>1</v>
      </c>
      <c r="O499" s="4">
        <f>M499*N499</f>
        <v>21288.9724770642</v>
      </c>
      <c r="P499" s="4"/>
      <c r="Q499" s="4"/>
      <c r="R499" s="4"/>
      <c r="S499" s="4"/>
      <c r="T499" s="4">
        <f ca="1" t="shared" si="847"/>
        <v>0</v>
      </c>
      <c r="U499" s="4">
        <f ca="1" t="shared" si="848"/>
        <v>0</v>
      </c>
      <c r="V499" s="4">
        <f ca="1" t="shared" si="849"/>
        <v>0</v>
      </c>
      <c r="W499" s="4">
        <f ca="1" t="shared" si="850"/>
        <v>0</v>
      </c>
      <c r="X499" s="4">
        <f ca="1" t="shared" si="851"/>
        <v>21288.9724770642</v>
      </c>
      <c r="Y499" s="4">
        <f ca="1" t="shared" si="852"/>
        <v>21288.9724770642</v>
      </c>
      <c r="Z499" s="4">
        <f ca="1" t="shared" si="853"/>
        <v>0</v>
      </c>
      <c r="AA499" s="4">
        <f ca="1" t="shared" si="854"/>
        <v>0</v>
      </c>
      <c r="AB499" s="4"/>
    </row>
    <row r="500" customHeight="1" outlineLevel="2" spans="1:28">
      <c r="A500" s="515" t="s">
        <v>2993</v>
      </c>
      <c r="B500" s="4"/>
      <c r="C500" s="510" t="s">
        <v>1309</v>
      </c>
      <c r="D500" s="4" t="s">
        <v>2994</v>
      </c>
      <c r="E500" s="4" t="s">
        <v>2995</v>
      </c>
      <c r="F500" s="4" t="s">
        <v>169</v>
      </c>
      <c r="G500" s="4">
        <v>9</v>
      </c>
      <c r="H500" s="4">
        <v>22170.1467889908</v>
      </c>
      <c r="I500" s="4">
        <f>G500*H500</f>
        <v>199531.321100917</v>
      </c>
      <c r="J500" s="4">
        <f t="shared" ref="J500:L500" si="856">+G500</f>
        <v>9</v>
      </c>
      <c r="K500" s="4">
        <f t="shared" si="856"/>
        <v>22170.1467889908</v>
      </c>
      <c r="L500" s="517">
        <f t="shared" si="856"/>
        <v>199531.321100917</v>
      </c>
      <c r="M500" s="4">
        <f t="shared" si="837"/>
        <v>9</v>
      </c>
      <c r="N500" s="4">
        <f t="shared" si="838"/>
        <v>22170.1467889908</v>
      </c>
      <c r="O500" s="4">
        <f>(+O501)</f>
        <v>199531.321100917</v>
      </c>
      <c r="P500" s="4"/>
      <c r="Q500" s="4"/>
      <c r="R500" s="4">
        <f t="shared" si="839"/>
        <v>9</v>
      </c>
      <c r="S500" s="4">
        <f t="shared" si="840"/>
        <v>199531.321100917</v>
      </c>
      <c r="T500" s="4">
        <f>IFERROR(VLOOKUP(A500,产值统计中间表!A:F,7,FALSE),0)</f>
        <v>0</v>
      </c>
      <c r="U500" s="4">
        <f t="shared" si="841"/>
        <v>0</v>
      </c>
      <c r="V500" s="4">
        <f>IFERROR(VLOOKUP(A500,产值统计中间表!A:D,4,FALSE),0)</f>
        <v>0</v>
      </c>
      <c r="W500" s="4">
        <f t="shared" si="842"/>
        <v>0</v>
      </c>
      <c r="X500" s="4">
        <f t="shared" si="843"/>
        <v>9</v>
      </c>
      <c r="Y500" s="4">
        <f t="shared" si="844"/>
        <v>199531.321100917</v>
      </c>
      <c r="Z500" s="4">
        <f>IFERROR(VLOOKUP(A500,业主统计中间表!A:D,4,FALSE),0)</f>
        <v>0</v>
      </c>
      <c r="AA500" s="4">
        <f t="shared" si="845"/>
        <v>0</v>
      </c>
      <c r="AB500" s="4"/>
    </row>
    <row r="501" customHeight="1" outlineLevel="3" spans="1:28">
      <c r="A501" s="514" t="s">
        <v>2996</v>
      </c>
      <c r="B501" s="4"/>
      <c r="C501" s="510" t="s">
        <v>65</v>
      </c>
      <c r="D501" s="4" t="s">
        <v>683</v>
      </c>
      <c r="E501" s="4"/>
      <c r="F501" s="4"/>
      <c r="G501" s="4"/>
      <c r="H501" s="4"/>
      <c r="I501" s="4"/>
      <c r="J501" s="4"/>
      <c r="K501" s="4"/>
      <c r="L501" s="517"/>
      <c r="M501" s="4">
        <f t="shared" si="846"/>
        <v>199531.321100917</v>
      </c>
      <c r="N501" s="4">
        <v>1</v>
      </c>
      <c r="O501" s="4">
        <f>M501*N501</f>
        <v>199531.321100917</v>
      </c>
      <c r="P501" s="4"/>
      <c r="Q501" s="4"/>
      <c r="R501" s="4"/>
      <c r="S501" s="4"/>
      <c r="T501" s="4">
        <f ca="1" t="shared" si="847"/>
        <v>0</v>
      </c>
      <c r="U501" s="4">
        <f ca="1" t="shared" si="848"/>
        <v>0</v>
      </c>
      <c r="V501" s="4">
        <f ca="1" t="shared" si="849"/>
        <v>0</v>
      </c>
      <c r="W501" s="4">
        <f ca="1" t="shared" si="850"/>
        <v>0</v>
      </c>
      <c r="X501" s="4">
        <f ca="1" t="shared" si="851"/>
        <v>199531.321100917</v>
      </c>
      <c r="Y501" s="4">
        <f ca="1" t="shared" si="852"/>
        <v>199531.321100917</v>
      </c>
      <c r="Z501" s="4">
        <f ca="1" t="shared" si="853"/>
        <v>0</v>
      </c>
      <c r="AA501" s="4">
        <f ca="1" t="shared" si="854"/>
        <v>0</v>
      </c>
      <c r="AB501" s="4"/>
    </row>
    <row r="502" customHeight="1" outlineLevel="2" spans="1:28">
      <c r="A502" s="515" t="s">
        <v>2997</v>
      </c>
      <c r="B502" s="4"/>
      <c r="C502" s="510" t="s">
        <v>1309</v>
      </c>
      <c r="D502" s="4" t="s">
        <v>2998</v>
      </c>
      <c r="E502" s="4" t="s">
        <v>2991</v>
      </c>
      <c r="F502" s="4" t="s">
        <v>169</v>
      </c>
      <c r="G502" s="4">
        <v>1</v>
      </c>
      <c r="H502" s="4">
        <v>13236.9266055046</v>
      </c>
      <c r="I502" s="4">
        <f>G502*H502</f>
        <v>13236.9266055046</v>
      </c>
      <c r="J502" s="4">
        <f t="shared" ref="J502:L502" si="857">+G502</f>
        <v>1</v>
      </c>
      <c r="K502" s="4">
        <f t="shared" si="857"/>
        <v>13236.9266055046</v>
      </c>
      <c r="L502" s="517">
        <f t="shared" si="857"/>
        <v>13236.9266055046</v>
      </c>
      <c r="M502" s="4">
        <f t="shared" ref="M502:M506" si="858">+G502</f>
        <v>1</v>
      </c>
      <c r="N502" s="4">
        <f t="shared" ref="N502:N506" si="859">O502/G502</f>
        <v>13236.9266055046</v>
      </c>
      <c r="O502" s="4">
        <f>(+O503)</f>
        <v>13236.9266055046</v>
      </c>
      <c r="P502" s="4"/>
      <c r="Q502" s="4"/>
      <c r="R502" s="4">
        <f t="shared" ref="R502:R506" si="860">+P502+J502</f>
        <v>1</v>
      </c>
      <c r="S502" s="4">
        <f t="shared" ref="S502:S506" si="861">+Q502+L502</f>
        <v>13236.9266055046</v>
      </c>
      <c r="T502" s="4">
        <f>IFERROR(VLOOKUP(A502,产值统计中间表!A:F,7,FALSE),0)</f>
        <v>0</v>
      </c>
      <c r="U502" s="4">
        <f t="shared" ref="U502:U506" si="862">+T502*H502</f>
        <v>0</v>
      </c>
      <c r="V502" s="4">
        <f>IFERROR(VLOOKUP(A502,产值统计中间表!A:D,4,FALSE),0)</f>
        <v>0</v>
      </c>
      <c r="W502" s="4">
        <f t="shared" ref="W502:W506" si="863">+V502*H502</f>
        <v>0</v>
      </c>
      <c r="X502" s="4">
        <f t="shared" ref="X502:X506" si="864">+R502-V502</f>
        <v>1</v>
      </c>
      <c r="Y502" s="4">
        <f t="shared" ref="Y502:Y506" si="865">+S502-W502</f>
        <v>13236.9266055046</v>
      </c>
      <c r="Z502" s="4">
        <f>IFERROR(VLOOKUP(A502,业主统计中间表!A:D,4,FALSE),0)</f>
        <v>0</v>
      </c>
      <c r="AA502" s="4">
        <f t="shared" ref="AA502:AA506" si="866">+Z502*H502</f>
        <v>0</v>
      </c>
      <c r="AB502" s="4"/>
    </row>
    <row r="503" customHeight="1" outlineLevel="3" spans="1:28">
      <c r="A503" s="514" t="s">
        <v>2999</v>
      </c>
      <c r="B503" s="4"/>
      <c r="C503" s="510" t="s">
        <v>65</v>
      </c>
      <c r="D503" s="4" t="s">
        <v>683</v>
      </c>
      <c r="E503" s="4"/>
      <c r="F503" s="4"/>
      <c r="G503" s="4"/>
      <c r="H503" s="4"/>
      <c r="I503" s="4"/>
      <c r="J503" s="4"/>
      <c r="K503" s="4"/>
      <c r="L503" s="517"/>
      <c r="M503" s="4">
        <f t="shared" ref="M503:M507" si="867">I502</f>
        <v>13236.9266055046</v>
      </c>
      <c r="N503" s="4">
        <v>1</v>
      </c>
      <c r="O503" s="4">
        <f>M503*N503</f>
        <v>13236.9266055046</v>
      </c>
      <c r="P503" s="4"/>
      <c r="Q503" s="4"/>
      <c r="R503" s="4"/>
      <c r="S503" s="4"/>
      <c r="T503" s="4">
        <f ca="1" t="shared" ref="T503:T507" si="868">OFFSET(T503,-RIGHT($A503,LEN($A$6)),,1,1)/OFFSET(T503,-RIGHT($A503,LEN($A$6)),-13,1,1)*$M503</f>
        <v>0</v>
      </c>
      <c r="U503" s="4">
        <f ca="1" t="shared" ref="U503:U507" si="869">+$N503*T503</f>
        <v>0</v>
      </c>
      <c r="V503" s="4">
        <f ca="1" t="shared" ref="V503:V507" si="870">OFFSET(V503,-RIGHT($A503,LEN($A$6)),,1,1)/OFFSET(V503,-RIGHT($A503,LEN($A$6)),-15,1,1)*$M503</f>
        <v>0</v>
      </c>
      <c r="W503" s="4">
        <f ca="1" t="shared" ref="W503:W507" si="871">+$N503*V503</f>
        <v>0</v>
      </c>
      <c r="X503" s="4">
        <f ca="1" t="shared" ref="X503:X507" si="872">+M503-V503</f>
        <v>13236.9266055046</v>
      </c>
      <c r="Y503" s="4">
        <f ca="1" t="shared" ref="Y503:Y507" si="873">+O503-W503</f>
        <v>13236.9266055046</v>
      </c>
      <c r="Z503" s="4">
        <f ca="1" t="shared" ref="Z503:Z507" si="874">OFFSET(Z503,-RIGHT($A503,LEN($A$6)),,1,1)/OFFSET(Z503,-RIGHT($A503,LEN($A$6)),-19,1,1)*$M503</f>
        <v>0</v>
      </c>
      <c r="AA503" s="4">
        <f ca="1" t="shared" ref="AA503:AA507" si="875">+$N503*Z503</f>
        <v>0</v>
      </c>
      <c r="AB503" s="4"/>
    </row>
    <row r="504" customHeight="1" outlineLevel="2" spans="1:28">
      <c r="A504" s="515" t="s">
        <v>3000</v>
      </c>
      <c r="B504" s="4"/>
      <c r="C504" s="510" t="s">
        <v>1309</v>
      </c>
      <c r="D504" s="4" t="s">
        <v>3001</v>
      </c>
      <c r="E504" s="4" t="s">
        <v>2991</v>
      </c>
      <c r="F504" s="4" t="s">
        <v>169</v>
      </c>
      <c r="G504" s="4">
        <v>1</v>
      </c>
      <c r="H504" s="4">
        <v>13236.9266055046</v>
      </c>
      <c r="I504" s="4">
        <f>G504*H504</f>
        <v>13236.9266055046</v>
      </c>
      <c r="J504" s="4">
        <f t="shared" ref="J504:L504" si="876">+G504</f>
        <v>1</v>
      </c>
      <c r="K504" s="4">
        <f t="shared" si="876"/>
        <v>13236.9266055046</v>
      </c>
      <c r="L504" s="517">
        <f t="shared" si="876"/>
        <v>13236.9266055046</v>
      </c>
      <c r="M504" s="4">
        <f t="shared" si="858"/>
        <v>1</v>
      </c>
      <c r="N504" s="4">
        <f t="shared" si="859"/>
        <v>13236.9266055046</v>
      </c>
      <c r="O504" s="4">
        <f>(+O505)</f>
        <v>13236.9266055046</v>
      </c>
      <c r="P504" s="4"/>
      <c r="Q504" s="4"/>
      <c r="R504" s="4">
        <f t="shared" si="860"/>
        <v>1</v>
      </c>
      <c r="S504" s="4">
        <f t="shared" si="861"/>
        <v>13236.9266055046</v>
      </c>
      <c r="T504" s="4">
        <f>IFERROR(VLOOKUP(A504,产值统计中间表!A:F,7,FALSE),0)</f>
        <v>0</v>
      </c>
      <c r="U504" s="4">
        <f t="shared" si="862"/>
        <v>0</v>
      </c>
      <c r="V504" s="4">
        <f>IFERROR(VLOOKUP(A504,产值统计中间表!A:D,4,FALSE),0)</f>
        <v>0</v>
      </c>
      <c r="W504" s="4">
        <f t="shared" si="863"/>
        <v>0</v>
      </c>
      <c r="X504" s="4">
        <f t="shared" si="864"/>
        <v>1</v>
      </c>
      <c r="Y504" s="4">
        <f t="shared" si="865"/>
        <v>13236.9266055046</v>
      </c>
      <c r="Z504" s="4">
        <f>IFERROR(VLOOKUP(A504,业主统计中间表!A:D,4,FALSE),0)</f>
        <v>0</v>
      </c>
      <c r="AA504" s="4">
        <f t="shared" si="866"/>
        <v>0</v>
      </c>
      <c r="AB504" s="4"/>
    </row>
    <row r="505" customHeight="1" outlineLevel="3" spans="1:28">
      <c r="A505" s="514" t="s">
        <v>3002</v>
      </c>
      <c r="B505" s="4"/>
      <c r="C505" s="510" t="s">
        <v>65</v>
      </c>
      <c r="D505" s="4" t="s">
        <v>683</v>
      </c>
      <c r="E505" s="4"/>
      <c r="F505" s="4"/>
      <c r="G505" s="4"/>
      <c r="H505" s="4"/>
      <c r="I505" s="4"/>
      <c r="J505" s="4"/>
      <c r="K505" s="4"/>
      <c r="L505" s="517"/>
      <c r="M505" s="4">
        <f t="shared" si="867"/>
        <v>13236.9266055046</v>
      </c>
      <c r="N505" s="4">
        <v>1</v>
      </c>
      <c r="O505" s="4">
        <f>M505*N505</f>
        <v>13236.9266055046</v>
      </c>
      <c r="P505" s="4"/>
      <c r="Q505" s="4"/>
      <c r="R505" s="4"/>
      <c r="S505" s="4"/>
      <c r="T505" s="4">
        <f ca="1" t="shared" si="868"/>
        <v>0</v>
      </c>
      <c r="U505" s="4">
        <f ca="1" t="shared" si="869"/>
        <v>0</v>
      </c>
      <c r="V505" s="4">
        <f ca="1" t="shared" si="870"/>
        <v>0</v>
      </c>
      <c r="W505" s="4">
        <f ca="1" t="shared" si="871"/>
        <v>0</v>
      </c>
      <c r="X505" s="4">
        <f ca="1" t="shared" si="872"/>
        <v>13236.9266055046</v>
      </c>
      <c r="Y505" s="4">
        <f ca="1" t="shared" si="873"/>
        <v>13236.9266055046</v>
      </c>
      <c r="Z505" s="4">
        <f ca="1" t="shared" si="874"/>
        <v>0</v>
      </c>
      <c r="AA505" s="4">
        <f ca="1" t="shared" si="875"/>
        <v>0</v>
      </c>
      <c r="AB505" s="4"/>
    </row>
    <row r="506" customHeight="1" outlineLevel="2" spans="1:28">
      <c r="A506" s="515" t="s">
        <v>3003</v>
      </c>
      <c r="B506" s="4"/>
      <c r="C506" s="510" t="s">
        <v>1309</v>
      </c>
      <c r="D506" s="4" t="s">
        <v>3004</v>
      </c>
      <c r="E506" s="4" t="s">
        <v>2991</v>
      </c>
      <c r="F506" s="4" t="s">
        <v>169</v>
      </c>
      <c r="G506" s="4">
        <v>2</v>
      </c>
      <c r="H506" s="4">
        <v>9057.39449541284</v>
      </c>
      <c r="I506" s="4">
        <f>G506*H506</f>
        <v>18114.7889908257</v>
      </c>
      <c r="J506" s="4">
        <f t="shared" ref="J506:L506" si="877">+G506</f>
        <v>2</v>
      </c>
      <c r="K506" s="4">
        <f t="shared" si="877"/>
        <v>9057.39449541284</v>
      </c>
      <c r="L506" s="517">
        <f t="shared" si="877"/>
        <v>18114.7889908257</v>
      </c>
      <c r="M506" s="4">
        <f t="shared" si="858"/>
        <v>2</v>
      </c>
      <c r="N506" s="4">
        <f t="shared" si="859"/>
        <v>9057.39449541284</v>
      </c>
      <c r="O506" s="4">
        <f>(+O507)</f>
        <v>18114.7889908257</v>
      </c>
      <c r="P506" s="4"/>
      <c r="Q506" s="4"/>
      <c r="R506" s="4">
        <f t="shared" si="860"/>
        <v>2</v>
      </c>
      <c r="S506" s="4">
        <f t="shared" si="861"/>
        <v>18114.7889908257</v>
      </c>
      <c r="T506" s="4">
        <f>IFERROR(VLOOKUP(A506,产值统计中间表!A:F,7,FALSE),0)</f>
        <v>0</v>
      </c>
      <c r="U506" s="4">
        <f t="shared" si="862"/>
        <v>0</v>
      </c>
      <c r="V506" s="4">
        <f>IFERROR(VLOOKUP(A506,产值统计中间表!A:D,4,FALSE),0)</f>
        <v>0</v>
      </c>
      <c r="W506" s="4">
        <f t="shared" si="863"/>
        <v>0</v>
      </c>
      <c r="X506" s="4">
        <f t="shared" si="864"/>
        <v>2</v>
      </c>
      <c r="Y506" s="4">
        <f t="shared" si="865"/>
        <v>18114.7889908257</v>
      </c>
      <c r="Z506" s="4">
        <f>IFERROR(VLOOKUP(A506,业主统计中间表!A:D,4,FALSE),0)</f>
        <v>0</v>
      </c>
      <c r="AA506" s="4">
        <f t="shared" si="866"/>
        <v>0</v>
      </c>
      <c r="AB506" s="4"/>
    </row>
    <row r="507" customHeight="1" outlineLevel="3" spans="1:28">
      <c r="A507" s="514" t="s">
        <v>3005</v>
      </c>
      <c r="B507" s="4"/>
      <c r="C507" s="510" t="s">
        <v>65</v>
      </c>
      <c r="D507" s="4" t="s">
        <v>683</v>
      </c>
      <c r="E507" s="4"/>
      <c r="F507" s="4"/>
      <c r="G507" s="4"/>
      <c r="H507" s="4"/>
      <c r="I507" s="4"/>
      <c r="J507" s="4"/>
      <c r="K507" s="4"/>
      <c r="L507" s="517"/>
      <c r="M507" s="4">
        <f t="shared" si="867"/>
        <v>18114.7889908257</v>
      </c>
      <c r="N507" s="4">
        <v>1</v>
      </c>
      <c r="O507" s="4">
        <f>M507*N507</f>
        <v>18114.7889908257</v>
      </c>
      <c r="P507" s="4"/>
      <c r="Q507" s="4"/>
      <c r="R507" s="4"/>
      <c r="S507" s="4"/>
      <c r="T507" s="4">
        <f ca="1" t="shared" si="868"/>
        <v>0</v>
      </c>
      <c r="U507" s="4">
        <f ca="1" t="shared" si="869"/>
        <v>0</v>
      </c>
      <c r="V507" s="4">
        <f ca="1" t="shared" si="870"/>
        <v>0</v>
      </c>
      <c r="W507" s="4">
        <f ca="1" t="shared" si="871"/>
        <v>0</v>
      </c>
      <c r="X507" s="4">
        <f ca="1" t="shared" si="872"/>
        <v>18114.7889908257</v>
      </c>
      <c r="Y507" s="4">
        <f ca="1" t="shared" si="873"/>
        <v>18114.7889908257</v>
      </c>
      <c r="Z507" s="4">
        <f ca="1" t="shared" si="874"/>
        <v>0</v>
      </c>
      <c r="AA507" s="4">
        <f ca="1" t="shared" si="875"/>
        <v>0</v>
      </c>
      <c r="AB507" s="4"/>
    </row>
    <row r="508" customHeight="1" outlineLevel="2" spans="1:28">
      <c r="A508" s="515" t="s">
        <v>3006</v>
      </c>
      <c r="B508" s="4"/>
      <c r="C508" s="510" t="s">
        <v>1309</v>
      </c>
      <c r="D508" s="4" t="s">
        <v>3007</v>
      </c>
      <c r="E508" s="4" t="s">
        <v>2991</v>
      </c>
      <c r="F508" s="4" t="s">
        <v>169</v>
      </c>
      <c r="G508" s="4">
        <v>1</v>
      </c>
      <c r="H508" s="4">
        <v>15458.0275229358</v>
      </c>
      <c r="I508" s="4">
        <f>G508*H508</f>
        <v>15458.0275229358</v>
      </c>
      <c r="J508" s="4">
        <f t="shared" ref="J508:L508" si="878">+G508</f>
        <v>1</v>
      </c>
      <c r="K508" s="4">
        <f t="shared" si="878"/>
        <v>15458.0275229358</v>
      </c>
      <c r="L508" s="517">
        <f t="shared" si="878"/>
        <v>15458.0275229358</v>
      </c>
      <c r="M508" s="4">
        <f t="shared" ref="M508:M512" si="879">+G508</f>
        <v>1</v>
      </c>
      <c r="N508" s="4">
        <f t="shared" ref="N508:N512" si="880">O508/G508</f>
        <v>15458.0275229358</v>
      </c>
      <c r="O508" s="4">
        <f>(+O509)</f>
        <v>15458.0275229358</v>
      </c>
      <c r="P508" s="4"/>
      <c r="Q508" s="4"/>
      <c r="R508" s="4">
        <f t="shared" ref="R508:R512" si="881">+P508+J508</f>
        <v>1</v>
      </c>
      <c r="S508" s="4">
        <f t="shared" ref="S508:S512" si="882">+Q508+L508</f>
        <v>15458.0275229358</v>
      </c>
      <c r="T508" s="4">
        <f>IFERROR(VLOOKUP(A508,产值统计中间表!A:F,7,FALSE),0)</f>
        <v>0</v>
      </c>
      <c r="U508" s="4">
        <f t="shared" ref="U508:U512" si="883">+T508*H508</f>
        <v>0</v>
      </c>
      <c r="V508" s="4">
        <f>IFERROR(VLOOKUP(A508,产值统计中间表!A:D,4,FALSE),0)</f>
        <v>0</v>
      </c>
      <c r="W508" s="4">
        <f t="shared" ref="W508:W512" si="884">+V508*H508</f>
        <v>0</v>
      </c>
      <c r="X508" s="4">
        <f t="shared" ref="X508:X512" si="885">+R508-V508</f>
        <v>1</v>
      </c>
      <c r="Y508" s="4">
        <f t="shared" ref="Y508:Y512" si="886">+S508-W508</f>
        <v>15458.0275229358</v>
      </c>
      <c r="Z508" s="4">
        <f>IFERROR(VLOOKUP(A508,业主统计中间表!A:D,4,FALSE),0)</f>
        <v>0</v>
      </c>
      <c r="AA508" s="4">
        <f t="shared" ref="AA508:AA512" si="887">+Z508*H508</f>
        <v>0</v>
      </c>
      <c r="AB508" s="4"/>
    </row>
    <row r="509" customHeight="1" outlineLevel="3" spans="1:28">
      <c r="A509" s="514" t="s">
        <v>3008</v>
      </c>
      <c r="B509" s="4"/>
      <c r="C509" s="510" t="s">
        <v>65</v>
      </c>
      <c r="D509" s="4" t="s">
        <v>683</v>
      </c>
      <c r="E509" s="4"/>
      <c r="F509" s="4"/>
      <c r="G509" s="4"/>
      <c r="H509" s="4"/>
      <c r="I509" s="4"/>
      <c r="J509" s="4"/>
      <c r="K509" s="4"/>
      <c r="L509" s="517"/>
      <c r="M509" s="4">
        <f t="shared" ref="M509:M513" si="888">I508</f>
        <v>15458.0275229358</v>
      </c>
      <c r="N509" s="4">
        <v>1</v>
      </c>
      <c r="O509" s="4">
        <f>M509*N509</f>
        <v>15458.0275229358</v>
      </c>
      <c r="P509" s="4"/>
      <c r="Q509" s="4"/>
      <c r="R509" s="4"/>
      <c r="S509" s="4"/>
      <c r="T509" s="4">
        <f ca="1" t="shared" ref="T509:T513" si="889">OFFSET(T509,-RIGHT($A509,LEN($A$6)),,1,1)/OFFSET(T509,-RIGHT($A509,LEN($A$6)),-13,1,1)*$M509</f>
        <v>0</v>
      </c>
      <c r="U509" s="4">
        <f ca="1" t="shared" ref="U509:U513" si="890">+$N509*T509</f>
        <v>0</v>
      </c>
      <c r="V509" s="4">
        <f ca="1" t="shared" ref="V509:V513" si="891">OFFSET(V509,-RIGHT($A509,LEN($A$6)),,1,1)/OFFSET(V509,-RIGHT($A509,LEN($A$6)),-15,1,1)*$M509</f>
        <v>0</v>
      </c>
      <c r="W509" s="4">
        <f ca="1" t="shared" ref="W509:W513" si="892">+$N509*V509</f>
        <v>0</v>
      </c>
      <c r="X509" s="4">
        <f ca="1" t="shared" ref="X509:X513" si="893">+M509-V509</f>
        <v>15458.0275229358</v>
      </c>
      <c r="Y509" s="4">
        <f ca="1" t="shared" ref="Y509:Y513" si="894">+O509-W509</f>
        <v>15458.0275229358</v>
      </c>
      <c r="Z509" s="4">
        <f ca="1" t="shared" ref="Z509:Z513" si="895">OFFSET(Z509,-RIGHT($A509,LEN($A$6)),,1,1)/OFFSET(Z509,-RIGHT($A509,LEN($A$6)),-19,1,1)*$M509</f>
        <v>0</v>
      </c>
      <c r="AA509" s="4">
        <f ca="1" t="shared" ref="AA509:AA513" si="896">+$N509*Z509</f>
        <v>0</v>
      </c>
      <c r="AB509" s="4"/>
    </row>
    <row r="510" customHeight="1" outlineLevel="2" spans="1:28">
      <c r="A510" s="515" t="s">
        <v>3009</v>
      </c>
      <c r="B510" s="4"/>
      <c r="C510" s="510" t="s">
        <v>1309</v>
      </c>
      <c r="D510" s="4" t="s">
        <v>3010</v>
      </c>
      <c r="E510" s="4" t="s">
        <v>2697</v>
      </c>
      <c r="F510" s="4" t="s">
        <v>175</v>
      </c>
      <c r="G510" s="4">
        <v>3</v>
      </c>
      <c r="H510" s="4">
        <v>473.192660550459</v>
      </c>
      <c r="I510" s="4">
        <f>G510*H510</f>
        <v>1419.57798165138</v>
      </c>
      <c r="J510" s="4">
        <f t="shared" ref="J510:L510" si="897">+G510</f>
        <v>3</v>
      </c>
      <c r="K510" s="4">
        <f t="shared" si="897"/>
        <v>473.192660550459</v>
      </c>
      <c r="L510" s="517">
        <f t="shared" si="897"/>
        <v>1419.57798165138</v>
      </c>
      <c r="M510" s="4">
        <f t="shared" si="879"/>
        <v>3</v>
      </c>
      <c r="N510" s="4">
        <f t="shared" si="880"/>
        <v>473.192660550459</v>
      </c>
      <c r="O510" s="4">
        <f>(+O511)</f>
        <v>1419.57798165138</v>
      </c>
      <c r="P510" s="4"/>
      <c r="Q510" s="4"/>
      <c r="R510" s="4">
        <f t="shared" si="881"/>
        <v>3</v>
      </c>
      <c r="S510" s="4">
        <f t="shared" si="882"/>
        <v>1419.57798165138</v>
      </c>
      <c r="T510" s="4">
        <f>IFERROR(VLOOKUP(A510,产值统计中间表!A:F,7,FALSE),0)</f>
        <v>0</v>
      </c>
      <c r="U510" s="4">
        <f t="shared" si="883"/>
        <v>0</v>
      </c>
      <c r="V510" s="4">
        <f>IFERROR(VLOOKUP(A510,产值统计中间表!A:D,4,FALSE),0)</f>
        <v>0</v>
      </c>
      <c r="W510" s="4">
        <f t="shared" si="884"/>
        <v>0</v>
      </c>
      <c r="X510" s="4">
        <f t="shared" si="885"/>
        <v>3</v>
      </c>
      <c r="Y510" s="4">
        <f t="shared" si="886"/>
        <v>1419.57798165138</v>
      </c>
      <c r="Z510" s="4">
        <f>IFERROR(VLOOKUP(A510,业主统计中间表!A:D,4,FALSE),0)</f>
        <v>0</v>
      </c>
      <c r="AA510" s="4">
        <f t="shared" si="887"/>
        <v>0</v>
      </c>
      <c r="AB510" s="4"/>
    </row>
    <row r="511" customHeight="1" outlineLevel="3" spans="1:28">
      <c r="A511" s="514" t="s">
        <v>3011</v>
      </c>
      <c r="B511" s="4"/>
      <c r="C511" s="510" t="s">
        <v>65</v>
      </c>
      <c r="D511" s="4" t="s">
        <v>683</v>
      </c>
      <c r="E511" s="4"/>
      <c r="F511" s="4"/>
      <c r="G511" s="4"/>
      <c r="H511" s="4"/>
      <c r="I511" s="4"/>
      <c r="J511" s="4"/>
      <c r="K511" s="4"/>
      <c r="L511" s="517"/>
      <c r="M511" s="4">
        <f t="shared" si="888"/>
        <v>1419.57798165138</v>
      </c>
      <c r="N511" s="4">
        <v>1</v>
      </c>
      <c r="O511" s="4">
        <f>M511*N511</f>
        <v>1419.57798165138</v>
      </c>
      <c r="P511" s="4"/>
      <c r="Q511" s="4"/>
      <c r="R511" s="4"/>
      <c r="S511" s="4"/>
      <c r="T511" s="4">
        <f ca="1" t="shared" si="889"/>
        <v>0</v>
      </c>
      <c r="U511" s="4">
        <f ca="1" t="shared" si="890"/>
        <v>0</v>
      </c>
      <c r="V511" s="4">
        <f ca="1" t="shared" si="891"/>
        <v>0</v>
      </c>
      <c r="W511" s="4">
        <f ca="1" t="shared" si="892"/>
        <v>0</v>
      </c>
      <c r="X511" s="4">
        <f ca="1" t="shared" si="893"/>
        <v>1419.57798165138</v>
      </c>
      <c r="Y511" s="4">
        <f ca="1" t="shared" si="894"/>
        <v>1419.57798165138</v>
      </c>
      <c r="Z511" s="4">
        <f ca="1" t="shared" si="895"/>
        <v>0</v>
      </c>
      <c r="AA511" s="4">
        <f ca="1" t="shared" si="896"/>
        <v>0</v>
      </c>
      <c r="AB511" s="4"/>
    </row>
    <row r="512" customHeight="1" outlineLevel="2" spans="1:28">
      <c r="A512" s="515" t="s">
        <v>3012</v>
      </c>
      <c r="B512" s="4"/>
      <c r="C512" s="510" t="s">
        <v>1309</v>
      </c>
      <c r="D512" s="4" t="s">
        <v>2673</v>
      </c>
      <c r="E512" s="4" t="s">
        <v>2674</v>
      </c>
      <c r="F512" s="4" t="s">
        <v>169</v>
      </c>
      <c r="G512" s="4">
        <v>1</v>
      </c>
      <c r="H512" s="4">
        <v>3988.84403669725</v>
      </c>
      <c r="I512" s="4">
        <f>G512*H512</f>
        <v>3988.84403669725</v>
      </c>
      <c r="J512" s="4">
        <f t="shared" ref="J512:L512" si="898">+G512</f>
        <v>1</v>
      </c>
      <c r="K512" s="4">
        <f t="shared" si="898"/>
        <v>3988.84403669725</v>
      </c>
      <c r="L512" s="517">
        <f t="shared" si="898"/>
        <v>3988.84403669725</v>
      </c>
      <c r="M512" s="4">
        <f t="shared" si="879"/>
        <v>1</v>
      </c>
      <c r="N512" s="4">
        <f t="shared" si="880"/>
        <v>3988.84403669725</v>
      </c>
      <c r="O512" s="4">
        <f>(+O513)</f>
        <v>3988.84403669725</v>
      </c>
      <c r="P512" s="4"/>
      <c r="Q512" s="4"/>
      <c r="R512" s="4">
        <f t="shared" si="881"/>
        <v>1</v>
      </c>
      <c r="S512" s="4">
        <f t="shared" si="882"/>
        <v>3988.84403669725</v>
      </c>
      <c r="T512" s="4">
        <f>IFERROR(VLOOKUP(A512,产值统计中间表!A:F,7,FALSE),0)</f>
        <v>0</v>
      </c>
      <c r="U512" s="4">
        <f t="shared" si="883"/>
        <v>0</v>
      </c>
      <c r="V512" s="4">
        <f>IFERROR(VLOOKUP(A512,产值统计中间表!A:D,4,FALSE),0)</f>
        <v>0</v>
      </c>
      <c r="W512" s="4">
        <f t="shared" si="884"/>
        <v>0</v>
      </c>
      <c r="X512" s="4">
        <f t="shared" si="885"/>
        <v>1</v>
      </c>
      <c r="Y512" s="4">
        <f t="shared" si="886"/>
        <v>3988.84403669725</v>
      </c>
      <c r="Z512" s="4">
        <f>IFERROR(VLOOKUP(A512,业主统计中间表!A:D,4,FALSE),0)</f>
        <v>0</v>
      </c>
      <c r="AA512" s="4">
        <f t="shared" si="887"/>
        <v>0</v>
      </c>
      <c r="AB512" s="4"/>
    </row>
    <row r="513" customHeight="1" outlineLevel="3" spans="1:28">
      <c r="A513" s="514" t="s">
        <v>3013</v>
      </c>
      <c r="B513" s="4"/>
      <c r="C513" s="510" t="s">
        <v>65</v>
      </c>
      <c r="D513" s="4" t="s">
        <v>683</v>
      </c>
      <c r="E513" s="4"/>
      <c r="F513" s="4"/>
      <c r="G513" s="4"/>
      <c r="H513" s="4"/>
      <c r="I513" s="4"/>
      <c r="J513" s="4"/>
      <c r="K513" s="4"/>
      <c r="L513" s="517"/>
      <c r="M513" s="4">
        <f t="shared" si="888"/>
        <v>3988.84403669725</v>
      </c>
      <c r="N513" s="4">
        <v>1</v>
      </c>
      <c r="O513" s="4">
        <f>M513*N513</f>
        <v>3988.84403669725</v>
      </c>
      <c r="P513" s="4"/>
      <c r="Q513" s="4"/>
      <c r="R513" s="4"/>
      <c r="S513" s="4"/>
      <c r="T513" s="4">
        <f ca="1" t="shared" si="889"/>
        <v>0</v>
      </c>
      <c r="U513" s="4">
        <f ca="1" t="shared" si="890"/>
        <v>0</v>
      </c>
      <c r="V513" s="4">
        <f ca="1" t="shared" si="891"/>
        <v>0</v>
      </c>
      <c r="W513" s="4">
        <f ca="1" t="shared" si="892"/>
        <v>0</v>
      </c>
      <c r="X513" s="4">
        <f ca="1" t="shared" si="893"/>
        <v>3988.84403669725</v>
      </c>
      <c r="Y513" s="4">
        <f ca="1" t="shared" si="894"/>
        <v>3988.84403669725</v>
      </c>
      <c r="Z513" s="4">
        <f ca="1" t="shared" si="895"/>
        <v>0</v>
      </c>
      <c r="AA513" s="4">
        <f ca="1" t="shared" si="896"/>
        <v>0</v>
      </c>
      <c r="AB513" s="4"/>
    </row>
    <row r="514" customHeight="1" outlineLevel="1" spans="1:28">
      <c r="A514" s="518" t="s">
        <v>3014</v>
      </c>
      <c r="B514" s="4"/>
      <c r="C514" s="510" t="s">
        <v>60</v>
      </c>
      <c r="D514" s="4" t="s">
        <v>3015</v>
      </c>
      <c r="E514" s="4"/>
      <c r="F514" s="4"/>
      <c r="G514" s="4"/>
      <c r="H514" s="4"/>
      <c r="I514" s="4">
        <f>(+I515+I517+I519+I521+I523+I525+I527+I529)</f>
        <v>237597.933944954</v>
      </c>
      <c r="J514" s="4"/>
      <c r="K514" s="4"/>
      <c r="L514" s="517">
        <f>(+L515+L517+L519+L521+L523+L525+L527+L529)</f>
        <v>237597.933944954</v>
      </c>
      <c r="M514" s="4"/>
      <c r="N514" s="4"/>
      <c r="O514" s="4">
        <f>(+O515+O517+O519+O521+O523+O525+O527+O529)</f>
        <v>237597.933944954</v>
      </c>
      <c r="P514" s="4"/>
      <c r="Q514" s="4"/>
      <c r="R514" s="4"/>
      <c r="S514" s="4"/>
      <c r="T514" s="4"/>
      <c r="U514" s="4"/>
      <c r="V514" s="4"/>
      <c r="W514" s="4"/>
      <c r="X514" s="4"/>
      <c r="Y514" s="4"/>
      <c r="Z514" s="4"/>
      <c r="AA514" s="4"/>
      <c r="AB514" s="4"/>
    </row>
    <row r="515" customHeight="1" outlineLevel="2" spans="1:28">
      <c r="A515" s="515" t="s">
        <v>3016</v>
      </c>
      <c r="B515" s="4"/>
      <c r="C515" s="510" t="s">
        <v>1309</v>
      </c>
      <c r="D515" s="4" t="s">
        <v>3017</v>
      </c>
      <c r="E515" s="4" t="s">
        <v>3018</v>
      </c>
      <c r="F515" s="4" t="s">
        <v>169</v>
      </c>
      <c r="G515" s="4">
        <v>1</v>
      </c>
      <c r="H515" s="4">
        <v>82316.3119266055</v>
      </c>
      <c r="I515" s="4">
        <f>G515*H515</f>
        <v>82316.3119266055</v>
      </c>
      <c r="J515" s="4">
        <f t="shared" ref="J515:L515" si="899">+G515</f>
        <v>1</v>
      </c>
      <c r="K515" s="4">
        <f t="shared" si="899"/>
        <v>82316.3119266055</v>
      </c>
      <c r="L515" s="517">
        <f t="shared" si="899"/>
        <v>82316.3119266055</v>
      </c>
      <c r="M515" s="4">
        <f t="shared" ref="M515:M519" si="900">+G515</f>
        <v>1</v>
      </c>
      <c r="N515" s="4">
        <f t="shared" ref="N515:N519" si="901">O515/G515</f>
        <v>82316.3119266055</v>
      </c>
      <c r="O515" s="4">
        <f>(+O516)</f>
        <v>82316.3119266055</v>
      </c>
      <c r="P515" s="4"/>
      <c r="Q515" s="4"/>
      <c r="R515" s="4">
        <f t="shared" ref="R515:R519" si="902">+P515+J515</f>
        <v>1</v>
      </c>
      <c r="S515" s="4">
        <f t="shared" ref="S515:S519" si="903">+Q515+L515</f>
        <v>82316.3119266055</v>
      </c>
      <c r="T515" s="4">
        <f>IFERROR(VLOOKUP(A515,产值统计中间表!A:F,7,FALSE),0)</f>
        <v>0</v>
      </c>
      <c r="U515" s="4">
        <f t="shared" ref="U515:U519" si="904">+T515*H515</f>
        <v>0</v>
      </c>
      <c r="V515" s="4">
        <f>IFERROR(VLOOKUP(A515,产值统计中间表!A:D,4,FALSE),0)</f>
        <v>0</v>
      </c>
      <c r="W515" s="4">
        <f t="shared" ref="W515:W519" si="905">+V515*H515</f>
        <v>0</v>
      </c>
      <c r="X515" s="4">
        <f t="shared" ref="X515:X519" si="906">+R515-V515</f>
        <v>1</v>
      </c>
      <c r="Y515" s="4">
        <f t="shared" ref="Y515:Y519" si="907">+S515-W515</f>
        <v>82316.3119266055</v>
      </c>
      <c r="Z515" s="4">
        <f>IFERROR(VLOOKUP(A515,业主统计中间表!A:D,4,FALSE),0)</f>
        <v>0</v>
      </c>
      <c r="AA515" s="4">
        <f t="shared" ref="AA515:AA519" si="908">+Z515*H515</f>
        <v>0</v>
      </c>
      <c r="AB515" s="4"/>
    </row>
    <row r="516" customHeight="1" outlineLevel="3" spans="1:28">
      <c r="A516" s="514" t="s">
        <v>3019</v>
      </c>
      <c r="B516" s="4"/>
      <c r="C516" s="510" t="s">
        <v>65</v>
      </c>
      <c r="D516" s="4" t="s">
        <v>164</v>
      </c>
      <c r="E516" s="4"/>
      <c r="F516" s="4"/>
      <c r="G516" s="4"/>
      <c r="H516" s="4"/>
      <c r="I516" s="4"/>
      <c r="J516" s="4"/>
      <c r="K516" s="4"/>
      <c r="L516" s="517"/>
      <c r="M516" s="4">
        <f t="shared" ref="M516:M520" si="909">I515</f>
        <v>82316.3119266055</v>
      </c>
      <c r="N516" s="4">
        <v>1</v>
      </c>
      <c r="O516" s="4">
        <f>M516*N516</f>
        <v>82316.3119266055</v>
      </c>
      <c r="P516" s="4"/>
      <c r="Q516" s="4"/>
      <c r="R516" s="4"/>
      <c r="S516" s="4"/>
      <c r="T516" s="4">
        <f ca="1" t="shared" ref="T516:T520" si="910">OFFSET(T516,-RIGHT($A516,LEN($A$6)),,1,1)/OFFSET(T516,-RIGHT($A516,LEN($A$6)),-13,1,1)*$M516</f>
        <v>0</v>
      </c>
      <c r="U516" s="4">
        <f ca="1" t="shared" ref="U516:U520" si="911">+$N516*T516</f>
        <v>0</v>
      </c>
      <c r="V516" s="4">
        <f ca="1" t="shared" ref="V516:V520" si="912">OFFSET(V516,-RIGHT($A516,LEN($A$6)),,1,1)/OFFSET(V516,-RIGHT($A516,LEN($A$6)),-15,1,1)*$M516</f>
        <v>0</v>
      </c>
      <c r="W516" s="4">
        <f ca="1" t="shared" ref="W516:W520" si="913">+$N516*V516</f>
        <v>0</v>
      </c>
      <c r="X516" s="4">
        <f ca="1" t="shared" ref="X516:X520" si="914">+M516-V516</f>
        <v>82316.3119266055</v>
      </c>
      <c r="Y516" s="4">
        <f ca="1" t="shared" ref="Y516:Y520" si="915">+O516-W516</f>
        <v>82316.3119266055</v>
      </c>
      <c r="Z516" s="4">
        <f ca="1" t="shared" ref="Z516:Z520" si="916">OFFSET(Z516,-RIGHT($A516,LEN($A$6)),,1,1)/OFFSET(Z516,-RIGHT($A516,LEN($A$6)),-19,1,1)*$M516</f>
        <v>0</v>
      </c>
      <c r="AA516" s="4">
        <f ca="1" t="shared" ref="AA516:AA520" si="917">+$N516*Z516</f>
        <v>0</v>
      </c>
      <c r="AB516" s="4"/>
    </row>
    <row r="517" customHeight="1" outlineLevel="2" spans="1:28">
      <c r="A517" s="515" t="s">
        <v>3020</v>
      </c>
      <c r="B517" s="4"/>
      <c r="C517" s="510" t="s">
        <v>1309</v>
      </c>
      <c r="D517" s="4" t="s">
        <v>3021</v>
      </c>
      <c r="E517" s="4" t="s">
        <v>3018</v>
      </c>
      <c r="F517" s="4" t="s">
        <v>169</v>
      </c>
      <c r="G517" s="4">
        <v>1</v>
      </c>
      <c r="H517" s="4">
        <v>63650.8440366972</v>
      </c>
      <c r="I517" s="4">
        <f>G517*H517</f>
        <v>63650.8440366972</v>
      </c>
      <c r="J517" s="4">
        <f t="shared" ref="J517:L517" si="918">+G517</f>
        <v>1</v>
      </c>
      <c r="K517" s="4">
        <f t="shared" si="918"/>
        <v>63650.8440366972</v>
      </c>
      <c r="L517" s="517">
        <f t="shared" si="918"/>
        <v>63650.8440366972</v>
      </c>
      <c r="M517" s="4">
        <f t="shared" si="900"/>
        <v>1</v>
      </c>
      <c r="N517" s="4">
        <f t="shared" si="901"/>
        <v>63650.8440366972</v>
      </c>
      <c r="O517" s="4">
        <f>(+O518)</f>
        <v>63650.8440366972</v>
      </c>
      <c r="P517" s="4"/>
      <c r="Q517" s="4"/>
      <c r="R517" s="4">
        <f t="shared" si="902"/>
        <v>1</v>
      </c>
      <c r="S517" s="4">
        <f t="shared" si="903"/>
        <v>63650.8440366972</v>
      </c>
      <c r="T517" s="4">
        <f>IFERROR(VLOOKUP(A517,产值统计中间表!A:F,7,FALSE),0)</f>
        <v>0</v>
      </c>
      <c r="U517" s="4">
        <f t="shared" si="904"/>
        <v>0</v>
      </c>
      <c r="V517" s="4">
        <f>IFERROR(VLOOKUP(A517,产值统计中间表!A:D,4,FALSE),0)</f>
        <v>0</v>
      </c>
      <c r="W517" s="4">
        <f t="shared" si="905"/>
        <v>0</v>
      </c>
      <c r="X517" s="4">
        <f t="shared" si="906"/>
        <v>1</v>
      </c>
      <c r="Y517" s="4">
        <f t="shared" si="907"/>
        <v>63650.8440366972</v>
      </c>
      <c r="Z517" s="4">
        <f>IFERROR(VLOOKUP(A517,业主统计中间表!A:D,4,FALSE),0)</f>
        <v>0</v>
      </c>
      <c r="AA517" s="4">
        <f t="shared" si="908"/>
        <v>0</v>
      </c>
      <c r="AB517" s="4"/>
    </row>
    <row r="518" customHeight="1" outlineLevel="3" spans="1:28">
      <c r="A518" s="514" t="s">
        <v>3022</v>
      </c>
      <c r="B518" s="4"/>
      <c r="C518" s="510" t="s">
        <v>65</v>
      </c>
      <c r="D518" s="4" t="s">
        <v>164</v>
      </c>
      <c r="E518" s="4"/>
      <c r="F518" s="4"/>
      <c r="G518" s="4"/>
      <c r="H518" s="4"/>
      <c r="I518" s="4"/>
      <c r="J518" s="4"/>
      <c r="K518" s="4"/>
      <c r="L518" s="517"/>
      <c r="M518" s="4">
        <f t="shared" si="909"/>
        <v>63650.8440366972</v>
      </c>
      <c r="N518" s="4">
        <v>1</v>
      </c>
      <c r="O518" s="4">
        <f>M518*N518</f>
        <v>63650.8440366972</v>
      </c>
      <c r="P518" s="4"/>
      <c r="Q518" s="4"/>
      <c r="R518" s="4"/>
      <c r="S518" s="4"/>
      <c r="T518" s="4">
        <f ca="1" t="shared" si="910"/>
        <v>0</v>
      </c>
      <c r="U518" s="4">
        <f ca="1" t="shared" si="911"/>
        <v>0</v>
      </c>
      <c r="V518" s="4">
        <f ca="1" t="shared" si="912"/>
        <v>0</v>
      </c>
      <c r="W518" s="4">
        <f ca="1" t="shared" si="913"/>
        <v>0</v>
      </c>
      <c r="X518" s="4">
        <f ca="1" t="shared" si="914"/>
        <v>63650.8440366972</v>
      </c>
      <c r="Y518" s="4">
        <f ca="1" t="shared" si="915"/>
        <v>63650.8440366972</v>
      </c>
      <c r="Z518" s="4">
        <f ca="1" t="shared" si="916"/>
        <v>0</v>
      </c>
      <c r="AA518" s="4">
        <f ca="1" t="shared" si="917"/>
        <v>0</v>
      </c>
      <c r="AB518" s="4"/>
    </row>
    <row r="519" customHeight="1" outlineLevel="2" spans="1:28">
      <c r="A519" s="515" t="s">
        <v>3023</v>
      </c>
      <c r="B519" s="4"/>
      <c r="C519" s="510" t="s">
        <v>1309</v>
      </c>
      <c r="D519" s="4" t="s">
        <v>3024</v>
      </c>
      <c r="E519" s="4" t="s">
        <v>3018</v>
      </c>
      <c r="F519" s="4" t="s">
        <v>169</v>
      </c>
      <c r="G519" s="4">
        <v>1</v>
      </c>
      <c r="H519" s="4">
        <v>37037.3394495413</v>
      </c>
      <c r="I519" s="4">
        <f>G519*H519</f>
        <v>37037.3394495413</v>
      </c>
      <c r="J519" s="4">
        <f t="shared" ref="J519:L519" si="919">+G519</f>
        <v>1</v>
      </c>
      <c r="K519" s="4">
        <f t="shared" si="919"/>
        <v>37037.3394495413</v>
      </c>
      <c r="L519" s="517">
        <f t="shared" si="919"/>
        <v>37037.3394495413</v>
      </c>
      <c r="M519" s="4">
        <f t="shared" si="900"/>
        <v>1</v>
      </c>
      <c r="N519" s="4">
        <f t="shared" si="901"/>
        <v>37037.3394495413</v>
      </c>
      <c r="O519" s="4">
        <f>(+O520)</f>
        <v>37037.3394495413</v>
      </c>
      <c r="P519" s="4"/>
      <c r="Q519" s="4"/>
      <c r="R519" s="4">
        <f t="shared" si="902"/>
        <v>1</v>
      </c>
      <c r="S519" s="4">
        <f t="shared" si="903"/>
        <v>37037.3394495413</v>
      </c>
      <c r="T519" s="4">
        <f>IFERROR(VLOOKUP(A519,产值统计中间表!A:F,7,FALSE),0)</f>
        <v>0</v>
      </c>
      <c r="U519" s="4">
        <f t="shared" si="904"/>
        <v>0</v>
      </c>
      <c r="V519" s="4">
        <f>IFERROR(VLOOKUP(A519,产值统计中间表!A:D,4,FALSE),0)</f>
        <v>0</v>
      </c>
      <c r="W519" s="4">
        <f t="shared" si="905"/>
        <v>0</v>
      </c>
      <c r="X519" s="4">
        <f t="shared" si="906"/>
        <v>1</v>
      </c>
      <c r="Y519" s="4">
        <f t="shared" si="907"/>
        <v>37037.3394495413</v>
      </c>
      <c r="Z519" s="4">
        <f>IFERROR(VLOOKUP(A519,业主统计中间表!A:D,4,FALSE),0)</f>
        <v>0</v>
      </c>
      <c r="AA519" s="4">
        <f t="shared" si="908"/>
        <v>0</v>
      </c>
      <c r="AB519" s="4"/>
    </row>
    <row r="520" customHeight="1" outlineLevel="3" spans="1:28">
      <c r="A520" s="514" t="s">
        <v>3025</v>
      </c>
      <c r="B520" s="4"/>
      <c r="C520" s="510" t="s">
        <v>65</v>
      </c>
      <c r="D520" s="4" t="s">
        <v>164</v>
      </c>
      <c r="E520" s="4"/>
      <c r="F520" s="4"/>
      <c r="G520" s="4"/>
      <c r="H520" s="4"/>
      <c r="I520" s="4"/>
      <c r="J520" s="4"/>
      <c r="K520" s="4"/>
      <c r="L520" s="517"/>
      <c r="M520" s="4">
        <f t="shared" si="909"/>
        <v>37037.3394495413</v>
      </c>
      <c r="N520" s="4">
        <v>1</v>
      </c>
      <c r="O520" s="4">
        <f>M520*N520</f>
        <v>37037.3394495413</v>
      </c>
      <c r="P520" s="4"/>
      <c r="Q520" s="4"/>
      <c r="R520" s="4"/>
      <c r="S520" s="4"/>
      <c r="T520" s="4">
        <f ca="1" t="shared" si="910"/>
        <v>0</v>
      </c>
      <c r="U520" s="4">
        <f ca="1" t="shared" si="911"/>
        <v>0</v>
      </c>
      <c r="V520" s="4">
        <f ca="1" t="shared" si="912"/>
        <v>0</v>
      </c>
      <c r="W520" s="4">
        <f ca="1" t="shared" si="913"/>
        <v>0</v>
      </c>
      <c r="X520" s="4">
        <f ca="1" t="shared" si="914"/>
        <v>37037.3394495413</v>
      </c>
      <c r="Y520" s="4">
        <f ca="1" t="shared" si="915"/>
        <v>37037.3394495413</v>
      </c>
      <c r="Z520" s="4">
        <f ca="1" t="shared" si="916"/>
        <v>0</v>
      </c>
      <c r="AA520" s="4">
        <f ca="1" t="shared" si="917"/>
        <v>0</v>
      </c>
      <c r="AB520" s="4"/>
    </row>
    <row r="521" customHeight="1" outlineLevel="2" spans="1:28">
      <c r="A521" s="515" t="s">
        <v>3026</v>
      </c>
      <c r="B521" s="4"/>
      <c r="C521" s="510" t="s">
        <v>1309</v>
      </c>
      <c r="D521" s="4" t="s">
        <v>3027</v>
      </c>
      <c r="E521" s="4" t="s">
        <v>3018</v>
      </c>
      <c r="F521" s="4" t="s">
        <v>169</v>
      </c>
      <c r="G521" s="4">
        <v>1</v>
      </c>
      <c r="H521" s="4">
        <v>49026.376146789</v>
      </c>
      <c r="I521" s="4">
        <f>G521*H521</f>
        <v>49026.376146789</v>
      </c>
      <c r="J521" s="4">
        <f t="shared" ref="J521:L521" si="920">+G521</f>
        <v>1</v>
      </c>
      <c r="K521" s="4">
        <f t="shared" si="920"/>
        <v>49026.376146789</v>
      </c>
      <c r="L521" s="517">
        <f t="shared" si="920"/>
        <v>49026.376146789</v>
      </c>
      <c r="M521" s="4">
        <f t="shared" ref="M521:M525" si="921">+G521</f>
        <v>1</v>
      </c>
      <c r="N521" s="4">
        <f t="shared" ref="N521:N525" si="922">O521/G521</f>
        <v>49026.376146789</v>
      </c>
      <c r="O521" s="4">
        <f>(+O522)</f>
        <v>49026.376146789</v>
      </c>
      <c r="P521" s="4"/>
      <c r="Q521" s="4"/>
      <c r="R521" s="4">
        <f t="shared" ref="R521:R525" si="923">+P521+J521</f>
        <v>1</v>
      </c>
      <c r="S521" s="4">
        <f t="shared" ref="S521:S525" si="924">+Q521+L521</f>
        <v>49026.376146789</v>
      </c>
      <c r="T521" s="4">
        <f>IFERROR(VLOOKUP(A521,产值统计中间表!A:F,7,FALSE),0)</f>
        <v>0</v>
      </c>
      <c r="U521" s="4">
        <f t="shared" ref="U521:U525" si="925">+T521*H521</f>
        <v>0</v>
      </c>
      <c r="V521" s="4">
        <f>IFERROR(VLOOKUP(A521,产值统计中间表!A:D,4,FALSE),0)</f>
        <v>0</v>
      </c>
      <c r="W521" s="4">
        <f t="shared" ref="W521:W525" si="926">+V521*H521</f>
        <v>0</v>
      </c>
      <c r="X521" s="4">
        <f t="shared" ref="X521:X525" si="927">+R521-V521</f>
        <v>1</v>
      </c>
      <c r="Y521" s="4">
        <f t="shared" ref="Y521:Y525" si="928">+S521-W521</f>
        <v>49026.376146789</v>
      </c>
      <c r="Z521" s="4">
        <f>IFERROR(VLOOKUP(A521,业主统计中间表!A:D,4,FALSE),0)</f>
        <v>0</v>
      </c>
      <c r="AA521" s="4">
        <f t="shared" ref="AA521:AA525" si="929">+Z521*H521</f>
        <v>0</v>
      </c>
      <c r="AB521" s="4"/>
    </row>
    <row r="522" customHeight="1" outlineLevel="3" spans="1:28">
      <c r="A522" s="514" t="s">
        <v>3028</v>
      </c>
      <c r="B522" s="4"/>
      <c r="C522" s="510" t="s">
        <v>65</v>
      </c>
      <c r="D522" s="4" t="s">
        <v>164</v>
      </c>
      <c r="E522" s="4"/>
      <c r="F522" s="4"/>
      <c r="G522" s="4"/>
      <c r="H522" s="4"/>
      <c r="I522" s="4"/>
      <c r="J522" s="4"/>
      <c r="K522" s="4"/>
      <c r="L522" s="517"/>
      <c r="M522" s="4">
        <f t="shared" ref="M522:M526" si="930">I521</f>
        <v>49026.376146789</v>
      </c>
      <c r="N522" s="4">
        <v>1</v>
      </c>
      <c r="O522" s="4">
        <f>M522*N522</f>
        <v>49026.376146789</v>
      </c>
      <c r="P522" s="4"/>
      <c r="Q522" s="4"/>
      <c r="R522" s="4"/>
      <c r="S522" s="4"/>
      <c r="T522" s="4">
        <f ca="1" t="shared" ref="T522:T526" si="931">OFFSET(T522,-RIGHT($A522,LEN($A$6)),,1,1)/OFFSET(T522,-RIGHT($A522,LEN($A$6)),-13,1,1)*$M522</f>
        <v>0</v>
      </c>
      <c r="U522" s="4">
        <f ca="1" t="shared" ref="U522:U526" si="932">+$N522*T522</f>
        <v>0</v>
      </c>
      <c r="V522" s="4">
        <f ca="1" t="shared" ref="V522:V526" si="933">OFFSET(V522,-RIGHT($A522,LEN($A$6)),,1,1)/OFFSET(V522,-RIGHT($A522,LEN($A$6)),-15,1,1)*$M522</f>
        <v>0</v>
      </c>
      <c r="W522" s="4">
        <f ca="1" t="shared" ref="W522:W526" si="934">+$N522*V522</f>
        <v>0</v>
      </c>
      <c r="X522" s="4">
        <f ca="1" t="shared" ref="X522:X526" si="935">+M522-V522</f>
        <v>49026.376146789</v>
      </c>
      <c r="Y522" s="4">
        <f ca="1" t="shared" ref="Y522:Y526" si="936">+O522-W522</f>
        <v>49026.376146789</v>
      </c>
      <c r="Z522" s="4">
        <f ca="1" t="shared" ref="Z522:Z526" si="937">OFFSET(Z522,-RIGHT($A522,LEN($A$6)),,1,1)/OFFSET(Z522,-RIGHT($A522,LEN($A$6)),-19,1,1)*$M522</f>
        <v>0</v>
      </c>
      <c r="AA522" s="4">
        <f ca="1" t="shared" ref="AA522:AA526" si="938">+$N522*Z522</f>
        <v>0</v>
      </c>
      <c r="AB522" s="4"/>
    </row>
    <row r="523" customHeight="1" outlineLevel="2" spans="1:28">
      <c r="A523" s="515" t="s">
        <v>3029</v>
      </c>
      <c r="B523" s="4"/>
      <c r="C523" s="510" t="s">
        <v>1309</v>
      </c>
      <c r="D523" s="4" t="s">
        <v>3030</v>
      </c>
      <c r="E523" s="4" t="s">
        <v>2697</v>
      </c>
      <c r="F523" s="4" t="s">
        <v>175</v>
      </c>
      <c r="G523" s="4">
        <v>3</v>
      </c>
      <c r="H523" s="4">
        <v>970.697247706422</v>
      </c>
      <c r="I523" s="4">
        <f>G523*H523</f>
        <v>2912.09174311927</v>
      </c>
      <c r="J523" s="4">
        <f t="shared" ref="J523:L523" si="939">+G523</f>
        <v>3</v>
      </c>
      <c r="K523" s="4">
        <f t="shared" si="939"/>
        <v>970.697247706422</v>
      </c>
      <c r="L523" s="517">
        <f t="shared" si="939"/>
        <v>2912.09174311927</v>
      </c>
      <c r="M523" s="4">
        <f t="shared" si="921"/>
        <v>3</v>
      </c>
      <c r="N523" s="4">
        <f t="shared" si="922"/>
        <v>970.697247706422</v>
      </c>
      <c r="O523" s="4">
        <f>(+O524)</f>
        <v>2912.09174311927</v>
      </c>
      <c r="P523" s="4"/>
      <c r="Q523" s="4"/>
      <c r="R523" s="4">
        <f t="shared" si="923"/>
        <v>3</v>
      </c>
      <c r="S523" s="4">
        <f t="shared" si="924"/>
        <v>2912.09174311927</v>
      </c>
      <c r="T523" s="4">
        <f>IFERROR(VLOOKUP(A523,产值统计中间表!A:F,7,FALSE),0)</f>
        <v>0</v>
      </c>
      <c r="U523" s="4">
        <f t="shared" si="925"/>
        <v>0</v>
      </c>
      <c r="V523" s="4">
        <f>IFERROR(VLOOKUP(A523,产值统计中间表!A:D,4,FALSE),0)</f>
        <v>0</v>
      </c>
      <c r="W523" s="4">
        <f t="shared" si="926"/>
        <v>0</v>
      </c>
      <c r="X523" s="4">
        <f t="shared" si="927"/>
        <v>3</v>
      </c>
      <c r="Y523" s="4">
        <f t="shared" si="928"/>
        <v>2912.09174311927</v>
      </c>
      <c r="Z523" s="4">
        <f>IFERROR(VLOOKUP(A523,业主统计中间表!A:D,4,FALSE),0)</f>
        <v>0</v>
      </c>
      <c r="AA523" s="4">
        <f t="shared" si="929"/>
        <v>0</v>
      </c>
      <c r="AB523" s="4"/>
    </row>
    <row r="524" customHeight="1" outlineLevel="3" spans="1:28">
      <c r="A524" s="514" t="s">
        <v>3031</v>
      </c>
      <c r="B524" s="4"/>
      <c r="C524" s="510" t="s">
        <v>65</v>
      </c>
      <c r="D524" s="4" t="s">
        <v>164</v>
      </c>
      <c r="E524" s="4"/>
      <c r="F524" s="4"/>
      <c r="G524" s="4"/>
      <c r="H524" s="4"/>
      <c r="I524" s="4"/>
      <c r="J524" s="4"/>
      <c r="K524" s="4"/>
      <c r="L524" s="517"/>
      <c r="M524" s="4">
        <f t="shared" si="930"/>
        <v>2912.09174311927</v>
      </c>
      <c r="N524" s="4">
        <v>1</v>
      </c>
      <c r="O524" s="4">
        <f>M524*N524</f>
        <v>2912.09174311927</v>
      </c>
      <c r="P524" s="4"/>
      <c r="Q524" s="4"/>
      <c r="R524" s="4"/>
      <c r="S524" s="4"/>
      <c r="T524" s="4">
        <f ca="1" t="shared" si="931"/>
        <v>0</v>
      </c>
      <c r="U524" s="4">
        <f ca="1" t="shared" si="932"/>
        <v>0</v>
      </c>
      <c r="V524" s="4">
        <f ca="1" t="shared" si="933"/>
        <v>0</v>
      </c>
      <c r="W524" s="4">
        <f ca="1" t="shared" si="934"/>
        <v>0</v>
      </c>
      <c r="X524" s="4">
        <f ca="1" t="shared" si="935"/>
        <v>2912.09174311927</v>
      </c>
      <c r="Y524" s="4">
        <f ca="1" t="shared" si="936"/>
        <v>2912.09174311927</v>
      </c>
      <c r="Z524" s="4">
        <f ca="1" t="shared" si="937"/>
        <v>0</v>
      </c>
      <c r="AA524" s="4">
        <f ca="1" t="shared" si="938"/>
        <v>0</v>
      </c>
      <c r="AB524" s="4"/>
    </row>
    <row r="525" customHeight="1" outlineLevel="2" spans="1:28">
      <c r="A525" s="515" t="s">
        <v>3032</v>
      </c>
      <c r="B525" s="4"/>
      <c r="C525" s="510" t="s">
        <v>1309</v>
      </c>
      <c r="D525" s="4" t="s">
        <v>428</v>
      </c>
      <c r="E525" s="4" t="s">
        <v>3018</v>
      </c>
      <c r="F525" s="4" t="s">
        <v>76</v>
      </c>
      <c r="G525" s="4">
        <v>80</v>
      </c>
      <c r="H525" s="4">
        <v>17.4678899082569</v>
      </c>
      <c r="I525" s="4">
        <f>G525*H525</f>
        <v>1397.43119266055</v>
      </c>
      <c r="J525" s="4">
        <f t="shared" ref="J525:L525" si="940">+G525</f>
        <v>80</v>
      </c>
      <c r="K525" s="4">
        <f t="shared" si="940"/>
        <v>17.4678899082569</v>
      </c>
      <c r="L525" s="517">
        <f t="shared" si="940"/>
        <v>1397.43119266055</v>
      </c>
      <c r="M525" s="4">
        <f t="shared" si="921"/>
        <v>80</v>
      </c>
      <c r="N525" s="4">
        <f t="shared" si="922"/>
        <v>17.4678899082569</v>
      </c>
      <c r="O525" s="4">
        <f>(+O526)</f>
        <v>1397.43119266055</v>
      </c>
      <c r="P525" s="4"/>
      <c r="Q525" s="4"/>
      <c r="R525" s="4">
        <f t="shared" si="923"/>
        <v>80</v>
      </c>
      <c r="S525" s="4">
        <f t="shared" si="924"/>
        <v>1397.43119266055</v>
      </c>
      <c r="T525" s="4">
        <f>IFERROR(VLOOKUP(A525,产值统计中间表!A:F,7,FALSE),0)</f>
        <v>0</v>
      </c>
      <c r="U525" s="4">
        <f t="shared" si="925"/>
        <v>0</v>
      </c>
      <c r="V525" s="4">
        <f>IFERROR(VLOOKUP(A525,产值统计中间表!A:D,4,FALSE),0)</f>
        <v>0</v>
      </c>
      <c r="W525" s="4">
        <f t="shared" si="926"/>
        <v>0</v>
      </c>
      <c r="X525" s="4">
        <f t="shared" si="927"/>
        <v>80</v>
      </c>
      <c r="Y525" s="4">
        <f t="shared" si="928"/>
        <v>1397.43119266055</v>
      </c>
      <c r="Z525" s="4">
        <f>IFERROR(VLOOKUP(A525,业主统计中间表!A:D,4,FALSE),0)</f>
        <v>0</v>
      </c>
      <c r="AA525" s="4">
        <f t="shared" si="929"/>
        <v>0</v>
      </c>
      <c r="AB525" s="4"/>
    </row>
    <row r="526" customHeight="1" outlineLevel="3" spans="1:28">
      <c r="A526" s="514" t="s">
        <v>3033</v>
      </c>
      <c r="B526" s="4"/>
      <c r="C526" s="510" t="s">
        <v>65</v>
      </c>
      <c r="D526" s="4" t="s">
        <v>164</v>
      </c>
      <c r="E526" s="4"/>
      <c r="F526" s="4"/>
      <c r="G526" s="4"/>
      <c r="H526" s="4"/>
      <c r="I526" s="4"/>
      <c r="J526" s="4"/>
      <c r="K526" s="4"/>
      <c r="L526" s="517"/>
      <c r="M526" s="4">
        <f t="shared" si="930"/>
        <v>1397.43119266055</v>
      </c>
      <c r="N526" s="4">
        <v>1</v>
      </c>
      <c r="O526" s="4">
        <f>M526*N526</f>
        <v>1397.43119266055</v>
      </c>
      <c r="P526" s="4"/>
      <c r="Q526" s="4"/>
      <c r="R526" s="4"/>
      <c r="S526" s="4"/>
      <c r="T526" s="4">
        <f ca="1" t="shared" si="931"/>
        <v>0</v>
      </c>
      <c r="U526" s="4">
        <f ca="1" t="shared" si="932"/>
        <v>0</v>
      </c>
      <c r="V526" s="4">
        <f ca="1" t="shared" si="933"/>
        <v>0</v>
      </c>
      <c r="W526" s="4">
        <f ca="1" t="shared" si="934"/>
        <v>0</v>
      </c>
      <c r="X526" s="4">
        <f ca="1" t="shared" si="935"/>
        <v>1397.43119266055</v>
      </c>
      <c r="Y526" s="4">
        <f ca="1" t="shared" si="936"/>
        <v>1397.43119266055</v>
      </c>
      <c r="Z526" s="4">
        <f ca="1" t="shared" si="937"/>
        <v>0</v>
      </c>
      <c r="AA526" s="4">
        <f ca="1" t="shared" si="938"/>
        <v>0</v>
      </c>
      <c r="AB526" s="4"/>
    </row>
    <row r="527" customHeight="1" outlineLevel="2" spans="1:28">
      <c r="A527" s="515" t="s">
        <v>3034</v>
      </c>
      <c r="B527" s="4"/>
      <c r="C527" s="510" t="s">
        <v>1309</v>
      </c>
      <c r="D527" s="4" t="s">
        <v>3035</v>
      </c>
      <c r="E527" s="4" t="s">
        <v>3036</v>
      </c>
      <c r="F527" s="4" t="s">
        <v>72</v>
      </c>
      <c r="G527" s="4">
        <v>15.2</v>
      </c>
      <c r="H527" s="4">
        <v>8.25688073394495</v>
      </c>
      <c r="I527" s="4">
        <f>G527*H527</f>
        <v>125.504587155963</v>
      </c>
      <c r="J527" s="4">
        <f t="shared" ref="J527:L527" si="941">+G527</f>
        <v>15.2</v>
      </c>
      <c r="K527" s="4">
        <f t="shared" si="941"/>
        <v>8.25688073394495</v>
      </c>
      <c r="L527" s="517">
        <f t="shared" si="941"/>
        <v>125.504587155963</v>
      </c>
      <c r="M527" s="4">
        <f>+G527</f>
        <v>15.2</v>
      </c>
      <c r="N527" s="4">
        <f>O527/G527</f>
        <v>8.25688073394495</v>
      </c>
      <c r="O527" s="4">
        <f>(+O528)</f>
        <v>125.504587155963</v>
      </c>
      <c r="P527" s="4"/>
      <c r="Q527" s="4"/>
      <c r="R527" s="4">
        <f t="shared" ref="R527:R532" si="942">+P527+J527</f>
        <v>15.2</v>
      </c>
      <c r="S527" s="4">
        <f t="shared" ref="S527:S532" si="943">+Q527+L527</f>
        <v>125.504587155963</v>
      </c>
      <c r="T527" s="4">
        <f>IFERROR(VLOOKUP(A527,产值统计中间表!A:F,7,FALSE),0)</f>
        <v>0</v>
      </c>
      <c r="U527" s="4">
        <f t="shared" ref="U527:U532" si="944">+T527*H527</f>
        <v>0</v>
      </c>
      <c r="V527" s="4">
        <f>IFERROR(VLOOKUP(A527,产值统计中间表!A:D,4,FALSE),0)</f>
        <v>0</v>
      </c>
      <c r="W527" s="4">
        <f t="shared" ref="W527:W532" si="945">+V527*H527</f>
        <v>0</v>
      </c>
      <c r="X527" s="4">
        <f t="shared" ref="X527:X532" si="946">+R527-V527</f>
        <v>15.2</v>
      </c>
      <c r="Y527" s="4">
        <f t="shared" ref="Y527:Y532" si="947">+S527-W527</f>
        <v>125.504587155963</v>
      </c>
      <c r="Z527" s="4">
        <f>IFERROR(VLOOKUP(A527,业主统计中间表!A:D,4,FALSE),0)</f>
        <v>0</v>
      </c>
      <c r="AA527" s="4">
        <f t="shared" ref="AA527:AA532" si="948">+Z527*H527</f>
        <v>0</v>
      </c>
      <c r="AB527" s="4"/>
    </row>
    <row r="528" customHeight="1" outlineLevel="3" spans="1:28">
      <c r="A528" s="514" t="s">
        <v>3037</v>
      </c>
      <c r="B528" s="4"/>
      <c r="C528" s="510" t="s">
        <v>65</v>
      </c>
      <c r="D528" s="4" t="s">
        <v>164</v>
      </c>
      <c r="E528" s="4"/>
      <c r="F528" s="4"/>
      <c r="G528" s="4"/>
      <c r="H528" s="4"/>
      <c r="I528" s="4"/>
      <c r="J528" s="4"/>
      <c r="K528" s="4"/>
      <c r="L528" s="517"/>
      <c r="M528" s="4">
        <f>I527</f>
        <v>125.504587155963</v>
      </c>
      <c r="N528" s="4">
        <v>1</v>
      </c>
      <c r="O528" s="4">
        <f>M528*N528</f>
        <v>125.504587155963</v>
      </c>
      <c r="P528" s="4"/>
      <c r="Q528" s="4"/>
      <c r="R528" s="4"/>
      <c r="S528" s="4"/>
      <c r="T528" s="4">
        <f ca="1" t="shared" ref="T528:T536" si="949">OFFSET(T528,-RIGHT($A528,LEN($A$6)),,1,1)/OFFSET(T528,-RIGHT($A528,LEN($A$6)),-13,1,1)*$M528</f>
        <v>0</v>
      </c>
      <c r="U528" s="4">
        <f ca="1" t="shared" ref="U528:U536" si="950">+$N528*T528</f>
        <v>0</v>
      </c>
      <c r="V528" s="4">
        <f ca="1" t="shared" ref="V528:V536" si="951">OFFSET(V528,-RIGHT($A528,LEN($A$6)),,1,1)/OFFSET(V528,-RIGHT($A528,LEN($A$6)),-15,1,1)*$M528</f>
        <v>0</v>
      </c>
      <c r="W528" s="4">
        <f ca="1" t="shared" ref="W528:W536" si="952">+$N528*V528</f>
        <v>0</v>
      </c>
      <c r="X528" s="4">
        <f ca="1" t="shared" ref="X528:X536" si="953">+M528-V528</f>
        <v>125.504587155963</v>
      </c>
      <c r="Y528" s="4">
        <f ca="1" t="shared" ref="Y528:Y536" si="954">+O528-W528</f>
        <v>125.504587155963</v>
      </c>
      <c r="Z528" s="4">
        <f ca="1" t="shared" ref="Z528:Z536" si="955">OFFSET(Z528,-RIGHT($A528,LEN($A$6)),,1,1)/OFFSET(Z528,-RIGHT($A528,LEN($A$6)),-19,1,1)*$M528</f>
        <v>0</v>
      </c>
      <c r="AA528" s="4">
        <f ca="1" t="shared" ref="AA528:AA536" si="956">+$N528*Z528</f>
        <v>0</v>
      </c>
      <c r="AB528" s="4"/>
    </row>
    <row r="529" customHeight="1" outlineLevel="2" spans="1:28">
      <c r="A529" s="515" t="s">
        <v>3038</v>
      </c>
      <c r="B529" s="4"/>
      <c r="C529" s="510" t="s">
        <v>1309</v>
      </c>
      <c r="D529" s="4" t="s">
        <v>3039</v>
      </c>
      <c r="E529" s="4" t="s">
        <v>2692</v>
      </c>
      <c r="F529" s="4" t="s">
        <v>72</v>
      </c>
      <c r="G529" s="4">
        <v>9.8</v>
      </c>
      <c r="H529" s="4">
        <v>115.51376146789</v>
      </c>
      <c r="I529" s="4">
        <f>G529*H529</f>
        <v>1132.03486238532</v>
      </c>
      <c r="J529" s="4">
        <f t="shared" ref="J529:L529" si="957">+G529</f>
        <v>9.8</v>
      </c>
      <c r="K529" s="4">
        <f t="shared" si="957"/>
        <v>115.51376146789</v>
      </c>
      <c r="L529" s="517">
        <f t="shared" si="957"/>
        <v>1132.03486238532</v>
      </c>
      <c r="M529" s="4">
        <f>+G529</f>
        <v>9.8</v>
      </c>
      <c r="N529" s="4">
        <f>O529/G529</f>
        <v>115.51376146789</v>
      </c>
      <c r="O529" s="4">
        <f>(+O530)</f>
        <v>1132.03486238532</v>
      </c>
      <c r="P529" s="4"/>
      <c r="Q529" s="4"/>
      <c r="R529" s="4">
        <f t="shared" si="942"/>
        <v>9.8</v>
      </c>
      <c r="S529" s="4">
        <f t="shared" si="943"/>
        <v>1132.03486238532</v>
      </c>
      <c r="T529" s="4">
        <f>IFERROR(VLOOKUP(A529,产值统计中间表!A:F,7,FALSE),0)</f>
        <v>0</v>
      </c>
      <c r="U529" s="4">
        <f t="shared" si="944"/>
        <v>0</v>
      </c>
      <c r="V529" s="4">
        <f>IFERROR(VLOOKUP(A529,产值统计中间表!A:D,4,FALSE),0)</f>
        <v>0</v>
      </c>
      <c r="W529" s="4">
        <f t="shared" si="945"/>
        <v>0</v>
      </c>
      <c r="X529" s="4">
        <f t="shared" si="946"/>
        <v>9.8</v>
      </c>
      <c r="Y529" s="4">
        <f t="shared" si="947"/>
        <v>1132.03486238532</v>
      </c>
      <c r="Z529" s="4">
        <f>IFERROR(VLOOKUP(A529,业主统计中间表!A:D,4,FALSE),0)</f>
        <v>0</v>
      </c>
      <c r="AA529" s="4">
        <f t="shared" si="948"/>
        <v>0</v>
      </c>
      <c r="AB529" s="4"/>
    </row>
    <row r="530" customHeight="1" outlineLevel="3" spans="1:28">
      <c r="A530" s="514" t="s">
        <v>3040</v>
      </c>
      <c r="B530" s="4"/>
      <c r="C530" s="510" t="s">
        <v>65</v>
      </c>
      <c r="D530" s="4" t="s">
        <v>164</v>
      </c>
      <c r="E530" s="4"/>
      <c r="F530" s="4"/>
      <c r="G530" s="4"/>
      <c r="H530" s="4"/>
      <c r="I530" s="4"/>
      <c r="J530" s="4"/>
      <c r="K530" s="4"/>
      <c r="L530" s="517"/>
      <c r="M530" s="4">
        <f>I529</f>
        <v>1132.03486238532</v>
      </c>
      <c r="N530" s="4">
        <v>1</v>
      </c>
      <c r="O530" s="4">
        <f>M530*N530</f>
        <v>1132.03486238532</v>
      </c>
      <c r="P530" s="4"/>
      <c r="Q530" s="4"/>
      <c r="R530" s="4"/>
      <c r="S530" s="4"/>
      <c r="T530" s="4">
        <f ca="1" t="shared" si="949"/>
        <v>0</v>
      </c>
      <c r="U530" s="4">
        <f ca="1" t="shared" si="950"/>
        <v>0</v>
      </c>
      <c r="V530" s="4">
        <f ca="1" t="shared" si="951"/>
        <v>0</v>
      </c>
      <c r="W530" s="4">
        <f ca="1" t="shared" si="952"/>
        <v>0</v>
      </c>
      <c r="X530" s="4">
        <f ca="1" t="shared" si="953"/>
        <v>1132.03486238532</v>
      </c>
      <c r="Y530" s="4">
        <f ca="1" t="shared" si="954"/>
        <v>1132.03486238532</v>
      </c>
      <c r="Z530" s="4">
        <f ca="1" t="shared" si="955"/>
        <v>0</v>
      </c>
      <c r="AA530" s="4">
        <f ca="1" t="shared" si="956"/>
        <v>0</v>
      </c>
      <c r="AB530" s="4"/>
    </row>
    <row r="531" customHeight="1" outlineLevel="1" spans="1:28">
      <c r="A531" s="518" t="s">
        <v>3041</v>
      </c>
      <c r="B531" s="4"/>
      <c r="C531" s="510" t="s">
        <v>60</v>
      </c>
      <c r="D531" s="4" t="s">
        <v>3042</v>
      </c>
      <c r="E531" s="4"/>
      <c r="F531" s="4"/>
      <c r="G531" s="4"/>
      <c r="H531" s="4"/>
      <c r="I531" s="4">
        <f>(+I532+I537+I539+I543+I547+I555+I563+I571+I577+I584+I588)</f>
        <v>122157.869908257</v>
      </c>
      <c r="J531" s="4"/>
      <c r="K531" s="4"/>
      <c r="L531" s="517">
        <f>(+L532+L537+L539+L543+L547+L555+L563+L571+L577+L584+L588)</f>
        <v>122157.869908257</v>
      </c>
      <c r="M531" s="4"/>
      <c r="N531" s="4"/>
      <c r="O531" s="4">
        <f ca="1">(+O532+O537+O539+O543+O547+O555+O563+O571+O577+O584+O588)</f>
        <v>25568.34137</v>
      </c>
      <c r="P531" s="4"/>
      <c r="Q531" s="4"/>
      <c r="R531" s="4"/>
      <c r="S531" s="4"/>
      <c r="T531" s="4"/>
      <c r="U531" s="4"/>
      <c r="V531" s="4"/>
      <c r="W531" s="4"/>
      <c r="X531" s="4"/>
      <c r="Y531" s="4"/>
      <c r="Z531" s="4"/>
      <c r="AA531" s="4"/>
      <c r="AB531" s="4"/>
    </row>
    <row r="532" customHeight="1" outlineLevel="2" spans="1:28">
      <c r="A532" s="515" t="s">
        <v>3043</v>
      </c>
      <c r="B532" s="4"/>
      <c r="C532" s="510" t="s">
        <v>1309</v>
      </c>
      <c r="D532" s="4" t="s">
        <v>3044</v>
      </c>
      <c r="E532" s="4" t="s">
        <v>2685</v>
      </c>
      <c r="F532" s="4" t="s">
        <v>72</v>
      </c>
      <c r="G532" s="4">
        <v>674.33</v>
      </c>
      <c r="H532" s="4">
        <v>12.697247706422</v>
      </c>
      <c r="I532" s="4">
        <f>G532*H532</f>
        <v>8562.13504587155</v>
      </c>
      <c r="J532" s="4">
        <f t="shared" ref="J532:L532" si="958">+G532</f>
        <v>674.33</v>
      </c>
      <c r="K532" s="4">
        <f t="shared" si="958"/>
        <v>12.697247706422</v>
      </c>
      <c r="L532" s="517">
        <f t="shared" si="958"/>
        <v>8562.13504587155</v>
      </c>
      <c r="M532" s="4">
        <v>674.33</v>
      </c>
      <c r="N532" s="4">
        <f ca="1">O532/M532</f>
        <v>7.6922958937019</v>
      </c>
      <c r="O532" s="4">
        <f ca="1">(+O533+O534+O535+O536)</f>
        <v>5187.14589</v>
      </c>
      <c r="P532" s="4"/>
      <c r="Q532" s="4"/>
      <c r="R532" s="4">
        <f t="shared" si="942"/>
        <v>674.33</v>
      </c>
      <c r="S532" s="4">
        <f t="shared" si="943"/>
        <v>8562.13504587155</v>
      </c>
      <c r="T532" s="4">
        <f>IFERROR(VLOOKUP(A532,产值统计中间表!A:F,7,FALSE),0)</f>
        <v>0</v>
      </c>
      <c r="U532" s="4">
        <f t="shared" si="944"/>
        <v>0</v>
      </c>
      <c r="V532" s="4">
        <f>IFERROR(VLOOKUP(A532,产值统计中间表!A:D,4,FALSE),0)</f>
        <v>0</v>
      </c>
      <c r="W532" s="4">
        <f t="shared" si="945"/>
        <v>0</v>
      </c>
      <c r="X532" s="4">
        <f t="shared" si="946"/>
        <v>674.33</v>
      </c>
      <c r="Y532" s="4">
        <f t="shared" si="947"/>
        <v>8562.13504587155</v>
      </c>
      <c r="Z532" s="4">
        <f>IFERROR(VLOOKUP(A532,业主统计中间表!A:D,4,FALSE),0)</f>
        <v>0</v>
      </c>
      <c r="AA532" s="4">
        <f t="shared" si="948"/>
        <v>0</v>
      </c>
      <c r="AB532" s="4"/>
    </row>
    <row r="533" customHeight="1" outlineLevel="3" spans="1:28">
      <c r="A533" s="514" t="s">
        <v>3045</v>
      </c>
      <c r="B533" s="4"/>
      <c r="C533" s="510" t="s">
        <v>63</v>
      </c>
      <c r="D533" s="4" t="s">
        <v>628</v>
      </c>
      <c r="E533" s="4"/>
      <c r="F533" s="4" t="str">
        <f ca="1" t="shared" ref="F533:F536" si="959">VLOOKUP($D533,INDIRECT($C533),2,0)</f>
        <v>m3</v>
      </c>
      <c r="G533" s="4"/>
      <c r="H533" s="4"/>
      <c r="I533" s="4"/>
      <c r="J533" s="4"/>
      <c r="K533" s="4"/>
      <c r="L533" s="517"/>
      <c r="M533" s="4">
        <v>249.5021</v>
      </c>
      <c r="N533" s="4">
        <f ca="1" t="shared" ref="N533:N536" si="960">VLOOKUP($D533,INDIRECT($C533),3,0)</f>
        <v>0.9</v>
      </c>
      <c r="O533" s="4">
        <f ca="1">M533*N533</f>
        <v>224.55189</v>
      </c>
      <c r="P533" s="4"/>
      <c r="Q533" s="4"/>
      <c r="R533" s="4"/>
      <c r="S533" s="4"/>
      <c r="T533" s="4">
        <f ca="1" t="shared" si="949"/>
        <v>0</v>
      </c>
      <c r="U533" s="4">
        <f ca="1" t="shared" si="950"/>
        <v>0</v>
      </c>
      <c r="V533" s="4">
        <f ca="1" t="shared" si="951"/>
        <v>0</v>
      </c>
      <c r="W533" s="4">
        <f ca="1" t="shared" si="952"/>
        <v>0</v>
      </c>
      <c r="X533" s="4">
        <f ca="1" t="shared" si="953"/>
        <v>249.5021</v>
      </c>
      <c r="Y533" s="4">
        <f ca="1" t="shared" si="954"/>
        <v>224.55189</v>
      </c>
      <c r="Z533" s="4">
        <f ca="1" t="shared" si="955"/>
        <v>0</v>
      </c>
      <c r="AA533" s="4">
        <f ca="1" t="shared" si="956"/>
        <v>0</v>
      </c>
      <c r="AB533" s="4"/>
    </row>
    <row r="534" customHeight="1" outlineLevel="3" spans="1:28">
      <c r="A534" s="514" t="s">
        <v>3046</v>
      </c>
      <c r="B534" s="4"/>
      <c r="C534" s="510" t="s">
        <v>63</v>
      </c>
      <c r="D534" s="4" t="s">
        <v>645</v>
      </c>
      <c r="E534" s="4"/>
      <c r="F534" s="4" t="str">
        <f ca="1" t="shared" si="959"/>
        <v>m3</v>
      </c>
      <c r="G534" s="4"/>
      <c r="H534" s="4"/>
      <c r="I534" s="4"/>
      <c r="J534" s="4"/>
      <c r="K534" s="4"/>
      <c r="L534" s="517"/>
      <c r="M534" s="4">
        <v>424.8279</v>
      </c>
      <c r="N534" s="4">
        <f ca="1" t="shared" si="960"/>
        <v>0</v>
      </c>
      <c r="O534" s="4">
        <f ca="1">M534*N534</f>
        <v>0</v>
      </c>
      <c r="P534" s="4"/>
      <c r="Q534" s="4"/>
      <c r="R534" s="4"/>
      <c r="S534" s="4"/>
      <c r="T534" s="4">
        <f ca="1" t="shared" si="949"/>
        <v>0</v>
      </c>
      <c r="U534" s="4">
        <f ca="1" t="shared" si="950"/>
        <v>0</v>
      </c>
      <c r="V534" s="4">
        <f ca="1" t="shared" si="951"/>
        <v>0</v>
      </c>
      <c r="W534" s="4">
        <f ca="1" t="shared" si="952"/>
        <v>0</v>
      </c>
      <c r="X534" s="4">
        <f ca="1" t="shared" si="953"/>
        <v>424.8279</v>
      </c>
      <c r="Y534" s="4">
        <f ca="1" t="shared" si="954"/>
        <v>0</v>
      </c>
      <c r="Z534" s="4">
        <f ca="1" t="shared" si="955"/>
        <v>0</v>
      </c>
      <c r="AA534" s="4">
        <f ca="1" t="shared" si="956"/>
        <v>0</v>
      </c>
      <c r="AB534" s="4"/>
    </row>
    <row r="535" customHeight="1" outlineLevel="3" spans="1:28">
      <c r="A535" s="514" t="s">
        <v>3047</v>
      </c>
      <c r="B535" s="4"/>
      <c r="C535" s="510" t="s">
        <v>63</v>
      </c>
      <c r="D535" s="4" t="s">
        <v>1212</v>
      </c>
      <c r="E535" s="4"/>
      <c r="F535" s="4" t="str">
        <f ca="1" t="shared" si="959"/>
        <v>m3</v>
      </c>
      <c r="G535" s="4"/>
      <c r="H535" s="4"/>
      <c r="I535" s="4"/>
      <c r="J535" s="4"/>
      <c r="K535" s="4"/>
      <c r="L535" s="517"/>
      <c r="M535" s="4">
        <v>181.78</v>
      </c>
      <c r="N535" s="4">
        <f ca="1" t="shared" si="960"/>
        <v>24.3</v>
      </c>
      <c r="O535" s="4">
        <f ca="1">M535*N535</f>
        <v>4417.254</v>
      </c>
      <c r="P535" s="4"/>
      <c r="Q535" s="4"/>
      <c r="R535" s="4"/>
      <c r="S535" s="4"/>
      <c r="T535" s="4">
        <f ca="1" t="shared" si="949"/>
        <v>0</v>
      </c>
      <c r="U535" s="4">
        <f ca="1" t="shared" si="950"/>
        <v>0</v>
      </c>
      <c r="V535" s="4">
        <f ca="1" t="shared" si="951"/>
        <v>0</v>
      </c>
      <c r="W535" s="4">
        <f ca="1" t="shared" si="952"/>
        <v>0</v>
      </c>
      <c r="X535" s="4">
        <f ca="1" t="shared" si="953"/>
        <v>181.78</v>
      </c>
      <c r="Y535" s="4">
        <f ca="1" t="shared" si="954"/>
        <v>4417.254</v>
      </c>
      <c r="Z535" s="4">
        <f ca="1" t="shared" si="955"/>
        <v>0</v>
      </c>
      <c r="AA535" s="4">
        <f ca="1" t="shared" si="956"/>
        <v>0</v>
      </c>
      <c r="AB535" s="4"/>
    </row>
    <row r="536" customHeight="1" outlineLevel="3" spans="1:28">
      <c r="A536" s="514" t="s">
        <v>3048</v>
      </c>
      <c r="B536" s="4"/>
      <c r="C536" s="510" t="s">
        <v>63</v>
      </c>
      <c r="D536" s="4" t="s">
        <v>1213</v>
      </c>
      <c r="E536" s="4"/>
      <c r="F536" s="4" t="str">
        <f ca="1" t="shared" si="959"/>
        <v>m3</v>
      </c>
      <c r="G536" s="4"/>
      <c r="H536" s="4"/>
      <c r="I536" s="4"/>
      <c r="J536" s="4"/>
      <c r="K536" s="4"/>
      <c r="L536" s="517"/>
      <c r="M536" s="4">
        <v>181.78</v>
      </c>
      <c r="N536" s="4">
        <f ca="1" t="shared" si="960"/>
        <v>3</v>
      </c>
      <c r="O536" s="4">
        <f ca="1">M536*N536</f>
        <v>545.34</v>
      </c>
      <c r="P536" s="4"/>
      <c r="Q536" s="4"/>
      <c r="R536" s="4"/>
      <c r="S536" s="4"/>
      <c r="T536" s="4">
        <f ca="1" t="shared" si="949"/>
        <v>0</v>
      </c>
      <c r="U536" s="4">
        <f ca="1" t="shared" si="950"/>
        <v>0</v>
      </c>
      <c r="V536" s="4">
        <f ca="1" t="shared" si="951"/>
        <v>0</v>
      </c>
      <c r="W536" s="4">
        <f ca="1" t="shared" si="952"/>
        <v>0</v>
      </c>
      <c r="X536" s="4">
        <f ca="1" t="shared" si="953"/>
        <v>181.78</v>
      </c>
      <c r="Y536" s="4">
        <f ca="1" t="shared" si="954"/>
        <v>545.34</v>
      </c>
      <c r="Z536" s="4">
        <f ca="1" t="shared" si="955"/>
        <v>0</v>
      </c>
      <c r="AA536" s="4">
        <f ca="1" t="shared" si="956"/>
        <v>0</v>
      </c>
      <c r="AB536" s="4"/>
    </row>
    <row r="537" customHeight="1" outlineLevel="2" spans="1:28">
      <c r="A537" s="515" t="s">
        <v>3049</v>
      </c>
      <c r="B537" s="4"/>
      <c r="C537" s="510" t="s">
        <v>1309</v>
      </c>
      <c r="D537" s="4" t="s">
        <v>3050</v>
      </c>
      <c r="E537" s="4" t="s">
        <v>2692</v>
      </c>
      <c r="F537" s="4" t="s">
        <v>72</v>
      </c>
      <c r="G537" s="4">
        <v>492.55</v>
      </c>
      <c r="H537" s="4">
        <v>6.47706422018349</v>
      </c>
      <c r="I537" s="4">
        <f>G537*H537</f>
        <v>3190.27798165138</v>
      </c>
      <c r="J537" s="4">
        <f t="shared" ref="J537:L537" si="961">+G537</f>
        <v>492.55</v>
      </c>
      <c r="K537" s="4">
        <f t="shared" si="961"/>
        <v>6.47706422018349</v>
      </c>
      <c r="L537" s="517">
        <f t="shared" si="961"/>
        <v>3190.27798165138</v>
      </c>
      <c r="M537" s="4">
        <v>492.55</v>
      </c>
      <c r="N537" s="4">
        <f ca="1">O537/M537</f>
        <v>5.91</v>
      </c>
      <c r="O537" s="4">
        <f ca="1">(+O538)</f>
        <v>2910.9705</v>
      </c>
      <c r="P537" s="4"/>
      <c r="Q537" s="4"/>
      <c r="R537" s="4">
        <f>+P537+J537</f>
        <v>492.55</v>
      </c>
      <c r="S537" s="4">
        <f>+Q537+L537</f>
        <v>3190.27798165138</v>
      </c>
      <c r="T537" s="4">
        <f>IFERROR(VLOOKUP(A537,产值统计中间表!A:F,7,FALSE),0)</f>
        <v>0</v>
      </c>
      <c r="U537" s="4">
        <f>+T537*H537</f>
        <v>0</v>
      </c>
      <c r="V537" s="4">
        <f>IFERROR(VLOOKUP(A537,产值统计中间表!A:D,4,FALSE),0)</f>
        <v>0</v>
      </c>
      <c r="W537" s="4">
        <f>+V537*H537</f>
        <v>0</v>
      </c>
      <c r="X537" s="4">
        <f>+R537-V537</f>
        <v>492.55</v>
      </c>
      <c r="Y537" s="4">
        <f>+S537-W537</f>
        <v>3190.27798165138</v>
      </c>
      <c r="Z537" s="4">
        <f>IFERROR(VLOOKUP(A537,业主统计中间表!A:D,4,FALSE),0)</f>
        <v>0</v>
      </c>
      <c r="AA537" s="4">
        <f>+Z537*H537</f>
        <v>0</v>
      </c>
      <c r="AB537" s="4"/>
    </row>
    <row r="538" customHeight="1" outlineLevel="3" spans="1:28">
      <c r="A538" s="514" t="s">
        <v>3051</v>
      </c>
      <c r="B538" s="4"/>
      <c r="C538" s="510" t="s">
        <v>63</v>
      </c>
      <c r="D538" s="4" t="s">
        <v>801</v>
      </c>
      <c r="E538" s="4"/>
      <c r="F538" s="4" t="str">
        <f ca="1" t="shared" ref="F538:F542" si="962">VLOOKUP($D538,INDIRECT($C538),2,0)</f>
        <v>m3</v>
      </c>
      <c r="G538" s="4"/>
      <c r="H538" s="4"/>
      <c r="I538" s="4"/>
      <c r="J538" s="4"/>
      <c r="K538" s="4"/>
      <c r="L538" s="517"/>
      <c r="M538" s="4">
        <v>492.55</v>
      </c>
      <c r="N538" s="4">
        <f ca="1" t="shared" ref="N538:N542" si="963">VLOOKUP($D538,INDIRECT($C538),3,0)</f>
        <v>5.91</v>
      </c>
      <c r="O538" s="4">
        <f ca="1">M538*N538</f>
        <v>2910.9705</v>
      </c>
      <c r="P538" s="4"/>
      <c r="Q538" s="4"/>
      <c r="R538" s="4"/>
      <c r="S538" s="4"/>
      <c r="T538" s="4">
        <f ca="1" t="shared" ref="T538:T542" si="964">OFFSET(T538,-RIGHT($A538,LEN($A$6)),,1,1)/OFFSET(T538,-RIGHT($A538,LEN($A$6)),-13,1,1)*$M538</f>
        <v>0</v>
      </c>
      <c r="U538" s="4">
        <f ca="1" t="shared" ref="U538:U542" si="965">+$N538*T538</f>
        <v>0</v>
      </c>
      <c r="V538" s="4">
        <f ca="1" t="shared" ref="V538:V542" si="966">OFFSET(V538,-RIGHT($A538,LEN($A$6)),,1,1)/OFFSET(V538,-RIGHT($A538,LEN($A$6)),-15,1,1)*$M538</f>
        <v>0</v>
      </c>
      <c r="W538" s="4">
        <f ca="1" t="shared" ref="W538:W542" si="967">+$N538*V538</f>
        <v>0</v>
      </c>
      <c r="X538" s="4">
        <f ca="1" t="shared" ref="X538:X542" si="968">+M538-V538</f>
        <v>492.55</v>
      </c>
      <c r="Y538" s="4">
        <f ca="1" t="shared" ref="Y538:Y542" si="969">+O538-W538</f>
        <v>2910.9705</v>
      </c>
      <c r="Z538" s="4">
        <f ca="1" t="shared" ref="Z538:Z542" si="970">OFFSET(Z538,-RIGHT($A538,LEN($A$6)),,1,1)/OFFSET(Z538,-RIGHT($A538,LEN($A$6)),-19,1,1)*$M538</f>
        <v>0</v>
      </c>
      <c r="AA538" s="4">
        <f ca="1" t="shared" ref="AA538:AA542" si="971">+$N538*Z538</f>
        <v>0</v>
      </c>
      <c r="AB538" s="4"/>
    </row>
    <row r="539" customHeight="1" outlineLevel="2" spans="1:28">
      <c r="A539" s="515" t="s">
        <v>3052</v>
      </c>
      <c r="B539" s="4"/>
      <c r="C539" s="510" t="s">
        <v>1309</v>
      </c>
      <c r="D539" s="4" t="s">
        <v>3053</v>
      </c>
      <c r="E539" s="4" t="s">
        <v>3054</v>
      </c>
      <c r="F539" s="4" t="s">
        <v>76</v>
      </c>
      <c r="G539" s="4">
        <v>60</v>
      </c>
      <c r="H539" s="4">
        <v>333.311926605505</v>
      </c>
      <c r="I539" s="4">
        <f>G539*H539</f>
        <v>19998.7155963303</v>
      </c>
      <c r="J539" s="4">
        <f t="shared" ref="J539:L539" si="972">+G539</f>
        <v>60</v>
      </c>
      <c r="K539" s="4">
        <f t="shared" si="972"/>
        <v>333.311926605505</v>
      </c>
      <c r="L539" s="517">
        <f t="shared" si="972"/>
        <v>19998.7155963303</v>
      </c>
      <c r="M539" s="4">
        <v>60</v>
      </c>
      <c r="N539" s="4">
        <f ca="1">O539/M539</f>
        <v>40.4</v>
      </c>
      <c r="O539" s="4">
        <f ca="1">(+O540+O541+O542)</f>
        <v>2424</v>
      </c>
      <c r="P539" s="4"/>
      <c r="Q539" s="4"/>
      <c r="R539" s="4">
        <f>+P539+J539</f>
        <v>60</v>
      </c>
      <c r="S539" s="4">
        <f>+Q539+L539</f>
        <v>19998.7155963303</v>
      </c>
      <c r="T539" s="4">
        <f>IFERROR(VLOOKUP(A539,产值统计中间表!A:F,7,FALSE),0)</f>
        <v>0</v>
      </c>
      <c r="U539" s="4">
        <f>+T539*H539</f>
        <v>0</v>
      </c>
      <c r="V539" s="4">
        <f>IFERROR(VLOOKUP(A539,产值统计中间表!A:D,4,FALSE),0)</f>
        <v>0</v>
      </c>
      <c r="W539" s="4">
        <f>+V539*H539</f>
        <v>0</v>
      </c>
      <c r="X539" s="4">
        <f>+R539-V539</f>
        <v>60</v>
      </c>
      <c r="Y539" s="4">
        <f>+S539-W539</f>
        <v>19998.7155963303</v>
      </c>
      <c r="Z539" s="4">
        <f>IFERROR(VLOOKUP(A539,业主统计中间表!A:D,4,FALSE),0)</f>
        <v>0</v>
      </c>
      <c r="AA539" s="4">
        <f>+Z539*H539</f>
        <v>0</v>
      </c>
      <c r="AB539" s="4"/>
    </row>
    <row r="540" customHeight="1" outlineLevel="3" spans="1:28">
      <c r="A540" s="514" t="s">
        <v>3055</v>
      </c>
      <c r="B540" s="4"/>
      <c r="C540" s="510" t="s">
        <v>64</v>
      </c>
      <c r="D540" s="4" t="s">
        <v>1088</v>
      </c>
      <c r="E540" s="4"/>
      <c r="F540" s="4" t="str">
        <f ca="1" t="shared" si="962"/>
        <v>m</v>
      </c>
      <c r="G540" s="4"/>
      <c r="H540" s="4"/>
      <c r="I540" s="4"/>
      <c r="J540" s="4"/>
      <c r="K540" s="4"/>
      <c r="L540" s="517"/>
      <c r="M540" s="4">
        <v>60.6</v>
      </c>
      <c r="N540" s="4">
        <f ca="1" t="shared" si="963"/>
        <v>40</v>
      </c>
      <c r="O540" s="4">
        <f ca="1">M540*N540</f>
        <v>2424</v>
      </c>
      <c r="P540" s="4"/>
      <c r="Q540" s="4"/>
      <c r="R540" s="4"/>
      <c r="S540" s="4"/>
      <c r="T540" s="4">
        <f ca="1" t="shared" si="964"/>
        <v>0</v>
      </c>
      <c r="U540" s="4">
        <f ca="1" t="shared" si="965"/>
        <v>0</v>
      </c>
      <c r="V540" s="4">
        <f ca="1" t="shared" si="966"/>
        <v>0</v>
      </c>
      <c r="W540" s="4">
        <f ca="1" t="shared" si="967"/>
        <v>0</v>
      </c>
      <c r="X540" s="4">
        <f ca="1" t="shared" si="968"/>
        <v>60.6</v>
      </c>
      <c r="Y540" s="4">
        <f ca="1" t="shared" si="969"/>
        <v>2424</v>
      </c>
      <c r="Z540" s="4">
        <f ca="1" t="shared" si="970"/>
        <v>0</v>
      </c>
      <c r="AA540" s="4">
        <f ca="1" t="shared" si="971"/>
        <v>0</v>
      </c>
      <c r="AB540" s="4"/>
    </row>
    <row r="541" customHeight="1" outlineLevel="3" spans="1:28">
      <c r="A541" s="514" t="s">
        <v>3056</v>
      </c>
      <c r="B541" s="4"/>
      <c r="C541" s="510" t="s">
        <v>59</v>
      </c>
      <c r="D541" s="4" t="s">
        <v>1095</v>
      </c>
      <c r="E541" s="4" t="str">
        <f ca="1">"含钢量："&amp;ROUND($M$541/$G$539,3)&amp;$F$541&amp;"/"&amp;$F$539</f>
        <v>含钢量：1.01m/m</v>
      </c>
      <c r="F541" s="4" t="str">
        <f ca="1" t="shared" si="962"/>
        <v>m</v>
      </c>
      <c r="G541" s="4"/>
      <c r="H541" s="4"/>
      <c r="I541" s="4"/>
      <c r="J541" s="4"/>
      <c r="K541" s="4"/>
      <c r="L541" s="517"/>
      <c r="M541" s="4">
        <v>60.6</v>
      </c>
      <c r="N541" s="4">
        <f ca="1" t="shared" si="963"/>
        <v>0</v>
      </c>
      <c r="O541" s="4">
        <f ca="1">M541*N541</f>
        <v>0</v>
      </c>
      <c r="P541" s="4"/>
      <c r="Q541" s="4"/>
      <c r="R541" s="4"/>
      <c r="S541" s="4"/>
      <c r="T541" s="4">
        <f ca="1" t="shared" si="964"/>
        <v>0</v>
      </c>
      <c r="U541" s="4">
        <f ca="1" t="shared" si="965"/>
        <v>0</v>
      </c>
      <c r="V541" s="4">
        <f ca="1" t="shared" si="966"/>
        <v>0</v>
      </c>
      <c r="W541" s="4">
        <f ca="1" t="shared" si="967"/>
        <v>0</v>
      </c>
      <c r="X541" s="4">
        <f ca="1" t="shared" si="968"/>
        <v>60.6</v>
      </c>
      <c r="Y541" s="4">
        <f ca="1" t="shared" si="969"/>
        <v>0</v>
      </c>
      <c r="Z541" s="4">
        <f ca="1" t="shared" si="970"/>
        <v>0</v>
      </c>
      <c r="AA541" s="4">
        <f ca="1" t="shared" si="971"/>
        <v>0</v>
      </c>
      <c r="AB541" s="4"/>
    </row>
    <row r="542" customHeight="1" outlineLevel="3" spans="1:28">
      <c r="A542" s="514" t="s">
        <v>3057</v>
      </c>
      <c r="B542" s="4"/>
      <c r="C542" s="510" t="s">
        <v>59</v>
      </c>
      <c r="D542" s="4" t="s">
        <v>1020</v>
      </c>
      <c r="E542" s="4"/>
      <c r="F542" s="4" t="str">
        <f ca="1" t="shared" si="962"/>
        <v>m3</v>
      </c>
      <c r="G542" s="4"/>
      <c r="H542" s="4"/>
      <c r="I542" s="4"/>
      <c r="J542" s="4"/>
      <c r="K542" s="4"/>
      <c r="L542" s="517"/>
      <c r="M542" s="4">
        <v>43.61662</v>
      </c>
      <c r="N542" s="4">
        <f ca="1" t="shared" si="963"/>
        <v>0</v>
      </c>
      <c r="O542" s="4">
        <f ca="1">M542*N542</f>
        <v>0</v>
      </c>
      <c r="P542" s="4"/>
      <c r="Q542" s="4"/>
      <c r="R542" s="4"/>
      <c r="S542" s="4"/>
      <c r="T542" s="4">
        <f ca="1" t="shared" si="964"/>
        <v>0</v>
      </c>
      <c r="U542" s="4">
        <f ca="1" t="shared" si="965"/>
        <v>0</v>
      </c>
      <c r="V542" s="4">
        <f ca="1" t="shared" si="966"/>
        <v>0</v>
      </c>
      <c r="W542" s="4">
        <f ca="1" t="shared" si="967"/>
        <v>0</v>
      </c>
      <c r="X542" s="4">
        <f ca="1" t="shared" si="968"/>
        <v>43.61662</v>
      </c>
      <c r="Y542" s="4">
        <f ca="1" t="shared" si="969"/>
        <v>0</v>
      </c>
      <c r="Z542" s="4">
        <f ca="1" t="shared" si="970"/>
        <v>0</v>
      </c>
      <c r="AA542" s="4">
        <f ca="1" t="shared" si="971"/>
        <v>0</v>
      </c>
      <c r="AB542" s="4"/>
    </row>
    <row r="543" customHeight="1" outlineLevel="2" spans="1:28">
      <c r="A543" s="515" t="s">
        <v>3058</v>
      </c>
      <c r="B543" s="4"/>
      <c r="C543" s="510" t="s">
        <v>1309</v>
      </c>
      <c r="D543" s="4" t="s">
        <v>1098</v>
      </c>
      <c r="E543" s="4" t="s">
        <v>3054</v>
      </c>
      <c r="F543" s="4" t="s">
        <v>76</v>
      </c>
      <c r="G543" s="4">
        <v>27.8</v>
      </c>
      <c r="H543" s="4">
        <v>333.311926605505</v>
      </c>
      <c r="I543" s="4">
        <f>G543*H543</f>
        <v>9266.07155963304</v>
      </c>
      <c r="J543" s="4">
        <f t="shared" ref="J543:L543" si="973">+G543</f>
        <v>27.8</v>
      </c>
      <c r="K543" s="4">
        <f t="shared" si="973"/>
        <v>333.311926605505</v>
      </c>
      <c r="L543" s="517">
        <f t="shared" si="973"/>
        <v>9266.07155963304</v>
      </c>
      <c r="M543" s="4">
        <v>27.8</v>
      </c>
      <c r="N543" s="4">
        <f ca="1">O543/M543</f>
        <v>40.4</v>
      </c>
      <c r="O543" s="4">
        <f ca="1">(+O544+O545+O546)</f>
        <v>1123.12</v>
      </c>
      <c r="P543" s="4"/>
      <c r="Q543" s="4"/>
      <c r="R543" s="4">
        <f>+P543+J543</f>
        <v>27.8</v>
      </c>
      <c r="S543" s="4">
        <f>+Q543+L543</f>
        <v>9266.07155963304</v>
      </c>
      <c r="T543" s="4">
        <f>IFERROR(VLOOKUP(A543,产值统计中间表!A:F,7,FALSE),0)</f>
        <v>0</v>
      </c>
      <c r="U543" s="4">
        <f>+T543*H543</f>
        <v>0</v>
      </c>
      <c r="V543" s="4">
        <f>IFERROR(VLOOKUP(A543,产值统计中间表!A:D,4,FALSE),0)</f>
        <v>0</v>
      </c>
      <c r="W543" s="4">
        <f>+V543*H543</f>
        <v>0</v>
      </c>
      <c r="X543" s="4">
        <f>+R543-V543</f>
        <v>27.8</v>
      </c>
      <c r="Y543" s="4">
        <f>+S543-W543</f>
        <v>9266.07155963304</v>
      </c>
      <c r="Z543" s="4">
        <f>IFERROR(VLOOKUP(A543,业主统计中间表!A:D,4,FALSE),0)</f>
        <v>0</v>
      </c>
      <c r="AA543" s="4">
        <f>+Z543*H543</f>
        <v>0</v>
      </c>
      <c r="AB543" s="4"/>
    </row>
    <row r="544" customHeight="1" outlineLevel="3" spans="1:28">
      <c r="A544" s="514" t="s">
        <v>3059</v>
      </c>
      <c r="B544" s="4"/>
      <c r="C544" s="510" t="s">
        <v>64</v>
      </c>
      <c r="D544" s="4" t="s">
        <v>1082</v>
      </c>
      <c r="E544" s="4"/>
      <c r="F544" s="4" t="str">
        <f ca="1" t="shared" ref="F544:F546" si="974">VLOOKUP($D544,INDIRECT($C544),2,0)</f>
        <v>m</v>
      </c>
      <c r="G544" s="4"/>
      <c r="H544" s="4"/>
      <c r="I544" s="4"/>
      <c r="J544" s="4"/>
      <c r="K544" s="4"/>
      <c r="L544" s="517"/>
      <c r="M544" s="4">
        <v>28.078</v>
      </c>
      <c r="N544" s="4">
        <f ca="1" t="shared" ref="N544:N546" si="975">VLOOKUP($D544,INDIRECT($C544),3,0)</f>
        <v>40</v>
      </c>
      <c r="O544" s="4">
        <f ca="1">M544*N544</f>
        <v>1123.12</v>
      </c>
      <c r="P544" s="4"/>
      <c r="Q544" s="4"/>
      <c r="R544" s="4"/>
      <c r="S544" s="4"/>
      <c r="T544" s="4">
        <f ca="1" t="shared" ref="T544:T546" si="976">OFFSET(T544,-RIGHT($A544,LEN($A$6)),,1,1)/OFFSET(T544,-RIGHT($A544,LEN($A$6)),-13,1,1)*$M544</f>
        <v>0</v>
      </c>
      <c r="U544" s="4">
        <f ca="1" t="shared" ref="U544:U546" si="977">+$N544*T544</f>
        <v>0</v>
      </c>
      <c r="V544" s="4">
        <f ca="1" t="shared" ref="V544:V546" si="978">OFFSET(V544,-RIGHT($A544,LEN($A$6)),,1,1)/OFFSET(V544,-RIGHT($A544,LEN($A$6)),-15,1,1)*$M544</f>
        <v>0</v>
      </c>
      <c r="W544" s="4">
        <f ca="1" t="shared" ref="W544:W546" si="979">+$N544*V544</f>
        <v>0</v>
      </c>
      <c r="X544" s="4">
        <f ca="1" t="shared" ref="X544:X546" si="980">+M544-V544</f>
        <v>28.078</v>
      </c>
      <c r="Y544" s="4">
        <f ca="1" t="shared" ref="Y544:Y546" si="981">+O544-W544</f>
        <v>1123.12</v>
      </c>
      <c r="Z544" s="4">
        <f ca="1" t="shared" ref="Z544:Z546" si="982">OFFSET(Z544,-RIGHT($A544,LEN($A$6)),,1,1)/OFFSET(Z544,-RIGHT($A544,LEN($A$6)),-19,1,1)*$M544</f>
        <v>0</v>
      </c>
      <c r="AA544" s="4">
        <f ca="1" t="shared" ref="AA544:AA546" si="983">+$N544*Z544</f>
        <v>0</v>
      </c>
      <c r="AB544" s="4"/>
    </row>
    <row r="545" customHeight="1" outlineLevel="3" spans="1:28">
      <c r="A545" s="514" t="s">
        <v>3060</v>
      </c>
      <c r="B545" s="4"/>
      <c r="C545" s="510" t="s">
        <v>59</v>
      </c>
      <c r="D545" s="4" t="s">
        <v>1098</v>
      </c>
      <c r="E545" s="4" t="str">
        <f ca="1">"含钢量："&amp;ROUND($M$545/$G$543,3)&amp;$F$545&amp;"/"&amp;$F$543</f>
        <v>含钢量：1.01m/m</v>
      </c>
      <c r="F545" s="4" t="str">
        <f ca="1" t="shared" si="974"/>
        <v>m</v>
      </c>
      <c r="G545" s="4"/>
      <c r="H545" s="4"/>
      <c r="I545" s="4"/>
      <c r="J545" s="4"/>
      <c r="K545" s="4"/>
      <c r="L545" s="517"/>
      <c r="M545" s="4">
        <v>28.078</v>
      </c>
      <c r="N545" s="4">
        <f ca="1" t="shared" si="975"/>
        <v>0</v>
      </c>
      <c r="O545" s="4">
        <f ca="1">M545*N545</f>
        <v>0</v>
      </c>
      <c r="P545" s="4"/>
      <c r="Q545" s="4"/>
      <c r="R545" s="4"/>
      <c r="S545" s="4"/>
      <c r="T545" s="4">
        <f ca="1" t="shared" si="976"/>
        <v>0</v>
      </c>
      <c r="U545" s="4">
        <f ca="1" t="shared" si="977"/>
        <v>0</v>
      </c>
      <c r="V545" s="4">
        <f ca="1" t="shared" si="978"/>
        <v>0</v>
      </c>
      <c r="W545" s="4">
        <f ca="1" t="shared" si="979"/>
        <v>0</v>
      </c>
      <c r="X545" s="4">
        <f ca="1" t="shared" si="980"/>
        <v>28.078</v>
      </c>
      <c r="Y545" s="4">
        <f ca="1" t="shared" si="981"/>
        <v>0</v>
      </c>
      <c r="Z545" s="4">
        <f ca="1" t="shared" si="982"/>
        <v>0</v>
      </c>
      <c r="AA545" s="4">
        <f ca="1" t="shared" si="983"/>
        <v>0</v>
      </c>
      <c r="AB545" s="4"/>
    </row>
    <row r="546" customHeight="1" outlineLevel="3" spans="1:28">
      <c r="A546" s="514" t="s">
        <v>3061</v>
      </c>
      <c r="B546" s="4"/>
      <c r="C546" s="510" t="s">
        <v>59</v>
      </c>
      <c r="D546" s="4" t="s">
        <v>1020</v>
      </c>
      <c r="E546" s="4"/>
      <c r="F546" s="4" t="str">
        <f ca="1" t="shared" si="974"/>
        <v>m3</v>
      </c>
      <c r="G546" s="4"/>
      <c r="H546" s="4"/>
      <c r="I546" s="4"/>
      <c r="J546" s="4"/>
      <c r="K546" s="4"/>
      <c r="L546" s="517"/>
      <c r="M546" s="4">
        <v>9.09</v>
      </c>
      <c r="N546" s="4">
        <f ca="1" t="shared" si="975"/>
        <v>0</v>
      </c>
      <c r="O546" s="4">
        <f ca="1">M546*N546</f>
        <v>0</v>
      </c>
      <c r="P546" s="4"/>
      <c r="Q546" s="4"/>
      <c r="R546" s="4"/>
      <c r="S546" s="4"/>
      <c r="T546" s="4">
        <f ca="1" t="shared" si="976"/>
        <v>0</v>
      </c>
      <c r="U546" s="4">
        <f ca="1" t="shared" si="977"/>
        <v>0</v>
      </c>
      <c r="V546" s="4">
        <f ca="1" t="shared" si="978"/>
        <v>0</v>
      </c>
      <c r="W546" s="4">
        <f ca="1" t="shared" si="979"/>
        <v>0</v>
      </c>
      <c r="X546" s="4">
        <f ca="1" t="shared" si="980"/>
        <v>9.09</v>
      </c>
      <c r="Y546" s="4">
        <f ca="1" t="shared" si="981"/>
        <v>0</v>
      </c>
      <c r="Z546" s="4">
        <f ca="1" t="shared" si="982"/>
        <v>0</v>
      </c>
      <c r="AA546" s="4">
        <f ca="1" t="shared" si="983"/>
        <v>0</v>
      </c>
      <c r="AB546" s="4"/>
    </row>
    <row r="547" customHeight="1" outlineLevel="2" spans="1:28">
      <c r="A547" s="515" t="s">
        <v>3062</v>
      </c>
      <c r="B547" s="4"/>
      <c r="C547" s="510" t="s">
        <v>1309</v>
      </c>
      <c r="D547" s="4" t="s">
        <v>1070</v>
      </c>
      <c r="E547" s="4" t="s">
        <v>3063</v>
      </c>
      <c r="F547" s="4" t="s">
        <v>175</v>
      </c>
      <c r="G547" s="4">
        <v>1</v>
      </c>
      <c r="H547" s="4">
        <f>4383.12/1.09</f>
        <v>4021.21100917431</v>
      </c>
      <c r="I547" s="4">
        <f>G547*H547</f>
        <v>4021.21100917431</v>
      </c>
      <c r="J547" s="4">
        <f t="shared" ref="J547:L547" si="984">+G547</f>
        <v>1</v>
      </c>
      <c r="K547" s="4">
        <f t="shared" si="984"/>
        <v>4021.21100917431</v>
      </c>
      <c r="L547" s="517">
        <f t="shared" si="984"/>
        <v>4021.21100917431</v>
      </c>
      <c r="M547" s="4">
        <v>1</v>
      </c>
      <c r="N547" s="4">
        <f ca="1">O547/M547</f>
        <v>1813.448</v>
      </c>
      <c r="O547" s="4">
        <f ca="1">(+O548+O549+O550+O551+O552+O553+O554)</f>
        <v>1813.448</v>
      </c>
      <c r="P547" s="4"/>
      <c r="Q547" s="4"/>
      <c r="R547" s="4">
        <f>+P547+J547</f>
        <v>1</v>
      </c>
      <c r="S547" s="4">
        <f>+Q547+L547</f>
        <v>4021.21100917431</v>
      </c>
      <c r="T547" s="4">
        <f>IFERROR(VLOOKUP(A547,产值统计中间表!A:F,7,FALSE),0)</f>
        <v>0</v>
      </c>
      <c r="U547" s="4">
        <f>+T547*H547</f>
        <v>0</v>
      </c>
      <c r="V547" s="4">
        <f>IFERROR(VLOOKUP(A547,产值统计中间表!A:D,4,FALSE),0)</f>
        <v>0</v>
      </c>
      <c r="W547" s="4">
        <f>+V547*H547</f>
        <v>0</v>
      </c>
      <c r="X547" s="4">
        <f>+R547-V547</f>
        <v>1</v>
      </c>
      <c r="Y547" s="4">
        <f>+S547-W547</f>
        <v>4021.21100917431</v>
      </c>
      <c r="Z547" s="4">
        <f>IFERROR(VLOOKUP(A547,业主统计中间表!A:D,4,FALSE),0)</f>
        <v>0</v>
      </c>
      <c r="AA547" s="4">
        <f>+Z547*H547</f>
        <v>0</v>
      </c>
      <c r="AB547" s="4"/>
    </row>
    <row r="548" customHeight="1" outlineLevel="3" spans="1:28">
      <c r="A548" s="514" t="s">
        <v>3064</v>
      </c>
      <c r="B548" s="4"/>
      <c r="C548" s="510" t="s">
        <v>64</v>
      </c>
      <c r="D548" s="4" t="s">
        <v>1070</v>
      </c>
      <c r="E548" s="4"/>
      <c r="F548" s="4" t="str">
        <f ca="1" t="shared" ref="F548:F554" si="985">VLOOKUP($D548,INDIRECT($C548),2,0)</f>
        <v>座</v>
      </c>
      <c r="G548" s="4"/>
      <c r="H548" s="4"/>
      <c r="I548" s="4"/>
      <c r="J548" s="4"/>
      <c r="K548" s="4"/>
      <c r="L548" s="517"/>
      <c r="M548" s="4">
        <v>1</v>
      </c>
      <c r="N548" s="4">
        <f ca="1" t="shared" ref="N548:N550" si="986">VLOOKUP($D548,INDIRECT($C548),3,0)</f>
        <v>1000</v>
      </c>
      <c r="O548" s="4">
        <f ca="1" t="shared" ref="O548:O554" si="987">M548*N548</f>
        <v>1000</v>
      </c>
      <c r="P548" s="4"/>
      <c r="Q548" s="4"/>
      <c r="R548" s="4"/>
      <c r="S548" s="4"/>
      <c r="T548" s="4">
        <f ca="1" t="shared" ref="T548:T554" si="988">OFFSET(T548,-RIGHT($A548,LEN($A$6)),,1,1)/OFFSET(T548,-RIGHT($A548,LEN($A$6)),-13,1,1)*$M548</f>
        <v>0</v>
      </c>
      <c r="U548" s="4">
        <f ca="1" t="shared" ref="U548:U554" si="989">+$N548*T548</f>
        <v>0</v>
      </c>
      <c r="V548" s="4">
        <f ca="1" t="shared" ref="V548:V554" si="990">OFFSET(V548,-RIGHT($A548,LEN($A$6)),,1,1)/OFFSET(V548,-RIGHT($A548,LEN($A$6)),-15,1,1)*$M548</f>
        <v>0</v>
      </c>
      <c r="W548" s="4">
        <f ca="1" t="shared" ref="W548:W554" si="991">+$N548*V548</f>
        <v>0</v>
      </c>
      <c r="X548" s="4">
        <f ca="1" t="shared" ref="X548:X554" si="992">+M548-V548</f>
        <v>1</v>
      </c>
      <c r="Y548" s="4">
        <f ca="1" t="shared" ref="Y548:Y554" si="993">+O548-W548</f>
        <v>1000</v>
      </c>
      <c r="Z548" s="4">
        <f ca="1" t="shared" ref="Z548:Z554" si="994">OFFSET(Z548,-RIGHT($A548,LEN($A$6)),,1,1)/OFFSET(Z548,-RIGHT($A548,LEN($A$6)),-19,1,1)*$M548</f>
        <v>0</v>
      </c>
      <c r="AA548" s="4">
        <f ca="1" t="shared" ref="AA548:AA554" si="995">+$N548*Z548</f>
        <v>0</v>
      </c>
      <c r="AB548" s="4"/>
    </row>
    <row r="549" customHeight="1" outlineLevel="3" spans="1:28">
      <c r="A549" s="514" t="s">
        <v>3065</v>
      </c>
      <c r="B549" s="4"/>
      <c r="C549" s="510" t="s">
        <v>59</v>
      </c>
      <c r="D549" s="4" t="s">
        <v>1080</v>
      </c>
      <c r="E549" s="4"/>
      <c r="F549" s="4" t="str">
        <f ca="1" t="shared" si="985"/>
        <v>m3</v>
      </c>
      <c r="G549" s="4"/>
      <c r="H549" s="4"/>
      <c r="I549" s="4"/>
      <c r="J549" s="4"/>
      <c r="K549" s="4"/>
      <c r="L549" s="517"/>
      <c r="M549" s="4">
        <v>0.303</v>
      </c>
      <c r="N549" s="4">
        <f ca="1" t="shared" si="986"/>
        <v>0</v>
      </c>
      <c r="O549" s="4">
        <f ca="1" t="shared" si="987"/>
        <v>0</v>
      </c>
      <c r="P549" s="4"/>
      <c r="Q549" s="4"/>
      <c r="R549" s="4"/>
      <c r="S549" s="4"/>
      <c r="T549" s="4">
        <f ca="1" t="shared" si="988"/>
        <v>0</v>
      </c>
      <c r="U549" s="4">
        <f ca="1" t="shared" si="989"/>
        <v>0</v>
      </c>
      <c r="V549" s="4">
        <f ca="1" t="shared" si="990"/>
        <v>0</v>
      </c>
      <c r="W549" s="4">
        <f ca="1" t="shared" si="991"/>
        <v>0</v>
      </c>
      <c r="X549" s="4">
        <f ca="1" t="shared" si="992"/>
        <v>0.303</v>
      </c>
      <c r="Y549" s="4">
        <f ca="1" t="shared" si="993"/>
        <v>0</v>
      </c>
      <c r="Z549" s="4">
        <f ca="1" t="shared" si="994"/>
        <v>0</v>
      </c>
      <c r="AA549" s="4">
        <f ca="1" t="shared" si="995"/>
        <v>0</v>
      </c>
      <c r="AB549" s="4"/>
    </row>
    <row r="550" customHeight="1" outlineLevel="3" spans="1:28">
      <c r="A550" s="514" t="s">
        <v>3066</v>
      </c>
      <c r="B550" s="4"/>
      <c r="C550" s="510" t="s">
        <v>59</v>
      </c>
      <c r="D550" s="4" t="s">
        <v>1101</v>
      </c>
      <c r="E550" s="4"/>
      <c r="F550" s="4" t="str">
        <f ca="1" t="shared" si="985"/>
        <v>m3</v>
      </c>
      <c r="G550" s="4"/>
      <c r="H550" s="4"/>
      <c r="I550" s="4"/>
      <c r="J550" s="4"/>
      <c r="K550" s="4"/>
      <c r="L550" s="517"/>
      <c r="M550" s="4">
        <v>0.5427</v>
      </c>
      <c r="N550" s="4">
        <f ca="1" t="shared" si="986"/>
        <v>0</v>
      </c>
      <c r="O550" s="4">
        <f ca="1" t="shared" si="987"/>
        <v>0</v>
      </c>
      <c r="P550" s="4"/>
      <c r="Q550" s="4"/>
      <c r="R550" s="4"/>
      <c r="S550" s="4"/>
      <c r="T550" s="4">
        <f ca="1" t="shared" si="988"/>
        <v>0</v>
      </c>
      <c r="U550" s="4">
        <f ca="1" t="shared" si="989"/>
        <v>0</v>
      </c>
      <c r="V550" s="4">
        <f ca="1" t="shared" si="990"/>
        <v>0</v>
      </c>
      <c r="W550" s="4">
        <f ca="1" t="shared" si="991"/>
        <v>0</v>
      </c>
      <c r="X550" s="4">
        <f ca="1" t="shared" si="992"/>
        <v>0.5427</v>
      </c>
      <c r="Y550" s="4">
        <f ca="1" t="shared" si="993"/>
        <v>0</v>
      </c>
      <c r="Z550" s="4">
        <f ca="1" t="shared" si="994"/>
        <v>0</v>
      </c>
      <c r="AA550" s="4">
        <f ca="1" t="shared" si="995"/>
        <v>0</v>
      </c>
      <c r="AB550" s="4"/>
    </row>
    <row r="551" customHeight="1" outlineLevel="3" spans="1:28">
      <c r="A551" s="514" t="s">
        <v>3067</v>
      </c>
      <c r="B551" s="4"/>
      <c r="C551" s="510" t="s">
        <v>59</v>
      </c>
      <c r="D551" s="4" t="s">
        <v>1104</v>
      </c>
      <c r="E551" s="4" t="str">
        <f ca="1">"含钢量："&amp;ROUND($M$551/$G$547,3)&amp;$F$551&amp;"/"&amp;$F$547</f>
        <v>含钢量：0.183t/座</v>
      </c>
      <c r="F551" s="4" t="str">
        <f ca="1" t="shared" si="985"/>
        <v>t</v>
      </c>
      <c r="G551" s="4"/>
      <c r="H551" s="4"/>
      <c r="I551" s="4"/>
      <c r="J551" s="4"/>
      <c r="K551" s="4"/>
      <c r="L551" s="517"/>
      <c r="M551" s="4">
        <v>0.18318</v>
      </c>
      <c r="N551" s="4">
        <v>3600</v>
      </c>
      <c r="O551" s="4">
        <f t="shared" si="987"/>
        <v>659.448</v>
      </c>
      <c r="P551" s="4"/>
      <c r="Q551" s="4"/>
      <c r="R551" s="4"/>
      <c r="S551" s="4"/>
      <c r="T551" s="4">
        <f ca="1" t="shared" si="988"/>
        <v>0</v>
      </c>
      <c r="U551" s="4">
        <f ca="1" t="shared" si="989"/>
        <v>0</v>
      </c>
      <c r="V551" s="4">
        <f ca="1" t="shared" si="990"/>
        <v>0</v>
      </c>
      <c r="W551" s="4">
        <f ca="1" t="shared" si="991"/>
        <v>0</v>
      </c>
      <c r="X551" s="4">
        <f ca="1" t="shared" si="992"/>
        <v>0.18318</v>
      </c>
      <c r="Y551" s="4">
        <f ca="1" t="shared" si="993"/>
        <v>659.448</v>
      </c>
      <c r="Z551" s="4">
        <f ca="1" t="shared" si="994"/>
        <v>0</v>
      </c>
      <c r="AA551" s="4">
        <f ca="1" t="shared" si="995"/>
        <v>0</v>
      </c>
      <c r="AB551" s="4"/>
    </row>
    <row r="552" customHeight="1" outlineLevel="3" spans="1:28">
      <c r="A552" s="514" t="s">
        <v>3068</v>
      </c>
      <c r="B552" s="4"/>
      <c r="C552" s="510" t="s">
        <v>59</v>
      </c>
      <c r="D552" s="4" t="s">
        <v>1107</v>
      </c>
      <c r="E552" s="4"/>
      <c r="F552" s="4" t="str">
        <f ca="1" t="shared" si="985"/>
        <v>m</v>
      </c>
      <c r="G552" s="4"/>
      <c r="H552" s="4"/>
      <c r="I552" s="4"/>
      <c r="J552" s="4"/>
      <c r="K552" s="4"/>
      <c r="L552" s="517"/>
      <c r="M552" s="4">
        <v>0.08</v>
      </c>
      <c r="N552" s="4">
        <f ca="1" t="shared" ref="N552:N560" si="996">VLOOKUP($D552,INDIRECT($C552),3,0)</f>
        <v>0</v>
      </c>
      <c r="O552" s="4">
        <f ca="1" t="shared" si="987"/>
        <v>0</v>
      </c>
      <c r="P552" s="4"/>
      <c r="Q552" s="4"/>
      <c r="R552" s="4"/>
      <c r="S552" s="4"/>
      <c r="T552" s="4">
        <f ca="1" t="shared" si="988"/>
        <v>0</v>
      </c>
      <c r="U552" s="4">
        <f ca="1" t="shared" si="989"/>
        <v>0</v>
      </c>
      <c r="V552" s="4">
        <f ca="1" t="shared" si="990"/>
        <v>0</v>
      </c>
      <c r="W552" s="4">
        <f ca="1" t="shared" si="991"/>
        <v>0</v>
      </c>
      <c r="X552" s="4">
        <f ca="1" t="shared" si="992"/>
        <v>0.08</v>
      </c>
      <c r="Y552" s="4">
        <f ca="1" t="shared" si="993"/>
        <v>0</v>
      </c>
      <c r="Z552" s="4">
        <f ca="1" t="shared" si="994"/>
        <v>0</v>
      </c>
      <c r="AA552" s="4">
        <f ca="1" t="shared" si="995"/>
        <v>0</v>
      </c>
      <c r="AB552" s="4"/>
    </row>
    <row r="553" customHeight="1" outlineLevel="3" spans="1:28">
      <c r="A553" s="514" t="s">
        <v>3069</v>
      </c>
      <c r="B553" s="4"/>
      <c r="C553" s="510" t="s">
        <v>59</v>
      </c>
      <c r="D553" s="4" t="s">
        <v>377</v>
      </c>
      <c r="E553" s="4"/>
      <c r="F553" s="4" t="str">
        <f ca="1" t="shared" si="985"/>
        <v>m2</v>
      </c>
      <c r="G553" s="4"/>
      <c r="H553" s="4"/>
      <c r="I553" s="4"/>
      <c r="J553" s="4"/>
      <c r="K553" s="4"/>
      <c r="L553" s="517"/>
      <c r="M553" s="4">
        <v>3.85</v>
      </c>
      <c r="N553" s="4">
        <v>40</v>
      </c>
      <c r="O553" s="4">
        <f t="shared" si="987"/>
        <v>154</v>
      </c>
      <c r="P553" s="4"/>
      <c r="Q553" s="4"/>
      <c r="R553" s="4"/>
      <c r="S553" s="4"/>
      <c r="T553" s="4">
        <f ca="1" t="shared" si="988"/>
        <v>0</v>
      </c>
      <c r="U553" s="4">
        <f ca="1" t="shared" si="989"/>
        <v>0</v>
      </c>
      <c r="V553" s="4">
        <f ca="1" t="shared" si="990"/>
        <v>0</v>
      </c>
      <c r="W553" s="4">
        <f ca="1" t="shared" si="991"/>
        <v>0</v>
      </c>
      <c r="X553" s="4">
        <f ca="1" t="shared" si="992"/>
        <v>3.85</v>
      </c>
      <c r="Y553" s="4">
        <f ca="1" t="shared" si="993"/>
        <v>154</v>
      </c>
      <c r="Z553" s="4">
        <f ca="1" t="shared" si="994"/>
        <v>0</v>
      </c>
      <c r="AA553" s="4">
        <f ca="1" t="shared" si="995"/>
        <v>0</v>
      </c>
      <c r="AB553" s="4"/>
    </row>
    <row r="554" customHeight="1" outlineLevel="3" spans="1:28">
      <c r="A554" s="514" t="s">
        <v>3070</v>
      </c>
      <c r="B554" s="4"/>
      <c r="C554" s="510" t="s">
        <v>59</v>
      </c>
      <c r="D554" s="4" t="s">
        <v>1110</v>
      </c>
      <c r="E554" s="4"/>
      <c r="F554" s="4" t="str">
        <f ca="1" t="shared" si="985"/>
        <v>套</v>
      </c>
      <c r="G554" s="4"/>
      <c r="H554" s="4"/>
      <c r="I554" s="4"/>
      <c r="J554" s="4"/>
      <c r="K554" s="4"/>
      <c r="L554" s="517"/>
      <c r="M554" s="4">
        <v>1</v>
      </c>
      <c r="N554" s="4">
        <f ca="1" t="shared" si="996"/>
        <v>0</v>
      </c>
      <c r="O554" s="4">
        <f ca="1" t="shared" si="987"/>
        <v>0</v>
      </c>
      <c r="P554" s="4"/>
      <c r="Q554" s="4"/>
      <c r="R554" s="4"/>
      <c r="S554" s="4"/>
      <c r="T554" s="4">
        <f ca="1" t="shared" si="988"/>
        <v>0</v>
      </c>
      <c r="U554" s="4">
        <f ca="1" t="shared" si="989"/>
        <v>0</v>
      </c>
      <c r="V554" s="4">
        <f ca="1" t="shared" si="990"/>
        <v>0</v>
      </c>
      <c r="W554" s="4">
        <f ca="1" t="shared" si="991"/>
        <v>0</v>
      </c>
      <c r="X554" s="4">
        <f ca="1" t="shared" si="992"/>
        <v>1</v>
      </c>
      <c r="Y554" s="4">
        <f ca="1" t="shared" si="993"/>
        <v>0</v>
      </c>
      <c r="Z554" s="4">
        <f ca="1" t="shared" si="994"/>
        <v>0</v>
      </c>
      <c r="AA554" s="4">
        <f ca="1" t="shared" si="995"/>
        <v>0</v>
      </c>
      <c r="AB554" s="4"/>
    </row>
    <row r="555" customHeight="1" outlineLevel="2" spans="1:28">
      <c r="A555" s="515" t="s">
        <v>3071</v>
      </c>
      <c r="B555" s="4"/>
      <c r="C555" s="510" t="s">
        <v>1309</v>
      </c>
      <c r="D555" s="4" t="s">
        <v>1073</v>
      </c>
      <c r="E555" s="4" t="s">
        <v>3063</v>
      </c>
      <c r="F555" s="4" t="s">
        <v>175</v>
      </c>
      <c r="G555" s="4">
        <v>1</v>
      </c>
      <c r="H555" s="4">
        <v>15093.4403669725</v>
      </c>
      <c r="I555" s="4">
        <f>G555*H555</f>
        <v>15093.4403669725</v>
      </c>
      <c r="J555" s="4">
        <f t="shared" ref="J555:L555" si="997">+G555</f>
        <v>1</v>
      </c>
      <c r="K555" s="4">
        <f t="shared" si="997"/>
        <v>15093.4403669725</v>
      </c>
      <c r="L555" s="517">
        <f t="shared" si="997"/>
        <v>15093.4403669725</v>
      </c>
      <c r="M555" s="4">
        <v>1</v>
      </c>
      <c r="N555" s="4">
        <f ca="1">O555/M555</f>
        <v>1594</v>
      </c>
      <c r="O555" s="4">
        <f ca="1">(+O556+O557+O558+O559+O560+O561+O562)</f>
        <v>1594</v>
      </c>
      <c r="P555" s="4"/>
      <c r="Q555" s="4"/>
      <c r="R555" s="4">
        <f>+P555+J555</f>
        <v>1</v>
      </c>
      <c r="S555" s="4">
        <f>+Q555+L555</f>
        <v>15093.4403669725</v>
      </c>
      <c r="T555" s="4">
        <f>IFERROR(VLOOKUP(A555,产值统计中间表!A:F,7,FALSE),0)</f>
        <v>0</v>
      </c>
      <c r="U555" s="4">
        <f>+T555*H555</f>
        <v>0</v>
      </c>
      <c r="V555" s="4">
        <f>IFERROR(VLOOKUP(A555,产值统计中间表!A:D,4,FALSE),0)</f>
        <v>0</v>
      </c>
      <c r="W555" s="4">
        <f>+V555*H555</f>
        <v>0</v>
      </c>
      <c r="X555" s="4">
        <f>+R555-V555</f>
        <v>1</v>
      </c>
      <c r="Y555" s="4">
        <f>+S555-W555</f>
        <v>15093.4403669725</v>
      </c>
      <c r="Z555" s="4">
        <f>IFERROR(VLOOKUP(A555,业主统计中间表!A:D,4,FALSE),0)</f>
        <v>0</v>
      </c>
      <c r="AA555" s="4">
        <f>+Z555*H555</f>
        <v>0</v>
      </c>
      <c r="AB555" s="4"/>
    </row>
    <row r="556" customHeight="1" outlineLevel="3" spans="1:28">
      <c r="A556" s="514" t="s">
        <v>3072</v>
      </c>
      <c r="B556" s="4"/>
      <c r="C556" s="510" t="s">
        <v>64</v>
      </c>
      <c r="D556" s="4" t="s">
        <v>1073</v>
      </c>
      <c r="E556" s="4"/>
      <c r="F556" s="4" t="str">
        <f ca="1" t="shared" ref="F556:F562" si="998">VLOOKUP($D556,INDIRECT($C556),2,0)</f>
        <v>座</v>
      </c>
      <c r="G556" s="4"/>
      <c r="H556" s="4"/>
      <c r="I556" s="4"/>
      <c r="J556" s="4"/>
      <c r="K556" s="4"/>
      <c r="L556" s="517"/>
      <c r="M556" s="4">
        <v>1</v>
      </c>
      <c r="N556" s="4">
        <f ca="1" t="shared" si="996"/>
        <v>1000</v>
      </c>
      <c r="O556" s="4">
        <f ca="1" t="shared" ref="O556:O562" si="999">M556*N556</f>
        <v>1000</v>
      </c>
      <c r="P556" s="4"/>
      <c r="Q556" s="4"/>
      <c r="R556" s="4"/>
      <c r="S556" s="4"/>
      <c r="T556" s="4">
        <f ca="1" t="shared" ref="T556:T562" si="1000">OFFSET(T556,-RIGHT($A556,LEN($A$6)),,1,1)/OFFSET(T556,-RIGHT($A556,LEN($A$6)),-13,1,1)*$M556</f>
        <v>0</v>
      </c>
      <c r="U556" s="4">
        <f ca="1" t="shared" ref="U556:U562" si="1001">+$N556*T556</f>
        <v>0</v>
      </c>
      <c r="V556" s="4">
        <f ca="1" t="shared" ref="V556:V562" si="1002">OFFSET(V556,-RIGHT($A556,LEN($A$6)),,1,1)/OFFSET(V556,-RIGHT($A556,LEN($A$6)),-15,1,1)*$M556</f>
        <v>0</v>
      </c>
      <c r="W556" s="4">
        <f ca="1" t="shared" ref="W556:W562" si="1003">+$N556*V556</f>
        <v>0</v>
      </c>
      <c r="X556" s="4">
        <f ca="1" t="shared" ref="X556:X562" si="1004">+M556-V556</f>
        <v>1</v>
      </c>
      <c r="Y556" s="4">
        <f ca="1" t="shared" ref="Y556:Y562" si="1005">+O556-W556</f>
        <v>1000</v>
      </c>
      <c r="Z556" s="4">
        <f ca="1" t="shared" ref="Z556:Z562" si="1006">OFFSET(Z556,-RIGHT($A556,LEN($A$6)),,1,1)/OFFSET(Z556,-RIGHT($A556,LEN($A$6)),-19,1,1)*$M556</f>
        <v>0</v>
      </c>
      <c r="AA556" s="4">
        <f ca="1" t="shared" ref="AA556:AA562" si="1007">+$N556*Z556</f>
        <v>0</v>
      </c>
      <c r="AB556" s="4"/>
    </row>
    <row r="557" customHeight="1" outlineLevel="3" spans="1:28">
      <c r="A557" s="514" t="s">
        <v>3073</v>
      </c>
      <c r="B557" s="4"/>
      <c r="C557" s="510" t="s">
        <v>59</v>
      </c>
      <c r="D557" s="4" t="s">
        <v>1080</v>
      </c>
      <c r="E557" s="4"/>
      <c r="F557" s="4" t="str">
        <f ca="1" t="shared" si="998"/>
        <v>m3</v>
      </c>
      <c r="G557" s="4"/>
      <c r="H557" s="4"/>
      <c r="I557" s="4"/>
      <c r="J557" s="4"/>
      <c r="K557" s="4"/>
      <c r="L557" s="517"/>
      <c r="M557" s="4">
        <v>0.4848</v>
      </c>
      <c r="N557" s="4">
        <f ca="1" t="shared" si="996"/>
        <v>0</v>
      </c>
      <c r="O557" s="4">
        <f ca="1" t="shared" si="999"/>
        <v>0</v>
      </c>
      <c r="P557" s="4"/>
      <c r="Q557" s="4"/>
      <c r="R557" s="4"/>
      <c r="S557" s="4"/>
      <c r="T557" s="4">
        <f ca="1" t="shared" si="1000"/>
        <v>0</v>
      </c>
      <c r="U557" s="4">
        <f ca="1" t="shared" si="1001"/>
        <v>0</v>
      </c>
      <c r="V557" s="4">
        <f ca="1" t="shared" si="1002"/>
        <v>0</v>
      </c>
      <c r="W557" s="4">
        <f ca="1" t="shared" si="1003"/>
        <v>0</v>
      </c>
      <c r="X557" s="4">
        <f ca="1" t="shared" si="1004"/>
        <v>0.4848</v>
      </c>
      <c r="Y557" s="4">
        <f ca="1" t="shared" si="1005"/>
        <v>0</v>
      </c>
      <c r="Z557" s="4">
        <f ca="1" t="shared" si="1006"/>
        <v>0</v>
      </c>
      <c r="AA557" s="4">
        <f ca="1" t="shared" si="1007"/>
        <v>0</v>
      </c>
      <c r="AB557" s="4"/>
    </row>
    <row r="558" customHeight="1" outlineLevel="3" spans="1:28">
      <c r="A558" s="514" t="s">
        <v>3074</v>
      </c>
      <c r="B558" s="4"/>
      <c r="C558" s="510" t="s">
        <v>59</v>
      </c>
      <c r="D558" s="4" t="s">
        <v>1101</v>
      </c>
      <c r="E558" s="4"/>
      <c r="F558" s="4" t="str">
        <f ca="1" t="shared" si="998"/>
        <v>m3</v>
      </c>
      <c r="G558" s="4"/>
      <c r="H558" s="4"/>
      <c r="I558" s="4"/>
      <c r="J558" s="4"/>
      <c r="K558" s="4"/>
      <c r="L558" s="517"/>
      <c r="M558" s="4">
        <v>7.427</v>
      </c>
      <c r="N558" s="4">
        <f ca="1" t="shared" si="996"/>
        <v>0</v>
      </c>
      <c r="O558" s="4">
        <f ca="1" t="shared" si="999"/>
        <v>0</v>
      </c>
      <c r="P558" s="4"/>
      <c r="Q558" s="4"/>
      <c r="R558" s="4"/>
      <c r="S558" s="4"/>
      <c r="T558" s="4">
        <f ca="1" t="shared" si="1000"/>
        <v>0</v>
      </c>
      <c r="U558" s="4">
        <f ca="1" t="shared" si="1001"/>
        <v>0</v>
      </c>
      <c r="V558" s="4">
        <f ca="1" t="shared" si="1002"/>
        <v>0</v>
      </c>
      <c r="W558" s="4">
        <f ca="1" t="shared" si="1003"/>
        <v>0</v>
      </c>
      <c r="X558" s="4">
        <f ca="1" t="shared" si="1004"/>
        <v>7.427</v>
      </c>
      <c r="Y558" s="4">
        <f ca="1" t="shared" si="1005"/>
        <v>0</v>
      </c>
      <c r="Z558" s="4">
        <f ca="1" t="shared" si="1006"/>
        <v>0</v>
      </c>
      <c r="AA558" s="4">
        <f ca="1" t="shared" si="1007"/>
        <v>0</v>
      </c>
      <c r="AB558" s="4"/>
    </row>
    <row r="559" customHeight="1" outlineLevel="3" spans="1:28">
      <c r="A559" s="514" t="s">
        <v>3075</v>
      </c>
      <c r="B559" s="4"/>
      <c r="C559" s="510" t="s">
        <v>59</v>
      </c>
      <c r="D559" s="4" t="s">
        <v>1104</v>
      </c>
      <c r="E559" s="4" t="str">
        <f ca="1">"含钢量："&amp;ROUND($M$559/$G$555,3)&amp;$F$559&amp;"/"&amp;$F$555</f>
        <v>含钢量：0.753t/座</v>
      </c>
      <c r="F559" s="4" t="str">
        <f ca="1" t="shared" si="998"/>
        <v>t</v>
      </c>
      <c r="G559" s="4"/>
      <c r="H559" s="4"/>
      <c r="I559" s="4"/>
      <c r="J559" s="4"/>
      <c r="K559" s="4"/>
      <c r="L559" s="517"/>
      <c r="M559" s="4">
        <v>0.752955</v>
      </c>
      <c r="N559" s="4">
        <f ca="1" t="shared" si="996"/>
        <v>0</v>
      </c>
      <c r="O559" s="4">
        <f ca="1" t="shared" si="999"/>
        <v>0</v>
      </c>
      <c r="P559" s="4"/>
      <c r="Q559" s="4"/>
      <c r="R559" s="4"/>
      <c r="S559" s="4"/>
      <c r="T559" s="4">
        <f ca="1" t="shared" si="1000"/>
        <v>0</v>
      </c>
      <c r="U559" s="4">
        <f ca="1" t="shared" si="1001"/>
        <v>0</v>
      </c>
      <c r="V559" s="4">
        <f ca="1" t="shared" si="1002"/>
        <v>0</v>
      </c>
      <c r="W559" s="4">
        <f ca="1" t="shared" si="1003"/>
        <v>0</v>
      </c>
      <c r="X559" s="4">
        <f ca="1" t="shared" si="1004"/>
        <v>0.752955</v>
      </c>
      <c r="Y559" s="4">
        <f ca="1" t="shared" si="1005"/>
        <v>0</v>
      </c>
      <c r="Z559" s="4">
        <f ca="1" t="shared" si="1006"/>
        <v>0</v>
      </c>
      <c r="AA559" s="4">
        <f ca="1" t="shared" si="1007"/>
        <v>0</v>
      </c>
      <c r="AB559" s="4"/>
    </row>
    <row r="560" customHeight="1" outlineLevel="3" spans="1:28">
      <c r="A560" s="514" t="s">
        <v>3076</v>
      </c>
      <c r="B560" s="4"/>
      <c r="C560" s="510" t="s">
        <v>59</v>
      </c>
      <c r="D560" s="4" t="s">
        <v>1107</v>
      </c>
      <c r="E560" s="4"/>
      <c r="F560" s="4" t="str">
        <f ca="1" t="shared" si="998"/>
        <v>m</v>
      </c>
      <c r="G560" s="4"/>
      <c r="H560" s="4"/>
      <c r="I560" s="4"/>
      <c r="J560" s="4"/>
      <c r="K560" s="4"/>
      <c r="L560" s="517"/>
      <c r="M560" s="4">
        <v>1.93</v>
      </c>
      <c r="N560" s="4">
        <f ca="1" t="shared" si="996"/>
        <v>0</v>
      </c>
      <c r="O560" s="4">
        <f ca="1" t="shared" si="999"/>
        <v>0</v>
      </c>
      <c r="P560" s="4"/>
      <c r="Q560" s="4"/>
      <c r="R560" s="4"/>
      <c r="S560" s="4"/>
      <c r="T560" s="4">
        <f ca="1" t="shared" si="1000"/>
        <v>0</v>
      </c>
      <c r="U560" s="4">
        <f ca="1" t="shared" si="1001"/>
        <v>0</v>
      </c>
      <c r="V560" s="4">
        <f ca="1" t="shared" si="1002"/>
        <v>0</v>
      </c>
      <c r="W560" s="4">
        <f ca="1" t="shared" si="1003"/>
        <v>0</v>
      </c>
      <c r="X560" s="4">
        <f ca="1" t="shared" si="1004"/>
        <v>1.93</v>
      </c>
      <c r="Y560" s="4">
        <f ca="1" t="shared" si="1005"/>
        <v>0</v>
      </c>
      <c r="Z560" s="4">
        <f ca="1" t="shared" si="1006"/>
        <v>0</v>
      </c>
      <c r="AA560" s="4">
        <f ca="1" t="shared" si="1007"/>
        <v>0</v>
      </c>
      <c r="AB560" s="4"/>
    </row>
    <row r="561" customHeight="1" outlineLevel="3" spans="1:28">
      <c r="A561" s="514" t="s">
        <v>3077</v>
      </c>
      <c r="B561" s="4"/>
      <c r="C561" s="510" t="s">
        <v>59</v>
      </c>
      <c r="D561" s="4" t="s">
        <v>377</v>
      </c>
      <c r="E561" s="4"/>
      <c r="F561" s="4" t="str">
        <f ca="1" t="shared" si="998"/>
        <v>m2</v>
      </c>
      <c r="G561" s="4"/>
      <c r="H561" s="4"/>
      <c r="I561" s="4"/>
      <c r="J561" s="4"/>
      <c r="K561" s="4"/>
      <c r="L561" s="517"/>
      <c r="M561" s="4">
        <v>14.85</v>
      </c>
      <c r="N561" s="4">
        <v>40</v>
      </c>
      <c r="O561" s="4">
        <f t="shared" si="999"/>
        <v>594</v>
      </c>
      <c r="P561" s="4"/>
      <c r="Q561" s="4"/>
      <c r="R561" s="4"/>
      <c r="S561" s="4"/>
      <c r="T561" s="4">
        <f ca="1" t="shared" si="1000"/>
        <v>0</v>
      </c>
      <c r="U561" s="4">
        <f ca="1" t="shared" si="1001"/>
        <v>0</v>
      </c>
      <c r="V561" s="4">
        <f ca="1" t="shared" si="1002"/>
        <v>0</v>
      </c>
      <c r="W561" s="4">
        <f ca="1" t="shared" si="1003"/>
        <v>0</v>
      </c>
      <c r="X561" s="4">
        <f ca="1" t="shared" si="1004"/>
        <v>14.85</v>
      </c>
      <c r="Y561" s="4">
        <f ca="1" t="shared" si="1005"/>
        <v>594</v>
      </c>
      <c r="Z561" s="4">
        <f ca="1" t="shared" si="1006"/>
        <v>0</v>
      </c>
      <c r="AA561" s="4">
        <f ca="1" t="shared" si="1007"/>
        <v>0</v>
      </c>
      <c r="AB561" s="4"/>
    </row>
    <row r="562" customHeight="1" outlineLevel="3" spans="1:28">
      <c r="A562" s="514" t="s">
        <v>3078</v>
      </c>
      <c r="B562" s="4"/>
      <c r="C562" s="510" t="s">
        <v>59</v>
      </c>
      <c r="D562" s="4" t="s">
        <v>1110</v>
      </c>
      <c r="E562" s="4"/>
      <c r="F562" s="4" t="str">
        <f ca="1" t="shared" si="998"/>
        <v>套</v>
      </c>
      <c r="G562" s="4"/>
      <c r="H562" s="4"/>
      <c r="I562" s="4"/>
      <c r="J562" s="4"/>
      <c r="K562" s="4"/>
      <c r="L562" s="517"/>
      <c r="M562" s="4">
        <v>1</v>
      </c>
      <c r="N562" s="4">
        <f ca="1" t="shared" ref="N562:N570" si="1008">VLOOKUP($D562,INDIRECT($C562),3,0)</f>
        <v>0</v>
      </c>
      <c r="O562" s="4">
        <f ca="1" t="shared" si="999"/>
        <v>0</v>
      </c>
      <c r="P562" s="4"/>
      <c r="Q562" s="4"/>
      <c r="R562" s="4"/>
      <c r="S562" s="4"/>
      <c r="T562" s="4">
        <f ca="1" t="shared" si="1000"/>
        <v>0</v>
      </c>
      <c r="U562" s="4">
        <f ca="1" t="shared" si="1001"/>
        <v>0</v>
      </c>
      <c r="V562" s="4">
        <f ca="1" t="shared" si="1002"/>
        <v>0</v>
      </c>
      <c r="W562" s="4">
        <f ca="1" t="shared" si="1003"/>
        <v>0</v>
      </c>
      <c r="X562" s="4">
        <f ca="1" t="shared" si="1004"/>
        <v>1</v>
      </c>
      <c r="Y562" s="4">
        <f ca="1" t="shared" si="1005"/>
        <v>0</v>
      </c>
      <c r="Z562" s="4">
        <f ca="1" t="shared" si="1006"/>
        <v>0</v>
      </c>
      <c r="AA562" s="4">
        <f ca="1" t="shared" si="1007"/>
        <v>0</v>
      </c>
      <c r="AB562" s="4"/>
    </row>
    <row r="563" customHeight="1" outlineLevel="2" spans="1:28">
      <c r="A563" s="515" t="s">
        <v>3079</v>
      </c>
      <c r="B563" s="4"/>
      <c r="C563" s="510" t="s">
        <v>1309</v>
      </c>
      <c r="D563" s="4" t="s">
        <v>1076</v>
      </c>
      <c r="E563" s="4" t="s">
        <v>3063</v>
      </c>
      <c r="F563" s="4" t="s">
        <v>175</v>
      </c>
      <c r="G563" s="4">
        <v>1</v>
      </c>
      <c r="H563" s="4">
        <v>14325.0733944954</v>
      </c>
      <c r="I563" s="4">
        <f>G563*H563</f>
        <v>14325.0733944954</v>
      </c>
      <c r="J563" s="4">
        <f t="shared" ref="J563:L563" si="1009">+G563</f>
        <v>1</v>
      </c>
      <c r="K563" s="4">
        <f t="shared" si="1009"/>
        <v>14325.0733944954</v>
      </c>
      <c r="L563" s="517">
        <f t="shared" si="1009"/>
        <v>14325.0733944954</v>
      </c>
      <c r="M563" s="4">
        <v>1</v>
      </c>
      <c r="N563" s="4">
        <f ca="1">O563/M563</f>
        <v>1000</v>
      </c>
      <c r="O563" s="4">
        <f ca="1">(+O564+O565+O566+O567+O568+O569+O570)</f>
        <v>1000</v>
      </c>
      <c r="P563" s="4"/>
      <c r="Q563" s="4"/>
      <c r="R563" s="4">
        <f>+P563+J563</f>
        <v>1</v>
      </c>
      <c r="S563" s="4">
        <f>+Q563+L563</f>
        <v>14325.0733944954</v>
      </c>
      <c r="T563" s="4">
        <f>IFERROR(VLOOKUP(A563,产值统计中间表!A:F,7,FALSE),0)</f>
        <v>0</v>
      </c>
      <c r="U563" s="4">
        <f>+T563*H563</f>
        <v>0</v>
      </c>
      <c r="V563" s="4">
        <f>IFERROR(VLOOKUP(A563,产值统计中间表!A:D,4,FALSE),0)</f>
        <v>0</v>
      </c>
      <c r="W563" s="4">
        <f>+V563*H563</f>
        <v>0</v>
      </c>
      <c r="X563" s="4">
        <f>+R563-V563</f>
        <v>1</v>
      </c>
      <c r="Y563" s="4">
        <f>+S563-W563</f>
        <v>14325.0733944954</v>
      </c>
      <c r="Z563" s="4">
        <f>IFERROR(VLOOKUP(A563,业主统计中间表!A:D,4,FALSE),0)</f>
        <v>0</v>
      </c>
      <c r="AA563" s="4">
        <f>+Z563*H563</f>
        <v>0</v>
      </c>
      <c r="AB563" s="4"/>
    </row>
    <row r="564" customHeight="1" outlineLevel="3" spans="1:28">
      <c r="A564" s="514" t="s">
        <v>3080</v>
      </c>
      <c r="B564" s="4"/>
      <c r="C564" s="510" t="s">
        <v>64</v>
      </c>
      <c r="D564" s="4" t="s">
        <v>1076</v>
      </c>
      <c r="E564" s="4"/>
      <c r="F564" s="4" t="str">
        <f ca="1" t="shared" ref="F564:F570" si="1010">VLOOKUP($D564,INDIRECT($C564),2,0)</f>
        <v>座</v>
      </c>
      <c r="G564" s="4"/>
      <c r="H564" s="4"/>
      <c r="I564" s="4"/>
      <c r="J564" s="4"/>
      <c r="K564" s="4"/>
      <c r="L564" s="517"/>
      <c r="M564" s="4">
        <v>1</v>
      </c>
      <c r="N564" s="4">
        <f ca="1" t="shared" si="1008"/>
        <v>1000</v>
      </c>
      <c r="O564" s="4">
        <f ca="1" t="shared" ref="O564:O570" si="1011">M564*N564</f>
        <v>1000</v>
      </c>
      <c r="P564" s="4"/>
      <c r="Q564" s="4"/>
      <c r="R564" s="4"/>
      <c r="S564" s="4"/>
      <c r="T564" s="4">
        <f ca="1" t="shared" ref="T564:T570" si="1012">OFFSET(T564,-RIGHT($A564,LEN($A$6)),,1,1)/OFFSET(T564,-RIGHT($A564,LEN($A$6)),-13,1,1)*$M564</f>
        <v>0</v>
      </c>
      <c r="U564" s="4">
        <f ca="1" t="shared" ref="U564:U570" si="1013">+$N564*T564</f>
        <v>0</v>
      </c>
      <c r="V564" s="4">
        <f ca="1" t="shared" ref="V564:V570" si="1014">OFFSET(V564,-RIGHT($A564,LEN($A$6)),,1,1)/OFFSET(V564,-RIGHT($A564,LEN($A$6)),-15,1,1)*$M564</f>
        <v>0</v>
      </c>
      <c r="W564" s="4">
        <f ca="1" t="shared" ref="W564:W570" si="1015">+$N564*V564</f>
        <v>0</v>
      </c>
      <c r="X564" s="4">
        <f ca="1" t="shared" ref="X564:X570" si="1016">+M564-V564</f>
        <v>1</v>
      </c>
      <c r="Y564" s="4">
        <f ca="1" t="shared" ref="Y564:Y570" si="1017">+O564-W564</f>
        <v>1000</v>
      </c>
      <c r="Z564" s="4">
        <f ca="1" t="shared" ref="Z564:Z570" si="1018">OFFSET(Z564,-RIGHT($A564,LEN($A$6)),,1,1)/OFFSET(Z564,-RIGHT($A564,LEN($A$6)),-19,1,1)*$M564</f>
        <v>0</v>
      </c>
      <c r="AA564" s="4">
        <f ca="1" t="shared" ref="AA564:AA570" si="1019">+$N564*Z564</f>
        <v>0</v>
      </c>
      <c r="AB564" s="4"/>
    </row>
    <row r="565" customHeight="1" outlineLevel="3" spans="1:28">
      <c r="A565" s="514" t="s">
        <v>3081</v>
      </c>
      <c r="B565" s="4"/>
      <c r="C565" s="510" t="s">
        <v>59</v>
      </c>
      <c r="D565" s="4" t="s">
        <v>1080</v>
      </c>
      <c r="E565" s="4"/>
      <c r="F565" s="4" t="str">
        <f ca="1" t="shared" si="1010"/>
        <v>m3</v>
      </c>
      <c r="G565" s="4"/>
      <c r="H565" s="4"/>
      <c r="I565" s="4"/>
      <c r="J565" s="4"/>
      <c r="K565" s="4"/>
      <c r="L565" s="517"/>
      <c r="M565" s="4">
        <v>0.5151</v>
      </c>
      <c r="N565" s="4">
        <f ca="1" t="shared" si="1008"/>
        <v>0</v>
      </c>
      <c r="O565" s="4">
        <f ca="1" t="shared" si="1011"/>
        <v>0</v>
      </c>
      <c r="P565" s="4"/>
      <c r="Q565" s="4"/>
      <c r="R565" s="4"/>
      <c r="S565" s="4"/>
      <c r="T565" s="4">
        <f ca="1" t="shared" si="1012"/>
        <v>0</v>
      </c>
      <c r="U565" s="4">
        <f ca="1" t="shared" si="1013"/>
        <v>0</v>
      </c>
      <c r="V565" s="4">
        <f ca="1" t="shared" si="1014"/>
        <v>0</v>
      </c>
      <c r="W565" s="4">
        <f ca="1" t="shared" si="1015"/>
        <v>0</v>
      </c>
      <c r="X565" s="4">
        <f ca="1" t="shared" si="1016"/>
        <v>0.5151</v>
      </c>
      <c r="Y565" s="4">
        <f ca="1" t="shared" si="1017"/>
        <v>0</v>
      </c>
      <c r="Z565" s="4">
        <f ca="1" t="shared" si="1018"/>
        <v>0</v>
      </c>
      <c r="AA565" s="4">
        <f ca="1" t="shared" si="1019"/>
        <v>0</v>
      </c>
      <c r="AB565" s="4"/>
    </row>
    <row r="566" customHeight="1" outlineLevel="3" spans="1:28">
      <c r="A566" s="514" t="s">
        <v>3082</v>
      </c>
      <c r="B566" s="4"/>
      <c r="C566" s="510" t="s">
        <v>59</v>
      </c>
      <c r="D566" s="4" t="s">
        <v>1101</v>
      </c>
      <c r="E566" s="4"/>
      <c r="F566" s="4" t="str">
        <f ca="1" t="shared" si="1010"/>
        <v>m3</v>
      </c>
      <c r="G566" s="4"/>
      <c r="H566" s="4"/>
      <c r="I566" s="4"/>
      <c r="J566" s="4"/>
      <c r="K566" s="4"/>
      <c r="L566" s="517"/>
      <c r="M566" s="4">
        <v>9.655</v>
      </c>
      <c r="N566" s="4">
        <f ca="1" t="shared" si="1008"/>
        <v>0</v>
      </c>
      <c r="O566" s="4">
        <f ca="1" t="shared" si="1011"/>
        <v>0</v>
      </c>
      <c r="P566" s="4"/>
      <c r="Q566" s="4"/>
      <c r="R566" s="4"/>
      <c r="S566" s="4"/>
      <c r="T566" s="4">
        <f ca="1" t="shared" si="1012"/>
        <v>0</v>
      </c>
      <c r="U566" s="4">
        <f ca="1" t="shared" si="1013"/>
        <v>0</v>
      </c>
      <c r="V566" s="4">
        <f ca="1" t="shared" si="1014"/>
        <v>0</v>
      </c>
      <c r="W566" s="4">
        <f ca="1" t="shared" si="1015"/>
        <v>0</v>
      </c>
      <c r="X566" s="4">
        <f ca="1" t="shared" si="1016"/>
        <v>9.655</v>
      </c>
      <c r="Y566" s="4">
        <f ca="1" t="shared" si="1017"/>
        <v>0</v>
      </c>
      <c r="Z566" s="4">
        <f ca="1" t="shared" si="1018"/>
        <v>0</v>
      </c>
      <c r="AA566" s="4">
        <f ca="1" t="shared" si="1019"/>
        <v>0</v>
      </c>
      <c r="AB566" s="4"/>
    </row>
    <row r="567" customHeight="1" outlineLevel="3" spans="1:28">
      <c r="A567" s="514" t="s">
        <v>3083</v>
      </c>
      <c r="B567" s="4"/>
      <c r="C567" s="510" t="s">
        <v>59</v>
      </c>
      <c r="D567" s="4" t="s">
        <v>1104</v>
      </c>
      <c r="E567" s="4" t="str">
        <f ca="1">"含钢量："&amp;ROUND($M$567/$G$563,3)&amp;$F$567&amp;"/"&amp;$F$563</f>
        <v>含钢量：0.784t/座</v>
      </c>
      <c r="F567" s="4" t="str">
        <f ca="1" t="shared" si="1010"/>
        <v>t</v>
      </c>
      <c r="G567" s="4"/>
      <c r="H567" s="4"/>
      <c r="I567" s="4"/>
      <c r="J567" s="4"/>
      <c r="K567" s="4"/>
      <c r="L567" s="517"/>
      <c r="M567" s="4">
        <v>0.78384</v>
      </c>
      <c r="N567" s="4">
        <f ca="1" t="shared" si="1008"/>
        <v>0</v>
      </c>
      <c r="O567" s="4">
        <f ca="1" t="shared" si="1011"/>
        <v>0</v>
      </c>
      <c r="P567" s="4"/>
      <c r="Q567" s="4"/>
      <c r="R567" s="4"/>
      <c r="S567" s="4"/>
      <c r="T567" s="4">
        <f ca="1" t="shared" si="1012"/>
        <v>0</v>
      </c>
      <c r="U567" s="4">
        <f ca="1" t="shared" si="1013"/>
        <v>0</v>
      </c>
      <c r="V567" s="4">
        <f ca="1" t="shared" si="1014"/>
        <v>0</v>
      </c>
      <c r="W567" s="4">
        <f ca="1" t="shared" si="1015"/>
        <v>0</v>
      </c>
      <c r="X567" s="4">
        <f ca="1" t="shared" si="1016"/>
        <v>0.78384</v>
      </c>
      <c r="Y567" s="4">
        <f ca="1" t="shared" si="1017"/>
        <v>0</v>
      </c>
      <c r="Z567" s="4">
        <f ca="1" t="shared" si="1018"/>
        <v>0</v>
      </c>
      <c r="AA567" s="4">
        <f ca="1" t="shared" si="1019"/>
        <v>0</v>
      </c>
      <c r="AB567" s="4"/>
    </row>
    <row r="568" customHeight="1" outlineLevel="3" spans="1:28">
      <c r="A568" s="514" t="s">
        <v>3084</v>
      </c>
      <c r="B568" s="4"/>
      <c r="C568" s="510" t="s">
        <v>59</v>
      </c>
      <c r="D568" s="4" t="s">
        <v>1107</v>
      </c>
      <c r="E568" s="4"/>
      <c r="F568" s="4" t="str">
        <f ca="1" t="shared" si="1010"/>
        <v>m</v>
      </c>
      <c r="G568" s="4"/>
      <c r="H568" s="4"/>
      <c r="I568" s="4"/>
      <c r="J568" s="4"/>
      <c r="K568" s="4"/>
      <c r="L568" s="517"/>
      <c r="M568" s="4">
        <v>1.11</v>
      </c>
      <c r="N568" s="4">
        <f ca="1" t="shared" si="1008"/>
        <v>0</v>
      </c>
      <c r="O568" s="4">
        <f ca="1" t="shared" si="1011"/>
        <v>0</v>
      </c>
      <c r="P568" s="4"/>
      <c r="Q568" s="4"/>
      <c r="R568" s="4"/>
      <c r="S568" s="4"/>
      <c r="T568" s="4">
        <f ca="1" t="shared" si="1012"/>
        <v>0</v>
      </c>
      <c r="U568" s="4">
        <f ca="1" t="shared" si="1013"/>
        <v>0</v>
      </c>
      <c r="V568" s="4">
        <f ca="1" t="shared" si="1014"/>
        <v>0</v>
      </c>
      <c r="W568" s="4">
        <f ca="1" t="shared" si="1015"/>
        <v>0</v>
      </c>
      <c r="X568" s="4">
        <f ca="1" t="shared" si="1016"/>
        <v>1.11</v>
      </c>
      <c r="Y568" s="4">
        <f ca="1" t="shared" si="1017"/>
        <v>0</v>
      </c>
      <c r="Z568" s="4">
        <f ca="1" t="shared" si="1018"/>
        <v>0</v>
      </c>
      <c r="AA568" s="4">
        <f ca="1" t="shared" si="1019"/>
        <v>0</v>
      </c>
      <c r="AB568" s="4"/>
    </row>
    <row r="569" customHeight="1" outlineLevel="3" spans="1:28">
      <c r="A569" s="514" t="s">
        <v>3085</v>
      </c>
      <c r="B569" s="4"/>
      <c r="C569" s="510" t="s">
        <v>59</v>
      </c>
      <c r="D569" s="4" t="s">
        <v>377</v>
      </c>
      <c r="E569" s="4"/>
      <c r="F569" s="4" t="str">
        <f ca="1" t="shared" si="1010"/>
        <v>m2</v>
      </c>
      <c r="G569" s="4"/>
      <c r="H569" s="4"/>
      <c r="I569" s="4"/>
      <c r="J569" s="4"/>
      <c r="K569" s="4"/>
      <c r="L569" s="517"/>
      <c r="M569" s="4">
        <v>17.95</v>
      </c>
      <c r="N569" s="4">
        <f ca="1" t="shared" si="1008"/>
        <v>0</v>
      </c>
      <c r="O569" s="4">
        <f ca="1" t="shared" si="1011"/>
        <v>0</v>
      </c>
      <c r="P569" s="4"/>
      <c r="Q569" s="4"/>
      <c r="R569" s="4"/>
      <c r="S569" s="4"/>
      <c r="T569" s="4">
        <f ca="1" t="shared" si="1012"/>
        <v>0</v>
      </c>
      <c r="U569" s="4">
        <f ca="1" t="shared" si="1013"/>
        <v>0</v>
      </c>
      <c r="V569" s="4">
        <f ca="1" t="shared" si="1014"/>
        <v>0</v>
      </c>
      <c r="W569" s="4">
        <f ca="1" t="shared" si="1015"/>
        <v>0</v>
      </c>
      <c r="X569" s="4">
        <f ca="1" t="shared" si="1016"/>
        <v>17.95</v>
      </c>
      <c r="Y569" s="4">
        <f ca="1" t="shared" si="1017"/>
        <v>0</v>
      </c>
      <c r="Z569" s="4">
        <f ca="1" t="shared" si="1018"/>
        <v>0</v>
      </c>
      <c r="AA569" s="4">
        <f ca="1" t="shared" si="1019"/>
        <v>0</v>
      </c>
      <c r="AB569" s="4"/>
    </row>
    <row r="570" customHeight="1" outlineLevel="3" spans="1:28">
      <c r="A570" s="514" t="s">
        <v>3086</v>
      </c>
      <c r="B570" s="4"/>
      <c r="C570" s="510" t="s">
        <v>59</v>
      </c>
      <c r="D570" s="4" t="s">
        <v>1110</v>
      </c>
      <c r="E570" s="4"/>
      <c r="F570" s="4" t="str">
        <f ca="1" t="shared" si="1010"/>
        <v>套</v>
      </c>
      <c r="G570" s="4"/>
      <c r="H570" s="4"/>
      <c r="I570" s="4"/>
      <c r="J570" s="4"/>
      <c r="K570" s="4"/>
      <c r="L570" s="517"/>
      <c r="M570" s="4">
        <v>1</v>
      </c>
      <c r="N570" s="4">
        <f ca="1" t="shared" si="1008"/>
        <v>0</v>
      </c>
      <c r="O570" s="4">
        <f ca="1" t="shared" si="1011"/>
        <v>0</v>
      </c>
      <c r="P570" s="4"/>
      <c r="Q570" s="4"/>
      <c r="R570" s="4"/>
      <c r="S570" s="4"/>
      <c r="T570" s="4">
        <f ca="1" t="shared" si="1012"/>
        <v>0</v>
      </c>
      <c r="U570" s="4">
        <f ca="1" t="shared" si="1013"/>
        <v>0</v>
      </c>
      <c r="V570" s="4">
        <f ca="1" t="shared" si="1014"/>
        <v>0</v>
      </c>
      <c r="W570" s="4">
        <f ca="1" t="shared" si="1015"/>
        <v>0</v>
      </c>
      <c r="X570" s="4">
        <f ca="1" t="shared" si="1016"/>
        <v>1</v>
      </c>
      <c r="Y570" s="4">
        <f ca="1" t="shared" si="1017"/>
        <v>0</v>
      </c>
      <c r="Z570" s="4">
        <f ca="1" t="shared" si="1018"/>
        <v>0</v>
      </c>
      <c r="AA570" s="4">
        <f ca="1" t="shared" si="1019"/>
        <v>0</v>
      </c>
      <c r="AB570" s="4"/>
    </row>
    <row r="571" customHeight="1" outlineLevel="2" spans="1:28">
      <c r="A571" s="515" t="s">
        <v>3087</v>
      </c>
      <c r="B571" s="4"/>
      <c r="C571" s="510" t="s">
        <v>1309</v>
      </c>
      <c r="D571" s="4" t="s">
        <v>3088</v>
      </c>
      <c r="E571" s="4" t="s">
        <v>3063</v>
      </c>
      <c r="F571" s="4" t="s">
        <v>175</v>
      </c>
      <c r="G571" s="4">
        <v>2</v>
      </c>
      <c r="H571" s="4">
        <f>1063.42/1.09</f>
        <v>975.614678899083</v>
      </c>
      <c r="I571" s="4">
        <f>G571*H571</f>
        <v>1951.22935779817</v>
      </c>
      <c r="J571" s="4">
        <f t="shared" ref="J571:L571" si="1020">+G571</f>
        <v>2</v>
      </c>
      <c r="K571" s="4">
        <f t="shared" si="1020"/>
        <v>975.614678899083</v>
      </c>
      <c r="L571" s="517">
        <f t="shared" si="1020"/>
        <v>1951.22935779817</v>
      </c>
      <c r="M571" s="4">
        <v>2</v>
      </c>
      <c r="N571" s="4">
        <f ca="1">O571/M571</f>
        <v>600</v>
      </c>
      <c r="O571" s="4">
        <f ca="1">(+O572+O573+O574+O575+O576)</f>
        <v>1200</v>
      </c>
      <c r="P571" s="4"/>
      <c r="Q571" s="4"/>
      <c r="R571" s="4">
        <f>+P571+J571</f>
        <v>2</v>
      </c>
      <c r="S571" s="4">
        <f>+Q571+L571</f>
        <v>1951.22935779817</v>
      </c>
      <c r="T571" s="4">
        <f>IFERROR(VLOOKUP(A571,产值统计中间表!A:F,7,FALSE),0)</f>
        <v>0</v>
      </c>
      <c r="U571" s="4">
        <f>+T571*H571</f>
        <v>0</v>
      </c>
      <c r="V571" s="4">
        <f>IFERROR(VLOOKUP(A571,产值统计中间表!A:D,4,FALSE),0)</f>
        <v>0</v>
      </c>
      <c r="W571" s="4">
        <f>+V571*H571</f>
        <v>0</v>
      </c>
      <c r="X571" s="4">
        <f>+R571-V571</f>
        <v>2</v>
      </c>
      <c r="Y571" s="4">
        <f>+S571-W571</f>
        <v>1951.22935779817</v>
      </c>
      <c r="Z571" s="4">
        <f>IFERROR(VLOOKUP(A571,业主统计中间表!A:D,4,FALSE),0)</f>
        <v>0</v>
      </c>
      <c r="AA571" s="4">
        <f>+Z571*H571</f>
        <v>0</v>
      </c>
      <c r="AB571" s="4"/>
    </row>
    <row r="572" customHeight="1" outlineLevel="3" spans="1:28">
      <c r="A572" s="514" t="s">
        <v>3089</v>
      </c>
      <c r="B572" s="4"/>
      <c r="C572" s="510" t="s">
        <v>64</v>
      </c>
      <c r="D572" s="4" t="s">
        <v>1106</v>
      </c>
      <c r="E572" s="4" t="s">
        <v>3063</v>
      </c>
      <c r="F572" s="4" t="str">
        <f ca="1" t="shared" ref="F572:F576" si="1021">VLOOKUP($D572,INDIRECT($C572),2,0)</f>
        <v>座</v>
      </c>
      <c r="G572" s="4"/>
      <c r="H572" s="4"/>
      <c r="I572" s="4"/>
      <c r="J572" s="4"/>
      <c r="K572" s="4"/>
      <c r="L572" s="517"/>
      <c r="M572" s="4">
        <v>2</v>
      </c>
      <c r="N572" s="4">
        <f ca="1" t="shared" ref="N572:N576" si="1022">VLOOKUP($D572,INDIRECT($C572),3,0)</f>
        <v>600</v>
      </c>
      <c r="O572" s="4">
        <f ca="1">M572*N572</f>
        <v>1200</v>
      </c>
      <c r="P572" s="4"/>
      <c r="Q572" s="4"/>
      <c r="R572" s="4"/>
      <c r="S572" s="4"/>
      <c r="T572" s="4">
        <f ca="1" t="shared" ref="T572:T576" si="1023">OFFSET(T572,-RIGHT($A572,LEN($A$6)),,1,1)/OFFSET(T572,-RIGHT($A572,LEN($A$6)),-13,1,1)*$M572</f>
        <v>0</v>
      </c>
      <c r="U572" s="4">
        <f ca="1" t="shared" ref="U572:U576" si="1024">+$N572*T572</f>
        <v>0</v>
      </c>
      <c r="V572" s="4">
        <f ca="1" t="shared" ref="V572:V576" si="1025">OFFSET(V572,-RIGHT($A572,LEN($A$6)),,1,1)/OFFSET(V572,-RIGHT($A572,LEN($A$6)),-15,1,1)*$M572</f>
        <v>0</v>
      </c>
      <c r="W572" s="4">
        <f ca="1" t="shared" ref="W572:W576" si="1026">+$N572*V572</f>
        <v>0</v>
      </c>
      <c r="X572" s="4">
        <f ca="1" t="shared" ref="X572:X576" si="1027">+M572-V572</f>
        <v>2</v>
      </c>
      <c r="Y572" s="4">
        <f ca="1" t="shared" ref="Y572:Y576" si="1028">+O572-W572</f>
        <v>1200</v>
      </c>
      <c r="Z572" s="4">
        <f ca="1" t="shared" ref="Z572:Z576" si="1029">OFFSET(Z572,-RIGHT($A572,LEN($A$6)),,1,1)/OFFSET(Z572,-RIGHT($A572,LEN($A$6)),-19,1,1)*$M572</f>
        <v>0</v>
      </c>
      <c r="AA572" s="4">
        <f ca="1" t="shared" ref="AA572:AA576" si="1030">+$N572*Z572</f>
        <v>0</v>
      </c>
      <c r="AB572" s="4"/>
    </row>
    <row r="573" customHeight="1" outlineLevel="3" spans="1:28">
      <c r="A573" s="514" t="s">
        <v>3090</v>
      </c>
      <c r="B573" s="4"/>
      <c r="C573" s="510" t="s">
        <v>59</v>
      </c>
      <c r="D573" s="4" t="s">
        <v>1113</v>
      </c>
      <c r="E573" s="4"/>
      <c r="F573" s="4" t="str">
        <f ca="1" t="shared" si="1021"/>
        <v>m3</v>
      </c>
      <c r="G573" s="4"/>
      <c r="H573" s="4"/>
      <c r="I573" s="4"/>
      <c r="J573" s="4"/>
      <c r="K573" s="4"/>
      <c r="L573" s="517"/>
      <c r="M573" s="4">
        <v>0.373</v>
      </c>
      <c r="N573" s="4">
        <f ca="1" t="shared" si="1022"/>
        <v>0</v>
      </c>
      <c r="O573" s="4">
        <f ca="1">M573*N573</f>
        <v>0</v>
      </c>
      <c r="P573" s="4"/>
      <c r="Q573" s="4"/>
      <c r="R573" s="4"/>
      <c r="S573" s="4"/>
      <c r="T573" s="4">
        <f ca="1" t="shared" si="1023"/>
        <v>0</v>
      </c>
      <c r="U573" s="4">
        <f ca="1" t="shared" si="1024"/>
        <v>0</v>
      </c>
      <c r="V573" s="4">
        <f ca="1" t="shared" si="1025"/>
        <v>0</v>
      </c>
      <c r="W573" s="4">
        <f ca="1" t="shared" si="1026"/>
        <v>0</v>
      </c>
      <c r="X573" s="4">
        <f ca="1" t="shared" si="1027"/>
        <v>0.373</v>
      </c>
      <c r="Y573" s="4">
        <f ca="1" t="shared" si="1028"/>
        <v>0</v>
      </c>
      <c r="Z573" s="4">
        <f ca="1" t="shared" si="1029"/>
        <v>0</v>
      </c>
      <c r="AA573" s="4">
        <f ca="1" t="shared" si="1030"/>
        <v>0</v>
      </c>
      <c r="AB573" s="4"/>
    </row>
    <row r="574" customHeight="1" outlineLevel="3" spans="1:28">
      <c r="A574" s="514" t="s">
        <v>3091</v>
      </c>
      <c r="B574" s="4"/>
      <c r="C574" s="510" t="s">
        <v>59</v>
      </c>
      <c r="D574" s="4" t="s">
        <v>1116</v>
      </c>
      <c r="E574" s="4"/>
      <c r="F574" s="4" t="str">
        <f ca="1" t="shared" si="1021"/>
        <v>m3</v>
      </c>
      <c r="G574" s="4"/>
      <c r="H574" s="4"/>
      <c r="I574" s="4"/>
      <c r="J574" s="4"/>
      <c r="K574" s="4"/>
      <c r="L574" s="517"/>
      <c r="M574" s="4">
        <v>0.82</v>
      </c>
      <c r="N574" s="4">
        <f ca="1" t="shared" si="1022"/>
        <v>0</v>
      </c>
      <c r="O574" s="4">
        <f ca="1">M574*N574</f>
        <v>0</v>
      </c>
      <c r="P574" s="4"/>
      <c r="Q574" s="4"/>
      <c r="R574" s="4"/>
      <c r="S574" s="4"/>
      <c r="T574" s="4">
        <f ca="1" t="shared" si="1023"/>
        <v>0</v>
      </c>
      <c r="U574" s="4">
        <f ca="1" t="shared" si="1024"/>
        <v>0</v>
      </c>
      <c r="V574" s="4">
        <f ca="1" t="shared" si="1025"/>
        <v>0</v>
      </c>
      <c r="W574" s="4">
        <f ca="1" t="shared" si="1026"/>
        <v>0</v>
      </c>
      <c r="X574" s="4">
        <f ca="1" t="shared" si="1027"/>
        <v>0.82</v>
      </c>
      <c r="Y574" s="4">
        <f ca="1" t="shared" si="1028"/>
        <v>0</v>
      </c>
      <c r="Z574" s="4">
        <f ca="1" t="shared" si="1029"/>
        <v>0</v>
      </c>
      <c r="AA574" s="4">
        <f ca="1" t="shared" si="1030"/>
        <v>0</v>
      </c>
      <c r="AB574" s="4"/>
    </row>
    <row r="575" customHeight="1" outlineLevel="3" spans="1:28">
      <c r="A575" s="514" t="s">
        <v>3092</v>
      </c>
      <c r="B575" s="4"/>
      <c r="C575" s="510" t="s">
        <v>59</v>
      </c>
      <c r="D575" s="4" t="s">
        <v>1119</v>
      </c>
      <c r="E575" s="4"/>
      <c r="F575" s="4" t="str">
        <f ca="1" t="shared" si="1021"/>
        <v>套</v>
      </c>
      <c r="G575" s="4"/>
      <c r="H575" s="4"/>
      <c r="I575" s="4"/>
      <c r="J575" s="4"/>
      <c r="K575" s="4"/>
      <c r="L575" s="517"/>
      <c r="M575" s="4">
        <v>2</v>
      </c>
      <c r="N575" s="4">
        <f ca="1" t="shared" si="1022"/>
        <v>0</v>
      </c>
      <c r="O575" s="4">
        <f ca="1">M575*N575</f>
        <v>0</v>
      </c>
      <c r="P575" s="4"/>
      <c r="Q575" s="4"/>
      <c r="R575" s="4"/>
      <c r="S575" s="4"/>
      <c r="T575" s="4">
        <f ca="1" t="shared" si="1023"/>
        <v>0</v>
      </c>
      <c r="U575" s="4">
        <f ca="1" t="shared" si="1024"/>
        <v>0</v>
      </c>
      <c r="V575" s="4">
        <f ca="1" t="shared" si="1025"/>
        <v>0</v>
      </c>
      <c r="W575" s="4">
        <f ca="1" t="shared" si="1026"/>
        <v>0</v>
      </c>
      <c r="X575" s="4">
        <f ca="1" t="shared" si="1027"/>
        <v>2</v>
      </c>
      <c r="Y575" s="4">
        <f ca="1" t="shared" si="1028"/>
        <v>0</v>
      </c>
      <c r="Z575" s="4">
        <f ca="1" t="shared" si="1029"/>
        <v>0</v>
      </c>
      <c r="AA575" s="4">
        <f ca="1" t="shared" si="1030"/>
        <v>0</v>
      </c>
      <c r="AB575" s="4"/>
    </row>
    <row r="576" customHeight="1" outlineLevel="3" spans="1:28">
      <c r="A576" s="514" t="s">
        <v>3093</v>
      </c>
      <c r="B576" s="4"/>
      <c r="C576" s="510" t="s">
        <v>59</v>
      </c>
      <c r="D576" s="4" t="s">
        <v>779</v>
      </c>
      <c r="E576" s="4"/>
      <c r="F576" s="4" t="str">
        <f ca="1" t="shared" si="1021"/>
        <v>吨</v>
      </c>
      <c r="G576" s="4"/>
      <c r="H576" s="4"/>
      <c r="I576" s="4"/>
      <c r="J576" s="4"/>
      <c r="K576" s="4"/>
      <c r="L576" s="517"/>
      <c r="M576" s="4">
        <v>0.2216</v>
      </c>
      <c r="N576" s="4">
        <f ca="1" t="shared" si="1022"/>
        <v>0</v>
      </c>
      <c r="O576" s="4">
        <f ca="1">M576*N576</f>
        <v>0</v>
      </c>
      <c r="P576" s="4"/>
      <c r="Q576" s="4"/>
      <c r="R576" s="4"/>
      <c r="S576" s="4"/>
      <c r="T576" s="4">
        <f ca="1" t="shared" si="1023"/>
        <v>0</v>
      </c>
      <c r="U576" s="4">
        <f ca="1" t="shared" si="1024"/>
        <v>0</v>
      </c>
      <c r="V576" s="4">
        <f ca="1" t="shared" si="1025"/>
        <v>0</v>
      </c>
      <c r="W576" s="4">
        <f ca="1" t="shared" si="1026"/>
        <v>0</v>
      </c>
      <c r="X576" s="4">
        <f ca="1" t="shared" si="1027"/>
        <v>0.2216</v>
      </c>
      <c r="Y576" s="4">
        <f ca="1" t="shared" si="1028"/>
        <v>0</v>
      </c>
      <c r="Z576" s="4">
        <f ca="1" t="shared" si="1029"/>
        <v>0</v>
      </c>
      <c r="AA576" s="4">
        <f ca="1" t="shared" si="1030"/>
        <v>0</v>
      </c>
      <c r="AB576" s="4"/>
    </row>
    <row r="577" customHeight="1" outlineLevel="2" spans="1:28">
      <c r="A577" s="515" t="s">
        <v>3094</v>
      </c>
      <c r="B577" s="4"/>
      <c r="C577" s="510" t="s">
        <v>1309</v>
      </c>
      <c r="D577" s="4" t="s">
        <v>3095</v>
      </c>
      <c r="E577" s="4" t="s">
        <v>3063</v>
      </c>
      <c r="F577" s="4" t="s">
        <v>175</v>
      </c>
      <c r="G577" s="4">
        <v>1</v>
      </c>
      <c r="H577" s="4">
        <v>2049.97247706422</v>
      </c>
      <c r="I577" s="4">
        <f>G577*H577</f>
        <v>2049.97247706422</v>
      </c>
      <c r="J577" s="4">
        <f t="shared" ref="J577:L577" si="1031">+G577</f>
        <v>1</v>
      </c>
      <c r="K577" s="4">
        <f t="shared" si="1031"/>
        <v>2049.97247706422</v>
      </c>
      <c r="L577" s="517">
        <f t="shared" si="1031"/>
        <v>2049.97247706422</v>
      </c>
      <c r="M577" s="4">
        <v>1</v>
      </c>
      <c r="N577" s="4">
        <f ca="1">O577/M577</f>
        <v>659.65698</v>
      </c>
      <c r="O577" s="4">
        <f ca="1">(+O578+O579+O580+O581+O582+O583)</f>
        <v>659.65698</v>
      </c>
      <c r="P577" s="4"/>
      <c r="Q577" s="4"/>
      <c r="R577" s="4">
        <f>+P577+J577</f>
        <v>1</v>
      </c>
      <c r="S577" s="4">
        <f>+Q577+L577</f>
        <v>2049.97247706422</v>
      </c>
      <c r="T577" s="4">
        <f>IFERROR(VLOOKUP(A577,产值统计中间表!A:F,7,FALSE),0)</f>
        <v>0</v>
      </c>
      <c r="U577" s="4">
        <f>+T577*H577</f>
        <v>0</v>
      </c>
      <c r="V577" s="4">
        <f>IFERROR(VLOOKUP(A577,产值统计中间表!A:D,4,FALSE),0)</f>
        <v>0</v>
      </c>
      <c r="W577" s="4">
        <f>+V577*H577</f>
        <v>0</v>
      </c>
      <c r="X577" s="4">
        <f>+R577-V577</f>
        <v>1</v>
      </c>
      <c r="Y577" s="4">
        <f>+S577-W577</f>
        <v>2049.97247706422</v>
      </c>
      <c r="Z577" s="4">
        <f>IFERROR(VLOOKUP(A577,业主统计中间表!A:D,4,FALSE),0)</f>
        <v>0</v>
      </c>
      <c r="AA577" s="4">
        <f>+Z577*H577</f>
        <v>0</v>
      </c>
      <c r="AB577" s="4"/>
    </row>
    <row r="578" customHeight="1" outlineLevel="3" spans="1:28">
      <c r="A578" s="514" t="s">
        <v>3096</v>
      </c>
      <c r="B578" s="4"/>
      <c r="C578" s="510" t="s">
        <v>64</v>
      </c>
      <c r="D578" s="4" t="s">
        <v>1091</v>
      </c>
      <c r="E578" s="4"/>
      <c r="F578" s="4" t="str">
        <f ca="1" t="shared" ref="F578:F583" si="1032">VLOOKUP($D578,INDIRECT($C578),2,0)</f>
        <v>座</v>
      </c>
      <c r="G578" s="4"/>
      <c r="H578" s="4"/>
      <c r="I578" s="4"/>
      <c r="J578" s="4"/>
      <c r="K578" s="4"/>
      <c r="L578" s="517"/>
      <c r="M578" s="4">
        <v>1</v>
      </c>
      <c r="N578" s="4">
        <f ca="1" t="shared" ref="N578:N583" si="1033">VLOOKUP($D578,INDIRECT($C578),3,0)</f>
        <v>400</v>
      </c>
      <c r="O578" s="4">
        <f ca="1" t="shared" ref="O578:O583" si="1034">M578*N578</f>
        <v>400</v>
      </c>
      <c r="P578" s="4"/>
      <c r="Q578" s="4"/>
      <c r="R578" s="4"/>
      <c r="S578" s="4"/>
      <c r="T578" s="4">
        <f ca="1" t="shared" ref="T578:T583" si="1035">OFFSET(T578,-RIGHT($A578,LEN($A$6)),,1,1)/OFFSET(T578,-RIGHT($A578,LEN($A$6)),-13,1,1)*$M578</f>
        <v>0</v>
      </c>
      <c r="U578" s="4">
        <f ca="1" t="shared" ref="U578:U583" si="1036">+$N578*T578</f>
        <v>0</v>
      </c>
      <c r="V578" s="4">
        <f ca="1" t="shared" ref="V578:V583" si="1037">OFFSET(V578,-RIGHT($A578,LEN($A$6)),,1,1)/OFFSET(V578,-RIGHT($A578,LEN($A$6)),-15,1,1)*$M578</f>
        <v>0</v>
      </c>
      <c r="W578" s="4">
        <f ca="1" t="shared" ref="W578:W583" si="1038">+$N578*V578</f>
        <v>0</v>
      </c>
      <c r="X578" s="4">
        <f ca="1" t="shared" ref="X578:X583" si="1039">+M578-V578</f>
        <v>1</v>
      </c>
      <c r="Y578" s="4">
        <f ca="1" t="shared" ref="Y578:Y583" si="1040">+O578-W578</f>
        <v>400</v>
      </c>
      <c r="Z578" s="4">
        <f ca="1" t="shared" ref="Z578:Z583" si="1041">OFFSET(Z578,-RIGHT($A578,LEN($A$6)),,1,1)/OFFSET(Z578,-RIGHT($A578,LEN($A$6)),-19,1,1)*$M578</f>
        <v>0</v>
      </c>
      <c r="AA578" s="4">
        <f ca="1" t="shared" ref="AA578:AA583" si="1042">+$N578*Z578</f>
        <v>0</v>
      </c>
      <c r="AB578" s="4"/>
    </row>
    <row r="579" customHeight="1" outlineLevel="3" spans="1:28">
      <c r="A579" s="514" t="s">
        <v>3097</v>
      </c>
      <c r="B579" s="4"/>
      <c r="C579" s="510" t="s">
        <v>64</v>
      </c>
      <c r="D579" s="4" t="s">
        <v>262</v>
      </c>
      <c r="E579" s="4"/>
      <c r="F579" s="4" t="str">
        <f ca="1" t="shared" si="1032"/>
        <v>m2</v>
      </c>
      <c r="G579" s="4"/>
      <c r="H579" s="4"/>
      <c r="I579" s="4"/>
      <c r="J579" s="4"/>
      <c r="K579" s="4"/>
      <c r="L579" s="517"/>
      <c r="M579" s="4">
        <v>0.461516</v>
      </c>
      <c r="N579" s="4">
        <f ca="1" t="shared" si="1033"/>
        <v>55</v>
      </c>
      <c r="O579" s="4">
        <f ca="1" t="shared" si="1034"/>
        <v>25.38338</v>
      </c>
      <c r="P579" s="4"/>
      <c r="Q579" s="4"/>
      <c r="R579" s="4"/>
      <c r="S579" s="4"/>
      <c r="T579" s="4">
        <f ca="1" t="shared" si="1035"/>
        <v>0</v>
      </c>
      <c r="U579" s="4">
        <f ca="1" t="shared" si="1036"/>
        <v>0</v>
      </c>
      <c r="V579" s="4">
        <f ca="1" t="shared" si="1037"/>
        <v>0</v>
      </c>
      <c r="W579" s="4">
        <f ca="1" t="shared" si="1038"/>
        <v>0</v>
      </c>
      <c r="X579" s="4">
        <f ca="1" t="shared" si="1039"/>
        <v>0.461516</v>
      </c>
      <c r="Y579" s="4">
        <f ca="1" t="shared" si="1040"/>
        <v>25.38338</v>
      </c>
      <c r="Z579" s="4">
        <f ca="1" t="shared" si="1041"/>
        <v>0</v>
      </c>
      <c r="AA579" s="4">
        <f ca="1" t="shared" si="1042"/>
        <v>0</v>
      </c>
      <c r="AB579" s="4"/>
    </row>
    <row r="580" customHeight="1" outlineLevel="3" spans="1:28">
      <c r="A580" s="514" t="s">
        <v>3098</v>
      </c>
      <c r="B580" s="4"/>
      <c r="C580" s="510" t="s">
        <v>59</v>
      </c>
      <c r="D580" s="4" t="s">
        <v>377</v>
      </c>
      <c r="E580" s="4"/>
      <c r="F580" s="4" t="str">
        <f ca="1" t="shared" si="1032"/>
        <v>m2</v>
      </c>
      <c r="G580" s="4"/>
      <c r="H580" s="4"/>
      <c r="I580" s="4"/>
      <c r="J580" s="4"/>
      <c r="K580" s="4"/>
      <c r="L580" s="517"/>
      <c r="M580" s="4">
        <v>0.461516</v>
      </c>
      <c r="N580" s="4">
        <f ca="1" t="shared" si="1033"/>
        <v>0</v>
      </c>
      <c r="O580" s="4">
        <f ca="1" t="shared" si="1034"/>
        <v>0</v>
      </c>
      <c r="P580" s="4"/>
      <c r="Q580" s="4"/>
      <c r="R580" s="4"/>
      <c r="S580" s="4"/>
      <c r="T580" s="4">
        <f ca="1" t="shared" si="1035"/>
        <v>0</v>
      </c>
      <c r="U580" s="4">
        <f ca="1" t="shared" si="1036"/>
        <v>0</v>
      </c>
      <c r="V580" s="4">
        <f ca="1" t="shared" si="1037"/>
        <v>0</v>
      </c>
      <c r="W580" s="4">
        <f ca="1" t="shared" si="1038"/>
        <v>0</v>
      </c>
      <c r="X580" s="4">
        <f ca="1" t="shared" si="1039"/>
        <v>0.461516</v>
      </c>
      <c r="Y580" s="4">
        <f ca="1" t="shared" si="1040"/>
        <v>0</v>
      </c>
      <c r="Z580" s="4">
        <f ca="1" t="shared" si="1041"/>
        <v>0</v>
      </c>
      <c r="AA580" s="4">
        <f ca="1" t="shared" si="1042"/>
        <v>0</v>
      </c>
      <c r="AB580" s="4"/>
    </row>
    <row r="581" customHeight="1" outlineLevel="3" spans="1:28">
      <c r="A581" s="514" t="s">
        <v>3099</v>
      </c>
      <c r="B581" s="4"/>
      <c r="C581" s="510" t="s">
        <v>59</v>
      </c>
      <c r="D581" s="4" t="s">
        <v>1113</v>
      </c>
      <c r="E581" s="4"/>
      <c r="F581" s="4" t="str">
        <f ca="1" t="shared" si="1032"/>
        <v>m3</v>
      </c>
      <c r="G581" s="4"/>
      <c r="H581" s="4"/>
      <c r="I581" s="4"/>
      <c r="J581" s="4"/>
      <c r="K581" s="4"/>
      <c r="L581" s="517"/>
      <c r="M581" s="4">
        <v>2.1311</v>
      </c>
      <c r="N581" s="4">
        <f ca="1" t="shared" si="1033"/>
        <v>0</v>
      </c>
      <c r="O581" s="4">
        <f ca="1" t="shared" si="1034"/>
        <v>0</v>
      </c>
      <c r="P581" s="4"/>
      <c r="Q581" s="4"/>
      <c r="R581" s="4"/>
      <c r="S581" s="4"/>
      <c r="T581" s="4">
        <f ca="1" t="shared" si="1035"/>
        <v>0</v>
      </c>
      <c r="U581" s="4">
        <f ca="1" t="shared" si="1036"/>
        <v>0</v>
      </c>
      <c r="V581" s="4">
        <f ca="1" t="shared" si="1037"/>
        <v>0</v>
      </c>
      <c r="W581" s="4">
        <f ca="1" t="shared" si="1038"/>
        <v>0</v>
      </c>
      <c r="X581" s="4">
        <f ca="1" t="shared" si="1039"/>
        <v>2.1311</v>
      </c>
      <c r="Y581" s="4">
        <f ca="1" t="shared" si="1040"/>
        <v>0</v>
      </c>
      <c r="Z581" s="4">
        <f ca="1" t="shared" si="1041"/>
        <v>0</v>
      </c>
      <c r="AA581" s="4">
        <f ca="1" t="shared" si="1042"/>
        <v>0</v>
      </c>
      <c r="AB581" s="4"/>
    </row>
    <row r="582" customHeight="1" outlineLevel="3" spans="1:28">
      <c r="A582" s="514" t="s">
        <v>3100</v>
      </c>
      <c r="B582" s="4"/>
      <c r="C582" s="510" t="s">
        <v>59</v>
      </c>
      <c r="D582" s="4" t="s">
        <v>347</v>
      </c>
      <c r="E582" s="4"/>
      <c r="F582" s="4" t="str">
        <f ca="1" t="shared" si="1032"/>
        <v>m3</v>
      </c>
      <c r="G582" s="4"/>
      <c r="H582" s="4"/>
      <c r="I582" s="4"/>
      <c r="J582" s="4"/>
      <c r="K582" s="4"/>
      <c r="L582" s="517"/>
      <c r="M582" s="4">
        <v>1.95228</v>
      </c>
      <c r="N582" s="4">
        <f ca="1" t="shared" si="1033"/>
        <v>120</v>
      </c>
      <c r="O582" s="4">
        <f ca="1" t="shared" si="1034"/>
        <v>234.2736</v>
      </c>
      <c r="P582" s="4"/>
      <c r="Q582" s="4"/>
      <c r="R582" s="4"/>
      <c r="S582" s="4"/>
      <c r="T582" s="4">
        <f ca="1" t="shared" si="1035"/>
        <v>0</v>
      </c>
      <c r="U582" s="4">
        <f ca="1" t="shared" si="1036"/>
        <v>0</v>
      </c>
      <c r="V582" s="4">
        <f ca="1" t="shared" si="1037"/>
        <v>0</v>
      </c>
      <c r="W582" s="4">
        <f ca="1" t="shared" si="1038"/>
        <v>0</v>
      </c>
      <c r="X582" s="4">
        <f ca="1" t="shared" si="1039"/>
        <v>1.95228</v>
      </c>
      <c r="Y582" s="4">
        <f ca="1" t="shared" si="1040"/>
        <v>234.2736</v>
      </c>
      <c r="Z582" s="4">
        <f ca="1" t="shared" si="1041"/>
        <v>0</v>
      </c>
      <c r="AA582" s="4">
        <f ca="1" t="shared" si="1042"/>
        <v>0</v>
      </c>
      <c r="AB582" s="4"/>
    </row>
    <row r="583" customHeight="1" outlineLevel="3" spans="1:28">
      <c r="A583" s="514" t="s">
        <v>3101</v>
      </c>
      <c r="B583" s="4"/>
      <c r="C583" s="510" t="s">
        <v>59</v>
      </c>
      <c r="D583" s="4" t="s">
        <v>1077</v>
      </c>
      <c r="E583" s="4"/>
      <c r="F583" s="4" t="str">
        <f ca="1" t="shared" si="1032"/>
        <v>m3</v>
      </c>
      <c r="G583" s="4"/>
      <c r="H583" s="4"/>
      <c r="I583" s="4"/>
      <c r="J583" s="4"/>
      <c r="K583" s="4"/>
      <c r="L583" s="517"/>
      <c r="M583" s="4">
        <v>1.177284</v>
      </c>
      <c r="N583" s="4">
        <f ca="1" t="shared" si="1033"/>
        <v>0</v>
      </c>
      <c r="O583" s="4">
        <f ca="1" t="shared" si="1034"/>
        <v>0</v>
      </c>
      <c r="P583" s="4"/>
      <c r="Q583" s="4"/>
      <c r="R583" s="4"/>
      <c r="S583" s="4"/>
      <c r="T583" s="4">
        <f ca="1" t="shared" si="1035"/>
        <v>0</v>
      </c>
      <c r="U583" s="4">
        <f ca="1" t="shared" si="1036"/>
        <v>0</v>
      </c>
      <c r="V583" s="4">
        <f ca="1" t="shared" si="1037"/>
        <v>0</v>
      </c>
      <c r="W583" s="4">
        <f ca="1" t="shared" si="1038"/>
        <v>0</v>
      </c>
      <c r="X583" s="4">
        <f ca="1" t="shared" si="1039"/>
        <v>1.177284</v>
      </c>
      <c r="Y583" s="4">
        <f ca="1" t="shared" si="1040"/>
        <v>0</v>
      </c>
      <c r="Z583" s="4">
        <f ca="1" t="shared" si="1041"/>
        <v>0</v>
      </c>
      <c r="AA583" s="4">
        <f ca="1" t="shared" si="1042"/>
        <v>0</v>
      </c>
      <c r="AB583" s="4"/>
    </row>
    <row r="584" customHeight="1" outlineLevel="2" spans="1:28">
      <c r="A584" s="515" t="s">
        <v>3102</v>
      </c>
      <c r="B584" s="4"/>
      <c r="C584" s="510" t="s">
        <v>1309</v>
      </c>
      <c r="D584" s="4" t="s">
        <v>3103</v>
      </c>
      <c r="E584" s="4" t="s">
        <v>3054</v>
      </c>
      <c r="F584" s="4" t="s">
        <v>76</v>
      </c>
      <c r="G584" s="4">
        <v>140</v>
      </c>
      <c r="H584" s="4">
        <v>238.880733944954</v>
      </c>
      <c r="I584" s="4">
        <f>G584*H584</f>
        <v>33443.3027522936</v>
      </c>
      <c r="J584" s="4">
        <f t="shared" ref="J584:L584" si="1043">+G584</f>
        <v>140</v>
      </c>
      <c r="K584" s="4">
        <f t="shared" si="1043"/>
        <v>238.880733944954</v>
      </c>
      <c r="L584" s="517">
        <f t="shared" si="1043"/>
        <v>33443.3027522936</v>
      </c>
      <c r="M584" s="4">
        <v>140</v>
      </c>
      <c r="N584" s="4">
        <f ca="1">O584/M584</f>
        <v>40.4</v>
      </c>
      <c r="O584" s="4">
        <f ca="1">(+O585+O586+O587)</f>
        <v>5656</v>
      </c>
      <c r="P584" s="4"/>
      <c r="Q584" s="4"/>
      <c r="R584" s="4">
        <f>+P584+J584</f>
        <v>140</v>
      </c>
      <c r="S584" s="4">
        <f>+Q584+L584</f>
        <v>33443.3027522936</v>
      </c>
      <c r="T584" s="4">
        <f>IFERROR(VLOOKUP(A584,产值统计中间表!A:F,7,FALSE),0)</f>
        <v>0</v>
      </c>
      <c r="U584" s="4">
        <f>+T584*H584</f>
        <v>0</v>
      </c>
      <c r="V584" s="4">
        <f>IFERROR(VLOOKUP(A584,产值统计中间表!A:D,4,FALSE),0)</f>
        <v>0</v>
      </c>
      <c r="W584" s="4">
        <f>+V584*H584</f>
        <v>0</v>
      </c>
      <c r="X584" s="4">
        <f>+R584-V584</f>
        <v>140</v>
      </c>
      <c r="Y584" s="4">
        <f>+S584-W584</f>
        <v>33443.3027522936</v>
      </c>
      <c r="Z584" s="4">
        <f>IFERROR(VLOOKUP(A584,业主统计中间表!A:D,4,FALSE),0)</f>
        <v>0</v>
      </c>
      <c r="AA584" s="4">
        <f>+Z584*H584</f>
        <v>0</v>
      </c>
      <c r="AB584" s="4"/>
    </row>
    <row r="585" customHeight="1" outlineLevel="3" spans="1:28">
      <c r="A585" s="514" t="s">
        <v>3104</v>
      </c>
      <c r="B585" s="4"/>
      <c r="C585" s="510" t="s">
        <v>64</v>
      </c>
      <c r="D585" s="4" t="s">
        <v>1085</v>
      </c>
      <c r="E585" s="4"/>
      <c r="F585" s="4" t="str">
        <f ca="1" t="shared" ref="F585:F587" si="1044">VLOOKUP($D585,INDIRECT($C585),2,0)</f>
        <v>m</v>
      </c>
      <c r="G585" s="4"/>
      <c r="H585" s="4"/>
      <c r="I585" s="4"/>
      <c r="J585" s="4"/>
      <c r="K585" s="4"/>
      <c r="L585" s="517"/>
      <c r="M585" s="4">
        <v>141.4</v>
      </c>
      <c r="N585" s="4">
        <f ca="1" t="shared" ref="N585:N587" si="1045">VLOOKUP($D585,INDIRECT($C585),3,0)</f>
        <v>40</v>
      </c>
      <c r="O585" s="4">
        <f ca="1">M585*N585</f>
        <v>5656</v>
      </c>
      <c r="P585" s="4"/>
      <c r="Q585" s="4"/>
      <c r="R585" s="4"/>
      <c r="S585" s="4"/>
      <c r="T585" s="4">
        <f ca="1" t="shared" ref="T585:T587" si="1046">OFFSET(T585,-RIGHT($A585,LEN($A$6)),,1,1)/OFFSET(T585,-RIGHT($A585,LEN($A$6)),-13,1,1)*$M585</f>
        <v>0</v>
      </c>
      <c r="U585" s="4">
        <f ca="1" t="shared" ref="U585:U587" si="1047">+$N585*T585</f>
        <v>0</v>
      </c>
      <c r="V585" s="4">
        <f ca="1" t="shared" ref="V585:V587" si="1048">OFFSET(V585,-RIGHT($A585,LEN($A$6)),,1,1)/OFFSET(V585,-RIGHT($A585,LEN($A$6)),-15,1,1)*$M585</f>
        <v>0</v>
      </c>
      <c r="W585" s="4">
        <f ca="1" t="shared" ref="W585:W587" si="1049">+$N585*V585</f>
        <v>0</v>
      </c>
      <c r="X585" s="4">
        <f ca="1" t="shared" ref="X585:X587" si="1050">+M585-V585</f>
        <v>141.4</v>
      </c>
      <c r="Y585" s="4">
        <f ca="1" t="shared" ref="Y585:Y587" si="1051">+O585-W585</f>
        <v>5656</v>
      </c>
      <c r="Z585" s="4">
        <f ca="1" t="shared" ref="Z585:Z587" si="1052">OFFSET(Z585,-RIGHT($A585,LEN($A$6)),,1,1)/OFFSET(Z585,-RIGHT($A585,LEN($A$6)),-19,1,1)*$M585</f>
        <v>0</v>
      </c>
      <c r="AA585" s="4">
        <f ca="1" t="shared" ref="AA585:AA587" si="1053">+$N585*Z585</f>
        <v>0</v>
      </c>
      <c r="AB585" s="4"/>
    </row>
    <row r="586" customHeight="1" outlineLevel="3" spans="1:28">
      <c r="A586" s="514" t="s">
        <v>3105</v>
      </c>
      <c r="B586" s="4"/>
      <c r="C586" s="510" t="s">
        <v>59</v>
      </c>
      <c r="D586" s="4" t="s">
        <v>1122</v>
      </c>
      <c r="E586" s="4" t="str">
        <f ca="1">"含钢量："&amp;ROUND($M$586/$G$584,3)&amp;$F$586&amp;"/"&amp;$F$584</f>
        <v>含钢量：1.01m/m</v>
      </c>
      <c r="F586" s="4" t="str">
        <f ca="1" t="shared" si="1044"/>
        <v>m</v>
      </c>
      <c r="G586" s="4"/>
      <c r="H586" s="4"/>
      <c r="I586" s="4"/>
      <c r="J586" s="4"/>
      <c r="K586" s="4"/>
      <c r="L586" s="517"/>
      <c r="M586" s="4">
        <v>141.4</v>
      </c>
      <c r="N586" s="4">
        <f ca="1" t="shared" si="1045"/>
        <v>0</v>
      </c>
      <c r="O586" s="4">
        <f ca="1">M586*N586</f>
        <v>0</v>
      </c>
      <c r="P586" s="4"/>
      <c r="Q586" s="4"/>
      <c r="R586" s="4"/>
      <c r="S586" s="4"/>
      <c r="T586" s="4">
        <f ca="1" t="shared" si="1046"/>
        <v>0</v>
      </c>
      <c r="U586" s="4">
        <f ca="1" t="shared" si="1047"/>
        <v>0</v>
      </c>
      <c r="V586" s="4">
        <f ca="1" t="shared" si="1048"/>
        <v>0</v>
      </c>
      <c r="W586" s="4">
        <f ca="1" t="shared" si="1049"/>
        <v>0</v>
      </c>
      <c r="X586" s="4">
        <f ca="1" t="shared" si="1050"/>
        <v>141.4</v>
      </c>
      <c r="Y586" s="4">
        <f ca="1" t="shared" si="1051"/>
        <v>0</v>
      </c>
      <c r="Z586" s="4">
        <f ca="1" t="shared" si="1052"/>
        <v>0</v>
      </c>
      <c r="AA586" s="4">
        <f ca="1" t="shared" si="1053"/>
        <v>0</v>
      </c>
      <c r="AB586" s="4"/>
    </row>
    <row r="587" customHeight="1" outlineLevel="3" spans="1:28">
      <c r="A587" s="514" t="s">
        <v>3106</v>
      </c>
      <c r="B587" s="4"/>
      <c r="C587" s="510" t="s">
        <v>59</v>
      </c>
      <c r="D587" s="4" t="s">
        <v>1020</v>
      </c>
      <c r="E587" s="4"/>
      <c r="F587" s="4" t="str">
        <f ca="1" t="shared" si="1044"/>
        <v>m3</v>
      </c>
      <c r="G587" s="4"/>
      <c r="H587" s="4"/>
      <c r="I587" s="4"/>
      <c r="J587" s="4"/>
      <c r="K587" s="4"/>
      <c r="L587" s="517"/>
      <c r="M587" s="4">
        <v>105.34292</v>
      </c>
      <c r="N587" s="4">
        <f ca="1" t="shared" si="1045"/>
        <v>0</v>
      </c>
      <c r="O587" s="4">
        <f ca="1">M587*N587</f>
        <v>0</v>
      </c>
      <c r="P587" s="4"/>
      <c r="Q587" s="4"/>
      <c r="R587" s="4"/>
      <c r="S587" s="4"/>
      <c r="T587" s="4">
        <f ca="1" t="shared" si="1046"/>
        <v>0</v>
      </c>
      <c r="U587" s="4">
        <f ca="1" t="shared" si="1047"/>
        <v>0</v>
      </c>
      <c r="V587" s="4">
        <f ca="1" t="shared" si="1048"/>
        <v>0</v>
      </c>
      <c r="W587" s="4">
        <f ca="1" t="shared" si="1049"/>
        <v>0</v>
      </c>
      <c r="X587" s="4">
        <f ca="1" t="shared" si="1050"/>
        <v>105.34292</v>
      </c>
      <c r="Y587" s="4">
        <f ca="1" t="shared" si="1051"/>
        <v>0</v>
      </c>
      <c r="Z587" s="4">
        <f ca="1" t="shared" si="1052"/>
        <v>0</v>
      </c>
      <c r="AA587" s="4">
        <f ca="1" t="shared" si="1053"/>
        <v>0</v>
      </c>
      <c r="AB587" s="4"/>
    </row>
    <row r="588" customHeight="1" outlineLevel="2" spans="1:28">
      <c r="A588" s="515" t="s">
        <v>3107</v>
      </c>
      <c r="B588" s="4"/>
      <c r="C588" s="510" t="s">
        <v>1309</v>
      </c>
      <c r="D588" s="4" t="s">
        <v>1079</v>
      </c>
      <c r="E588" s="4" t="s">
        <v>3063</v>
      </c>
      <c r="F588" s="4" t="s">
        <v>175</v>
      </c>
      <c r="G588" s="4">
        <v>8</v>
      </c>
      <c r="H588" s="4">
        <v>1282.05504587156</v>
      </c>
      <c r="I588" s="4">
        <f>G588*H588</f>
        <v>10256.4403669725</v>
      </c>
      <c r="J588" s="4">
        <f t="shared" ref="J588:L588" si="1054">+G588</f>
        <v>8</v>
      </c>
      <c r="K588" s="4">
        <f t="shared" si="1054"/>
        <v>1282.05504587156</v>
      </c>
      <c r="L588" s="517">
        <f t="shared" si="1054"/>
        <v>10256.4403669725</v>
      </c>
      <c r="M588" s="4">
        <v>8</v>
      </c>
      <c r="N588" s="4">
        <f ca="1">O588/M588</f>
        <v>250</v>
      </c>
      <c r="O588" s="4">
        <f ca="1">(+O589+O590+O591+O592+O593+O594)</f>
        <v>2000</v>
      </c>
      <c r="P588" s="4"/>
      <c r="Q588" s="4"/>
      <c r="R588" s="4">
        <f>+P588+J588</f>
        <v>8</v>
      </c>
      <c r="S588" s="4">
        <f>+Q588+L588</f>
        <v>10256.4403669725</v>
      </c>
      <c r="T588" s="4">
        <f>IFERROR(VLOOKUP(A588,产值统计中间表!A:F,7,FALSE),0)</f>
        <v>0</v>
      </c>
      <c r="U588" s="4">
        <f>+T588*H588</f>
        <v>0</v>
      </c>
      <c r="V588" s="4">
        <f>IFERROR(VLOOKUP(A588,产值统计中间表!A:D,4,FALSE),0)</f>
        <v>0</v>
      </c>
      <c r="W588" s="4">
        <f>+V588*H588</f>
        <v>0</v>
      </c>
      <c r="X588" s="4">
        <f>+R588-V588</f>
        <v>8</v>
      </c>
      <c r="Y588" s="4">
        <f>+S588-W588</f>
        <v>10256.4403669725</v>
      </c>
      <c r="Z588" s="4">
        <f>IFERROR(VLOOKUP(A588,业主统计中间表!A:D,4,FALSE),0)</f>
        <v>0</v>
      </c>
      <c r="AA588" s="4">
        <f>+Z588*H588</f>
        <v>0</v>
      </c>
      <c r="AB588" s="4"/>
    </row>
    <row r="589" customHeight="1" outlineLevel="3" spans="1:28">
      <c r="A589" s="514" t="s">
        <v>3108</v>
      </c>
      <c r="B589" s="4"/>
      <c r="C589" s="510" t="s">
        <v>64</v>
      </c>
      <c r="D589" s="4" t="s">
        <v>1079</v>
      </c>
      <c r="E589" s="4"/>
      <c r="F589" s="4" t="str">
        <f ca="1" t="shared" ref="F589:F594" si="1055">VLOOKUP($D589,INDIRECT($C589),2,0)</f>
        <v>座</v>
      </c>
      <c r="G589" s="4"/>
      <c r="H589" s="4"/>
      <c r="I589" s="4"/>
      <c r="J589" s="4"/>
      <c r="K589" s="4"/>
      <c r="L589" s="517"/>
      <c r="M589" s="4">
        <v>8</v>
      </c>
      <c r="N589" s="4">
        <f ca="1" t="shared" ref="N589:N594" si="1056">VLOOKUP($D589,INDIRECT($C589),3,0)</f>
        <v>250</v>
      </c>
      <c r="O589" s="4">
        <f ca="1" t="shared" ref="O589:O594" si="1057">M589*N589</f>
        <v>2000</v>
      </c>
      <c r="P589" s="4"/>
      <c r="Q589" s="4"/>
      <c r="R589" s="4"/>
      <c r="S589" s="4"/>
      <c r="T589" s="4">
        <f ca="1" t="shared" ref="T589:T594" si="1058">OFFSET(T589,-RIGHT($A589,LEN($A$6)),,1,1)/OFFSET(T589,-RIGHT($A589,LEN($A$6)),-13,1,1)*$M589</f>
        <v>0</v>
      </c>
      <c r="U589" s="4">
        <f ca="1" t="shared" ref="U589:U594" si="1059">+$N589*T589</f>
        <v>0</v>
      </c>
      <c r="V589" s="4">
        <f ca="1" t="shared" ref="V589:V594" si="1060">OFFSET(V589,-RIGHT($A589,LEN($A$6)),,1,1)/OFFSET(V589,-RIGHT($A589,LEN($A$6)),-15,1,1)*$M589</f>
        <v>0</v>
      </c>
      <c r="W589" s="4">
        <f ca="1" t="shared" ref="W589:W594" si="1061">+$N589*V589</f>
        <v>0</v>
      </c>
      <c r="X589" s="4">
        <f ca="1" t="shared" ref="X589:X594" si="1062">+M589-V589</f>
        <v>8</v>
      </c>
      <c r="Y589" s="4">
        <f ca="1" t="shared" ref="Y589:Y594" si="1063">+O589-W589</f>
        <v>2000</v>
      </c>
      <c r="Z589" s="4">
        <f ca="1" t="shared" ref="Z589:Z594" si="1064">OFFSET(Z589,-RIGHT($A589,LEN($A$6)),,1,1)/OFFSET(Z589,-RIGHT($A589,LEN($A$6)),-19,1,1)*$M589</f>
        <v>0</v>
      </c>
      <c r="AA589" s="4">
        <f ca="1" t="shared" ref="AA589:AA594" si="1065">+$N589*Z589</f>
        <v>0</v>
      </c>
      <c r="AB589" s="4"/>
    </row>
    <row r="590" customHeight="1" outlineLevel="3" spans="1:28">
      <c r="A590" s="514" t="s">
        <v>3109</v>
      </c>
      <c r="B590" s="4"/>
      <c r="C590" s="510" t="s">
        <v>59</v>
      </c>
      <c r="D590" s="4" t="s">
        <v>1017</v>
      </c>
      <c r="E590" s="4"/>
      <c r="F590" s="4" t="str">
        <f ca="1" t="shared" si="1055"/>
        <v>m3</v>
      </c>
      <c r="G590" s="4"/>
      <c r="H590" s="4"/>
      <c r="I590" s="4"/>
      <c r="J590" s="4"/>
      <c r="K590" s="4"/>
      <c r="L590" s="517"/>
      <c r="M590" s="4">
        <v>1.7776</v>
      </c>
      <c r="N590" s="4">
        <f ca="1" t="shared" si="1056"/>
        <v>0</v>
      </c>
      <c r="O590" s="4">
        <f ca="1" t="shared" si="1057"/>
        <v>0</v>
      </c>
      <c r="P590" s="4"/>
      <c r="Q590" s="4"/>
      <c r="R590" s="4"/>
      <c r="S590" s="4"/>
      <c r="T590" s="4">
        <f ca="1" t="shared" si="1058"/>
        <v>0</v>
      </c>
      <c r="U590" s="4">
        <f ca="1" t="shared" si="1059"/>
        <v>0</v>
      </c>
      <c r="V590" s="4">
        <f ca="1" t="shared" si="1060"/>
        <v>0</v>
      </c>
      <c r="W590" s="4">
        <f ca="1" t="shared" si="1061"/>
        <v>0</v>
      </c>
      <c r="X590" s="4">
        <f ca="1" t="shared" si="1062"/>
        <v>1.7776</v>
      </c>
      <c r="Y590" s="4">
        <f ca="1" t="shared" si="1063"/>
        <v>0</v>
      </c>
      <c r="Z590" s="4">
        <f ca="1" t="shared" si="1064"/>
        <v>0</v>
      </c>
      <c r="AA590" s="4">
        <f ca="1" t="shared" si="1065"/>
        <v>0</v>
      </c>
      <c r="AB590" s="4"/>
    </row>
    <row r="591" customHeight="1" outlineLevel="3" spans="1:28">
      <c r="A591" s="514" t="s">
        <v>3110</v>
      </c>
      <c r="B591" s="4"/>
      <c r="C591" s="510" t="s">
        <v>59</v>
      </c>
      <c r="D591" s="4" t="s">
        <v>1125</v>
      </c>
      <c r="E591" s="4"/>
      <c r="F591" s="4" t="str">
        <f ca="1" t="shared" si="1055"/>
        <v>m3</v>
      </c>
      <c r="G591" s="4"/>
      <c r="H591" s="4"/>
      <c r="I591" s="4"/>
      <c r="J591" s="4"/>
      <c r="K591" s="4"/>
      <c r="L591" s="517"/>
      <c r="M591" s="4">
        <f>4.71296*1000</f>
        <v>4712.96</v>
      </c>
      <c r="N591" s="4">
        <f ca="1" t="shared" si="1056"/>
        <v>0</v>
      </c>
      <c r="O591" s="4">
        <f ca="1" t="shared" si="1057"/>
        <v>0</v>
      </c>
      <c r="P591" s="4"/>
      <c r="Q591" s="4"/>
      <c r="R591" s="4"/>
      <c r="S591" s="4"/>
      <c r="T591" s="4">
        <f ca="1" t="shared" si="1058"/>
        <v>0</v>
      </c>
      <c r="U591" s="4">
        <f ca="1" t="shared" si="1059"/>
        <v>0</v>
      </c>
      <c r="V591" s="4">
        <f ca="1" t="shared" si="1060"/>
        <v>0</v>
      </c>
      <c r="W591" s="4">
        <f ca="1" t="shared" si="1061"/>
        <v>0</v>
      </c>
      <c r="X591" s="4">
        <f ca="1" t="shared" si="1062"/>
        <v>4712.96</v>
      </c>
      <c r="Y591" s="4">
        <f ca="1" t="shared" si="1063"/>
        <v>0</v>
      </c>
      <c r="Z591" s="4">
        <f ca="1" t="shared" si="1064"/>
        <v>0</v>
      </c>
      <c r="AA591" s="4">
        <f ca="1" t="shared" si="1065"/>
        <v>0</v>
      </c>
      <c r="AB591" s="4"/>
    </row>
    <row r="592" customHeight="1" outlineLevel="3" spans="1:28">
      <c r="A592" s="514" t="s">
        <v>3111</v>
      </c>
      <c r="B592" s="4"/>
      <c r="C592" s="510" t="s">
        <v>59</v>
      </c>
      <c r="D592" s="4" t="s">
        <v>779</v>
      </c>
      <c r="E592" s="4"/>
      <c r="F592" s="4" t="str">
        <f ca="1" t="shared" si="1055"/>
        <v>吨</v>
      </c>
      <c r="G592" s="4"/>
      <c r="H592" s="4"/>
      <c r="I592" s="4"/>
      <c r="J592" s="4"/>
      <c r="K592" s="4"/>
      <c r="L592" s="517"/>
      <c r="M592" s="4">
        <v>4.010496</v>
      </c>
      <c r="N592" s="4">
        <f ca="1" t="shared" si="1056"/>
        <v>0</v>
      </c>
      <c r="O592" s="4">
        <f ca="1" t="shared" si="1057"/>
        <v>0</v>
      </c>
      <c r="P592" s="4"/>
      <c r="Q592" s="4"/>
      <c r="R592" s="4"/>
      <c r="S592" s="4"/>
      <c r="T592" s="4">
        <f ca="1" t="shared" si="1058"/>
        <v>0</v>
      </c>
      <c r="U592" s="4">
        <f ca="1" t="shared" si="1059"/>
        <v>0</v>
      </c>
      <c r="V592" s="4">
        <f ca="1" t="shared" si="1060"/>
        <v>0</v>
      </c>
      <c r="W592" s="4">
        <f ca="1" t="shared" si="1061"/>
        <v>0</v>
      </c>
      <c r="X592" s="4">
        <f ca="1" t="shared" si="1062"/>
        <v>4.010496</v>
      </c>
      <c r="Y592" s="4">
        <f ca="1" t="shared" si="1063"/>
        <v>0</v>
      </c>
      <c r="Z592" s="4">
        <f ca="1" t="shared" si="1064"/>
        <v>0</v>
      </c>
      <c r="AA592" s="4">
        <f ca="1" t="shared" si="1065"/>
        <v>0</v>
      </c>
      <c r="AB592" s="4"/>
    </row>
    <row r="593" customHeight="1" outlineLevel="3" spans="1:28">
      <c r="A593" s="514" t="s">
        <v>3112</v>
      </c>
      <c r="B593" s="4"/>
      <c r="C593" s="510" t="s">
        <v>59</v>
      </c>
      <c r="D593" s="4" t="s">
        <v>1128</v>
      </c>
      <c r="E593" s="4"/>
      <c r="F593" s="4" t="str">
        <f ca="1" t="shared" si="1055"/>
        <v>m3</v>
      </c>
      <c r="G593" s="4"/>
      <c r="H593" s="4"/>
      <c r="I593" s="4"/>
      <c r="J593" s="4"/>
      <c r="K593" s="4"/>
      <c r="L593" s="517"/>
      <c r="M593" s="4">
        <v>2.134692</v>
      </c>
      <c r="N593" s="4">
        <f ca="1" t="shared" si="1056"/>
        <v>0</v>
      </c>
      <c r="O593" s="4">
        <f ca="1" t="shared" si="1057"/>
        <v>0</v>
      </c>
      <c r="P593" s="4"/>
      <c r="Q593" s="4"/>
      <c r="R593" s="4"/>
      <c r="S593" s="4"/>
      <c r="T593" s="4">
        <f ca="1" t="shared" si="1058"/>
        <v>0</v>
      </c>
      <c r="U593" s="4">
        <f ca="1" t="shared" si="1059"/>
        <v>0</v>
      </c>
      <c r="V593" s="4">
        <f ca="1" t="shared" si="1060"/>
        <v>0</v>
      </c>
      <c r="W593" s="4">
        <f ca="1" t="shared" si="1061"/>
        <v>0</v>
      </c>
      <c r="X593" s="4">
        <f ca="1" t="shared" si="1062"/>
        <v>2.134692</v>
      </c>
      <c r="Y593" s="4">
        <f ca="1" t="shared" si="1063"/>
        <v>0</v>
      </c>
      <c r="Z593" s="4">
        <f ca="1" t="shared" si="1064"/>
        <v>0</v>
      </c>
      <c r="AA593" s="4">
        <f ca="1" t="shared" si="1065"/>
        <v>0</v>
      </c>
      <c r="AB593" s="4"/>
    </row>
    <row r="594" customHeight="1" outlineLevel="3" spans="1:28">
      <c r="A594" s="514" t="s">
        <v>3113</v>
      </c>
      <c r="B594" s="4"/>
      <c r="C594" s="510" t="s">
        <v>59</v>
      </c>
      <c r="D594" s="4" t="s">
        <v>1110</v>
      </c>
      <c r="E594" s="4"/>
      <c r="F594" s="4" t="str">
        <f ca="1" t="shared" si="1055"/>
        <v>套</v>
      </c>
      <c r="G594" s="4"/>
      <c r="H594" s="4"/>
      <c r="I594" s="4"/>
      <c r="J594" s="4"/>
      <c r="K594" s="4"/>
      <c r="L594" s="517"/>
      <c r="M594" s="4">
        <v>8</v>
      </c>
      <c r="N594" s="4">
        <f ca="1" t="shared" si="1056"/>
        <v>0</v>
      </c>
      <c r="O594" s="4">
        <f ca="1" t="shared" si="1057"/>
        <v>0</v>
      </c>
      <c r="P594" s="4"/>
      <c r="Q594" s="4"/>
      <c r="R594" s="4"/>
      <c r="S594" s="4"/>
      <c r="T594" s="4">
        <f ca="1" t="shared" si="1058"/>
        <v>0</v>
      </c>
      <c r="U594" s="4">
        <f ca="1" t="shared" si="1059"/>
        <v>0</v>
      </c>
      <c r="V594" s="4">
        <f ca="1" t="shared" si="1060"/>
        <v>0</v>
      </c>
      <c r="W594" s="4">
        <f ca="1" t="shared" si="1061"/>
        <v>0</v>
      </c>
      <c r="X594" s="4">
        <f ca="1" t="shared" si="1062"/>
        <v>8</v>
      </c>
      <c r="Y594" s="4">
        <f ca="1" t="shared" si="1063"/>
        <v>0</v>
      </c>
      <c r="Z594" s="4">
        <f ca="1" t="shared" si="1064"/>
        <v>0</v>
      </c>
      <c r="AA594" s="4">
        <f ca="1" t="shared" si="1065"/>
        <v>0</v>
      </c>
      <c r="AB594" s="4"/>
    </row>
    <row r="595" customHeight="1" outlineLevel="1" spans="1:28">
      <c r="A595" s="518" t="s">
        <v>3114</v>
      </c>
      <c r="B595" s="4"/>
      <c r="C595" s="510" t="s">
        <v>60</v>
      </c>
      <c r="D595" s="4" t="s">
        <v>3115</v>
      </c>
      <c r="E595" s="4"/>
      <c r="F595" s="4"/>
      <c r="G595" s="4"/>
      <c r="H595" s="4"/>
      <c r="I595" s="4">
        <f>(+I596+I598+I600+I602+I604+I606+I608+I610)</f>
        <v>741957.237522936</v>
      </c>
      <c r="J595" s="4"/>
      <c r="K595" s="4"/>
      <c r="L595" s="517">
        <f>(+L596+L598+L600+L602+L604+L606+L608+L610)</f>
        <v>741957.237522936</v>
      </c>
      <c r="M595" s="4"/>
      <c r="N595" s="4"/>
      <c r="O595" s="4">
        <f>(+O596+O598+O600+O602+O604+O606+O608+O610)</f>
        <v>578726.64526789</v>
      </c>
      <c r="P595" s="4"/>
      <c r="Q595" s="4"/>
      <c r="R595" s="4"/>
      <c r="S595" s="4"/>
      <c r="T595" s="4"/>
      <c r="U595" s="4"/>
      <c r="V595" s="4"/>
      <c r="W595" s="4"/>
      <c r="X595" s="4"/>
      <c r="Y595" s="4"/>
      <c r="Z595" s="4"/>
      <c r="AA595" s="4"/>
      <c r="AB595" s="4"/>
    </row>
    <row r="596" customHeight="1" outlineLevel="2" spans="1:28">
      <c r="A596" s="515" t="s">
        <v>3116</v>
      </c>
      <c r="B596" s="4"/>
      <c r="C596" s="510" t="s">
        <v>1309</v>
      </c>
      <c r="D596" s="4" t="s">
        <v>1984</v>
      </c>
      <c r="E596" s="4" t="s">
        <v>2920</v>
      </c>
      <c r="F596" s="4" t="s">
        <v>69</v>
      </c>
      <c r="G596" s="4">
        <v>957.99</v>
      </c>
      <c r="H596" s="4">
        <v>102.871559633028</v>
      </c>
      <c r="I596" s="4">
        <f>G596*H596</f>
        <v>98549.9254128445</v>
      </c>
      <c r="J596" s="4">
        <f t="shared" ref="J596:L596" si="1066">+G596</f>
        <v>957.99</v>
      </c>
      <c r="K596" s="4">
        <f t="shared" si="1066"/>
        <v>102.871559633028</v>
      </c>
      <c r="L596" s="517">
        <f t="shared" si="1066"/>
        <v>98549.9254128445</v>
      </c>
      <c r="M596" s="4">
        <f t="shared" ref="M596:M600" si="1067">+G596</f>
        <v>957.99</v>
      </c>
      <c r="N596" s="4">
        <f t="shared" ref="N596:N600" si="1068">O596/M596</f>
        <v>80.2398165137618</v>
      </c>
      <c r="O596" s="4">
        <f>(+O597)</f>
        <v>76868.9418220187</v>
      </c>
      <c r="P596" s="4"/>
      <c r="Q596" s="4"/>
      <c r="R596" s="4">
        <f t="shared" ref="R596:R600" si="1069">+P596+J596</f>
        <v>957.99</v>
      </c>
      <c r="S596" s="4">
        <f t="shared" ref="S596:S600" si="1070">+Q596+L596</f>
        <v>98549.9254128445</v>
      </c>
      <c r="T596" s="4">
        <f>IFERROR(VLOOKUP(A596,产值统计中间表!A:F,7,FALSE),0)</f>
        <v>0</v>
      </c>
      <c r="U596" s="4">
        <f t="shared" ref="U596:U600" si="1071">+T596*H596</f>
        <v>0</v>
      </c>
      <c r="V596" s="4">
        <f>IFERROR(VLOOKUP(A596,产值统计中间表!A:D,4,FALSE),0)</f>
        <v>0</v>
      </c>
      <c r="W596" s="4">
        <f t="shared" ref="W596:W600" si="1072">+V596*H596</f>
        <v>0</v>
      </c>
      <c r="X596" s="4">
        <f t="shared" ref="X596:X600" si="1073">+R596-V596</f>
        <v>957.99</v>
      </c>
      <c r="Y596" s="4">
        <f t="shared" ref="Y596:Y600" si="1074">+S596-W596</f>
        <v>98549.9254128445</v>
      </c>
      <c r="Z596" s="4">
        <f>IFERROR(VLOOKUP(A596,业主统计中间表!A:D,4,FALSE),0)</f>
        <v>0</v>
      </c>
      <c r="AA596" s="4">
        <f t="shared" ref="AA596:AA600" si="1075">+Z596*H596</f>
        <v>0</v>
      </c>
      <c r="AB596" s="4"/>
    </row>
    <row r="597" customHeight="1" outlineLevel="3" spans="1:28">
      <c r="A597" s="514" t="s">
        <v>3117</v>
      </c>
      <c r="B597" s="4"/>
      <c r="C597" s="510" t="s">
        <v>65</v>
      </c>
      <c r="D597" s="4" t="s">
        <v>189</v>
      </c>
      <c r="E597" s="4"/>
      <c r="F597" s="4"/>
      <c r="G597" s="4"/>
      <c r="H597" s="4"/>
      <c r="I597" s="4"/>
      <c r="J597" s="4"/>
      <c r="K597" s="4"/>
      <c r="L597" s="517"/>
      <c r="M597" s="4">
        <f>I596</f>
        <v>98549.9254128445</v>
      </c>
      <c r="N597" s="4">
        <f>0.78</f>
        <v>0.78</v>
      </c>
      <c r="O597" s="4">
        <f>M597*N597</f>
        <v>76868.9418220187</v>
      </c>
      <c r="P597" s="4"/>
      <c r="Q597" s="4"/>
      <c r="R597" s="4"/>
      <c r="S597" s="4"/>
      <c r="T597" s="4">
        <f ca="1" t="shared" ref="T597:T601" si="1076">OFFSET(T597,-RIGHT($A597,LEN($A$6)),,1,1)/OFFSET(T597,-RIGHT($A597,LEN($A$6)),-13,1,1)*$M597</f>
        <v>0</v>
      </c>
      <c r="U597" s="4">
        <f ca="1" t="shared" ref="U597:U601" si="1077">+$N597*T597</f>
        <v>0</v>
      </c>
      <c r="V597" s="4">
        <f ca="1" t="shared" ref="V597:V601" si="1078">OFFSET(V597,-RIGHT($A597,LEN($A$6)),,1,1)/OFFSET(V597,-RIGHT($A597,LEN($A$6)),-15,1,1)*$M597</f>
        <v>0</v>
      </c>
      <c r="W597" s="4">
        <f ca="1" t="shared" ref="W597:W601" si="1079">+$N597*V597</f>
        <v>0</v>
      </c>
      <c r="X597" s="4">
        <f ca="1" t="shared" ref="X597:X601" si="1080">+M597-V597</f>
        <v>98549.9254128445</v>
      </c>
      <c r="Y597" s="4">
        <f ca="1" t="shared" ref="Y597:Y601" si="1081">+O597-W597</f>
        <v>76868.9418220187</v>
      </c>
      <c r="Z597" s="4">
        <f ca="1" t="shared" ref="Z597:Z601" si="1082">OFFSET(Z597,-RIGHT($A597,LEN($A$6)),,1,1)/OFFSET(Z597,-RIGHT($A597,LEN($A$6)),-19,1,1)*$M597</f>
        <v>0</v>
      </c>
      <c r="AA597" s="4">
        <f ca="1" t="shared" ref="AA597:AA601" si="1083">+$N597*Z597</f>
        <v>0</v>
      </c>
      <c r="AB597" s="4"/>
    </row>
    <row r="598" customHeight="1" outlineLevel="2" spans="1:28">
      <c r="A598" s="515" t="s">
        <v>3118</v>
      </c>
      <c r="B598" s="4"/>
      <c r="C598" s="510" t="s">
        <v>1309</v>
      </c>
      <c r="D598" s="4" t="s">
        <v>3119</v>
      </c>
      <c r="E598" s="4" t="s">
        <v>2576</v>
      </c>
      <c r="F598" s="4" t="s">
        <v>69</v>
      </c>
      <c r="G598" s="4">
        <v>815.05</v>
      </c>
      <c r="H598" s="4">
        <v>134.935779816514</v>
      </c>
      <c r="I598" s="4">
        <f>G598*H598</f>
        <v>109979.40733945</v>
      </c>
      <c r="J598" s="4">
        <f t="shared" ref="J598:L598" si="1084">+G598</f>
        <v>815.05</v>
      </c>
      <c r="K598" s="4">
        <f t="shared" si="1084"/>
        <v>134.935779816514</v>
      </c>
      <c r="L598" s="517">
        <f t="shared" si="1084"/>
        <v>109979.40733945</v>
      </c>
      <c r="M598" s="4">
        <f t="shared" si="1067"/>
        <v>815.05</v>
      </c>
      <c r="N598" s="4">
        <f t="shared" si="1068"/>
        <v>105.249908256881</v>
      </c>
      <c r="O598" s="4">
        <f>(+O599)</f>
        <v>85783.937724771</v>
      </c>
      <c r="P598" s="4"/>
      <c r="Q598" s="4"/>
      <c r="R598" s="4">
        <f t="shared" si="1069"/>
        <v>815.05</v>
      </c>
      <c r="S598" s="4">
        <f t="shared" si="1070"/>
        <v>109979.40733945</v>
      </c>
      <c r="T598" s="4">
        <f>IFERROR(VLOOKUP(A598,产值统计中间表!A:F,7,FALSE),0)</f>
        <v>0</v>
      </c>
      <c r="U598" s="4">
        <f t="shared" si="1071"/>
        <v>0</v>
      </c>
      <c r="V598" s="4">
        <f>IFERROR(VLOOKUP(A598,产值统计中间表!A:D,4,FALSE),0)</f>
        <v>0</v>
      </c>
      <c r="W598" s="4">
        <f t="shared" si="1072"/>
        <v>0</v>
      </c>
      <c r="X598" s="4">
        <f t="shared" si="1073"/>
        <v>815.05</v>
      </c>
      <c r="Y598" s="4">
        <f t="shared" si="1074"/>
        <v>109979.40733945</v>
      </c>
      <c r="Z598" s="4">
        <f>IFERROR(VLOOKUP(A598,业主统计中间表!A:D,4,FALSE),0)</f>
        <v>0</v>
      </c>
      <c r="AA598" s="4">
        <f t="shared" si="1075"/>
        <v>0</v>
      </c>
      <c r="AB598" s="4"/>
    </row>
    <row r="599" customHeight="1" outlineLevel="3" spans="1:28">
      <c r="A599" s="514" t="s">
        <v>3120</v>
      </c>
      <c r="B599" s="4"/>
      <c r="C599" s="510" t="s">
        <v>65</v>
      </c>
      <c r="D599" s="4" t="s">
        <v>189</v>
      </c>
      <c r="E599" s="4"/>
      <c r="F599" s="4"/>
      <c r="G599" s="4"/>
      <c r="H599" s="4"/>
      <c r="I599" s="4"/>
      <c r="J599" s="4"/>
      <c r="K599" s="4"/>
      <c r="L599" s="517"/>
      <c r="M599" s="4">
        <v>109979.40733945</v>
      </c>
      <c r="N599" s="4">
        <v>0.78</v>
      </c>
      <c r="O599" s="4">
        <f>M599*N599</f>
        <v>85783.937724771</v>
      </c>
      <c r="P599" s="4"/>
      <c r="Q599" s="4"/>
      <c r="R599" s="4"/>
      <c r="S599" s="4"/>
      <c r="T599" s="4">
        <f ca="1" t="shared" si="1076"/>
        <v>0</v>
      </c>
      <c r="U599" s="4">
        <f ca="1" t="shared" si="1077"/>
        <v>0</v>
      </c>
      <c r="V599" s="4">
        <f ca="1" t="shared" si="1078"/>
        <v>0</v>
      </c>
      <c r="W599" s="4">
        <f ca="1" t="shared" si="1079"/>
        <v>0</v>
      </c>
      <c r="X599" s="4">
        <f ca="1" t="shared" si="1080"/>
        <v>109979.40733945</v>
      </c>
      <c r="Y599" s="4">
        <f ca="1" t="shared" si="1081"/>
        <v>85783.937724771</v>
      </c>
      <c r="Z599" s="4">
        <f ca="1" t="shared" si="1082"/>
        <v>0</v>
      </c>
      <c r="AA599" s="4">
        <f ca="1" t="shared" si="1083"/>
        <v>0</v>
      </c>
      <c r="AB599" s="4"/>
    </row>
    <row r="600" customHeight="1" outlineLevel="2" spans="1:28">
      <c r="A600" s="515" t="s">
        <v>3121</v>
      </c>
      <c r="B600" s="4"/>
      <c r="C600" s="510" t="s">
        <v>1309</v>
      </c>
      <c r="D600" s="4" t="s">
        <v>2965</v>
      </c>
      <c r="E600" s="4" t="s">
        <v>2576</v>
      </c>
      <c r="F600" s="4" t="s">
        <v>69</v>
      </c>
      <c r="G600" s="4">
        <v>142.94</v>
      </c>
      <c r="H600" s="4">
        <v>195.94495412844</v>
      </c>
      <c r="I600" s="4">
        <f>G600*H600</f>
        <v>28008.3717431192</v>
      </c>
      <c r="J600" s="4">
        <f t="shared" ref="J600:L600" si="1085">+G600</f>
        <v>142.94</v>
      </c>
      <c r="K600" s="4">
        <f t="shared" si="1085"/>
        <v>195.94495412844</v>
      </c>
      <c r="L600" s="517">
        <f t="shared" si="1085"/>
        <v>28008.3717431192</v>
      </c>
      <c r="M600" s="4">
        <f t="shared" si="1067"/>
        <v>142.94</v>
      </c>
      <c r="N600" s="4">
        <f t="shared" si="1068"/>
        <v>152.837064220183</v>
      </c>
      <c r="O600" s="4">
        <f>(+O601)</f>
        <v>21846.529959633</v>
      </c>
      <c r="P600" s="4"/>
      <c r="Q600" s="4"/>
      <c r="R600" s="4">
        <f t="shared" si="1069"/>
        <v>142.94</v>
      </c>
      <c r="S600" s="4">
        <f t="shared" si="1070"/>
        <v>28008.3717431192</v>
      </c>
      <c r="T600" s="4">
        <f>IFERROR(VLOOKUP(A600,产值统计中间表!A:F,7,FALSE),0)</f>
        <v>0</v>
      </c>
      <c r="U600" s="4">
        <f t="shared" si="1071"/>
        <v>0</v>
      </c>
      <c r="V600" s="4">
        <f>IFERROR(VLOOKUP(A600,产值统计中间表!A:D,4,FALSE),0)</f>
        <v>0</v>
      </c>
      <c r="W600" s="4">
        <f t="shared" si="1072"/>
        <v>0</v>
      </c>
      <c r="X600" s="4">
        <f t="shared" si="1073"/>
        <v>142.94</v>
      </c>
      <c r="Y600" s="4">
        <f t="shared" si="1074"/>
        <v>28008.3717431192</v>
      </c>
      <c r="Z600" s="4">
        <f>IFERROR(VLOOKUP(A600,业主统计中间表!A:D,4,FALSE),0)</f>
        <v>0</v>
      </c>
      <c r="AA600" s="4">
        <f t="shared" si="1075"/>
        <v>0</v>
      </c>
      <c r="AB600" s="4"/>
    </row>
    <row r="601" customHeight="1" outlineLevel="3" spans="1:28">
      <c r="A601" s="514" t="s">
        <v>3122</v>
      </c>
      <c r="B601" s="4"/>
      <c r="C601" s="510" t="s">
        <v>65</v>
      </c>
      <c r="D601" s="4" t="s">
        <v>189</v>
      </c>
      <c r="E601" s="4"/>
      <c r="F601" s="4"/>
      <c r="G601" s="4"/>
      <c r="H601" s="4"/>
      <c r="I601" s="4"/>
      <c r="J601" s="4"/>
      <c r="K601" s="4"/>
      <c r="L601" s="517"/>
      <c r="M601" s="4">
        <f t="shared" ref="M601:M605" si="1086">I600</f>
        <v>28008.3717431192</v>
      </c>
      <c r="N601" s="4">
        <f>0.78</f>
        <v>0.78</v>
      </c>
      <c r="O601" s="4">
        <f>M601*N601</f>
        <v>21846.529959633</v>
      </c>
      <c r="P601" s="4"/>
      <c r="Q601" s="4"/>
      <c r="R601" s="4"/>
      <c r="S601" s="4"/>
      <c r="T601" s="4">
        <f ca="1" t="shared" si="1076"/>
        <v>0</v>
      </c>
      <c r="U601" s="4">
        <f ca="1" t="shared" si="1077"/>
        <v>0</v>
      </c>
      <c r="V601" s="4">
        <f ca="1" t="shared" si="1078"/>
        <v>0</v>
      </c>
      <c r="W601" s="4">
        <f ca="1" t="shared" si="1079"/>
        <v>0</v>
      </c>
      <c r="X601" s="4">
        <f ca="1" t="shared" si="1080"/>
        <v>28008.3717431192</v>
      </c>
      <c r="Y601" s="4">
        <f ca="1" t="shared" si="1081"/>
        <v>21846.529959633</v>
      </c>
      <c r="Z601" s="4">
        <f ca="1" t="shared" si="1082"/>
        <v>0</v>
      </c>
      <c r="AA601" s="4">
        <f ca="1" t="shared" si="1083"/>
        <v>0</v>
      </c>
      <c r="AB601" s="4"/>
    </row>
    <row r="602" customHeight="1" outlineLevel="2" spans="1:28">
      <c r="A602" s="515" t="s">
        <v>3123</v>
      </c>
      <c r="B602" s="4"/>
      <c r="C602" s="510" t="s">
        <v>1309</v>
      </c>
      <c r="D602" s="4" t="s">
        <v>3124</v>
      </c>
      <c r="E602" s="4" t="s">
        <v>2911</v>
      </c>
      <c r="F602" s="4" t="s">
        <v>902</v>
      </c>
      <c r="G602" s="4">
        <v>82</v>
      </c>
      <c r="H602" s="4">
        <v>787.715596330275</v>
      </c>
      <c r="I602" s="4">
        <f>G602*H602</f>
        <v>64592.6788990826</v>
      </c>
      <c r="J602" s="4">
        <f t="shared" ref="J602:L602" si="1087">+G602</f>
        <v>82</v>
      </c>
      <c r="K602" s="4">
        <f t="shared" si="1087"/>
        <v>787.715596330275</v>
      </c>
      <c r="L602" s="517">
        <f t="shared" si="1087"/>
        <v>64592.6788990826</v>
      </c>
      <c r="M602" s="4">
        <f t="shared" ref="M602:M606" si="1088">+G602</f>
        <v>82</v>
      </c>
      <c r="N602" s="4">
        <f t="shared" ref="N602:N606" si="1089">O602/M602</f>
        <v>614.418165137615</v>
      </c>
      <c r="O602" s="4">
        <f>(+O603)</f>
        <v>50382.2895412844</v>
      </c>
      <c r="P602" s="4"/>
      <c r="Q602" s="4"/>
      <c r="R602" s="4">
        <f t="shared" ref="R602:R606" si="1090">+P602+J602</f>
        <v>82</v>
      </c>
      <c r="S602" s="4">
        <f t="shared" ref="S602:S606" si="1091">+Q602+L602</f>
        <v>64592.6788990826</v>
      </c>
      <c r="T602" s="4">
        <f>IFERROR(VLOOKUP(A602,产值统计中间表!A:F,7,FALSE),0)</f>
        <v>0</v>
      </c>
      <c r="U602" s="4">
        <f t="shared" ref="U602:U606" si="1092">+T602*H602</f>
        <v>0</v>
      </c>
      <c r="V602" s="4">
        <f>IFERROR(VLOOKUP(A602,产值统计中间表!A:D,4,FALSE),0)</f>
        <v>0</v>
      </c>
      <c r="W602" s="4">
        <f t="shared" ref="W602:W606" si="1093">+V602*H602</f>
        <v>0</v>
      </c>
      <c r="X602" s="4">
        <f t="shared" ref="X602:X606" si="1094">+R602-V602</f>
        <v>82</v>
      </c>
      <c r="Y602" s="4">
        <f t="shared" ref="Y602:Y606" si="1095">+S602-W602</f>
        <v>64592.6788990826</v>
      </c>
      <c r="Z602" s="4">
        <f>IFERROR(VLOOKUP(A602,业主统计中间表!A:D,4,FALSE),0)</f>
        <v>0</v>
      </c>
      <c r="AA602" s="4">
        <f t="shared" ref="AA602:AA606" si="1096">+Z602*H602</f>
        <v>0</v>
      </c>
      <c r="AB602" s="4"/>
    </row>
    <row r="603" customHeight="1" outlineLevel="3" spans="1:28">
      <c r="A603" s="514" t="s">
        <v>3125</v>
      </c>
      <c r="B603" s="4"/>
      <c r="C603" s="510" t="s">
        <v>65</v>
      </c>
      <c r="D603" s="4" t="s">
        <v>189</v>
      </c>
      <c r="E603" s="4"/>
      <c r="F603" s="4"/>
      <c r="G603" s="4"/>
      <c r="H603" s="4"/>
      <c r="I603" s="4"/>
      <c r="J603" s="4"/>
      <c r="K603" s="4"/>
      <c r="L603" s="517"/>
      <c r="M603" s="4">
        <f t="shared" si="1086"/>
        <v>64592.6788990826</v>
      </c>
      <c r="N603" s="4">
        <v>0.78</v>
      </c>
      <c r="O603" s="4">
        <f>M603*N603</f>
        <v>50382.2895412844</v>
      </c>
      <c r="P603" s="4"/>
      <c r="Q603" s="4"/>
      <c r="R603" s="4"/>
      <c r="S603" s="4"/>
      <c r="T603" s="4">
        <f ca="1" t="shared" ref="T603:T607" si="1097">OFFSET(T603,-RIGHT($A603,LEN($A$6)),,1,1)/OFFSET(T603,-RIGHT($A603,LEN($A$6)),-13,1,1)*$M603</f>
        <v>0</v>
      </c>
      <c r="U603" s="4">
        <f ca="1" t="shared" ref="U603:U607" si="1098">+$N603*T603</f>
        <v>0</v>
      </c>
      <c r="V603" s="4">
        <f ca="1" t="shared" ref="V603:V607" si="1099">OFFSET(V603,-RIGHT($A603,LEN($A$6)),,1,1)/OFFSET(V603,-RIGHT($A603,LEN($A$6)),-15,1,1)*$M603</f>
        <v>0</v>
      </c>
      <c r="W603" s="4">
        <f ca="1" t="shared" ref="W603:W607" si="1100">+$N603*V603</f>
        <v>0</v>
      </c>
      <c r="X603" s="4">
        <f ca="1" t="shared" ref="X603:X607" si="1101">+M603-V603</f>
        <v>64592.6788990826</v>
      </c>
      <c r="Y603" s="4">
        <f ca="1" t="shared" ref="Y603:Y607" si="1102">+O603-W603</f>
        <v>50382.2895412844</v>
      </c>
      <c r="Z603" s="4">
        <f ca="1" t="shared" ref="Z603:Z607" si="1103">OFFSET(Z603,-RIGHT($A603,LEN($A$6)),,1,1)/OFFSET(Z603,-RIGHT($A603,LEN($A$6)),-19,1,1)*$M603</f>
        <v>0</v>
      </c>
      <c r="AA603" s="4">
        <f ca="1" t="shared" ref="AA603:AA607" si="1104">+$N603*Z603</f>
        <v>0</v>
      </c>
      <c r="AB603" s="4"/>
    </row>
    <row r="604" customHeight="1" outlineLevel="2" spans="1:28">
      <c r="A604" s="515" t="s">
        <v>3126</v>
      </c>
      <c r="B604" s="4"/>
      <c r="C604" s="510" t="s">
        <v>1309</v>
      </c>
      <c r="D604" s="4" t="s">
        <v>3127</v>
      </c>
      <c r="E604" s="4" t="s">
        <v>2911</v>
      </c>
      <c r="F604" s="4" t="s">
        <v>69</v>
      </c>
      <c r="G604" s="4">
        <v>6539</v>
      </c>
      <c r="H604" s="4">
        <v>57.4036697247706</v>
      </c>
      <c r="I604" s="4">
        <f>G604*H604</f>
        <v>375362.596330275</v>
      </c>
      <c r="J604" s="4">
        <f t="shared" ref="J604:L604" si="1105">+G604</f>
        <v>6539</v>
      </c>
      <c r="K604" s="4">
        <f t="shared" si="1105"/>
        <v>57.4036697247706</v>
      </c>
      <c r="L604" s="517">
        <f t="shared" si="1105"/>
        <v>375362.596330275</v>
      </c>
      <c r="M604" s="4">
        <f t="shared" si="1088"/>
        <v>6539</v>
      </c>
      <c r="N604" s="4">
        <f t="shared" si="1089"/>
        <v>44.7748623853211</v>
      </c>
      <c r="O604" s="4">
        <f>(+O605)</f>
        <v>292782.825137614</v>
      </c>
      <c r="P604" s="4"/>
      <c r="Q604" s="4"/>
      <c r="R604" s="4">
        <f t="shared" si="1090"/>
        <v>6539</v>
      </c>
      <c r="S604" s="4">
        <f t="shared" si="1091"/>
        <v>375362.596330275</v>
      </c>
      <c r="T604" s="4">
        <f>IFERROR(VLOOKUP(A604,产值统计中间表!A:F,7,FALSE),0)</f>
        <v>0</v>
      </c>
      <c r="U604" s="4">
        <f t="shared" si="1092"/>
        <v>0</v>
      </c>
      <c r="V604" s="4">
        <f>IFERROR(VLOOKUP(A604,产值统计中间表!A:D,4,FALSE),0)</f>
        <v>0</v>
      </c>
      <c r="W604" s="4">
        <f t="shared" si="1093"/>
        <v>0</v>
      </c>
      <c r="X604" s="4">
        <f t="shared" si="1094"/>
        <v>6539</v>
      </c>
      <c r="Y604" s="4">
        <f t="shared" si="1095"/>
        <v>375362.596330275</v>
      </c>
      <c r="Z604" s="4">
        <f>IFERROR(VLOOKUP(A604,业主统计中间表!A:D,4,FALSE),0)</f>
        <v>0</v>
      </c>
      <c r="AA604" s="4">
        <f t="shared" si="1096"/>
        <v>0</v>
      </c>
      <c r="AB604" s="4"/>
    </row>
    <row r="605" customHeight="1" outlineLevel="3" spans="1:28">
      <c r="A605" s="514" t="s">
        <v>3128</v>
      </c>
      <c r="B605" s="4"/>
      <c r="C605" s="510" t="s">
        <v>65</v>
      </c>
      <c r="D605" s="4" t="s">
        <v>189</v>
      </c>
      <c r="E605" s="4"/>
      <c r="F605" s="4"/>
      <c r="G605" s="4"/>
      <c r="H605" s="4"/>
      <c r="I605" s="4"/>
      <c r="J605" s="4"/>
      <c r="K605" s="4"/>
      <c r="L605" s="517"/>
      <c r="M605" s="4">
        <f t="shared" si="1086"/>
        <v>375362.596330275</v>
      </c>
      <c r="N605" s="4">
        <v>0.78</v>
      </c>
      <c r="O605" s="4">
        <f>M605*N605</f>
        <v>292782.825137614</v>
      </c>
      <c r="P605" s="4"/>
      <c r="Q605" s="4"/>
      <c r="R605" s="4"/>
      <c r="S605" s="4"/>
      <c r="T605" s="4">
        <f ca="1" t="shared" si="1097"/>
        <v>0</v>
      </c>
      <c r="U605" s="4">
        <f ca="1" t="shared" si="1098"/>
        <v>0</v>
      </c>
      <c r="V605" s="4">
        <f ca="1" t="shared" si="1099"/>
        <v>0</v>
      </c>
      <c r="W605" s="4">
        <f ca="1" t="shared" si="1100"/>
        <v>0</v>
      </c>
      <c r="X605" s="4">
        <f ca="1" t="shared" si="1101"/>
        <v>375362.596330275</v>
      </c>
      <c r="Y605" s="4">
        <f ca="1" t="shared" si="1102"/>
        <v>292782.825137614</v>
      </c>
      <c r="Z605" s="4">
        <f ca="1" t="shared" si="1103"/>
        <v>0</v>
      </c>
      <c r="AA605" s="4">
        <f ca="1" t="shared" si="1104"/>
        <v>0</v>
      </c>
      <c r="AB605" s="4"/>
    </row>
    <row r="606" customHeight="1" outlineLevel="2" spans="1:28">
      <c r="A606" s="515" t="s">
        <v>3129</v>
      </c>
      <c r="B606" s="4"/>
      <c r="C606" s="510" t="s">
        <v>1309</v>
      </c>
      <c r="D606" s="4" t="s">
        <v>3130</v>
      </c>
      <c r="E606" s="4" t="s">
        <v>3131</v>
      </c>
      <c r="F606" s="4" t="s">
        <v>69</v>
      </c>
      <c r="G606" s="4">
        <v>6600</v>
      </c>
      <c r="H606" s="4">
        <v>4.26605504587156</v>
      </c>
      <c r="I606" s="4">
        <f>G606*H606</f>
        <v>28155.9633027523</v>
      </c>
      <c r="J606" s="4">
        <f t="shared" ref="J606:L606" si="1106">+G606</f>
        <v>6600</v>
      </c>
      <c r="K606" s="4">
        <f t="shared" si="1106"/>
        <v>4.26605504587156</v>
      </c>
      <c r="L606" s="517">
        <f t="shared" si="1106"/>
        <v>28155.9633027523</v>
      </c>
      <c r="M606" s="4">
        <f t="shared" si="1088"/>
        <v>6600</v>
      </c>
      <c r="N606" s="4">
        <f t="shared" si="1089"/>
        <v>3.32752293577982</v>
      </c>
      <c r="O606" s="4">
        <f>(+O607)</f>
        <v>21961.6513761468</v>
      </c>
      <c r="P606" s="4"/>
      <c r="Q606" s="4"/>
      <c r="R606" s="4">
        <f t="shared" si="1090"/>
        <v>6600</v>
      </c>
      <c r="S606" s="4">
        <f t="shared" si="1091"/>
        <v>28155.9633027523</v>
      </c>
      <c r="T606" s="4">
        <f>IFERROR(VLOOKUP(A606,产值统计中间表!A:F,7,FALSE),0)</f>
        <v>0</v>
      </c>
      <c r="U606" s="4">
        <f t="shared" si="1092"/>
        <v>0</v>
      </c>
      <c r="V606" s="4">
        <f>IFERROR(VLOOKUP(A606,产值统计中间表!A:D,4,FALSE),0)</f>
        <v>0</v>
      </c>
      <c r="W606" s="4">
        <f t="shared" si="1093"/>
        <v>0</v>
      </c>
      <c r="X606" s="4">
        <f t="shared" si="1094"/>
        <v>6600</v>
      </c>
      <c r="Y606" s="4">
        <f t="shared" si="1095"/>
        <v>28155.9633027523</v>
      </c>
      <c r="Z606" s="4">
        <f>IFERROR(VLOOKUP(A606,业主统计中间表!A:D,4,FALSE),0)</f>
        <v>0</v>
      </c>
      <c r="AA606" s="4">
        <f t="shared" si="1096"/>
        <v>0</v>
      </c>
      <c r="AB606" s="4"/>
    </row>
    <row r="607" customHeight="1" outlineLevel="3" spans="1:28">
      <c r="A607" s="514" t="s">
        <v>3132</v>
      </c>
      <c r="B607" s="4"/>
      <c r="C607" s="510" t="s">
        <v>65</v>
      </c>
      <c r="D607" s="4" t="s">
        <v>189</v>
      </c>
      <c r="E607" s="4"/>
      <c r="F607" s="4"/>
      <c r="G607" s="4"/>
      <c r="H607" s="4"/>
      <c r="I607" s="4"/>
      <c r="J607" s="4"/>
      <c r="K607" s="4"/>
      <c r="L607" s="517"/>
      <c r="M607" s="4">
        <f t="shared" ref="M607:M611" si="1107">I606</f>
        <v>28155.9633027523</v>
      </c>
      <c r="N607" s="4">
        <v>0.78</v>
      </c>
      <c r="O607" s="4">
        <f>M607*N607</f>
        <v>21961.6513761468</v>
      </c>
      <c r="P607" s="4"/>
      <c r="Q607" s="4"/>
      <c r="R607" s="4"/>
      <c r="S607" s="4"/>
      <c r="T607" s="4">
        <f ca="1" t="shared" si="1097"/>
        <v>0</v>
      </c>
      <c r="U607" s="4">
        <f ca="1" t="shared" si="1098"/>
        <v>0</v>
      </c>
      <c r="V607" s="4">
        <f ca="1" t="shared" si="1099"/>
        <v>0</v>
      </c>
      <c r="W607" s="4">
        <f ca="1" t="shared" si="1100"/>
        <v>0</v>
      </c>
      <c r="X607" s="4">
        <f ca="1" t="shared" si="1101"/>
        <v>28155.9633027523</v>
      </c>
      <c r="Y607" s="4">
        <f ca="1" t="shared" si="1102"/>
        <v>21961.6513761468</v>
      </c>
      <c r="Z607" s="4">
        <f ca="1" t="shared" si="1103"/>
        <v>0</v>
      </c>
      <c r="AA607" s="4">
        <f ca="1" t="shared" si="1104"/>
        <v>0</v>
      </c>
      <c r="AB607" s="4"/>
    </row>
    <row r="608" customHeight="1" outlineLevel="2" spans="1:28">
      <c r="A608" s="515" t="s">
        <v>3133</v>
      </c>
      <c r="B608" s="4"/>
      <c r="C608" s="510" t="s">
        <v>1309</v>
      </c>
      <c r="D608" s="4" t="s">
        <v>3134</v>
      </c>
      <c r="E608" s="4" t="s">
        <v>3131</v>
      </c>
      <c r="F608" s="4" t="s">
        <v>72</v>
      </c>
      <c r="G608" s="4">
        <v>1961.7</v>
      </c>
      <c r="H608" s="4">
        <v>9.20183486238532</v>
      </c>
      <c r="I608" s="4">
        <f>G608*H608</f>
        <v>18051.2394495413</v>
      </c>
      <c r="J608" s="4">
        <f t="shared" ref="J608:L608" si="1108">+G608</f>
        <v>1961.7</v>
      </c>
      <c r="K608" s="4">
        <f t="shared" si="1108"/>
        <v>9.20183486238532</v>
      </c>
      <c r="L608" s="517">
        <f t="shared" si="1108"/>
        <v>18051.2394495413</v>
      </c>
      <c r="M608" s="4">
        <f t="shared" ref="M608:M613" si="1109">+G608</f>
        <v>1961.7</v>
      </c>
      <c r="N608" s="4">
        <f t="shared" ref="N608:N613" si="1110">O608/M608</f>
        <v>7.17743119266055</v>
      </c>
      <c r="O608" s="4">
        <f>(+O609)</f>
        <v>14079.9667706422</v>
      </c>
      <c r="P608" s="4"/>
      <c r="Q608" s="4"/>
      <c r="R608" s="4">
        <f t="shared" ref="R608:R613" si="1111">+P608+J608</f>
        <v>1961.7</v>
      </c>
      <c r="S608" s="4">
        <f t="shared" ref="S608:S613" si="1112">+Q608+L608</f>
        <v>18051.2394495413</v>
      </c>
      <c r="T608" s="4">
        <f>IFERROR(VLOOKUP(A608,产值统计中间表!A:F,7,FALSE),0)</f>
        <v>0</v>
      </c>
      <c r="U608" s="4">
        <f t="shared" ref="U608:U613" si="1113">+T608*H608</f>
        <v>0</v>
      </c>
      <c r="V608" s="4">
        <f>IFERROR(VLOOKUP(A608,产值统计中间表!A:D,4,FALSE),0)</f>
        <v>0</v>
      </c>
      <c r="W608" s="4">
        <f t="shared" ref="W608:W613" si="1114">+V608*H608</f>
        <v>0</v>
      </c>
      <c r="X608" s="4">
        <f t="shared" ref="X608:X613" si="1115">+R608-V608</f>
        <v>1961.7</v>
      </c>
      <c r="Y608" s="4">
        <f t="shared" ref="Y608:Y613" si="1116">+S608-W608</f>
        <v>18051.2394495413</v>
      </c>
      <c r="Z608" s="4">
        <f>IFERROR(VLOOKUP(A608,业主统计中间表!A:D,4,FALSE),0)</f>
        <v>0</v>
      </c>
      <c r="AA608" s="4">
        <f t="shared" ref="AA608:AA613" si="1117">+Z608*H608</f>
        <v>0</v>
      </c>
      <c r="AB608" s="4"/>
    </row>
    <row r="609" customHeight="1" outlineLevel="3" spans="1:28">
      <c r="A609" s="514" t="s">
        <v>3135</v>
      </c>
      <c r="B609" s="4"/>
      <c r="C609" s="510" t="s">
        <v>65</v>
      </c>
      <c r="D609" s="4" t="s">
        <v>189</v>
      </c>
      <c r="E609" s="4"/>
      <c r="F609" s="4"/>
      <c r="G609" s="4"/>
      <c r="H609" s="4"/>
      <c r="I609" s="4"/>
      <c r="J609" s="4"/>
      <c r="K609" s="4"/>
      <c r="L609" s="517"/>
      <c r="M609" s="4">
        <f t="shared" si="1107"/>
        <v>18051.2394495413</v>
      </c>
      <c r="N609" s="4">
        <v>0.78</v>
      </c>
      <c r="O609" s="4">
        <f>M609*N609</f>
        <v>14079.9667706422</v>
      </c>
      <c r="P609" s="4"/>
      <c r="Q609" s="4"/>
      <c r="R609" s="4"/>
      <c r="S609" s="4"/>
      <c r="T609" s="4">
        <f ca="1" t="shared" ref="T609:T614" si="1118">OFFSET(T609,-RIGHT($A609,LEN($A$6)),,1,1)/OFFSET(T609,-RIGHT($A609,LEN($A$6)),-13,1,1)*$M609</f>
        <v>0</v>
      </c>
      <c r="U609" s="4">
        <f ca="1" t="shared" ref="U609:U614" si="1119">+$N609*T609</f>
        <v>0</v>
      </c>
      <c r="V609" s="4">
        <f ca="1" t="shared" ref="V609:V614" si="1120">OFFSET(V609,-RIGHT($A609,LEN($A$6)),,1,1)/OFFSET(V609,-RIGHT($A609,LEN($A$6)),-15,1,1)*$M609</f>
        <v>0</v>
      </c>
      <c r="W609" s="4">
        <f ca="1" t="shared" ref="W609:W614" si="1121">+$N609*V609</f>
        <v>0</v>
      </c>
      <c r="X609" s="4">
        <f ca="1" t="shared" ref="X609:X614" si="1122">+M609-V609</f>
        <v>18051.2394495413</v>
      </c>
      <c r="Y609" s="4">
        <f ca="1" t="shared" ref="Y609:Y614" si="1123">+O609-W609</f>
        <v>14079.9667706422</v>
      </c>
      <c r="Z609" s="4">
        <f ca="1" t="shared" ref="Z609:Z614" si="1124">OFFSET(Z609,-RIGHT($A609,LEN($A$6)),,1,1)/OFFSET(Z609,-RIGHT($A609,LEN($A$6)),-19,1,1)*$M609</f>
        <v>0</v>
      </c>
      <c r="AA609" s="4">
        <f ca="1" t="shared" ref="AA609:AA614" si="1125">+$N609*Z609</f>
        <v>0</v>
      </c>
      <c r="AB609" s="4"/>
    </row>
    <row r="610" customHeight="1" outlineLevel="2" spans="1:28">
      <c r="A610" s="515" t="s">
        <v>3136</v>
      </c>
      <c r="B610" s="4"/>
      <c r="C610" s="510" t="s">
        <v>1309</v>
      </c>
      <c r="D610" s="4" t="s">
        <v>3137</v>
      </c>
      <c r="E610" s="4" t="s">
        <v>3138</v>
      </c>
      <c r="F610" s="4" t="s">
        <v>69</v>
      </c>
      <c r="G610" s="4">
        <v>6539</v>
      </c>
      <c r="H610" s="4">
        <v>2.94495412844037</v>
      </c>
      <c r="I610" s="4">
        <f>G610*H610</f>
        <v>19257.0550458716</v>
      </c>
      <c r="J610" s="4">
        <f t="shared" ref="J610:L610" si="1126">+G610</f>
        <v>6539</v>
      </c>
      <c r="K610" s="4">
        <f t="shared" si="1126"/>
        <v>2.94495412844037</v>
      </c>
      <c r="L610" s="517">
        <f t="shared" si="1126"/>
        <v>19257.0550458716</v>
      </c>
      <c r="M610" s="4">
        <f t="shared" si="1109"/>
        <v>6539</v>
      </c>
      <c r="N610" s="4">
        <f t="shared" si="1110"/>
        <v>2.29706422018349</v>
      </c>
      <c r="O610" s="4">
        <f>(+O611)</f>
        <v>15020.5029357798</v>
      </c>
      <c r="P610" s="4"/>
      <c r="Q610" s="4"/>
      <c r="R610" s="4">
        <f t="shared" si="1111"/>
        <v>6539</v>
      </c>
      <c r="S610" s="4">
        <f t="shared" si="1112"/>
        <v>19257.0550458716</v>
      </c>
      <c r="T610" s="4">
        <f>IFERROR(VLOOKUP(A610,产值统计中间表!A:F,7,FALSE),0)</f>
        <v>0</v>
      </c>
      <c r="U610" s="4">
        <f t="shared" si="1113"/>
        <v>0</v>
      </c>
      <c r="V610" s="4">
        <f>IFERROR(VLOOKUP(A610,产值统计中间表!A:D,4,FALSE),0)</f>
        <v>0</v>
      </c>
      <c r="W610" s="4">
        <f t="shared" si="1114"/>
        <v>0</v>
      </c>
      <c r="X610" s="4">
        <f t="shared" si="1115"/>
        <v>6539</v>
      </c>
      <c r="Y610" s="4">
        <f t="shared" si="1116"/>
        <v>19257.0550458716</v>
      </c>
      <c r="Z610" s="4">
        <f>IFERROR(VLOOKUP(A610,业主统计中间表!A:D,4,FALSE),0)</f>
        <v>0</v>
      </c>
      <c r="AA610" s="4">
        <f t="shared" si="1117"/>
        <v>0</v>
      </c>
      <c r="AB610" s="4"/>
    </row>
    <row r="611" customHeight="1" outlineLevel="3" spans="1:28">
      <c r="A611" s="514" t="s">
        <v>3139</v>
      </c>
      <c r="B611" s="4"/>
      <c r="C611" s="510" t="s">
        <v>65</v>
      </c>
      <c r="D611" s="4" t="s">
        <v>189</v>
      </c>
      <c r="E611" s="4"/>
      <c r="F611" s="4"/>
      <c r="G611" s="4"/>
      <c r="H611" s="4"/>
      <c r="I611" s="4"/>
      <c r="J611" s="4"/>
      <c r="K611" s="4"/>
      <c r="L611" s="517"/>
      <c r="M611" s="4">
        <f t="shared" si="1107"/>
        <v>19257.0550458716</v>
      </c>
      <c r="N611" s="4">
        <v>0.78</v>
      </c>
      <c r="O611" s="4">
        <f>M611*N611</f>
        <v>15020.5029357798</v>
      </c>
      <c r="P611" s="4"/>
      <c r="Q611" s="4"/>
      <c r="R611" s="4"/>
      <c r="S611" s="4"/>
      <c r="T611" s="4">
        <f ca="1" t="shared" si="1118"/>
        <v>0</v>
      </c>
      <c r="U611" s="4">
        <f ca="1" t="shared" si="1119"/>
        <v>0</v>
      </c>
      <c r="V611" s="4">
        <f ca="1" t="shared" si="1120"/>
        <v>0</v>
      </c>
      <c r="W611" s="4">
        <f ca="1" t="shared" si="1121"/>
        <v>0</v>
      </c>
      <c r="X611" s="4">
        <f ca="1" t="shared" si="1122"/>
        <v>19257.0550458716</v>
      </c>
      <c r="Y611" s="4">
        <f ca="1" t="shared" si="1123"/>
        <v>15020.5029357798</v>
      </c>
      <c r="Z611" s="4">
        <f ca="1" t="shared" si="1124"/>
        <v>0</v>
      </c>
      <c r="AA611" s="4">
        <f ca="1" t="shared" si="1125"/>
        <v>0</v>
      </c>
      <c r="AB611" s="4"/>
    </row>
    <row r="612" customHeight="1" outlineLevel="1" spans="1:28">
      <c r="A612" s="518" t="s">
        <v>3140</v>
      </c>
      <c r="B612" s="4"/>
      <c r="C612" s="510" t="s">
        <v>60</v>
      </c>
      <c r="D612" s="4" t="s">
        <v>3141</v>
      </c>
      <c r="E612" s="4"/>
      <c r="F612" s="4"/>
      <c r="G612" s="4"/>
      <c r="H612" s="4"/>
      <c r="I612" s="4">
        <f>(+I613+I615+I617+I619+I621+I623+I625+I627)</f>
        <v>644584.486513761</v>
      </c>
      <c r="J612" s="4"/>
      <c r="K612" s="4"/>
      <c r="L612" s="517">
        <f>(+L613+L615+L617+L619+L621+L623+L625+L627)</f>
        <v>644584.486513761</v>
      </c>
      <c r="M612" s="4"/>
      <c r="N612" s="4"/>
      <c r="O612" s="4">
        <f>(+O613+O615+O617+O619+O621+O623+O625+O627)</f>
        <v>644584.486513761</v>
      </c>
      <c r="P612" s="4"/>
      <c r="Q612" s="4"/>
      <c r="R612" s="4"/>
      <c r="S612" s="4"/>
      <c r="T612" s="4"/>
      <c r="U612" s="4"/>
      <c r="V612" s="4"/>
      <c r="W612" s="4"/>
      <c r="X612" s="4"/>
      <c r="Y612" s="4"/>
      <c r="Z612" s="4"/>
      <c r="AA612" s="4"/>
      <c r="AB612" s="4"/>
    </row>
    <row r="613" customHeight="1" outlineLevel="2" spans="1:28">
      <c r="A613" s="515" t="s">
        <v>3142</v>
      </c>
      <c r="B613" s="4"/>
      <c r="C613" s="510" t="s">
        <v>1309</v>
      </c>
      <c r="D613" s="4" t="s">
        <v>3143</v>
      </c>
      <c r="E613" s="4" t="s">
        <v>2678</v>
      </c>
      <c r="F613" s="4" t="s">
        <v>169</v>
      </c>
      <c r="G613" s="4">
        <v>16</v>
      </c>
      <c r="H613" s="4">
        <v>4050.36697247706</v>
      </c>
      <c r="I613" s="4">
        <f>G613*H613</f>
        <v>64805.871559633</v>
      </c>
      <c r="J613" s="4">
        <f t="shared" ref="J613:L613" si="1127">+G613</f>
        <v>16</v>
      </c>
      <c r="K613" s="4">
        <f t="shared" si="1127"/>
        <v>4050.36697247706</v>
      </c>
      <c r="L613" s="517">
        <f t="shared" si="1127"/>
        <v>64805.871559633</v>
      </c>
      <c r="M613" s="4">
        <f t="shared" si="1109"/>
        <v>16</v>
      </c>
      <c r="N613" s="4">
        <f t="shared" si="1110"/>
        <v>4050.36697247706</v>
      </c>
      <c r="O613" s="4">
        <f>(+O614)</f>
        <v>64805.871559633</v>
      </c>
      <c r="P613" s="4"/>
      <c r="Q613" s="4"/>
      <c r="R613" s="4">
        <f t="shared" si="1111"/>
        <v>16</v>
      </c>
      <c r="S613" s="4">
        <f t="shared" si="1112"/>
        <v>64805.871559633</v>
      </c>
      <c r="T613" s="4">
        <f>IFERROR(VLOOKUP(A613,产值统计中间表!A:F,7,FALSE),0)</f>
        <v>0</v>
      </c>
      <c r="U613" s="4">
        <f t="shared" si="1113"/>
        <v>0</v>
      </c>
      <c r="V613" s="4">
        <f>IFERROR(VLOOKUP(A613,产值统计中间表!A:D,4,FALSE),0)</f>
        <v>0</v>
      </c>
      <c r="W613" s="4">
        <f t="shared" si="1114"/>
        <v>0</v>
      </c>
      <c r="X613" s="4">
        <f t="shared" si="1115"/>
        <v>16</v>
      </c>
      <c r="Y613" s="4">
        <f t="shared" si="1116"/>
        <v>64805.871559633</v>
      </c>
      <c r="Z613" s="4">
        <f>IFERROR(VLOOKUP(A613,业主统计中间表!A:D,4,FALSE),0)</f>
        <v>0</v>
      </c>
      <c r="AA613" s="4">
        <f t="shared" si="1117"/>
        <v>0</v>
      </c>
      <c r="AB613" s="4"/>
    </row>
    <row r="614" customHeight="1" outlineLevel="3" spans="1:28">
      <c r="A614" s="514" t="s">
        <v>3144</v>
      </c>
      <c r="B614" s="4"/>
      <c r="C614" s="510" t="s">
        <v>65</v>
      </c>
      <c r="D614" s="4" t="s">
        <v>683</v>
      </c>
      <c r="E614" s="4"/>
      <c r="F614" s="4"/>
      <c r="G614" s="4"/>
      <c r="H614" s="4"/>
      <c r="I614" s="4"/>
      <c r="J614" s="4"/>
      <c r="K614" s="4"/>
      <c r="L614" s="517"/>
      <c r="M614" s="4">
        <f t="shared" ref="M614:M618" si="1128">I613</f>
        <v>64805.871559633</v>
      </c>
      <c r="N614" s="4">
        <f>1</f>
        <v>1</v>
      </c>
      <c r="O614" s="4">
        <f>M614*N614</f>
        <v>64805.871559633</v>
      </c>
      <c r="P614" s="4"/>
      <c r="Q614" s="4"/>
      <c r="R614" s="4"/>
      <c r="S614" s="4"/>
      <c r="T614" s="4">
        <f ca="1" t="shared" si="1118"/>
        <v>0</v>
      </c>
      <c r="U614" s="4">
        <f ca="1" t="shared" si="1119"/>
        <v>0</v>
      </c>
      <c r="V614" s="4">
        <f ca="1" t="shared" si="1120"/>
        <v>0</v>
      </c>
      <c r="W614" s="4">
        <f ca="1" t="shared" si="1121"/>
        <v>0</v>
      </c>
      <c r="X614" s="4">
        <f ca="1" t="shared" si="1122"/>
        <v>64805.871559633</v>
      </c>
      <c r="Y614" s="4">
        <f ca="1" t="shared" si="1123"/>
        <v>64805.871559633</v>
      </c>
      <c r="Z614" s="4">
        <f ca="1" t="shared" si="1124"/>
        <v>0</v>
      </c>
      <c r="AA614" s="4">
        <f ca="1" t="shared" si="1125"/>
        <v>0</v>
      </c>
      <c r="AB614" s="4"/>
    </row>
    <row r="615" customHeight="1" outlineLevel="2" spans="1:28">
      <c r="A615" s="515" t="s">
        <v>3145</v>
      </c>
      <c r="B615" s="4"/>
      <c r="C615" s="510" t="s">
        <v>1309</v>
      </c>
      <c r="D615" s="4" t="s">
        <v>3146</v>
      </c>
      <c r="E615" s="4" t="s">
        <v>2678</v>
      </c>
      <c r="F615" s="4" t="s">
        <v>169</v>
      </c>
      <c r="G615" s="4">
        <v>150</v>
      </c>
      <c r="H615" s="4">
        <v>152.220183486239</v>
      </c>
      <c r="I615" s="4">
        <f>G615*H615</f>
        <v>22833.0275229358</v>
      </c>
      <c r="J615" s="4">
        <f t="shared" ref="J615:L615" si="1129">+G615</f>
        <v>150</v>
      </c>
      <c r="K615" s="4">
        <f t="shared" si="1129"/>
        <v>152.220183486239</v>
      </c>
      <c r="L615" s="517">
        <f t="shared" si="1129"/>
        <v>22833.0275229358</v>
      </c>
      <c r="M615" s="4">
        <f t="shared" ref="M615:M619" si="1130">+G615</f>
        <v>150</v>
      </c>
      <c r="N615" s="4">
        <f t="shared" ref="N615:N619" si="1131">O615/M615</f>
        <v>152.220183486239</v>
      </c>
      <c r="O615" s="4">
        <f>(+O616)</f>
        <v>22833.0275229358</v>
      </c>
      <c r="P615" s="4"/>
      <c r="Q615" s="4"/>
      <c r="R615" s="4">
        <f t="shared" ref="R615:R619" si="1132">+P615+J615</f>
        <v>150</v>
      </c>
      <c r="S615" s="4">
        <f t="shared" ref="S615:S619" si="1133">+Q615+L615</f>
        <v>22833.0275229358</v>
      </c>
      <c r="T615" s="4">
        <f>IFERROR(VLOOKUP(A615,产值统计中间表!A:F,7,FALSE),0)</f>
        <v>0</v>
      </c>
      <c r="U615" s="4">
        <f t="shared" ref="U615:U619" si="1134">+T615*H615</f>
        <v>0</v>
      </c>
      <c r="V615" s="4">
        <f>IFERROR(VLOOKUP(A615,产值统计中间表!A:D,4,FALSE),0)</f>
        <v>0</v>
      </c>
      <c r="W615" s="4">
        <f t="shared" ref="W615:W619" si="1135">+V615*H615</f>
        <v>0</v>
      </c>
      <c r="X615" s="4">
        <f t="shared" ref="X615:X619" si="1136">+R615-V615</f>
        <v>150</v>
      </c>
      <c r="Y615" s="4">
        <f t="shared" ref="Y615:Y619" si="1137">+S615-W615</f>
        <v>22833.0275229358</v>
      </c>
      <c r="Z615" s="4">
        <f>IFERROR(VLOOKUP(A615,业主统计中间表!A:D,4,FALSE),0)</f>
        <v>0</v>
      </c>
      <c r="AA615" s="4">
        <f t="shared" ref="AA615:AA619" si="1138">+Z615*H615</f>
        <v>0</v>
      </c>
      <c r="AB615" s="4"/>
    </row>
    <row r="616" customHeight="1" outlineLevel="3" spans="1:28">
      <c r="A616" s="514" t="s">
        <v>3147</v>
      </c>
      <c r="B616" s="4"/>
      <c r="C616" s="510" t="s">
        <v>65</v>
      </c>
      <c r="D616" s="4" t="s">
        <v>683</v>
      </c>
      <c r="E616" s="4"/>
      <c r="F616" s="4"/>
      <c r="G616" s="4"/>
      <c r="H616" s="4"/>
      <c r="I616" s="4"/>
      <c r="J616" s="4"/>
      <c r="K616" s="4"/>
      <c r="L616" s="517"/>
      <c r="M616" s="4">
        <f t="shared" si="1128"/>
        <v>22833.0275229358</v>
      </c>
      <c r="N616" s="4">
        <v>1</v>
      </c>
      <c r="O616" s="4">
        <f>M616*N616</f>
        <v>22833.0275229358</v>
      </c>
      <c r="P616" s="4"/>
      <c r="Q616" s="4"/>
      <c r="R616" s="4"/>
      <c r="S616" s="4"/>
      <c r="T616" s="4">
        <f ca="1" t="shared" ref="T616:T620" si="1139">OFFSET(T616,-RIGHT($A616,LEN($A$6)),,1,1)/OFFSET(T616,-RIGHT($A616,LEN($A$6)),-13,1,1)*$M616</f>
        <v>0</v>
      </c>
      <c r="U616" s="4">
        <f ca="1" t="shared" ref="U616:U620" si="1140">+$N616*T616</f>
        <v>0</v>
      </c>
      <c r="V616" s="4">
        <f ca="1" t="shared" ref="V616:V620" si="1141">OFFSET(V616,-RIGHT($A616,LEN($A$6)),,1,1)/OFFSET(V616,-RIGHT($A616,LEN($A$6)),-15,1,1)*$M616</f>
        <v>0</v>
      </c>
      <c r="W616" s="4">
        <f ca="1" t="shared" ref="W616:W620" si="1142">+$N616*V616</f>
        <v>0</v>
      </c>
      <c r="X616" s="4">
        <f ca="1" t="shared" ref="X616:X620" si="1143">+M616-V616</f>
        <v>22833.0275229358</v>
      </c>
      <c r="Y616" s="4">
        <f ca="1" t="shared" ref="Y616:Y620" si="1144">+O616-W616</f>
        <v>22833.0275229358</v>
      </c>
      <c r="Z616" s="4">
        <f ca="1" t="shared" ref="Z616:Z620" si="1145">OFFSET(Z616,-RIGHT($A616,LEN($A$6)),,1,1)/OFFSET(Z616,-RIGHT($A616,LEN($A$6)),-19,1,1)*$M616</f>
        <v>0</v>
      </c>
      <c r="AA616" s="4">
        <f ca="1" t="shared" ref="AA616:AA620" si="1146">+$N616*Z616</f>
        <v>0</v>
      </c>
      <c r="AB616" s="4"/>
    </row>
    <row r="617" customHeight="1" outlineLevel="2" spans="1:28">
      <c r="A617" s="515" t="s">
        <v>3148</v>
      </c>
      <c r="B617" s="4"/>
      <c r="C617" s="510" t="s">
        <v>1309</v>
      </c>
      <c r="D617" s="4" t="s">
        <v>3149</v>
      </c>
      <c r="E617" s="4" t="s">
        <v>2678</v>
      </c>
      <c r="F617" s="4" t="s">
        <v>169</v>
      </c>
      <c r="G617" s="4">
        <v>34</v>
      </c>
      <c r="H617" s="4">
        <v>348.220183486239</v>
      </c>
      <c r="I617" s="4">
        <f>G617*H617</f>
        <v>11839.4862385321</v>
      </c>
      <c r="J617" s="4">
        <f t="shared" ref="J617:L617" si="1147">+G617</f>
        <v>34</v>
      </c>
      <c r="K617" s="4">
        <f t="shared" si="1147"/>
        <v>348.220183486239</v>
      </c>
      <c r="L617" s="517">
        <f t="shared" si="1147"/>
        <v>11839.4862385321</v>
      </c>
      <c r="M617" s="4">
        <f t="shared" si="1130"/>
        <v>34</v>
      </c>
      <c r="N617" s="4">
        <f t="shared" si="1131"/>
        <v>348.220183486239</v>
      </c>
      <c r="O617" s="4">
        <f>(+O618)</f>
        <v>11839.4862385321</v>
      </c>
      <c r="P617" s="4"/>
      <c r="Q617" s="4"/>
      <c r="R617" s="4">
        <f t="shared" si="1132"/>
        <v>34</v>
      </c>
      <c r="S617" s="4">
        <f t="shared" si="1133"/>
        <v>11839.4862385321</v>
      </c>
      <c r="T617" s="4">
        <f>IFERROR(VLOOKUP(A617,产值统计中间表!A:F,7,FALSE),0)</f>
        <v>0</v>
      </c>
      <c r="U617" s="4">
        <f t="shared" si="1134"/>
        <v>0</v>
      </c>
      <c r="V617" s="4">
        <f>IFERROR(VLOOKUP(A617,产值统计中间表!A:D,4,FALSE),0)</f>
        <v>0</v>
      </c>
      <c r="W617" s="4">
        <f t="shared" si="1135"/>
        <v>0</v>
      </c>
      <c r="X617" s="4">
        <f t="shared" si="1136"/>
        <v>34</v>
      </c>
      <c r="Y617" s="4">
        <f t="shared" si="1137"/>
        <v>11839.4862385321</v>
      </c>
      <c r="Z617" s="4">
        <f>IFERROR(VLOOKUP(A617,业主统计中间表!A:D,4,FALSE),0)</f>
        <v>0</v>
      </c>
      <c r="AA617" s="4">
        <f t="shared" si="1138"/>
        <v>0</v>
      </c>
      <c r="AB617" s="4"/>
    </row>
    <row r="618" customHeight="1" outlineLevel="3" spans="1:28">
      <c r="A618" s="514" t="s">
        <v>3150</v>
      </c>
      <c r="B618" s="4"/>
      <c r="C618" s="510" t="s">
        <v>65</v>
      </c>
      <c r="D618" s="4" t="s">
        <v>683</v>
      </c>
      <c r="E618" s="4"/>
      <c r="F618" s="4"/>
      <c r="G618" s="4"/>
      <c r="H618" s="4"/>
      <c r="I618" s="4"/>
      <c r="J618" s="4"/>
      <c r="K618" s="4"/>
      <c r="L618" s="517"/>
      <c r="M618" s="4">
        <f t="shared" si="1128"/>
        <v>11839.4862385321</v>
      </c>
      <c r="N618" s="4">
        <v>1</v>
      </c>
      <c r="O618" s="4">
        <f>M618*N618</f>
        <v>11839.4862385321</v>
      </c>
      <c r="P618" s="4"/>
      <c r="Q618" s="4"/>
      <c r="R618" s="4"/>
      <c r="S618" s="4"/>
      <c r="T618" s="4">
        <f ca="1" t="shared" si="1139"/>
        <v>0</v>
      </c>
      <c r="U618" s="4">
        <f ca="1" t="shared" si="1140"/>
        <v>0</v>
      </c>
      <c r="V618" s="4">
        <f ca="1" t="shared" si="1141"/>
        <v>0</v>
      </c>
      <c r="W618" s="4">
        <f ca="1" t="shared" si="1142"/>
        <v>0</v>
      </c>
      <c r="X618" s="4">
        <f ca="1" t="shared" si="1143"/>
        <v>11839.4862385321</v>
      </c>
      <c r="Y618" s="4">
        <f ca="1" t="shared" si="1144"/>
        <v>11839.4862385321</v>
      </c>
      <c r="Z618" s="4">
        <f ca="1" t="shared" si="1145"/>
        <v>0</v>
      </c>
      <c r="AA618" s="4">
        <f ca="1" t="shared" si="1146"/>
        <v>0</v>
      </c>
      <c r="AB618" s="4"/>
    </row>
    <row r="619" customHeight="1" outlineLevel="2" spans="1:28">
      <c r="A619" s="515" t="s">
        <v>3151</v>
      </c>
      <c r="B619" s="4"/>
      <c r="C619" s="510" t="s">
        <v>1309</v>
      </c>
      <c r="D619" s="4" t="s">
        <v>3152</v>
      </c>
      <c r="E619" s="4" t="s">
        <v>2678</v>
      </c>
      <c r="F619" s="4" t="s">
        <v>76</v>
      </c>
      <c r="G619" s="4">
        <v>688.27</v>
      </c>
      <c r="H619" s="4">
        <v>63.2018348623853</v>
      </c>
      <c r="I619" s="4">
        <f>G619*H619</f>
        <v>43499.9268807339</v>
      </c>
      <c r="J619" s="4">
        <f t="shared" ref="J619:L619" si="1148">+G619</f>
        <v>688.27</v>
      </c>
      <c r="K619" s="4">
        <f t="shared" si="1148"/>
        <v>63.2018348623853</v>
      </c>
      <c r="L619" s="517">
        <f t="shared" si="1148"/>
        <v>43499.9268807339</v>
      </c>
      <c r="M619" s="4">
        <f t="shared" si="1130"/>
        <v>688.27</v>
      </c>
      <c r="N619" s="4">
        <f t="shared" si="1131"/>
        <v>63.2018348623853</v>
      </c>
      <c r="O619" s="4">
        <f>(+O620)</f>
        <v>43499.9268807339</v>
      </c>
      <c r="P619" s="4"/>
      <c r="Q619" s="4"/>
      <c r="R619" s="4">
        <f t="shared" si="1132"/>
        <v>688.27</v>
      </c>
      <c r="S619" s="4">
        <f t="shared" si="1133"/>
        <v>43499.9268807339</v>
      </c>
      <c r="T619" s="4">
        <f>IFERROR(VLOOKUP(A619,产值统计中间表!A:F,7,FALSE),0)</f>
        <v>0</v>
      </c>
      <c r="U619" s="4">
        <f t="shared" si="1134"/>
        <v>0</v>
      </c>
      <c r="V619" s="4">
        <f>IFERROR(VLOOKUP(A619,产值统计中间表!A:D,4,FALSE),0)</f>
        <v>0</v>
      </c>
      <c r="W619" s="4">
        <f t="shared" si="1135"/>
        <v>0</v>
      </c>
      <c r="X619" s="4">
        <f t="shared" si="1136"/>
        <v>688.27</v>
      </c>
      <c r="Y619" s="4">
        <f t="shared" si="1137"/>
        <v>43499.9268807339</v>
      </c>
      <c r="Z619" s="4">
        <f>IFERROR(VLOOKUP(A619,业主统计中间表!A:D,4,FALSE),0)</f>
        <v>0</v>
      </c>
      <c r="AA619" s="4">
        <f t="shared" si="1138"/>
        <v>0</v>
      </c>
      <c r="AB619" s="4"/>
    </row>
    <row r="620" customHeight="1" outlineLevel="3" spans="1:28">
      <c r="A620" s="514" t="s">
        <v>3153</v>
      </c>
      <c r="B620" s="4"/>
      <c r="C620" s="510" t="s">
        <v>65</v>
      </c>
      <c r="D620" s="4" t="s">
        <v>683</v>
      </c>
      <c r="E620" s="4"/>
      <c r="F620" s="4"/>
      <c r="G620" s="4"/>
      <c r="H620" s="4"/>
      <c r="I620" s="4"/>
      <c r="J620" s="4"/>
      <c r="K620" s="4"/>
      <c r="L620" s="517"/>
      <c r="M620" s="4">
        <f t="shared" ref="M620:M624" si="1149">I619</f>
        <v>43499.9268807339</v>
      </c>
      <c r="N620" s="4">
        <v>1</v>
      </c>
      <c r="O620" s="4">
        <f>M620*N620</f>
        <v>43499.9268807339</v>
      </c>
      <c r="P620" s="4"/>
      <c r="Q620" s="4"/>
      <c r="R620" s="4"/>
      <c r="S620" s="4"/>
      <c r="T620" s="4">
        <f ca="1" t="shared" si="1139"/>
        <v>0</v>
      </c>
      <c r="U620" s="4">
        <f ca="1" t="shared" si="1140"/>
        <v>0</v>
      </c>
      <c r="V620" s="4">
        <f ca="1" t="shared" si="1141"/>
        <v>0</v>
      </c>
      <c r="W620" s="4">
        <f ca="1" t="shared" si="1142"/>
        <v>0</v>
      </c>
      <c r="X620" s="4">
        <f ca="1" t="shared" si="1143"/>
        <v>43499.9268807339</v>
      </c>
      <c r="Y620" s="4">
        <f ca="1" t="shared" si="1144"/>
        <v>43499.9268807339</v>
      </c>
      <c r="Z620" s="4">
        <f ca="1" t="shared" si="1145"/>
        <v>0</v>
      </c>
      <c r="AA620" s="4">
        <f ca="1" t="shared" si="1146"/>
        <v>0</v>
      </c>
      <c r="AB620" s="4"/>
    </row>
    <row r="621" customHeight="1" outlineLevel="2" spans="1:28">
      <c r="A621" s="515" t="s">
        <v>3154</v>
      </c>
      <c r="B621" s="4"/>
      <c r="C621" s="510" t="s">
        <v>1309</v>
      </c>
      <c r="D621" s="4" t="s">
        <v>3155</v>
      </c>
      <c r="E621" s="4" t="s">
        <v>2678</v>
      </c>
      <c r="F621" s="4" t="s">
        <v>169</v>
      </c>
      <c r="G621" s="4">
        <v>16</v>
      </c>
      <c r="H621" s="4">
        <v>671.990825688073</v>
      </c>
      <c r="I621" s="4">
        <f>G621*H621</f>
        <v>10751.8532110092</v>
      </c>
      <c r="J621" s="4">
        <f t="shared" ref="J621:L621" si="1150">+G621</f>
        <v>16</v>
      </c>
      <c r="K621" s="4">
        <f t="shared" si="1150"/>
        <v>671.990825688073</v>
      </c>
      <c r="L621" s="517">
        <f t="shared" si="1150"/>
        <v>10751.8532110092</v>
      </c>
      <c r="M621" s="4">
        <f t="shared" ref="M621:M625" si="1151">+G621</f>
        <v>16</v>
      </c>
      <c r="N621" s="4">
        <f t="shared" ref="N621:N625" si="1152">O621/M621</f>
        <v>671.990825688073</v>
      </c>
      <c r="O621" s="4">
        <f>(+O622)</f>
        <v>10751.8532110092</v>
      </c>
      <c r="P621" s="4"/>
      <c r="Q621" s="4"/>
      <c r="R621" s="4">
        <f t="shared" ref="R621:R625" si="1153">+P621+J621</f>
        <v>16</v>
      </c>
      <c r="S621" s="4">
        <f t="shared" ref="S621:S625" si="1154">+Q621+L621</f>
        <v>10751.8532110092</v>
      </c>
      <c r="T621" s="4">
        <f>IFERROR(VLOOKUP(A621,产值统计中间表!A:F,7,FALSE),0)</f>
        <v>0</v>
      </c>
      <c r="U621" s="4">
        <f t="shared" ref="U621:U625" si="1155">+T621*H621</f>
        <v>0</v>
      </c>
      <c r="V621" s="4">
        <f>IFERROR(VLOOKUP(A621,产值统计中间表!A:D,4,FALSE),0)</f>
        <v>0</v>
      </c>
      <c r="W621" s="4">
        <f t="shared" ref="W621:W625" si="1156">+V621*H621</f>
        <v>0</v>
      </c>
      <c r="X621" s="4">
        <f t="shared" ref="X621:X625" si="1157">+R621-V621</f>
        <v>16</v>
      </c>
      <c r="Y621" s="4">
        <f t="shared" ref="Y621:Y625" si="1158">+S621-W621</f>
        <v>10751.8532110092</v>
      </c>
      <c r="Z621" s="4">
        <f>IFERROR(VLOOKUP(A621,业主统计中间表!A:D,4,FALSE),0)</f>
        <v>0</v>
      </c>
      <c r="AA621" s="4">
        <f t="shared" ref="AA621:AA625" si="1159">+Z621*H621</f>
        <v>0</v>
      </c>
      <c r="AB621" s="4"/>
    </row>
    <row r="622" customHeight="1" outlineLevel="3" spans="1:28">
      <c r="A622" s="514" t="s">
        <v>3156</v>
      </c>
      <c r="B622" s="4"/>
      <c r="C622" s="510" t="s">
        <v>65</v>
      </c>
      <c r="D622" s="4" t="s">
        <v>683</v>
      </c>
      <c r="E622" s="4"/>
      <c r="F622" s="4"/>
      <c r="G622" s="4"/>
      <c r="H622" s="4"/>
      <c r="I622" s="4"/>
      <c r="J622" s="4"/>
      <c r="K622" s="4"/>
      <c r="L622" s="517"/>
      <c r="M622" s="4">
        <f t="shared" si="1149"/>
        <v>10751.8532110092</v>
      </c>
      <c r="N622" s="4">
        <v>1</v>
      </c>
      <c r="O622" s="4">
        <f>M622*N622</f>
        <v>10751.8532110092</v>
      </c>
      <c r="P622" s="4"/>
      <c r="Q622" s="4"/>
      <c r="R622" s="4"/>
      <c r="S622" s="4"/>
      <c r="T622" s="4">
        <f ca="1" t="shared" ref="T622:T626" si="1160">OFFSET(T622,-RIGHT($A622,LEN($A$6)),,1,1)/OFFSET(T622,-RIGHT($A622,LEN($A$6)),-13,1,1)*$M622</f>
        <v>0</v>
      </c>
      <c r="U622" s="4">
        <f ca="1" t="shared" ref="U622:U626" si="1161">+$N622*T622</f>
        <v>0</v>
      </c>
      <c r="V622" s="4">
        <f ca="1" t="shared" ref="V622:V626" si="1162">OFFSET(V622,-RIGHT($A622,LEN($A$6)),,1,1)/OFFSET(V622,-RIGHT($A622,LEN($A$6)),-15,1,1)*$M622</f>
        <v>0</v>
      </c>
      <c r="W622" s="4">
        <f ca="1" t="shared" ref="W622:W626" si="1163">+$N622*V622</f>
        <v>0</v>
      </c>
      <c r="X622" s="4">
        <f ca="1" t="shared" ref="X622:X626" si="1164">+M622-V622</f>
        <v>10751.8532110092</v>
      </c>
      <c r="Y622" s="4">
        <f ca="1" t="shared" ref="Y622:Y626" si="1165">+O622-W622</f>
        <v>10751.8532110092</v>
      </c>
      <c r="Z622" s="4">
        <f ca="1" t="shared" ref="Z622:Z626" si="1166">OFFSET(Z622,-RIGHT($A622,LEN($A$6)),,1,1)/OFFSET(Z622,-RIGHT($A622,LEN($A$6)),-19,1,1)*$M622</f>
        <v>0</v>
      </c>
      <c r="AA622" s="4">
        <f ca="1" t="shared" ref="AA622:AA626" si="1167">+$N622*Z622</f>
        <v>0</v>
      </c>
      <c r="AB622" s="4"/>
    </row>
    <row r="623" customHeight="1" outlineLevel="2" spans="1:28">
      <c r="A623" s="515" t="s">
        <v>3157</v>
      </c>
      <c r="B623" s="4"/>
      <c r="C623" s="510" t="s">
        <v>1309</v>
      </c>
      <c r="D623" s="4" t="s">
        <v>3158</v>
      </c>
      <c r="E623" s="4" t="s">
        <v>2678</v>
      </c>
      <c r="F623" s="4" t="s">
        <v>169</v>
      </c>
      <c r="G623" s="4">
        <v>8616</v>
      </c>
      <c r="H623" s="4">
        <v>17.7247706422018</v>
      </c>
      <c r="I623" s="4">
        <f>G623*H623</f>
        <v>152716.623853211</v>
      </c>
      <c r="J623" s="4">
        <f t="shared" ref="J623:L623" si="1168">+G623</f>
        <v>8616</v>
      </c>
      <c r="K623" s="4">
        <f t="shared" si="1168"/>
        <v>17.7247706422018</v>
      </c>
      <c r="L623" s="517">
        <f t="shared" si="1168"/>
        <v>152716.623853211</v>
      </c>
      <c r="M623" s="4">
        <f t="shared" si="1151"/>
        <v>8616</v>
      </c>
      <c r="N623" s="4">
        <f t="shared" si="1152"/>
        <v>17.7247706422018</v>
      </c>
      <c r="O623" s="4">
        <f>(+O624)</f>
        <v>152716.623853211</v>
      </c>
      <c r="P623" s="4"/>
      <c r="Q623" s="4"/>
      <c r="R623" s="4">
        <f t="shared" si="1153"/>
        <v>8616</v>
      </c>
      <c r="S623" s="4">
        <f t="shared" si="1154"/>
        <v>152716.623853211</v>
      </c>
      <c r="T623" s="4">
        <f>IFERROR(VLOOKUP(A623,产值统计中间表!A:F,7,FALSE),0)</f>
        <v>0</v>
      </c>
      <c r="U623" s="4">
        <f t="shared" si="1155"/>
        <v>0</v>
      </c>
      <c r="V623" s="4">
        <f>IFERROR(VLOOKUP(A623,产值统计中间表!A:D,4,FALSE),0)</f>
        <v>0</v>
      </c>
      <c r="W623" s="4">
        <f t="shared" si="1156"/>
        <v>0</v>
      </c>
      <c r="X623" s="4">
        <f t="shared" si="1157"/>
        <v>8616</v>
      </c>
      <c r="Y623" s="4">
        <f t="shared" si="1158"/>
        <v>152716.623853211</v>
      </c>
      <c r="Z623" s="4">
        <f>IFERROR(VLOOKUP(A623,业主统计中间表!A:D,4,FALSE),0)</f>
        <v>0</v>
      </c>
      <c r="AA623" s="4">
        <f t="shared" si="1159"/>
        <v>0</v>
      </c>
      <c r="AB623" s="4"/>
    </row>
    <row r="624" customHeight="1" outlineLevel="3" spans="1:28">
      <c r="A624" s="514" t="s">
        <v>3159</v>
      </c>
      <c r="B624" s="4"/>
      <c r="C624" s="510" t="s">
        <v>65</v>
      </c>
      <c r="D624" s="4" t="s">
        <v>683</v>
      </c>
      <c r="E624" s="4"/>
      <c r="F624" s="4"/>
      <c r="G624" s="4"/>
      <c r="H624" s="4"/>
      <c r="I624" s="4"/>
      <c r="J624" s="4"/>
      <c r="K624" s="4"/>
      <c r="L624" s="517"/>
      <c r="M624" s="4">
        <f t="shared" si="1149"/>
        <v>152716.623853211</v>
      </c>
      <c r="N624" s="4">
        <v>1</v>
      </c>
      <c r="O624" s="4">
        <f>M624*N624</f>
        <v>152716.623853211</v>
      </c>
      <c r="P624" s="4"/>
      <c r="Q624" s="4"/>
      <c r="R624" s="4"/>
      <c r="S624" s="4"/>
      <c r="T624" s="4">
        <f ca="1" t="shared" si="1160"/>
        <v>0</v>
      </c>
      <c r="U624" s="4">
        <f ca="1" t="shared" si="1161"/>
        <v>0</v>
      </c>
      <c r="V624" s="4">
        <f ca="1" t="shared" si="1162"/>
        <v>0</v>
      </c>
      <c r="W624" s="4">
        <f ca="1" t="shared" si="1163"/>
        <v>0</v>
      </c>
      <c r="X624" s="4">
        <f ca="1" t="shared" si="1164"/>
        <v>152716.623853211</v>
      </c>
      <c r="Y624" s="4">
        <f ca="1" t="shared" si="1165"/>
        <v>152716.623853211</v>
      </c>
      <c r="Z624" s="4">
        <f ca="1" t="shared" si="1166"/>
        <v>0</v>
      </c>
      <c r="AA624" s="4">
        <f ca="1" t="shared" si="1167"/>
        <v>0</v>
      </c>
      <c r="AB624" s="4"/>
    </row>
    <row r="625" customHeight="1" outlineLevel="2" spans="1:28">
      <c r="A625" s="515" t="s">
        <v>3160</v>
      </c>
      <c r="B625" s="4"/>
      <c r="C625" s="510" t="s">
        <v>1309</v>
      </c>
      <c r="D625" s="4" t="s">
        <v>3161</v>
      </c>
      <c r="E625" s="4" t="s">
        <v>2678</v>
      </c>
      <c r="F625" s="4" t="s">
        <v>169</v>
      </c>
      <c r="G625" s="4">
        <v>1</v>
      </c>
      <c r="H625" s="4">
        <v>316544.52293578</v>
      </c>
      <c r="I625" s="4">
        <f>G625*H625</f>
        <v>316544.52293578</v>
      </c>
      <c r="J625" s="4">
        <f t="shared" ref="J625:L625" si="1169">+G625</f>
        <v>1</v>
      </c>
      <c r="K625" s="4">
        <f t="shared" si="1169"/>
        <v>316544.52293578</v>
      </c>
      <c r="L625" s="517">
        <f t="shared" si="1169"/>
        <v>316544.52293578</v>
      </c>
      <c r="M625" s="4">
        <f t="shared" si="1151"/>
        <v>1</v>
      </c>
      <c r="N625" s="4">
        <f t="shared" si="1152"/>
        <v>316544.52293578</v>
      </c>
      <c r="O625" s="4">
        <f>(+O626)</f>
        <v>316544.52293578</v>
      </c>
      <c r="P625" s="4"/>
      <c r="Q625" s="4"/>
      <c r="R625" s="4">
        <f t="shared" si="1153"/>
        <v>1</v>
      </c>
      <c r="S625" s="4">
        <f t="shared" si="1154"/>
        <v>316544.52293578</v>
      </c>
      <c r="T625" s="4">
        <f>IFERROR(VLOOKUP(A625,产值统计中间表!A:F,7,FALSE),0)</f>
        <v>0</v>
      </c>
      <c r="U625" s="4">
        <f t="shared" si="1155"/>
        <v>0</v>
      </c>
      <c r="V625" s="4">
        <f>IFERROR(VLOOKUP(A625,产值统计中间表!A:D,4,FALSE),0)</f>
        <v>0</v>
      </c>
      <c r="W625" s="4">
        <f t="shared" si="1156"/>
        <v>0</v>
      </c>
      <c r="X625" s="4">
        <f t="shared" si="1157"/>
        <v>1</v>
      </c>
      <c r="Y625" s="4">
        <f t="shared" si="1158"/>
        <v>316544.52293578</v>
      </c>
      <c r="Z625" s="4">
        <f>IFERROR(VLOOKUP(A625,业主统计中间表!A:D,4,FALSE),0)</f>
        <v>0</v>
      </c>
      <c r="AA625" s="4">
        <f t="shared" si="1159"/>
        <v>0</v>
      </c>
      <c r="AB625" s="4"/>
    </row>
    <row r="626" customHeight="1" outlineLevel="3" spans="1:28">
      <c r="A626" s="514" t="s">
        <v>3162</v>
      </c>
      <c r="B626" s="4"/>
      <c r="C626" s="510" t="s">
        <v>65</v>
      </c>
      <c r="D626" s="4" t="s">
        <v>683</v>
      </c>
      <c r="E626" s="4"/>
      <c r="F626" s="4"/>
      <c r="G626" s="4"/>
      <c r="H626" s="4"/>
      <c r="I626" s="4"/>
      <c r="J626" s="4"/>
      <c r="K626" s="4"/>
      <c r="L626" s="517"/>
      <c r="M626" s="4">
        <f>I625</f>
        <v>316544.52293578</v>
      </c>
      <c r="N626" s="4">
        <v>1</v>
      </c>
      <c r="O626" s="4">
        <f>M626*N626</f>
        <v>316544.52293578</v>
      </c>
      <c r="P626" s="4"/>
      <c r="Q626" s="4"/>
      <c r="R626" s="4"/>
      <c r="S626" s="4"/>
      <c r="T626" s="4">
        <f ca="1" t="shared" si="1160"/>
        <v>0</v>
      </c>
      <c r="U626" s="4">
        <f ca="1" t="shared" si="1161"/>
        <v>0</v>
      </c>
      <c r="V626" s="4">
        <f ca="1" t="shared" si="1162"/>
        <v>0</v>
      </c>
      <c r="W626" s="4">
        <f ca="1" t="shared" si="1163"/>
        <v>0</v>
      </c>
      <c r="X626" s="4">
        <f ca="1" t="shared" si="1164"/>
        <v>316544.52293578</v>
      </c>
      <c r="Y626" s="4">
        <f ca="1" t="shared" si="1165"/>
        <v>316544.52293578</v>
      </c>
      <c r="Z626" s="4">
        <f ca="1" t="shared" si="1166"/>
        <v>0</v>
      </c>
      <c r="AA626" s="4">
        <f ca="1" t="shared" si="1167"/>
        <v>0</v>
      </c>
      <c r="AB626" s="4"/>
    </row>
    <row r="627" customHeight="1" outlineLevel="2" spans="1:28">
      <c r="A627" s="515" t="s">
        <v>3163</v>
      </c>
      <c r="B627" s="4"/>
      <c r="C627" s="510" t="s">
        <v>1309</v>
      </c>
      <c r="D627" s="4" t="s">
        <v>2673</v>
      </c>
      <c r="E627" s="4" t="s">
        <v>2674</v>
      </c>
      <c r="F627" s="4" t="s">
        <v>169</v>
      </c>
      <c r="G627" s="4">
        <v>1</v>
      </c>
      <c r="H627" s="4">
        <v>21593.1743119266</v>
      </c>
      <c r="I627" s="4">
        <f>G627*H627</f>
        <v>21593.1743119266</v>
      </c>
      <c r="J627" s="4">
        <f t="shared" ref="J627:L627" si="1170">+G627</f>
        <v>1</v>
      </c>
      <c r="K627" s="4">
        <f t="shared" si="1170"/>
        <v>21593.1743119266</v>
      </c>
      <c r="L627" s="517">
        <f t="shared" si="1170"/>
        <v>21593.1743119266</v>
      </c>
      <c r="M627" s="4">
        <f>+G627</f>
        <v>1</v>
      </c>
      <c r="N627" s="4">
        <f>O627/M627</f>
        <v>21593.1743119266</v>
      </c>
      <c r="O627" s="4">
        <f>(+O628)</f>
        <v>21593.1743119266</v>
      </c>
      <c r="P627" s="4"/>
      <c r="Q627" s="4"/>
      <c r="R627" s="4">
        <f>+P627+J627</f>
        <v>1</v>
      </c>
      <c r="S627" s="4">
        <f>+Q627+L627</f>
        <v>21593.1743119266</v>
      </c>
      <c r="T627" s="4">
        <f>IFERROR(VLOOKUP(A627,产值统计中间表!A:F,7,FALSE),0)</f>
        <v>0</v>
      </c>
      <c r="U627" s="4">
        <f>+T627*H627</f>
        <v>0</v>
      </c>
      <c r="V627" s="4">
        <f>IFERROR(VLOOKUP(A627,产值统计中间表!A:D,4,FALSE),0)</f>
        <v>0</v>
      </c>
      <c r="W627" s="4">
        <f>+V627*H627</f>
        <v>0</v>
      </c>
      <c r="X627" s="4">
        <f>+R627-V627</f>
        <v>1</v>
      </c>
      <c r="Y627" s="4">
        <f>+S627-W627</f>
        <v>21593.1743119266</v>
      </c>
      <c r="Z627" s="4">
        <f>IFERROR(VLOOKUP(A627,业主统计中间表!A:D,4,FALSE),0)</f>
        <v>0</v>
      </c>
      <c r="AA627" s="4">
        <f>+Z627*H627</f>
        <v>0</v>
      </c>
      <c r="AB627" s="4"/>
    </row>
    <row r="628" customHeight="1" outlineLevel="3" spans="1:28">
      <c r="A628" s="514" t="s">
        <v>3164</v>
      </c>
      <c r="B628" s="4"/>
      <c r="C628" s="510" t="s">
        <v>65</v>
      </c>
      <c r="D628" s="4" t="s">
        <v>683</v>
      </c>
      <c r="E628" s="4"/>
      <c r="F628" s="4"/>
      <c r="G628" s="4"/>
      <c r="H628" s="4"/>
      <c r="I628" s="4"/>
      <c r="J628" s="4"/>
      <c r="K628" s="4"/>
      <c r="L628" s="517"/>
      <c r="M628" s="4">
        <f>I627</f>
        <v>21593.1743119266</v>
      </c>
      <c r="N628" s="4">
        <v>1</v>
      </c>
      <c r="O628" s="4">
        <f>M628*N628</f>
        <v>21593.1743119266</v>
      </c>
      <c r="P628" s="4"/>
      <c r="Q628" s="4"/>
      <c r="R628" s="4"/>
      <c r="S628" s="4"/>
      <c r="T628" s="4">
        <f ca="1" t="shared" ref="T628:T637" si="1171">OFFSET(T628,-RIGHT($A628,LEN($A$6)),,1,1)/OFFSET(T628,-RIGHT($A628,LEN($A$6)),-13,1,1)*$M628</f>
        <v>0</v>
      </c>
      <c r="U628" s="4">
        <f ca="1" t="shared" ref="U628:U637" si="1172">+$N628*T628</f>
        <v>0</v>
      </c>
      <c r="V628" s="4">
        <f ca="1" t="shared" ref="V628:V637" si="1173">OFFSET(V628,-RIGHT($A628,LEN($A$6)),,1,1)/OFFSET(V628,-RIGHT($A628,LEN($A$6)),-15,1,1)*$M628</f>
        <v>0</v>
      </c>
      <c r="W628" s="4">
        <f ca="1" t="shared" ref="W628:W637" si="1174">+$N628*V628</f>
        <v>0</v>
      </c>
      <c r="X628" s="4">
        <f ca="1" t="shared" ref="X628:X637" si="1175">+M628-V628</f>
        <v>21593.1743119266</v>
      </c>
      <c r="Y628" s="4">
        <f ca="1" t="shared" ref="Y628:Y637" si="1176">+O628-W628</f>
        <v>21593.1743119266</v>
      </c>
      <c r="Z628" s="4">
        <f ca="1" t="shared" ref="Z628:Z637" si="1177">OFFSET(Z628,-RIGHT($A628,LEN($A$6)),,1,1)/OFFSET(Z628,-RIGHT($A628,LEN($A$6)),-19,1,1)*$M628</f>
        <v>0</v>
      </c>
      <c r="AA628" s="4">
        <f ca="1" t="shared" ref="AA628:AA637" si="1178">+$N628*Z628</f>
        <v>0</v>
      </c>
      <c r="AB628" s="4"/>
    </row>
    <row r="629" customHeight="1" outlineLevel="1" spans="1:28">
      <c r="A629" s="518" t="s">
        <v>3165</v>
      </c>
      <c r="B629" s="4"/>
      <c r="C629" s="510" t="s">
        <v>60</v>
      </c>
      <c r="D629" s="4" t="s">
        <v>3166</v>
      </c>
      <c r="E629" s="4"/>
      <c r="F629" s="4"/>
      <c r="G629" s="4"/>
      <c r="H629" s="4"/>
      <c r="I629" s="4">
        <f>(+I630+I638+I645+I651+I657+I668+I674+I680+I683+I686+I689+I692+I695+I698+I702+I708+I710+I715+I720+I726+I732+I737+I740+I746+I752+I758+I760+I762+I764+I770+I775+I782)</f>
        <v>8816753.66308256</v>
      </c>
      <c r="J629" s="4"/>
      <c r="K629" s="4"/>
      <c r="L629" s="517">
        <f>(+L630+L638+L645+L651+L657+L668+L674+L680+L683+L686+L689+L692+L695+L698+L702+L708+L710+L715+L720+L726+L732+L737+L740+L746+L752+L758+L760+L762+L764+L770+L775+L782)</f>
        <v>8816753.66308256</v>
      </c>
      <c r="M629" s="4"/>
      <c r="N629" s="4"/>
      <c r="O629" s="4">
        <f ca="1">(+O630+O638+O645+O651+O657+O668+O674+O680+O683+O686+O689+O692+O695+O698+O702+O708+O710+O715+O720+O726+O732+O737+O740+O746+O752+O758+O760+O762+O764+O770+O775+O782)</f>
        <v>8871971.66976865</v>
      </c>
      <c r="P629" s="4"/>
      <c r="Q629" s="4"/>
      <c r="R629" s="4"/>
      <c r="S629" s="4"/>
      <c r="T629" s="4"/>
      <c r="U629" s="4"/>
      <c r="V629" s="4"/>
      <c r="W629" s="4"/>
      <c r="X629" s="4"/>
      <c r="Y629" s="4"/>
      <c r="Z629" s="4"/>
      <c r="AA629" s="4"/>
      <c r="AB629" s="4"/>
    </row>
    <row r="630" customHeight="1" outlineLevel="2" spans="1:28">
      <c r="A630" s="515" t="s">
        <v>3167</v>
      </c>
      <c r="B630" s="4"/>
      <c r="C630" s="510" t="s">
        <v>1309</v>
      </c>
      <c r="D630" s="4" t="s">
        <v>3168</v>
      </c>
      <c r="E630" s="4" t="s">
        <v>1365</v>
      </c>
      <c r="F630" s="4" t="s">
        <v>72</v>
      </c>
      <c r="G630" s="4">
        <v>403.88</v>
      </c>
      <c r="H630" s="4">
        <v>1778.54128440367</v>
      </c>
      <c r="I630" s="4">
        <f>G630*H630</f>
        <v>718317.253944954</v>
      </c>
      <c r="J630" s="4">
        <f t="shared" ref="J630:L630" si="1179">+G630</f>
        <v>403.88</v>
      </c>
      <c r="K630" s="4">
        <f t="shared" si="1179"/>
        <v>1778.54128440367</v>
      </c>
      <c r="L630" s="517">
        <f t="shared" si="1179"/>
        <v>718317.253944954</v>
      </c>
      <c r="M630" s="4">
        <v>403.88</v>
      </c>
      <c r="N630" s="4">
        <f ca="1">O630/M630</f>
        <v>1562.92166386055</v>
      </c>
      <c r="O630" s="4">
        <f ca="1">(+O631+O632+O633+O634+O635+O636+O637)</f>
        <v>631232.8016</v>
      </c>
      <c r="P630" s="4"/>
      <c r="Q630" s="4"/>
      <c r="R630" s="4">
        <f>+P630+J630</f>
        <v>403.88</v>
      </c>
      <c r="S630" s="4">
        <f>+Q630+L630</f>
        <v>718317.253944954</v>
      </c>
      <c r="T630" s="4">
        <f>IFERROR(VLOOKUP(A630,产值统计中间表!A:F,7,FALSE),0)</f>
        <v>0</v>
      </c>
      <c r="U630" s="4">
        <f>+T630*H630</f>
        <v>0</v>
      </c>
      <c r="V630" s="4">
        <f>IFERROR(VLOOKUP(A630,产值统计中间表!A:D,4,FALSE),0)</f>
        <v>0</v>
      </c>
      <c r="W630" s="4">
        <f>+V630*H630</f>
        <v>0</v>
      </c>
      <c r="X630" s="4">
        <f>+R630-V630</f>
        <v>403.88</v>
      </c>
      <c r="Y630" s="4">
        <f>+S630-W630</f>
        <v>718317.253944954</v>
      </c>
      <c r="Z630" s="4">
        <f>IFERROR(VLOOKUP(A630,业主统计中间表!A:D,4,FALSE),0)</f>
        <v>0</v>
      </c>
      <c r="AA630" s="4">
        <f>+Z630*H630</f>
        <v>0</v>
      </c>
      <c r="AB630" s="4"/>
    </row>
    <row r="631" customHeight="1" outlineLevel="3" spans="1:28">
      <c r="A631" s="514" t="s">
        <v>3169</v>
      </c>
      <c r="B631" s="4"/>
      <c r="C631" s="510" t="s">
        <v>59</v>
      </c>
      <c r="D631" s="4" t="s">
        <v>784</v>
      </c>
      <c r="E631" s="4"/>
      <c r="F631" s="4" t="str">
        <f ca="1" t="shared" ref="F631:F637" si="1180">VLOOKUP($D631,INDIRECT($C631),2,0)</f>
        <v>m³</v>
      </c>
      <c r="G631" s="4"/>
      <c r="H631" s="4"/>
      <c r="I631" s="4"/>
      <c r="J631" s="4"/>
      <c r="K631" s="4"/>
      <c r="L631" s="517"/>
      <c r="M631" s="4">
        <v>466.804504</v>
      </c>
      <c r="N631" s="4">
        <f ca="1" t="shared" ref="N631:N637" si="1181">VLOOKUP($D631,INDIRECT($C631),3,0)</f>
        <v>400</v>
      </c>
      <c r="O631" s="4">
        <f ca="1" t="shared" ref="O631:O637" si="1182">M631*N631</f>
        <v>186721.8016</v>
      </c>
      <c r="P631" s="4"/>
      <c r="Q631" s="4"/>
      <c r="R631" s="4"/>
      <c r="S631" s="4"/>
      <c r="T631" s="4">
        <f ca="1" t="shared" si="1171"/>
        <v>0</v>
      </c>
      <c r="U631" s="4">
        <f ca="1" t="shared" si="1172"/>
        <v>0</v>
      </c>
      <c r="V631" s="4">
        <f ca="1" t="shared" si="1173"/>
        <v>0</v>
      </c>
      <c r="W631" s="4">
        <f ca="1" t="shared" si="1174"/>
        <v>0</v>
      </c>
      <c r="X631" s="4">
        <f ca="1" t="shared" si="1175"/>
        <v>466.804504</v>
      </c>
      <c r="Y631" s="4">
        <f ca="1" t="shared" si="1176"/>
        <v>186721.8016</v>
      </c>
      <c r="Z631" s="4">
        <f ca="1" t="shared" si="1177"/>
        <v>0</v>
      </c>
      <c r="AA631" s="4">
        <f ca="1" t="shared" si="1178"/>
        <v>0</v>
      </c>
      <c r="AB631" s="4"/>
    </row>
    <row r="632" customHeight="1" outlineLevel="3" spans="1:28">
      <c r="A632" s="514" t="s">
        <v>3170</v>
      </c>
      <c r="B632" s="4"/>
      <c r="C632" s="510" t="s">
        <v>59</v>
      </c>
      <c r="D632" s="4" t="s">
        <v>788</v>
      </c>
      <c r="E632" s="4" t="str">
        <f ca="1">"含钢量："&amp;ROUND($M$632/$G$630,3)&amp;$F$632&amp;"/"&amp;$F$630</f>
        <v>含钢量：0.127t/m3</v>
      </c>
      <c r="F632" s="4" t="str">
        <f ca="1" t="shared" si="1180"/>
        <v>t</v>
      </c>
      <c r="G632" s="4"/>
      <c r="H632" s="4"/>
      <c r="I632" s="4"/>
      <c r="J632" s="4"/>
      <c r="K632" s="4"/>
      <c r="L632" s="517"/>
      <c r="M632" s="4">
        <v>51.11</v>
      </c>
      <c r="N632" s="4">
        <f ca="1" t="shared" si="1181"/>
        <v>4000</v>
      </c>
      <c r="O632" s="4">
        <f ca="1" t="shared" si="1182"/>
        <v>204440</v>
      </c>
      <c r="P632" s="4"/>
      <c r="Q632" s="4"/>
      <c r="R632" s="4"/>
      <c r="S632" s="4"/>
      <c r="T632" s="4">
        <f ca="1" t="shared" si="1171"/>
        <v>0</v>
      </c>
      <c r="U632" s="4">
        <f ca="1" t="shared" si="1172"/>
        <v>0</v>
      </c>
      <c r="V632" s="4">
        <f ca="1" t="shared" si="1173"/>
        <v>0</v>
      </c>
      <c r="W632" s="4">
        <f ca="1" t="shared" si="1174"/>
        <v>0</v>
      </c>
      <c r="X632" s="4">
        <f ca="1" t="shared" si="1175"/>
        <v>51.11</v>
      </c>
      <c r="Y632" s="4">
        <f ca="1" t="shared" si="1176"/>
        <v>204440</v>
      </c>
      <c r="Z632" s="4">
        <f ca="1" t="shared" si="1177"/>
        <v>0</v>
      </c>
      <c r="AA632" s="4">
        <f ca="1" t="shared" si="1178"/>
        <v>0</v>
      </c>
      <c r="AB632" s="4"/>
    </row>
    <row r="633" customHeight="1" outlineLevel="3" spans="1:28">
      <c r="A633" s="514" t="s">
        <v>3171</v>
      </c>
      <c r="B633" s="4"/>
      <c r="C633" s="510" t="s">
        <v>64</v>
      </c>
      <c r="D633" s="4" t="s">
        <v>1055</v>
      </c>
      <c r="E633" s="4" t="s">
        <v>2467</v>
      </c>
      <c r="F633" s="4" t="str">
        <f ca="1" t="shared" si="1180"/>
        <v>根</v>
      </c>
      <c r="G633" s="4"/>
      <c r="H633" s="4"/>
      <c r="I633" s="4"/>
      <c r="J633" s="4"/>
      <c r="K633" s="4"/>
      <c r="L633" s="517"/>
      <c r="M633" s="4">
        <v>19</v>
      </c>
      <c r="N633" s="4">
        <f ca="1" t="shared" si="1181"/>
        <v>180</v>
      </c>
      <c r="O633" s="4">
        <f ca="1" t="shared" si="1182"/>
        <v>3420</v>
      </c>
      <c r="P633" s="4"/>
      <c r="Q633" s="4"/>
      <c r="R633" s="4"/>
      <c r="S633" s="4"/>
      <c r="T633" s="4">
        <f ca="1" t="shared" si="1171"/>
        <v>0</v>
      </c>
      <c r="U633" s="4">
        <f ca="1" t="shared" si="1172"/>
        <v>0</v>
      </c>
      <c r="V633" s="4">
        <f ca="1" t="shared" si="1173"/>
        <v>0</v>
      </c>
      <c r="W633" s="4">
        <f ca="1" t="shared" si="1174"/>
        <v>0</v>
      </c>
      <c r="X633" s="4">
        <f ca="1" t="shared" si="1175"/>
        <v>19</v>
      </c>
      <c r="Y633" s="4">
        <f ca="1" t="shared" si="1176"/>
        <v>3420</v>
      </c>
      <c r="Z633" s="4">
        <f ca="1" t="shared" si="1177"/>
        <v>0</v>
      </c>
      <c r="AA633" s="4">
        <f ca="1" t="shared" si="1178"/>
        <v>0</v>
      </c>
      <c r="AB633" s="4"/>
    </row>
    <row r="634" customHeight="1" outlineLevel="3" spans="1:28">
      <c r="A634" s="514" t="s">
        <v>3172</v>
      </c>
      <c r="B634" s="4"/>
      <c r="C634" s="510" t="s">
        <v>64</v>
      </c>
      <c r="D634" s="4" t="s">
        <v>1061</v>
      </c>
      <c r="E634" s="4" t="s">
        <v>2467</v>
      </c>
      <c r="F634" s="4" t="str">
        <f ca="1" t="shared" si="1180"/>
        <v>根</v>
      </c>
      <c r="G634" s="4"/>
      <c r="H634" s="4"/>
      <c r="I634" s="4"/>
      <c r="J634" s="4"/>
      <c r="K634" s="4"/>
      <c r="L634" s="517"/>
      <c r="M634" s="4">
        <v>5</v>
      </c>
      <c r="N634" s="4">
        <f ca="1" t="shared" si="1181"/>
        <v>200</v>
      </c>
      <c r="O634" s="4">
        <f ca="1" t="shared" si="1182"/>
        <v>1000</v>
      </c>
      <c r="P634" s="4"/>
      <c r="Q634" s="4"/>
      <c r="R634" s="4"/>
      <c r="S634" s="4"/>
      <c r="T634" s="4">
        <f ca="1" t="shared" si="1171"/>
        <v>0</v>
      </c>
      <c r="U634" s="4">
        <f ca="1" t="shared" si="1172"/>
        <v>0</v>
      </c>
      <c r="V634" s="4">
        <f ca="1" t="shared" si="1173"/>
        <v>0</v>
      </c>
      <c r="W634" s="4">
        <f ca="1" t="shared" si="1174"/>
        <v>0</v>
      </c>
      <c r="X634" s="4">
        <f ca="1" t="shared" si="1175"/>
        <v>5</v>
      </c>
      <c r="Y634" s="4">
        <f ca="1" t="shared" si="1176"/>
        <v>1000</v>
      </c>
      <c r="Z634" s="4">
        <f ca="1" t="shared" si="1177"/>
        <v>0</v>
      </c>
      <c r="AA634" s="4">
        <f ca="1" t="shared" si="1178"/>
        <v>0</v>
      </c>
      <c r="AB634" s="4"/>
    </row>
    <row r="635" customHeight="1" outlineLevel="3" spans="1:28">
      <c r="A635" s="514" t="s">
        <v>3173</v>
      </c>
      <c r="B635" s="4"/>
      <c r="C635" s="510" t="s">
        <v>65</v>
      </c>
      <c r="D635" s="4" t="s">
        <v>687</v>
      </c>
      <c r="E635" s="4" t="s">
        <v>3174</v>
      </c>
      <c r="F635" s="4" t="str">
        <f ca="1" t="shared" si="1180"/>
        <v>m³</v>
      </c>
      <c r="G635" s="4"/>
      <c r="H635" s="4"/>
      <c r="I635" s="4"/>
      <c r="J635" s="4"/>
      <c r="K635" s="4"/>
      <c r="L635" s="517"/>
      <c r="M635" s="4">
        <v>519.05</v>
      </c>
      <c r="N635" s="4">
        <f ca="1" t="shared" si="1181"/>
        <v>390</v>
      </c>
      <c r="O635" s="4">
        <f ca="1" t="shared" si="1182"/>
        <v>202429.5</v>
      </c>
      <c r="P635" s="4"/>
      <c r="Q635" s="4"/>
      <c r="R635" s="4"/>
      <c r="S635" s="4"/>
      <c r="T635" s="4">
        <f ca="1" t="shared" si="1171"/>
        <v>0</v>
      </c>
      <c r="U635" s="4">
        <f ca="1" t="shared" si="1172"/>
        <v>0</v>
      </c>
      <c r="V635" s="4">
        <f ca="1" t="shared" si="1173"/>
        <v>0</v>
      </c>
      <c r="W635" s="4">
        <f ca="1" t="shared" si="1174"/>
        <v>0</v>
      </c>
      <c r="X635" s="4">
        <f ca="1" t="shared" si="1175"/>
        <v>519.05</v>
      </c>
      <c r="Y635" s="4">
        <f ca="1" t="shared" si="1176"/>
        <v>202429.5</v>
      </c>
      <c r="Z635" s="4">
        <f ca="1" t="shared" si="1177"/>
        <v>0</v>
      </c>
      <c r="AA635" s="4">
        <f ca="1" t="shared" si="1178"/>
        <v>0</v>
      </c>
      <c r="AB635" s="4"/>
    </row>
    <row r="636" customHeight="1" outlineLevel="3" spans="1:28">
      <c r="A636" s="514" t="s">
        <v>3175</v>
      </c>
      <c r="B636" s="4"/>
      <c r="C636" s="510" t="s">
        <v>59</v>
      </c>
      <c r="D636" s="4" t="s">
        <v>1131</v>
      </c>
      <c r="E636" s="4"/>
      <c r="F636" s="4" t="str">
        <f ca="1" t="shared" si="1180"/>
        <v>m</v>
      </c>
      <c r="G636" s="4"/>
      <c r="H636" s="4"/>
      <c r="I636" s="4"/>
      <c r="J636" s="4"/>
      <c r="K636" s="4"/>
      <c r="L636" s="517"/>
      <c r="M636" s="4">
        <v>1030.32</v>
      </c>
      <c r="N636" s="4">
        <f ca="1" t="shared" si="1181"/>
        <v>0</v>
      </c>
      <c r="O636" s="4">
        <f ca="1" t="shared" si="1182"/>
        <v>0</v>
      </c>
      <c r="P636" s="4"/>
      <c r="Q636" s="4"/>
      <c r="R636" s="4"/>
      <c r="S636" s="4"/>
      <c r="T636" s="4">
        <f ca="1" t="shared" si="1171"/>
        <v>0</v>
      </c>
      <c r="U636" s="4">
        <f ca="1" t="shared" si="1172"/>
        <v>0</v>
      </c>
      <c r="V636" s="4">
        <f ca="1" t="shared" si="1173"/>
        <v>0</v>
      </c>
      <c r="W636" s="4">
        <f ca="1" t="shared" si="1174"/>
        <v>0</v>
      </c>
      <c r="X636" s="4">
        <f ca="1" t="shared" si="1175"/>
        <v>1030.32</v>
      </c>
      <c r="Y636" s="4">
        <f ca="1" t="shared" si="1176"/>
        <v>0</v>
      </c>
      <c r="Z636" s="4">
        <f ca="1" t="shared" si="1177"/>
        <v>0</v>
      </c>
      <c r="AA636" s="4">
        <f ca="1" t="shared" si="1178"/>
        <v>0</v>
      </c>
      <c r="AB636" s="4"/>
    </row>
    <row r="637" customHeight="1" outlineLevel="3" spans="1:28">
      <c r="A637" s="514" t="s">
        <v>3176</v>
      </c>
      <c r="B637" s="4"/>
      <c r="C637" s="510" t="s">
        <v>64</v>
      </c>
      <c r="D637" s="4" t="s">
        <v>1040</v>
      </c>
      <c r="E637" s="4"/>
      <c r="F637" s="4" t="str">
        <f ca="1" t="shared" si="1180"/>
        <v>t</v>
      </c>
      <c r="G637" s="4"/>
      <c r="H637" s="4"/>
      <c r="I637" s="4"/>
      <c r="J637" s="4"/>
      <c r="K637" s="4"/>
      <c r="L637" s="517"/>
      <c r="M637" s="4">
        <v>51.11</v>
      </c>
      <c r="N637" s="4">
        <f ca="1" t="shared" si="1181"/>
        <v>650</v>
      </c>
      <c r="O637" s="4">
        <f ca="1" t="shared" si="1182"/>
        <v>33221.5</v>
      </c>
      <c r="P637" s="4"/>
      <c r="Q637" s="4"/>
      <c r="R637" s="4"/>
      <c r="S637" s="4"/>
      <c r="T637" s="4">
        <f ca="1" t="shared" si="1171"/>
        <v>0</v>
      </c>
      <c r="U637" s="4">
        <f ca="1" t="shared" si="1172"/>
        <v>0</v>
      </c>
      <c r="V637" s="4">
        <f ca="1" t="shared" si="1173"/>
        <v>0</v>
      </c>
      <c r="W637" s="4">
        <f ca="1" t="shared" si="1174"/>
        <v>0</v>
      </c>
      <c r="X637" s="4">
        <f ca="1" t="shared" si="1175"/>
        <v>51.11</v>
      </c>
      <c r="Y637" s="4">
        <f ca="1" t="shared" si="1176"/>
        <v>33221.5</v>
      </c>
      <c r="Z637" s="4">
        <f ca="1" t="shared" si="1177"/>
        <v>0</v>
      </c>
      <c r="AA637" s="4">
        <f ca="1" t="shared" si="1178"/>
        <v>0</v>
      </c>
      <c r="AB637" s="4"/>
    </row>
    <row r="638" customHeight="1" outlineLevel="2" spans="1:28">
      <c r="A638" s="515" t="s">
        <v>3177</v>
      </c>
      <c r="B638" s="4"/>
      <c r="C638" s="510" t="s">
        <v>1309</v>
      </c>
      <c r="D638" s="4" t="s">
        <v>3178</v>
      </c>
      <c r="E638" s="4" t="s">
        <v>2472</v>
      </c>
      <c r="F638" s="4" t="s">
        <v>72</v>
      </c>
      <c r="G638" s="4">
        <v>358.38</v>
      </c>
      <c r="H638" s="4">
        <v>1115.21100917431</v>
      </c>
      <c r="I638" s="4">
        <f>G638*H638</f>
        <v>399669.321467889</v>
      </c>
      <c r="J638" s="4">
        <f t="shared" ref="J638:L638" si="1183">+G638</f>
        <v>358.38</v>
      </c>
      <c r="K638" s="4">
        <f t="shared" si="1183"/>
        <v>1115.21100917431</v>
      </c>
      <c r="L638" s="517">
        <f t="shared" si="1183"/>
        <v>399669.321467889</v>
      </c>
      <c r="M638" s="4">
        <v>358.38</v>
      </c>
      <c r="N638" s="4">
        <f ca="1">O638/M638</f>
        <v>852.639481985923</v>
      </c>
      <c r="O638" s="4">
        <f ca="1">(+O639+O640+O641+O642+O643+O644)</f>
        <v>305568.937554115</v>
      </c>
      <c r="P638" s="4"/>
      <c r="Q638" s="4"/>
      <c r="R638" s="4">
        <f>+P638+J638</f>
        <v>358.38</v>
      </c>
      <c r="S638" s="4">
        <f>+Q638+L638</f>
        <v>399669.321467889</v>
      </c>
      <c r="T638" s="4">
        <f>IFERROR(VLOOKUP(A638,产值统计中间表!A:F,7,FALSE),0)</f>
        <v>0</v>
      </c>
      <c r="U638" s="4">
        <f>+T638*H638</f>
        <v>0</v>
      </c>
      <c r="V638" s="4">
        <f>IFERROR(VLOOKUP(A638,产值统计中间表!A:D,4,FALSE),0)</f>
        <v>0</v>
      </c>
      <c r="W638" s="4">
        <f>+V638*H638</f>
        <v>0</v>
      </c>
      <c r="X638" s="4">
        <f>+R638-V638</f>
        <v>358.38</v>
      </c>
      <c r="Y638" s="4">
        <f>+S638-W638</f>
        <v>399669.321467889</v>
      </c>
      <c r="Z638" s="4">
        <f>IFERROR(VLOOKUP(A638,业主统计中间表!A:D,4,FALSE),0)</f>
        <v>0</v>
      </c>
      <c r="AA638" s="4">
        <f>+Z638*H638</f>
        <v>0</v>
      </c>
      <c r="AB638" s="4"/>
    </row>
    <row r="639" customHeight="1" outlineLevel="3" spans="1:28">
      <c r="A639" s="514" t="s">
        <v>3179</v>
      </c>
      <c r="B639" s="4"/>
      <c r="C639" s="510" t="s">
        <v>64</v>
      </c>
      <c r="D639" s="4" t="s">
        <v>752</v>
      </c>
      <c r="E639" s="4"/>
      <c r="F639" s="4" t="str">
        <f ca="1" t="shared" ref="F639:F644" si="1184">VLOOKUP($D639,INDIRECT($C639),2,0)</f>
        <v>m3</v>
      </c>
      <c r="G639" s="4"/>
      <c r="H639" s="4"/>
      <c r="I639" s="4"/>
      <c r="J639" s="4"/>
      <c r="K639" s="4"/>
      <c r="L639" s="517"/>
      <c r="M639" s="4">
        <v>375.26</v>
      </c>
      <c r="N639" s="4">
        <f ca="1" t="shared" ref="N639:N644" si="1185">VLOOKUP($D639,INDIRECT($C639),3,0)</f>
        <v>30</v>
      </c>
      <c r="O639" s="4">
        <f ca="1" t="shared" ref="O639:O644" si="1186">M639*N639</f>
        <v>11257.8</v>
      </c>
      <c r="P639" s="4"/>
      <c r="Q639" s="4"/>
      <c r="R639" s="4"/>
      <c r="S639" s="4"/>
      <c r="T639" s="4">
        <f ca="1" t="shared" ref="T639:T644" si="1187">OFFSET(T639,-RIGHT($A639,LEN($A$6)),,1,1)/OFFSET(T639,-RIGHT($A639,LEN($A$6)),-13,1,1)*$M639</f>
        <v>0</v>
      </c>
      <c r="U639" s="4">
        <f ca="1" t="shared" ref="U639:U644" si="1188">+$N639*T639</f>
        <v>0</v>
      </c>
      <c r="V639" s="4">
        <f ca="1" t="shared" ref="V639:V644" si="1189">OFFSET(V639,-RIGHT($A639,LEN($A$6)),,1,1)/OFFSET(V639,-RIGHT($A639,LEN($A$6)),-15,1,1)*$M639</f>
        <v>0</v>
      </c>
      <c r="W639" s="4">
        <f ca="1" t="shared" ref="W639:W644" si="1190">+$N639*V639</f>
        <v>0</v>
      </c>
      <c r="X639" s="4">
        <f ca="1" t="shared" ref="X639:X644" si="1191">+M639-V639</f>
        <v>375.26</v>
      </c>
      <c r="Y639" s="4">
        <f ca="1" t="shared" ref="Y639:Y644" si="1192">+O639-W639</f>
        <v>11257.8</v>
      </c>
      <c r="Z639" s="4">
        <f ca="1" t="shared" ref="Z639:Z644" si="1193">OFFSET(Z639,-RIGHT($A639,LEN($A$6)),,1,1)/OFFSET(Z639,-RIGHT($A639,LEN($A$6)),-19,1,1)*$M639</f>
        <v>0</v>
      </c>
      <c r="AA639" s="4">
        <f ca="1" t="shared" ref="AA639:AA644" si="1194">+$N639*Z639</f>
        <v>0</v>
      </c>
      <c r="AB639" s="4"/>
    </row>
    <row r="640" customHeight="1" outlineLevel="3" spans="1:28">
      <c r="A640" s="514" t="s">
        <v>3180</v>
      </c>
      <c r="B640" s="4"/>
      <c r="C640" s="510" t="s">
        <v>64</v>
      </c>
      <c r="D640" s="4" t="s">
        <v>262</v>
      </c>
      <c r="E640" s="4" t="s">
        <v>3181</v>
      </c>
      <c r="F640" s="4" t="str">
        <f ca="1" t="shared" si="1184"/>
        <v>m2</v>
      </c>
      <c r="G640" s="4"/>
      <c r="H640" s="4"/>
      <c r="I640" s="4"/>
      <c r="J640" s="4"/>
      <c r="K640" s="4"/>
      <c r="L640" s="517"/>
      <c r="M640" s="4">
        <v>85.95</v>
      </c>
      <c r="N640" s="4">
        <f ca="1" t="shared" si="1185"/>
        <v>55</v>
      </c>
      <c r="O640" s="4">
        <f ca="1" t="shared" si="1186"/>
        <v>4727.25</v>
      </c>
      <c r="P640" s="4"/>
      <c r="Q640" s="4"/>
      <c r="R640" s="4"/>
      <c r="S640" s="4"/>
      <c r="T640" s="4">
        <f ca="1" t="shared" si="1187"/>
        <v>0</v>
      </c>
      <c r="U640" s="4">
        <f ca="1" t="shared" si="1188"/>
        <v>0</v>
      </c>
      <c r="V640" s="4">
        <f ca="1" t="shared" si="1189"/>
        <v>0</v>
      </c>
      <c r="W640" s="4">
        <f ca="1" t="shared" si="1190"/>
        <v>0</v>
      </c>
      <c r="X640" s="4">
        <f ca="1" t="shared" si="1191"/>
        <v>85.95</v>
      </c>
      <c r="Y640" s="4">
        <f ca="1" t="shared" si="1192"/>
        <v>4727.25</v>
      </c>
      <c r="Z640" s="4">
        <f ca="1" t="shared" si="1193"/>
        <v>0</v>
      </c>
      <c r="AA640" s="4">
        <f ca="1" t="shared" si="1194"/>
        <v>0</v>
      </c>
      <c r="AB640" s="4"/>
    </row>
    <row r="641" customHeight="1" outlineLevel="3" spans="1:28">
      <c r="A641" s="514" t="s">
        <v>3182</v>
      </c>
      <c r="B641" s="4"/>
      <c r="C641" s="510" t="s">
        <v>64</v>
      </c>
      <c r="D641" s="4" t="s">
        <v>296</v>
      </c>
      <c r="E641" s="4"/>
      <c r="F641" s="4" t="str">
        <f ca="1" t="shared" si="1184"/>
        <v>t</v>
      </c>
      <c r="G641" s="4"/>
      <c r="H641" s="4"/>
      <c r="I641" s="4"/>
      <c r="J641" s="4"/>
      <c r="K641" s="4"/>
      <c r="L641" s="517"/>
      <c r="M641" s="4">
        <v>16.55</v>
      </c>
      <c r="N641" s="4">
        <f ca="1" t="shared" si="1185"/>
        <v>700</v>
      </c>
      <c r="O641" s="4">
        <f ca="1" t="shared" si="1186"/>
        <v>11585</v>
      </c>
      <c r="P641" s="4"/>
      <c r="Q641" s="4"/>
      <c r="R641" s="4"/>
      <c r="S641" s="4"/>
      <c r="T641" s="4">
        <f ca="1" t="shared" si="1187"/>
        <v>0</v>
      </c>
      <c r="U641" s="4">
        <f ca="1" t="shared" si="1188"/>
        <v>0</v>
      </c>
      <c r="V641" s="4">
        <f ca="1" t="shared" si="1189"/>
        <v>0</v>
      </c>
      <c r="W641" s="4">
        <f ca="1" t="shared" si="1190"/>
        <v>0</v>
      </c>
      <c r="X641" s="4">
        <f ca="1" t="shared" si="1191"/>
        <v>16.55</v>
      </c>
      <c r="Y641" s="4">
        <f ca="1" t="shared" si="1192"/>
        <v>11585</v>
      </c>
      <c r="Z641" s="4">
        <f ca="1" t="shared" si="1193"/>
        <v>0</v>
      </c>
      <c r="AA641" s="4">
        <f ca="1" t="shared" si="1194"/>
        <v>0</v>
      </c>
      <c r="AB641" s="4"/>
    </row>
    <row r="642" customHeight="1" outlineLevel="3" spans="1:28">
      <c r="A642" s="514" t="s">
        <v>3183</v>
      </c>
      <c r="B642" s="4"/>
      <c r="C642" s="510" t="s">
        <v>59</v>
      </c>
      <c r="D642" s="4" t="s">
        <v>792</v>
      </c>
      <c r="E642" s="4"/>
      <c r="F642" s="4" t="str">
        <f ca="1" t="shared" si="1184"/>
        <v>m³</v>
      </c>
      <c r="G642" s="4"/>
      <c r="H642" s="4"/>
      <c r="I642" s="4"/>
      <c r="J642" s="4"/>
      <c r="K642" s="4"/>
      <c r="L642" s="517"/>
      <c r="M642" s="4">
        <v>360.1719</v>
      </c>
      <c r="N642" s="4">
        <f ca="1" t="shared" si="1185"/>
        <v>450</v>
      </c>
      <c r="O642" s="4">
        <f ca="1" t="shared" si="1186"/>
        <v>162077.355</v>
      </c>
      <c r="P642" s="4"/>
      <c r="Q642" s="4"/>
      <c r="R642" s="4"/>
      <c r="S642" s="4"/>
      <c r="T642" s="4">
        <f ca="1" t="shared" si="1187"/>
        <v>0</v>
      </c>
      <c r="U642" s="4">
        <f ca="1" t="shared" si="1188"/>
        <v>0</v>
      </c>
      <c r="V642" s="4">
        <f ca="1" t="shared" si="1189"/>
        <v>0</v>
      </c>
      <c r="W642" s="4">
        <f ca="1" t="shared" si="1190"/>
        <v>0</v>
      </c>
      <c r="X642" s="4">
        <f ca="1" t="shared" si="1191"/>
        <v>360.1719</v>
      </c>
      <c r="Y642" s="4">
        <f ca="1" t="shared" si="1192"/>
        <v>162077.355</v>
      </c>
      <c r="Z642" s="4">
        <f ca="1" t="shared" si="1193"/>
        <v>0</v>
      </c>
      <c r="AA642" s="4">
        <f ca="1" t="shared" si="1194"/>
        <v>0</v>
      </c>
      <c r="AB642" s="4"/>
    </row>
    <row r="643" customHeight="1" outlineLevel="3" spans="1:28">
      <c r="A643" s="514" t="s">
        <v>3184</v>
      </c>
      <c r="B643" s="4"/>
      <c r="C643" s="510" t="s">
        <v>59</v>
      </c>
      <c r="D643" s="4" t="s">
        <v>480</v>
      </c>
      <c r="E643" s="4" t="str">
        <f ca="1">"含钢量："&amp;ROUND($M$643/$G$638,3)&amp;$F$643&amp;"/"&amp;$F$638</f>
        <v>含钢量：0.046t/m3</v>
      </c>
      <c r="F643" s="4" t="str">
        <f ca="1" t="shared" si="1184"/>
        <v>t</v>
      </c>
      <c r="G643" s="4"/>
      <c r="H643" s="4"/>
      <c r="I643" s="4"/>
      <c r="J643" s="4"/>
      <c r="K643" s="4"/>
      <c r="L643" s="517"/>
      <c r="M643" s="4">
        <v>16.55</v>
      </c>
      <c r="N643" s="4">
        <f ca="1" t="shared" si="1185"/>
        <v>4200</v>
      </c>
      <c r="O643" s="4">
        <f ca="1" t="shared" si="1186"/>
        <v>69510</v>
      </c>
      <c r="P643" s="4"/>
      <c r="Q643" s="4"/>
      <c r="R643" s="4"/>
      <c r="S643" s="4"/>
      <c r="T643" s="4">
        <f ca="1" t="shared" si="1187"/>
        <v>0</v>
      </c>
      <c r="U643" s="4">
        <f ca="1" t="shared" si="1188"/>
        <v>0</v>
      </c>
      <c r="V643" s="4">
        <f ca="1" t="shared" si="1189"/>
        <v>0</v>
      </c>
      <c r="W643" s="4">
        <f ca="1" t="shared" si="1190"/>
        <v>0</v>
      </c>
      <c r="X643" s="4">
        <f ca="1" t="shared" si="1191"/>
        <v>16.55</v>
      </c>
      <c r="Y643" s="4">
        <f ca="1" t="shared" si="1192"/>
        <v>69510</v>
      </c>
      <c r="Z643" s="4">
        <f ca="1" t="shared" si="1193"/>
        <v>0</v>
      </c>
      <c r="AA643" s="4">
        <f ca="1" t="shared" si="1194"/>
        <v>0</v>
      </c>
      <c r="AB643" s="4"/>
    </row>
    <row r="644" customHeight="1" outlineLevel="3" spans="1:28">
      <c r="A644" s="514" t="s">
        <v>3185</v>
      </c>
      <c r="B644" s="4"/>
      <c r="C644" s="510" t="s">
        <v>59</v>
      </c>
      <c r="D644" s="4" t="s">
        <v>191</v>
      </c>
      <c r="E644" s="4"/>
      <c r="F644" s="4" t="str">
        <f ca="1" t="shared" si="1184"/>
        <v>m3</v>
      </c>
      <c r="G644" s="4"/>
      <c r="H644" s="4"/>
      <c r="I644" s="4"/>
      <c r="J644" s="4"/>
      <c r="K644" s="4"/>
      <c r="L644" s="517"/>
      <c r="M644" s="4">
        <v>15.08505</v>
      </c>
      <c r="N644" s="4">
        <f ca="1" t="shared" si="1185"/>
        <v>3076.65752212389</v>
      </c>
      <c r="O644" s="4">
        <f ca="1" t="shared" si="1186"/>
        <v>46411.532554115</v>
      </c>
      <c r="P644" s="4"/>
      <c r="Q644" s="4"/>
      <c r="R644" s="4"/>
      <c r="S644" s="4"/>
      <c r="T644" s="4">
        <f ca="1" t="shared" si="1187"/>
        <v>0</v>
      </c>
      <c r="U644" s="4">
        <f ca="1" t="shared" si="1188"/>
        <v>0</v>
      </c>
      <c r="V644" s="4">
        <f ca="1" t="shared" si="1189"/>
        <v>0</v>
      </c>
      <c r="W644" s="4">
        <f ca="1" t="shared" si="1190"/>
        <v>0</v>
      </c>
      <c r="X644" s="4">
        <f ca="1" t="shared" si="1191"/>
        <v>15.08505</v>
      </c>
      <c r="Y644" s="4">
        <f ca="1" t="shared" si="1192"/>
        <v>46411.532554115</v>
      </c>
      <c r="Z644" s="4">
        <f ca="1" t="shared" si="1193"/>
        <v>0</v>
      </c>
      <c r="AA644" s="4">
        <f ca="1" t="shared" si="1194"/>
        <v>0</v>
      </c>
      <c r="AB644" s="4"/>
    </row>
    <row r="645" customHeight="1" outlineLevel="2" spans="1:28">
      <c r="A645" s="515" t="s">
        <v>3186</v>
      </c>
      <c r="B645" s="4"/>
      <c r="C645" s="510" t="s">
        <v>1309</v>
      </c>
      <c r="D645" s="4" t="s">
        <v>3187</v>
      </c>
      <c r="E645" s="4" t="s">
        <v>2472</v>
      </c>
      <c r="F645" s="4" t="s">
        <v>72</v>
      </c>
      <c r="G645" s="4">
        <v>302.58</v>
      </c>
      <c r="H645" s="4">
        <v>2167.4128440367</v>
      </c>
      <c r="I645" s="4">
        <f>G645*H645</f>
        <v>655815.778348625</v>
      </c>
      <c r="J645" s="4">
        <f t="shared" ref="J645:L645" si="1195">+G645</f>
        <v>302.58</v>
      </c>
      <c r="K645" s="4">
        <f t="shared" si="1195"/>
        <v>2167.4128440367</v>
      </c>
      <c r="L645" s="517">
        <f t="shared" si="1195"/>
        <v>655815.778348625</v>
      </c>
      <c r="M645" s="4">
        <v>302.58</v>
      </c>
      <c r="N645" s="4">
        <f ca="1">O645/M645</f>
        <v>1954.65850684117</v>
      </c>
      <c r="O645" s="4">
        <f ca="1">(+O646+O647+O648+O649+O650)</f>
        <v>591440.571</v>
      </c>
      <c r="P645" s="4"/>
      <c r="Q645" s="4"/>
      <c r="R645" s="4">
        <f>+P645+J645</f>
        <v>302.58</v>
      </c>
      <c r="S645" s="4">
        <f>+Q645+L645</f>
        <v>655815.778348625</v>
      </c>
      <c r="T645" s="4">
        <f>IFERROR(VLOOKUP(A645,产值统计中间表!A:F,7,FALSE),0)</f>
        <v>0</v>
      </c>
      <c r="U645" s="4">
        <f>+T645*H645</f>
        <v>0</v>
      </c>
      <c r="V645" s="4">
        <f>IFERROR(VLOOKUP(A645,产值统计中间表!A:D,4,FALSE),0)</f>
        <v>0</v>
      </c>
      <c r="W645" s="4">
        <f>+V645*H645</f>
        <v>0</v>
      </c>
      <c r="X645" s="4">
        <f>+R645-V645</f>
        <v>302.58</v>
      </c>
      <c r="Y645" s="4">
        <f>+S645-W645</f>
        <v>655815.778348625</v>
      </c>
      <c r="Z645" s="4">
        <f>IFERROR(VLOOKUP(A645,业主统计中间表!A:D,4,FALSE),0)</f>
        <v>0</v>
      </c>
      <c r="AA645" s="4">
        <f>+Z645*H645</f>
        <v>0</v>
      </c>
      <c r="AB645" s="4"/>
    </row>
    <row r="646" customHeight="1" outlineLevel="3" spans="1:28">
      <c r="A646" s="514" t="s">
        <v>3188</v>
      </c>
      <c r="B646" s="4"/>
      <c r="C646" s="510" t="s">
        <v>64</v>
      </c>
      <c r="D646" s="4" t="s">
        <v>752</v>
      </c>
      <c r="E646" s="4"/>
      <c r="F646" s="4" t="str">
        <f ca="1" t="shared" ref="F646:F650" si="1196">VLOOKUP($D646,INDIRECT($C646),2,0)</f>
        <v>m3</v>
      </c>
      <c r="G646" s="4"/>
      <c r="H646" s="4"/>
      <c r="I646" s="4"/>
      <c r="J646" s="4"/>
      <c r="K646" s="4"/>
      <c r="L646" s="517"/>
      <c r="M646" s="4">
        <v>304.0929</v>
      </c>
      <c r="N646" s="4">
        <f ca="1" t="shared" ref="N646:N650" si="1197">VLOOKUP($D646,INDIRECT($C646),3,0)</f>
        <v>30</v>
      </c>
      <c r="O646" s="4">
        <f ca="1">M646*N646</f>
        <v>9122.787</v>
      </c>
      <c r="P646" s="4"/>
      <c r="Q646" s="4"/>
      <c r="R646" s="4"/>
      <c r="S646" s="4"/>
      <c r="T646" s="4">
        <f ca="1" t="shared" ref="T646:T650" si="1198">OFFSET(T646,-RIGHT($A646,LEN($A$6)),,1,1)/OFFSET(T646,-RIGHT($A646,LEN($A$6)),-13,1,1)*$M646</f>
        <v>0</v>
      </c>
      <c r="U646" s="4">
        <f ca="1" t="shared" ref="U646:U650" si="1199">+$N646*T646</f>
        <v>0</v>
      </c>
      <c r="V646" s="4">
        <f ca="1" t="shared" ref="V646:V650" si="1200">OFFSET(V646,-RIGHT($A646,LEN($A$6)),,1,1)/OFFSET(V646,-RIGHT($A646,LEN($A$6)),-15,1,1)*$M646</f>
        <v>0</v>
      </c>
      <c r="W646" s="4">
        <f ca="1" t="shared" ref="W646:W650" si="1201">+$N646*V646</f>
        <v>0</v>
      </c>
      <c r="X646" s="4">
        <f ca="1" t="shared" ref="X646:X650" si="1202">+M646-V646</f>
        <v>304.0929</v>
      </c>
      <c r="Y646" s="4">
        <f ca="1" t="shared" ref="Y646:Y650" si="1203">+O646-W646</f>
        <v>9122.787</v>
      </c>
      <c r="Z646" s="4">
        <f ca="1" t="shared" ref="Z646:Z650" si="1204">OFFSET(Z646,-RIGHT($A646,LEN($A$6)),,1,1)/OFFSET(Z646,-RIGHT($A646,LEN($A$6)),-19,1,1)*$M646</f>
        <v>0</v>
      </c>
      <c r="AA646" s="4">
        <f ca="1" t="shared" ref="AA646:AA650" si="1205">+$N646*Z646</f>
        <v>0</v>
      </c>
      <c r="AB646" s="4"/>
    </row>
    <row r="647" customHeight="1" outlineLevel="3" spans="1:28">
      <c r="A647" s="514" t="s">
        <v>3189</v>
      </c>
      <c r="B647" s="4"/>
      <c r="C647" s="510" t="s">
        <v>64</v>
      </c>
      <c r="D647" s="4" t="s">
        <v>262</v>
      </c>
      <c r="E647" s="4" t="s">
        <v>3181</v>
      </c>
      <c r="F647" s="4" t="str">
        <f ca="1" t="shared" si="1196"/>
        <v>m2</v>
      </c>
      <c r="G647" s="4"/>
      <c r="H647" s="4"/>
      <c r="I647" s="4"/>
      <c r="J647" s="4"/>
      <c r="K647" s="4"/>
      <c r="L647" s="517"/>
      <c r="M647" s="4">
        <v>348.69</v>
      </c>
      <c r="N647" s="4">
        <f ca="1" t="shared" si="1197"/>
        <v>55</v>
      </c>
      <c r="O647" s="4">
        <f ca="1">M647*N647</f>
        <v>19177.95</v>
      </c>
      <c r="P647" s="4"/>
      <c r="Q647" s="4"/>
      <c r="R647" s="4"/>
      <c r="S647" s="4"/>
      <c r="T647" s="4">
        <f ca="1" t="shared" si="1198"/>
        <v>0</v>
      </c>
      <c r="U647" s="4">
        <f ca="1" t="shared" si="1199"/>
        <v>0</v>
      </c>
      <c r="V647" s="4">
        <f ca="1" t="shared" si="1200"/>
        <v>0</v>
      </c>
      <c r="W647" s="4">
        <f ca="1" t="shared" si="1201"/>
        <v>0</v>
      </c>
      <c r="X647" s="4">
        <f ca="1" t="shared" si="1202"/>
        <v>348.69</v>
      </c>
      <c r="Y647" s="4">
        <f ca="1" t="shared" si="1203"/>
        <v>19177.95</v>
      </c>
      <c r="Z647" s="4">
        <f ca="1" t="shared" si="1204"/>
        <v>0</v>
      </c>
      <c r="AA647" s="4">
        <f ca="1" t="shared" si="1205"/>
        <v>0</v>
      </c>
      <c r="AB647" s="4"/>
    </row>
    <row r="648" customHeight="1" outlineLevel="3" spans="1:28">
      <c r="A648" s="514" t="s">
        <v>3190</v>
      </c>
      <c r="B648" s="4"/>
      <c r="C648" s="510" t="s">
        <v>59</v>
      </c>
      <c r="D648" s="4" t="s">
        <v>480</v>
      </c>
      <c r="E648" s="4" t="str">
        <f ca="1">"含钢量："&amp;ROUND($M$648/$G$645,3)&amp;$F$648&amp;"/"&amp;$F$645</f>
        <v>含钢量：0.285t/m3</v>
      </c>
      <c r="F648" s="4" t="str">
        <f ca="1" t="shared" si="1196"/>
        <v>t</v>
      </c>
      <c r="G648" s="4"/>
      <c r="H648" s="4"/>
      <c r="I648" s="4"/>
      <c r="J648" s="4"/>
      <c r="K648" s="4"/>
      <c r="L648" s="517"/>
      <c r="M648" s="4">
        <v>86.379</v>
      </c>
      <c r="N648" s="4">
        <f ca="1" t="shared" si="1197"/>
        <v>4200</v>
      </c>
      <c r="O648" s="4">
        <f ca="1">M648*N648</f>
        <v>362791.8</v>
      </c>
      <c r="P648" s="4"/>
      <c r="Q648" s="4"/>
      <c r="R648" s="4"/>
      <c r="S648" s="4"/>
      <c r="T648" s="4">
        <f ca="1" t="shared" si="1198"/>
        <v>0</v>
      </c>
      <c r="U648" s="4">
        <f ca="1" t="shared" si="1199"/>
        <v>0</v>
      </c>
      <c r="V648" s="4">
        <f ca="1" t="shared" si="1200"/>
        <v>0</v>
      </c>
      <c r="W648" s="4">
        <f ca="1" t="shared" si="1201"/>
        <v>0</v>
      </c>
      <c r="X648" s="4">
        <f ca="1" t="shared" si="1202"/>
        <v>86.379</v>
      </c>
      <c r="Y648" s="4">
        <f ca="1" t="shared" si="1203"/>
        <v>362791.8</v>
      </c>
      <c r="Z648" s="4">
        <f ca="1" t="shared" si="1204"/>
        <v>0</v>
      </c>
      <c r="AA648" s="4">
        <f ca="1" t="shared" si="1205"/>
        <v>0</v>
      </c>
      <c r="AB648" s="4"/>
    </row>
    <row r="649" customHeight="1" outlineLevel="3" spans="1:28">
      <c r="A649" s="514" t="s">
        <v>3191</v>
      </c>
      <c r="B649" s="4"/>
      <c r="C649" s="510" t="s">
        <v>64</v>
      </c>
      <c r="D649" s="4" t="s">
        <v>296</v>
      </c>
      <c r="E649" s="4"/>
      <c r="F649" s="4" t="str">
        <f ca="1" t="shared" si="1196"/>
        <v>t</v>
      </c>
      <c r="G649" s="4"/>
      <c r="H649" s="4"/>
      <c r="I649" s="4"/>
      <c r="J649" s="4"/>
      <c r="K649" s="4"/>
      <c r="L649" s="517"/>
      <c r="M649" s="4">
        <v>86.379</v>
      </c>
      <c r="N649" s="4">
        <f ca="1" t="shared" si="1197"/>
        <v>700</v>
      </c>
      <c r="O649" s="4">
        <f ca="1">M649*N649</f>
        <v>60465.3</v>
      </c>
      <c r="P649" s="4"/>
      <c r="Q649" s="4"/>
      <c r="R649" s="4"/>
      <c r="S649" s="4"/>
      <c r="T649" s="4">
        <f ca="1" t="shared" si="1198"/>
        <v>0</v>
      </c>
      <c r="U649" s="4">
        <f ca="1" t="shared" si="1199"/>
        <v>0</v>
      </c>
      <c r="V649" s="4">
        <f ca="1" t="shared" si="1200"/>
        <v>0</v>
      </c>
      <c r="W649" s="4">
        <f ca="1" t="shared" si="1201"/>
        <v>0</v>
      </c>
      <c r="X649" s="4">
        <f ca="1" t="shared" si="1202"/>
        <v>86.379</v>
      </c>
      <c r="Y649" s="4">
        <f ca="1" t="shared" si="1203"/>
        <v>60465.3</v>
      </c>
      <c r="Z649" s="4">
        <f ca="1" t="shared" si="1204"/>
        <v>0</v>
      </c>
      <c r="AA649" s="4">
        <f ca="1" t="shared" si="1205"/>
        <v>0</v>
      </c>
      <c r="AB649" s="4"/>
    </row>
    <row r="650" customHeight="1" outlineLevel="3" spans="1:28">
      <c r="A650" s="514" t="s">
        <v>3192</v>
      </c>
      <c r="B650" s="4"/>
      <c r="C650" s="510" t="s">
        <v>59</v>
      </c>
      <c r="D650" s="4" t="s">
        <v>812</v>
      </c>
      <c r="E650" s="4"/>
      <c r="F650" s="4" t="str">
        <f ca="1" t="shared" si="1196"/>
        <v>m³</v>
      </c>
      <c r="G650" s="4"/>
      <c r="H650" s="4"/>
      <c r="I650" s="4"/>
      <c r="J650" s="4"/>
      <c r="K650" s="4"/>
      <c r="L650" s="517"/>
      <c r="M650" s="4">
        <v>304.0929</v>
      </c>
      <c r="N650" s="4">
        <f ca="1" t="shared" si="1197"/>
        <v>460</v>
      </c>
      <c r="O650" s="4">
        <f ca="1">M650*N650</f>
        <v>139882.734</v>
      </c>
      <c r="P650" s="4"/>
      <c r="Q650" s="4"/>
      <c r="R650" s="4"/>
      <c r="S650" s="4"/>
      <c r="T650" s="4">
        <f ca="1" t="shared" si="1198"/>
        <v>0</v>
      </c>
      <c r="U650" s="4">
        <f ca="1" t="shared" si="1199"/>
        <v>0</v>
      </c>
      <c r="V650" s="4">
        <f ca="1" t="shared" si="1200"/>
        <v>0</v>
      </c>
      <c r="W650" s="4">
        <f ca="1" t="shared" si="1201"/>
        <v>0</v>
      </c>
      <c r="X650" s="4">
        <f ca="1" t="shared" si="1202"/>
        <v>304.0929</v>
      </c>
      <c r="Y650" s="4">
        <f ca="1" t="shared" si="1203"/>
        <v>139882.734</v>
      </c>
      <c r="Z650" s="4">
        <f ca="1" t="shared" si="1204"/>
        <v>0</v>
      </c>
      <c r="AA650" s="4">
        <f ca="1" t="shared" si="1205"/>
        <v>0</v>
      </c>
      <c r="AB650" s="4"/>
    </row>
    <row r="651" customHeight="1" outlineLevel="2" spans="1:28">
      <c r="A651" s="515" t="s">
        <v>3193</v>
      </c>
      <c r="B651" s="4"/>
      <c r="C651" s="510" t="s">
        <v>1309</v>
      </c>
      <c r="D651" s="4" t="s">
        <v>3194</v>
      </c>
      <c r="E651" s="4" t="s">
        <v>2472</v>
      </c>
      <c r="F651" s="4" t="s">
        <v>72</v>
      </c>
      <c r="G651" s="4">
        <v>157.82</v>
      </c>
      <c r="H651" s="4">
        <v>1586.78899082569</v>
      </c>
      <c r="I651" s="4">
        <f>G651*H651</f>
        <v>250427.03853211</v>
      </c>
      <c r="J651" s="4">
        <f t="shared" ref="J651:L651" si="1206">+G651</f>
        <v>157.82</v>
      </c>
      <c r="K651" s="4">
        <f t="shared" si="1206"/>
        <v>1586.78899082569</v>
      </c>
      <c r="L651" s="517">
        <f t="shared" si="1206"/>
        <v>250427.03853211</v>
      </c>
      <c r="M651" s="4">
        <v>157.82</v>
      </c>
      <c r="N651" s="4">
        <f ca="1">O651/M651</f>
        <v>1379.71374680015</v>
      </c>
      <c r="O651" s="4">
        <f ca="1">(+O652+O653+O654+O655+O656)</f>
        <v>217746.42352</v>
      </c>
      <c r="P651" s="4"/>
      <c r="Q651" s="4"/>
      <c r="R651" s="4">
        <f>+P651+J651</f>
        <v>157.82</v>
      </c>
      <c r="S651" s="4">
        <f>+Q651+L651</f>
        <v>250427.03853211</v>
      </c>
      <c r="T651" s="4">
        <f>IFERROR(VLOOKUP(A651,产值统计中间表!A:F,7,FALSE),0)</f>
        <v>0</v>
      </c>
      <c r="U651" s="4">
        <f>+T651*H651</f>
        <v>0</v>
      </c>
      <c r="V651" s="4">
        <f>IFERROR(VLOOKUP(A651,产值统计中间表!A:D,4,FALSE),0)</f>
        <v>0</v>
      </c>
      <c r="W651" s="4">
        <f>+V651*H651</f>
        <v>0</v>
      </c>
      <c r="X651" s="4">
        <f>+R651-V651</f>
        <v>157.82</v>
      </c>
      <c r="Y651" s="4">
        <f>+S651-W651</f>
        <v>250427.03853211</v>
      </c>
      <c r="Z651" s="4">
        <f>IFERROR(VLOOKUP(A651,业主统计中间表!A:D,4,FALSE),0)</f>
        <v>0</v>
      </c>
      <c r="AA651" s="4">
        <f>+Z651*H651</f>
        <v>0</v>
      </c>
      <c r="AB651" s="4"/>
    </row>
    <row r="652" customHeight="1" outlineLevel="3" spans="1:28">
      <c r="A652" s="514" t="s">
        <v>3195</v>
      </c>
      <c r="B652" s="4"/>
      <c r="C652" s="510" t="s">
        <v>64</v>
      </c>
      <c r="D652" s="4" t="s">
        <v>752</v>
      </c>
      <c r="E652" s="4"/>
      <c r="F652" s="4" t="str">
        <f ca="1" t="shared" ref="F652:F656" si="1207">VLOOKUP($D652,INDIRECT($C652),2,0)</f>
        <v>m3</v>
      </c>
      <c r="G652" s="4"/>
      <c r="H652" s="4"/>
      <c r="I652" s="4"/>
      <c r="J652" s="4"/>
      <c r="K652" s="4"/>
      <c r="L652" s="517"/>
      <c r="M652" s="4">
        <v>158.6091</v>
      </c>
      <c r="N652" s="4">
        <f ca="1" t="shared" ref="N652:N656" si="1208">VLOOKUP($D652,INDIRECT($C652),3,0)</f>
        <v>30</v>
      </c>
      <c r="O652" s="4">
        <f ca="1">M652*N652</f>
        <v>4758.273</v>
      </c>
      <c r="P652" s="4"/>
      <c r="Q652" s="4"/>
      <c r="R652" s="4"/>
      <c r="S652" s="4"/>
      <c r="T652" s="4">
        <f ca="1" t="shared" ref="T652:T656" si="1209">OFFSET(T652,-RIGHT($A652,LEN($A$6)),,1,1)/OFFSET(T652,-RIGHT($A652,LEN($A$6)),-13,1,1)*$M652</f>
        <v>0</v>
      </c>
      <c r="U652" s="4">
        <f ca="1" t="shared" ref="U652:U656" si="1210">+$N652*T652</f>
        <v>0</v>
      </c>
      <c r="V652" s="4">
        <f ca="1" t="shared" ref="V652:V656" si="1211">OFFSET(V652,-RIGHT($A652,LEN($A$6)),,1,1)/OFFSET(V652,-RIGHT($A652,LEN($A$6)),-15,1,1)*$M652</f>
        <v>0</v>
      </c>
      <c r="W652" s="4">
        <f ca="1" t="shared" ref="W652:W656" si="1212">+$N652*V652</f>
        <v>0</v>
      </c>
      <c r="X652" s="4">
        <f ca="1" t="shared" ref="X652:X656" si="1213">+M652-V652</f>
        <v>158.6091</v>
      </c>
      <c r="Y652" s="4">
        <f ca="1" t="shared" ref="Y652:Y656" si="1214">+O652-W652</f>
        <v>4758.273</v>
      </c>
      <c r="Z652" s="4">
        <f ca="1" t="shared" ref="Z652:Z656" si="1215">OFFSET(Z652,-RIGHT($A652,LEN($A$6)),,1,1)/OFFSET(Z652,-RIGHT($A652,LEN($A$6)),-19,1,1)*$M652</f>
        <v>0</v>
      </c>
      <c r="AA652" s="4">
        <f ca="1" t="shared" ref="AA652:AA656" si="1216">+$N652*Z652</f>
        <v>0</v>
      </c>
      <c r="AB652" s="4"/>
    </row>
    <row r="653" customHeight="1" outlineLevel="3" spans="1:28">
      <c r="A653" s="514" t="s">
        <v>3196</v>
      </c>
      <c r="B653" s="4"/>
      <c r="C653" s="510" t="s">
        <v>64</v>
      </c>
      <c r="D653" s="4" t="s">
        <v>1109</v>
      </c>
      <c r="E653" s="4" t="s">
        <v>3181</v>
      </c>
      <c r="F653" s="4" t="str">
        <f ca="1" t="shared" si="1207"/>
        <v>m2</v>
      </c>
      <c r="G653" s="4"/>
      <c r="H653" s="4"/>
      <c r="I653" s="4"/>
      <c r="J653" s="4"/>
      <c r="K653" s="4"/>
      <c r="L653" s="517"/>
      <c r="M653" s="4">
        <v>78.467592</v>
      </c>
      <c r="N653" s="4">
        <f ca="1" t="shared" si="1208"/>
        <v>60</v>
      </c>
      <c r="O653" s="4">
        <f ca="1">M653*N653</f>
        <v>4708.05552</v>
      </c>
      <c r="P653" s="4"/>
      <c r="Q653" s="4"/>
      <c r="R653" s="4"/>
      <c r="S653" s="4"/>
      <c r="T653" s="4">
        <f ca="1" t="shared" si="1209"/>
        <v>0</v>
      </c>
      <c r="U653" s="4">
        <f ca="1" t="shared" si="1210"/>
        <v>0</v>
      </c>
      <c r="V653" s="4">
        <f ca="1" t="shared" si="1211"/>
        <v>0</v>
      </c>
      <c r="W653" s="4">
        <f ca="1" t="shared" si="1212"/>
        <v>0</v>
      </c>
      <c r="X653" s="4">
        <f ca="1" t="shared" si="1213"/>
        <v>78.467592</v>
      </c>
      <c r="Y653" s="4">
        <f ca="1" t="shared" si="1214"/>
        <v>4708.05552</v>
      </c>
      <c r="Z653" s="4">
        <f ca="1" t="shared" si="1215"/>
        <v>0</v>
      </c>
      <c r="AA653" s="4">
        <f ca="1" t="shared" si="1216"/>
        <v>0</v>
      </c>
      <c r="AB653" s="4"/>
    </row>
    <row r="654" customHeight="1" outlineLevel="3" spans="1:28">
      <c r="A654" s="514" t="s">
        <v>3197</v>
      </c>
      <c r="B654" s="4"/>
      <c r="C654" s="510" t="s">
        <v>64</v>
      </c>
      <c r="D654" s="4" t="s">
        <v>296</v>
      </c>
      <c r="E654" s="4"/>
      <c r="F654" s="4" t="str">
        <f ca="1" t="shared" si="1207"/>
        <v>t</v>
      </c>
      <c r="G654" s="4"/>
      <c r="H654" s="4"/>
      <c r="I654" s="4"/>
      <c r="J654" s="4"/>
      <c r="K654" s="4"/>
      <c r="L654" s="517"/>
      <c r="M654" s="4">
        <v>27.94</v>
      </c>
      <c r="N654" s="4">
        <f ca="1" t="shared" si="1208"/>
        <v>700</v>
      </c>
      <c r="O654" s="4">
        <f ca="1">M654*N654</f>
        <v>19558</v>
      </c>
      <c r="P654" s="4"/>
      <c r="Q654" s="4"/>
      <c r="R654" s="4"/>
      <c r="S654" s="4"/>
      <c r="T654" s="4">
        <f ca="1" t="shared" si="1209"/>
        <v>0</v>
      </c>
      <c r="U654" s="4">
        <f ca="1" t="shared" si="1210"/>
        <v>0</v>
      </c>
      <c r="V654" s="4">
        <f ca="1" t="shared" si="1211"/>
        <v>0</v>
      </c>
      <c r="W654" s="4">
        <f ca="1" t="shared" si="1212"/>
        <v>0</v>
      </c>
      <c r="X654" s="4">
        <f ca="1" t="shared" si="1213"/>
        <v>27.94</v>
      </c>
      <c r="Y654" s="4">
        <f ca="1" t="shared" si="1214"/>
        <v>19558</v>
      </c>
      <c r="Z654" s="4">
        <f ca="1" t="shared" si="1215"/>
        <v>0</v>
      </c>
      <c r="AA654" s="4">
        <f ca="1" t="shared" si="1216"/>
        <v>0</v>
      </c>
      <c r="AB654" s="4"/>
    </row>
    <row r="655" customHeight="1" outlineLevel="3" spans="1:28">
      <c r="A655" s="514" t="s">
        <v>3198</v>
      </c>
      <c r="B655" s="4"/>
      <c r="C655" s="510" t="s">
        <v>59</v>
      </c>
      <c r="D655" s="4" t="s">
        <v>792</v>
      </c>
      <c r="E655" s="4"/>
      <c r="F655" s="4" t="str">
        <f ca="1" t="shared" si="1207"/>
        <v>m³</v>
      </c>
      <c r="G655" s="4"/>
      <c r="H655" s="4"/>
      <c r="I655" s="4"/>
      <c r="J655" s="4"/>
      <c r="K655" s="4"/>
      <c r="L655" s="517"/>
      <c r="M655" s="4">
        <v>158.6091</v>
      </c>
      <c r="N655" s="4">
        <f ca="1" t="shared" si="1208"/>
        <v>450</v>
      </c>
      <c r="O655" s="4">
        <f ca="1">M655*N655</f>
        <v>71374.095</v>
      </c>
      <c r="P655" s="4"/>
      <c r="Q655" s="4"/>
      <c r="R655" s="4"/>
      <c r="S655" s="4"/>
      <c r="T655" s="4">
        <f ca="1" t="shared" si="1209"/>
        <v>0</v>
      </c>
      <c r="U655" s="4">
        <f ca="1" t="shared" si="1210"/>
        <v>0</v>
      </c>
      <c r="V655" s="4">
        <f ca="1" t="shared" si="1211"/>
        <v>0</v>
      </c>
      <c r="W655" s="4">
        <f ca="1" t="shared" si="1212"/>
        <v>0</v>
      </c>
      <c r="X655" s="4">
        <f ca="1" t="shared" si="1213"/>
        <v>158.6091</v>
      </c>
      <c r="Y655" s="4">
        <f ca="1" t="shared" si="1214"/>
        <v>71374.095</v>
      </c>
      <c r="Z655" s="4">
        <f ca="1" t="shared" si="1215"/>
        <v>0</v>
      </c>
      <c r="AA655" s="4">
        <f ca="1" t="shared" si="1216"/>
        <v>0</v>
      </c>
      <c r="AB655" s="4"/>
    </row>
    <row r="656" customHeight="1" outlineLevel="3" spans="1:28">
      <c r="A656" s="514" t="s">
        <v>3199</v>
      </c>
      <c r="B656" s="4"/>
      <c r="C656" s="510" t="s">
        <v>59</v>
      </c>
      <c r="D656" s="4" t="s">
        <v>480</v>
      </c>
      <c r="E656" s="4" t="str">
        <f ca="1">"含钢量："&amp;ROUND($M$656/$G$651,3)&amp;$F$656&amp;"/"&amp;$F$651</f>
        <v>含钢量：0.177t/m3</v>
      </c>
      <c r="F656" s="4" t="str">
        <f ca="1" t="shared" si="1207"/>
        <v>t</v>
      </c>
      <c r="G656" s="4"/>
      <c r="H656" s="4"/>
      <c r="I656" s="4"/>
      <c r="J656" s="4"/>
      <c r="K656" s="4"/>
      <c r="L656" s="517"/>
      <c r="M656" s="4">
        <v>27.94</v>
      </c>
      <c r="N656" s="4">
        <f ca="1" t="shared" si="1208"/>
        <v>4200</v>
      </c>
      <c r="O656" s="4">
        <f ca="1">M656*N656</f>
        <v>117348</v>
      </c>
      <c r="P656" s="4"/>
      <c r="Q656" s="4"/>
      <c r="R656" s="4"/>
      <c r="S656" s="4"/>
      <c r="T656" s="4">
        <f ca="1" t="shared" si="1209"/>
        <v>0</v>
      </c>
      <c r="U656" s="4">
        <f ca="1" t="shared" si="1210"/>
        <v>0</v>
      </c>
      <c r="V656" s="4">
        <f ca="1" t="shared" si="1211"/>
        <v>0</v>
      </c>
      <c r="W656" s="4">
        <f ca="1" t="shared" si="1212"/>
        <v>0</v>
      </c>
      <c r="X656" s="4">
        <f ca="1" t="shared" si="1213"/>
        <v>27.94</v>
      </c>
      <c r="Y656" s="4">
        <f ca="1" t="shared" si="1214"/>
        <v>117348</v>
      </c>
      <c r="Z656" s="4">
        <f ca="1" t="shared" si="1215"/>
        <v>0</v>
      </c>
      <c r="AA656" s="4">
        <f ca="1" t="shared" si="1216"/>
        <v>0</v>
      </c>
      <c r="AB656" s="4"/>
    </row>
    <row r="657" customHeight="1" outlineLevel="2" spans="1:28">
      <c r="A657" s="515" t="s">
        <v>3200</v>
      </c>
      <c r="B657" s="4"/>
      <c r="C657" s="510" t="s">
        <v>1309</v>
      </c>
      <c r="D657" s="4" t="s">
        <v>3201</v>
      </c>
      <c r="E657" s="4" t="s">
        <v>2472</v>
      </c>
      <c r="F657" s="4" t="s">
        <v>72</v>
      </c>
      <c r="G657" s="4">
        <v>1788</v>
      </c>
      <c r="H657" s="4">
        <v>2317.22935779816</v>
      </c>
      <c r="I657" s="4">
        <f>G657*H657</f>
        <v>4143206.09174311</v>
      </c>
      <c r="J657" s="4">
        <f t="shared" ref="J657:L657" si="1217">+G657</f>
        <v>1788</v>
      </c>
      <c r="K657" s="4">
        <f t="shared" si="1217"/>
        <v>2317.22935779816</v>
      </c>
      <c r="L657" s="517">
        <f t="shared" si="1217"/>
        <v>4143206.09174311</v>
      </c>
      <c r="M657" s="4">
        <v>1788</v>
      </c>
      <c r="N657" s="4">
        <f ca="1">O657/M657</f>
        <v>2839.6295531991</v>
      </c>
      <c r="O657" s="4">
        <f ca="1">(+O658+O659+O660+O661+O662+O663+O664+O665+O666+O667)</f>
        <v>5077257.64112</v>
      </c>
      <c r="P657" s="4"/>
      <c r="Q657" s="4"/>
      <c r="R657" s="4">
        <f>+P657+J657</f>
        <v>1788</v>
      </c>
      <c r="S657" s="4">
        <f>+Q657+L657</f>
        <v>4143206.09174311</v>
      </c>
      <c r="T657" s="4">
        <f>IFERROR(VLOOKUP(A657,产值统计中间表!A:F,7,FALSE),0)</f>
        <v>0</v>
      </c>
      <c r="U657" s="4">
        <f>+T657*H657</f>
        <v>0</v>
      </c>
      <c r="V657" s="4">
        <f>IFERROR(VLOOKUP(A657,产值统计中间表!A:D,4,FALSE),0)</f>
        <v>0</v>
      </c>
      <c r="W657" s="4">
        <f>+V657*H657</f>
        <v>0</v>
      </c>
      <c r="X657" s="4">
        <f>+R657-V657</f>
        <v>1788</v>
      </c>
      <c r="Y657" s="4">
        <f>+S657-W657</f>
        <v>4143206.09174311</v>
      </c>
      <c r="Z657" s="4">
        <f>IFERROR(VLOOKUP(A657,业主统计中间表!A:D,4,FALSE),0)</f>
        <v>0</v>
      </c>
      <c r="AA657" s="4">
        <f>+Z657*H657</f>
        <v>0</v>
      </c>
      <c r="AB657" s="4"/>
    </row>
    <row r="658" customHeight="1" outlineLevel="3" spans="1:28">
      <c r="A658" s="514" t="s">
        <v>3202</v>
      </c>
      <c r="B658" s="4"/>
      <c r="C658" s="510" t="s">
        <v>59</v>
      </c>
      <c r="D658" s="4" t="s">
        <v>480</v>
      </c>
      <c r="E658" s="4" t="str">
        <f ca="1">"含钢量："&amp;ROUND($M$658/$G$657,3)&amp;$F$658&amp;"/"&amp;$F$657</f>
        <v>含钢量：0.234t/m3</v>
      </c>
      <c r="F658" s="4" t="str">
        <f ca="1" t="shared" ref="F658:F667" si="1218">VLOOKUP($D658,INDIRECT($C658),2,0)</f>
        <v>t</v>
      </c>
      <c r="G658" s="4"/>
      <c r="H658" s="4"/>
      <c r="I658" s="4"/>
      <c r="J658" s="4"/>
      <c r="K658" s="4"/>
      <c r="L658" s="517"/>
      <c r="M658" s="4">
        <v>418.459</v>
      </c>
      <c r="N658" s="4">
        <f ca="1" t="shared" ref="N658:N667" si="1219">VLOOKUP($D658,INDIRECT($C658),3,0)</f>
        <v>4200</v>
      </c>
      <c r="O658" s="4">
        <f ca="1" t="shared" ref="O658:O667" si="1220">M658*N658</f>
        <v>1757527.8</v>
      </c>
      <c r="P658" s="4"/>
      <c r="Q658" s="4"/>
      <c r="R658" s="4"/>
      <c r="S658" s="4"/>
      <c r="T658" s="4">
        <f ca="1" t="shared" ref="T658:T667" si="1221">OFFSET(T658,-RIGHT($A658,LEN($A$6)),,1,1)/OFFSET(T658,-RIGHT($A658,LEN($A$6)),-13,1,1)*$M658</f>
        <v>0</v>
      </c>
      <c r="U658" s="4">
        <f ca="1" t="shared" ref="U658:U667" si="1222">+$N658*T658</f>
        <v>0</v>
      </c>
      <c r="V658" s="4">
        <f ca="1" t="shared" ref="V658:V667" si="1223">OFFSET(V658,-RIGHT($A658,LEN($A$6)),,1,1)/OFFSET(V658,-RIGHT($A658,LEN($A$6)),-15,1,1)*$M658</f>
        <v>0</v>
      </c>
      <c r="W658" s="4">
        <f ca="1" t="shared" ref="W658:W667" si="1224">+$N658*V658</f>
        <v>0</v>
      </c>
      <c r="X658" s="4">
        <f ca="1" t="shared" ref="X658:X667" si="1225">+M658-V658</f>
        <v>418.459</v>
      </c>
      <c r="Y658" s="4">
        <f ca="1" t="shared" ref="Y658:Y667" si="1226">+O658-W658</f>
        <v>1757527.8</v>
      </c>
      <c r="Z658" s="4">
        <f ca="1" t="shared" ref="Z658:Z667" si="1227">OFFSET(Z658,-RIGHT($A658,LEN($A$6)),,1,1)/OFFSET(Z658,-RIGHT($A658,LEN($A$6)),-19,1,1)*$M658</f>
        <v>0</v>
      </c>
      <c r="AA658" s="4">
        <f ca="1" t="shared" ref="AA658:AA667" si="1228">+$N658*Z658</f>
        <v>0</v>
      </c>
      <c r="AB658" s="4"/>
    </row>
    <row r="659" customHeight="1" outlineLevel="3" spans="1:28">
      <c r="A659" s="514" t="s">
        <v>3203</v>
      </c>
      <c r="B659" s="4"/>
      <c r="C659" s="510" t="s">
        <v>59</v>
      </c>
      <c r="D659" s="4" t="s">
        <v>800</v>
      </c>
      <c r="E659" s="4"/>
      <c r="F659" s="4" t="str">
        <f ca="1" t="shared" si="1218"/>
        <v>t</v>
      </c>
      <c r="G659" s="4"/>
      <c r="H659" s="4"/>
      <c r="I659" s="4"/>
      <c r="J659" s="4"/>
      <c r="K659" s="4"/>
      <c r="L659" s="517"/>
      <c r="M659" s="4">
        <v>53.98432</v>
      </c>
      <c r="N659" s="4">
        <f ca="1" t="shared" si="1219"/>
        <v>7000</v>
      </c>
      <c r="O659" s="4">
        <f ca="1" t="shared" si="1220"/>
        <v>377890.24</v>
      </c>
      <c r="P659" s="4"/>
      <c r="Q659" s="4"/>
      <c r="R659" s="4"/>
      <c r="S659" s="4"/>
      <c r="T659" s="4">
        <f ca="1" t="shared" si="1221"/>
        <v>0</v>
      </c>
      <c r="U659" s="4">
        <f ca="1" t="shared" si="1222"/>
        <v>0</v>
      </c>
      <c r="V659" s="4">
        <f ca="1" t="shared" si="1223"/>
        <v>0</v>
      </c>
      <c r="W659" s="4">
        <f ca="1" t="shared" si="1224"/>
        <v>0</v>
      </c>
      <c r="X659" s="4">
        <f ca="1" t="shared" si="1225"/>
        <v>53.98432</v>
      </c>
      <c r="Y659" s="4">
        <f ca="1" t="shared" si="1226"/>
        <v>377890.24</v>
      </c>
      <c r="Z659" s="4">
        <f ca="1" t="shared" si="1227"/>
        <v>0</v>
      </c>
      <c r="AA659" s="4">
        <f ca="1" t="shared" si="1228"/>
        <v>0</v>
      </c>
      <c r="AB659" s="4"/>
    </row>
    <row r="660" customHeight="1" outlineLevel="3" spans="1:28">
      <c r="A660" s="514" t="s">
        <v>3204</v>
      </c>
      <c r="B660" s="4"/>
      <c r="C660" s="510" t="s">
        <v>59</v>
      </c>
      <c r="D660" s="4" t="s">
        <v>796</v>
      </c>
      <c r="E660" s="4"/>
      <c r="F660" s="4" t="str">
        <f ca="1" t="shared" si="1218"/>
        <v>m³</v>
      </c>
      <c r="G660" s="4"/>
      <c r="H660" s="4"/>
      <c r="I660" s="4"/>
      <c r="J660" s="4"/>
      <c r="K660" s="4"/>
      <c r="L660" s="517"/>
      <c r="M660" s="4">
        <v>1796.94</v>
      </c>
      <c r="N660" s="4">
        <f ca="1" t="shared" si="1219"/>
        <v>470</v>
      </c>
      <c r="O660" s="4">
        <f ca="1" t="shared" si="1220"/>
        <v>844561.8</v>
      </c>
      <c r="P660" s="4"/>
      <c r="Q660" s="4"/>
      <c r="R660" s="4"/>
      <c r="S660" s="4"/>
      <c r="T660" s="4">
        <f ca="1" t="shared" si="1221"/>
        <v>0</v>
      </c>
      <c r="U660" s="4">
        <f ca="1" t="shared" si="1222"/>
        <v>0</v>
      </c>
      <c r="V660" s="4">
        <f ca="1" t="shared" si="1223"/>
        <v>0</v>
      </c>
      <c r="W660" s="4">
        <f ca="1" t="shared" si="1224"/>
        <v>0</v>
      </c>
      <c r="X660" s="4">
        <f ca="1" t="shared" si="1225"/>
        <v>1796.94</v>
      </c>
      <c r="Y660" s="4">
        <f ca="1" t="shared" si="1226"/>
        <v>844561.8</v>
      </c>
      <c r="Z660" s="4">
        <f ca="1" t="shared" si="1227"/>
        <v>0</v>
      </c>
      <c r="AA660" s="4">
        <f ca="1" t="shared" si="1228"/>
        <v>0</v>
      </c>
      <c r="AB660" s="4"/>
    </row>
    <row r="661" customHeight="1" outlineLevel="3" spans="1:28">
      <c r="A661" s="514" t="s">
        <v>3205</v>
      </c>
      <c r="B661" s="4"/>
      <c r="C661" s="510" t="s">
        <v>59</v>
      </c>
      <c r="D661" s="4" t="s">
        <v>808</v>
      </c>
      <c r="E661" s="4"/>
      <c r="F661" s="4" t="str">
        <f ca="1" t="shared" si="1218"/>
        <v>套</v>
      </c>
      <c r="G661" s="4"/>
      <c r="H661" s="4"/>
      <c r="I661" s="4"/>
      <c r="J661" s="4"/>
      <c r="K661" s="4"/>
      <c r="L661" s="517"/>
      <c r="M661" s="4">
        <v>96</v>
      </c>
      <c r="N661" s="4">
        <f ca="1" t="shared" si="1219"/>
        <v>180</v>
      </c>
      <c r="O661" s="4">
        <f ca="1" t="shared" si="1220"/>
        <v>17280</v>
      </c>
      <c r="P661" s="4"/>
      <c r="Q661" s="4"/>
      <c r="R661" s="4"/>
      <c r="S661" s="4"/>
      <c r="T661" s="4">
        <f ca="1" t="shared" si="1221"/>
        <v>0</v>
      </c>
      <c r="U661" s="4">
        <f ca="1" t="shared" si="1222"/>
        <v>0</v>
      </c>
      <c r="V661" s="4">
        <f ca="1" t="shared" si="1223"/>
        <v>0</v>
      </c>
      <c r="W661" s="4">
        <f ca="1" t="shared" si="1224"/>
        <v>0</v>
      </c>
      <c r="X661" s="4">
        <f ca="1" t="shared" si="1225"/>
        <v>96</v>
      </c>
      <c r="Y661" s="4">
        <f ca="1" t="shared" si="1226"/>
        <v>17280</v>
      </c>
      <c r="Z661" s="4">
        <f ca="1" t="shared" si="1227"/>
        <v>0</v>
      </c>
      <c r="AA661" s="4">
        <f ca="1" t="shared" si="1228"/>
        <v>0</v>
      </c>
      <c r="AB661" s="4"/>
    </row>
    <row r="662" customHeight="1" outlineLevel="3" spans="1:28">
      <c r="A662" s="514" t="s">
        <v>3206</v>
      </c>
      <c r="B662" s="4"/>
      <c r="C662" s="510" t="s">
        <v>59</v>
      </c>
      <c r="D662" s="4" t="s">
        <v>1134</v>
      </c>
      <c r="E662" s="4"/>
      <c r="F662" s="4" t="str">
        <f ca="1" t="shared" si="1218"/>
        <v>套</v>
      </c>
      <c r="G662" s="4"/>
      <c r="H662" s="4"/>
      <c r="I662" s="4"/>
      <c r="J662" s="4"/>
      <c r="K662" s="4"/>
      <c r="L662" s="517"/>
      <c r="M662" s="4">
        <v>16</v>
      </c>
      <c r="N662" s="4">
        <f ca="1" t="shared" si="1219"/>
        <v>0</v>
      </c>
      <c r="O662" s="4">
        <f ca="1" t="shared" si="1220"/>
        <v>0</v>
      </c>
      <c r="P662" s="4"/>
      <c r="Q662" s="4"/>
      <c r="R662" s="4"/>
      <c r="S662" s="4"/>
      <c r="T662" s="4">
        <f ca="1" t="shared" si="1221"/>
        <v>0</v>
      </c>
      <c r="U662" s="4">
        <f ca="1" t="shared" si="1222"/>
        <v>0</v>
      </c>
      <c r="V662" s="4">
        <f ca="1" t="shared" si="1223"/>
        <v>0</v>
      </c>
      <c r="W662" s="4">
        <f ca="1" t="shared" si="1224"/>
        <v>0</v>
      </c>
      <c r="X662" s="4">
        <f ca="1" t="shared" si="1225"/>
        <v>16</v>
      </c>
      <c r="Y662" s="4">
        <f ca="1" t="shared" si="1226"/>
        <v>0</v>
      </c>
      <c r="Z662" s="4">
        <f ca="1" t="shared" si="1227"/>
        <v>0</v>
      </c>
      <c r="AA662" s="4">
        <f ca="1" t="shared" si="1228"/>
        <v>0</v>
      </c>
      <c r="AB662" s="4"/>
    </row>
    <row r="663" customHeight="1" outlineLevel="3" spans="1:28">
      <c r="A663" s="514" t="s">
        <v>3207</v>
      </c>
      <c r="B663" s="4"/>
      <c r="C663" s="510" t="s">
        <v>59</v>
      </c>
      <c r="D663" s="4" t="s">
        <v>1137</v>
      </c>
      <c r="E663" s="4"/>
      <c r="F663" s="4" t="str">
        <f ca="1" t="shared" si="1218"/>
        <v>套</v>
      </c>
      <c r="G663" s="4"/>
      <c r="H663" s="4"/>
      <c r="I663" s="4"/>
      <c r="J663" s="4"/>
      <c r="K663" s="4"/>
      <c r="L663" s="517"/>
      <c r="M663" s="4">
        <v>32</v>
      </c>
      <c r="N663" s="4">
        <f ca="1" t="shared" si="1219"/>
        <v>0</v>
      </c>
      <c r="O663" s="4">
        <f ca="1" t="shared" si="1220"/>
        <v>0</v>
      </c>
      <c r="P663" s="4"/>
      <c r="Q663" s="4"/>
      <c r="R663" s="4"/>
      <c r="S663" s="4"/>
      <c r="T663" s="4">
        <f ca="1" t="shared" si="1221"/>
        <v>0</v>
      </c>
      <c r="U663" s="4">
        <f ca="1" t="shared" si="1222"/>
        <v>0</v>
      </c>
      <c r="V663" s="4">
        <f ca="1" t="shared" si="1223"/>
        <v>0</v>
      </c>
      <c r="W663" s="4">
        <f ca="1" t="shared" si="1224"/>
        <v>0</v>
      </c>
      <c r="X663" s="4">
        <f ca="1" t="shared" si="1225"/>
        <v>32</v>
      </c>
      <c r="Y663" s="4">
        <f ca="1" t="shared" si="1226"/>
        <v>0</v>
      </c>
      <c r="Z663" s="4">
        <f ca="1" t="shared" si="1227"/>
        <v>0</v>
      </c>
      <c r="AA663" s="4">
        <f ca="1" t="shared" si="1228"/>
        <v>0</v>
      </c>
      <c r="AB663" s="4"/>
    </row>
    <row r="664" customHeight="1" outlineLevel="3" spans="1:28">
      <c r="A664" s="514" t="s">
        <v>3208</v>
      </c>
      <c r="B664" s="4"/>
      <c r="C664" s="510" t="s">
        <v>64</v>
      </c>
      <c r="D664" s="4" t="s">
        <v>296</v>
      </c>
      <c r="E664" s="4" t="s">
        <v>3209</v>
      </c>
      <c r="F664" s="4" t="str">
        <f ca="1" t="shared" si="1218"/>
        <v>t</v>
      </c>
      <c r="G664" s="4"/>
      <c r="H664" s="4"/>
      <c r="I664" s="4"/>
      <c r="J664" s="4"/>
      <c r="K664" s="4"/>
      <c r="L664" s="517"/>
      <c r="M664" s="4">
        <f>418.459+53.98</f>
        <v>472.439</v>
      </c>
      <c r="N664" s="4">
        <f ca="1" t="shared" si="1219"/>
        <v>700</v>
      </c>
      <c r="O664" s="4">
        <f ca="1" t="shared" si="1220"/>
        <v>330707.3</v>
      </c>
      <c r="P664" s="4"/>
      <c r="Q664" s="4"/>
      <c r="R664" s="4"/>
      <c r="S664" s="4"/>
      <c r="T664" s="4">
        <f ca="1" t="shared" si="1221"/>
        <v>0</v>
      </c>
      <c r="U664" s="4">
        <f ca="1" t="shared" si="1222"/>
        <v>0</v>
      </c>
      <c r="V664" s="4">
        <f ca="1" t="shared" si="1223"/>
        <v>0</v>
      </c>
      <c r="W664" s="4">
        <f ca="1" t="shared" si="1224"/>
        <v>0</v>
      </c>
      <c r="X664" s="4">
        <f ca="1" t="shared" si="1225"/>
        <v>472.439</v>
      </c>
      <c r="Y664" s="4">
        <f ca="1" t="shared" si="1226"/>
        <v>330707.3</v>
      </c>
      <c r="Z664" s="4">
        <f ca="1" t="shared" si="1227"/>
        <v>0</v>
      </c>
      <c r="AA664" s="4">
        <f ca="1" t="shared" si="1228"/>
        <v>0</v>
      </c>
      <c r="AB664" s="4"/>
    </row>
    <row r="665" customHeight="1" outlineLevel="3" spans="1:28">
      <c r="A665" s="514" t="s">
        <v>3210</v>
      </c>
      <c r="B665" s="4"/>
      <c r="C665" s="510" t="s">
        <v>59</v>
      </c>
      <c r="D665" s="4" t="s">
        <v>804</v>
      </c>
      <c r="E665" s="4"/>
      <c r="F665" s="4" t="str">
        <f ca="1" t="shared" si="1218"/>
        <v>m</v>
      </c>
      <c r="G665" s="4"/>
      <c r="H665" s="4"/>
      <c r="I665" s="4"/>
      <c r="J665" s="4"/>
      <c r="K665" s="4"/>
      <c r="L665" s="517"/>
      <c r="M665" s="4">
        <v>3644.56064</v>
      </c>
      <c r="N665" s="4">
        <f ca="1" t="shared" si="1219"/>
        <v>20</v>
      </c>
      <c r="O665" s="4">
        <f ca="1" t="shared" si="1220"/>
        <v>72891.2128</v>
      </c>
      <c r="P665" s="4"/>
      <c r="Q665" s="4"/>
      <c r="R665" s="4"/>
      <c r="S665" s="4"/>
      <c r="T665" s="4">
        <f ca="1" t="shared" si="1221"/>
        <v>0</v>
      </c>
      <c r="U665" s="4">
        <f ca="1" t="shared" si="1222"/>
        <v>0</v>
      </c>
      <c r="V665" s="4">
        <f ca="1" t="shared" si="1223"/>
        <v>0</v>
      </c>
      <c r="W665" s="4">
        <f ca="1" t="shared" si="1224"/>
        <v>0</v>
      </c>
      <c r="X665" s="4">
        <f ca="1" t="shared" si="1225"/>
        <v>3644.56064</v>
      </c>
      <c r="Y665" s="4">
        <f ca="1" t="shared" si="1226"/>
        <v>72891.2128</v>
      </c>
      <c r="Z665" s="4">
        <f ca="1" t="shared" si="1227"/>
        <v>0</v>
      </c>
      <c r="AA665" s="4">
        <f ca="1" t="shared" si="1228"/>
        <v>0</v>
      </c>
      <c r="AB665" s="4"/>
    </row>
    <row r="666" customHeight="1" outlineLevel="3" spans="1:28">
      <c r="A666" s="514" t="s">
        <v>3211</v>
      </c>
      <c r="B666" s="4"/>
      <c r="C666" s="510" t="s">
        <v>64</v>
      </c>
      <c r="D666" s="4" t="s">
        <v>1043</v>
      </c>
      <c r="E666" s="4" t="s">
        <v>3212</v>
      </c>
      <c r="F666" s="4" t="str">
        <f ca="1" t="shared" si="1218"/>
        <v>m3</v>
      </c>
      <c r="G666" s="4"/>
      <c r="H666" s="4"/>
      <c r="I666" s="4"/>
      <c r="J666" s="4"/>
      <c r="K666" s="4"/>
      <c r="L666" s="517"/>
      <c r="M666" s="4">
        <v>1788</v>
      </c>
      <c r="N666" s="4">
        <f ca="1" t="shared" si="1219"/>
        <v>890</v>
      </c>
      <c r="O666" s="4">
        <f ca="1" t="shared" si="1220"/>
        <v>1591320</v>
      </c>
      <c r="P666" s="4"/>
      <c r="Q666" s="4"/>
      <c r="R666" s="4"/>
      <c r="S666" s="4"/>
      <c r="T666" s="4">
        <f ca="1" t="shared" si="1221"/>
        <v>0</v>
      </c>
      <c r="U666" s="4">
        <f ca="1" t="shared" si="1222"/>
        <v>0</v>
      </c>
      <c r="V666" s="4">
        <f ca="1" t="shared" si="1223"/>
        <v>0</v>
      </c>
      <c r="W666" s="4">
        <f ca="1" t="shared" si="1224"/>
        <v>0</v>
      </c>
      <c r="X666" s="4">
        <f ca="1" t="shared" si="1225"/>
        <v>1788</v>
      </c>
      <c r="Y666" s="4">
        <f ca="1" t="shared" si="1226"/>
        <v>1591320</v>
      </c>
      <c r="Z666" s="4">
        <f ca="1" t="shared" si="1227"/>
        <v>0</v>
      </c>
      <c r="AA666" s="4">
        <f ca="1" t="shared" si="1228"/>
        <v>0</v>
      </c>
      <c r="AB666" s="4"/>
    </row>
    <row r="667" customHeight="1" outlineLevel="3" spans="1:28">
      <c r="A667" s="514" t="s">
        <v>3213</v>
      </c>
      <c r="B667" s="4"/>
      <c r="C667" s="510" t="s">
        <v>64</v>
      </c>
      <c r="D667" s="4" t="s">
        <v>1058</v>
      </c>
      <c r="E667" s="4" t="s">
        <v>1058</v>
      </c>
      <c r="F667" s="4" t="str">
        <f ca="1" t="shared" si="1218"/>
        <v>T</v>
      </c>
      <c r="G667" s="4"/>
      <c r="H667" s="4"/>
      <c r="I667" s="4"/>
      <c r="J667" s="4"/>
      <c r="K667" s="4"/>
      <c r="L667" s="517"/>
      <c r="M667" s="4">
        <v>53.98432</v>
      </c>
      <c r="N667" s="4">
        <f ca="1" t="shared" si="1219"/>
        <v>1576</v>
      </c>
      <c r="O667" s="4">
        <f ca="1" t="shared" si="1220"/>
        <v>85079.28832</v>
      </c>
      <c r="P667" s="4"/>
      <c r="Q667" s="4"/>
      <c r="R667" s="4"/>
      <c r="S667" s="4"/>
      <c r="T667" s="4">
        <f ca="1" t="shared" si="1221"/>
        <v>0</v>
      </c>
      <c r="U667" s="4">
        <f ca="1" t="shared" si="1222"/>
        <v>0</v>
      </c>
      <c r="V667" s="4">
        <f ca="1" t="shared" si="1223"/>
        <v>0</v>
      </c>
      <c r="W667" s="4">
        <f ca="1" t="shared" si="1224"/>
        <v>0</v>
      </c>
      <c r="X667" s="4">
        <f ca="1" t="shared" si="1225"/>
        <v>53.98432</v>
      </c>
      <c r="Y667" s="4">
        <f ca="1" t="shared" si="1226"/>
        <v>85079.28832</v>
      </c>
      <c r="Z667" s="4">
        <f ca="1" t="shared" si="1227"/>
        <v>0</v>
      </c>
      <c r="AA667" s="4">
        <f ca="1" t="shared" si="1228"/>
        <v>0</v>
      </c>
      <c r="AB667" s="4"/>
    </row>
    <row r="668" customHeight="1" outlineLevel="2" spans="1:28">
      <c r="A668" s="515" t="s">
        <v>3214</v>
      </c>
      <c r="B668" s="4"/>
      <c r="C668" s="510" t="s">
        <v>1309</v>
      </c>
      <c r="D668" s="4" t="s">
        <v>3215</v>
      </c>
      <c r="E668" s="4" t="s">
        <v>2472</v>
      </c>
      <c r="F668" s="4" t="s">
        <v>72</v>
      </c>
      <c r="G668" s="4">
        <v>58.38</v>
      </c>
      <c r="H668" s="4">
        <v>2469.71559633027</v>
      </c>
      <c r="I668" s="4">
        <f>G668*H668</f>
        <v>144181.996513761</v>
      </c>
      <c r="J668" s="4">
        <f t="shared" ref="J668:L668" si="1229">+G668</f>
        <v>58.38</v>
      </c>
      <c r="K668" s="4">
        <f t="shared" si="1229"/>
        <v>2469.71559633027</v>
      </c>
      <c r="L668" s="517">
        <f t="shared" si="1229"/>
        <v>144181.996513761</v>
      </c>
      <c r="M668" s="4">
        <v>58.38</v>
      </c>
      <c r="N668" s="4">
        <f ca="1">O668/M668</f>
        <v>1737.40873586845</v>
      </c>
      <c r="O668" s="4">
        <f ca="1">(+O669+O670+O671+O672+O673)</f>
        <v>101429.922</v>
      </c>
      <c r="P668" s="4"/>
      <c r="Q668" s="4"/>
      <c r="R668" s="4">
        <f>+P668+J668</f>
        <v>58.38</v>
      </c>
      <c r="S668" s="4">
        <f>+Q668+L668</f>
        <v>144181.996513761</v>
      </c>
      <c r="T668" s="4">
        <f>IFERROR(VLOOKUP(A668,产值统计中间表!A:F,7,FALSE),0)</f>
        <v>0</v>
      </c>
      <c r="U668" s="4">
        <f>+T668*H668</f>
        <v>0</v>
      </c>
      <c r="V668" s="4">
        <f>IFERROR(VLOOKUP(A668,产值统计中间表!A:D,4,FALSE),0)</f>
        <v>0</v>
      </c>
      <c r="W668" s="4">
        <f>+V668*H668</f>
        <v>0</v>
      </c>
      <c r="X668" s="4">
        <f>+R668-V668</f>
        <v>58.38</v>
      </c>
      <c r="Y668" s="4">
        <f>+S668-W668</f>
        <v>144181.996513761</v>
      </c>
      <c r="Z668" s="4">
        <f>IFERROR(VLOOKUP(A668,业主统计中间表!A:D,4,FALSE),0)</f>
        <v>0</v>
      </c>
      <c r="AA668" s="4">
        <f>+Z668*H668</f>
        <v>0</v>
      </c>
      <c r="AB668" s="4"/>
    </row>
    <row r="669" customHeight="1" outlineLevel="3" spans="1:28">
      <c r="A669" s="514" t="s">
        <v>3216</v>
      </c>
      <c r="B669" s="4"/>
      <c r="C669" s="510" t="s">
        <v>64</v>
      </c>
      <c r="D669" s="4" t="s">
        <v>752</v>
      </c>
      <c r="E669" s="4"/>
      <c r="F669" s="4" t="str">
        <f ca="1" t="shared" ref="F669:F673" si="1230">VLOOKUP($D669,INDIRECT($C669),2,0)</f>
        <v>m3</v>
      </c>
      <c r="G669" s="4"/>
      <c r="H669" s="4"/>
      <c r="I669" s="4"/>
      <c r="J669" s="4"/>
      <c r="K669" s="4"/>
      <c r="L669" s="517"/>
      <c r="M669" s="4">
        <v>58.38</v>
      </c>
      <c r="N669" s="4">
        <f ca="1" t="shared" ref="N669:N673" si="1231">VLOOKUP($D669,INDIRECT($C669),3,0)</f>
        <v>30</v>
      </c>
      <c r="O669" s="4">
        <f ca="1">M669*N669</f>
        <v>1751.4</v>
      </c>
      <c r="P669" s="4"/>
      <c r="Q669" s="4"/>
      <c r="R669" s="4"/>
      <c r="S669" s="4"/>
      <c r="T669" s="4">
        <f ca="1" t="shared" ref="T669:T673" si="1232">OFFSET(T669,-RIGHT($A669,LEN($A$6)),,1,1)/OFFSET(T669,-RIGHT($A669,LEN($A$6)),-13,1,1)*$M669</f>
        <v>0</v>
      </c>
      <c r="U669" s="4">
        <f ca="1" t="shared" ref="U669:U673" si="1233">+$N669*T669</f>
        <v>0</v>
      </c>
      <c r="V669" s="4">
        <f ca="1" t="shared" ref="V669:V673" si="1234">OFFSET(V669,-RIGHT($A669,LEN($A$6)),,1,1)/OFFSET(V669,-RIGHT($A669,LEN($A$6)),-15,1,1)*$M669</f>
        <v>0</v>
      </c>
      <c r="W669" s="4">
        <f ca="1" t="shared" ref="W669:W673" si="1235">+$N669*V669</f>
        <v>0</v>
      </c>
      <c r="X669" s="4">
        <f ca="1" t="shared" ref="X669:X673" si="1236">+M669-V669</f>
        <v>58.38</v>
      </c>
      <c r="Y669" s="4">
        <f ca="1" t="shared" ref="Y669:Y673" si="1237">+O669-W669</f>
        <v>1751.4</v>
      </c>
      <c r="Z669" s="4">
        <f ca="1" t="shared" ref="Z669:Z673" si="1238">OFFSET(Z669,-RIGHT($A669,LEN($A$6)),,1,1)/OFFSET(Z669,-RIGHT($A669,LEN($A$6)),-19,1,1)*$M669</f>
        <v>0</v>
      </c>
      <c r="AA669" s="4">
        <f ca="1" t="shared" ref="AA669:AA673" si="1239">+$N669*Z669</f>
        <v>0</v>
      </c>
      <c r="AB669" s="4"/>
    </row>
    <row r="670" customHeight="1" outlineLevel="3" spans="1:28">
      <c r="A670" s="514" t="s">
        <v>3217</v>
      </c>
      <c r="B670" s="4"/>
      <c r="C670" s="510" t="s">
        <v>59</v>
      </c>
      <c r="D670" s="4" t="s">
        <v>796</v>
      </c>
      <c r="E670" s="4"/>
      <c r="F670" s="4" t="str">
        <f ca="1" t="shared" si="1230"/>
        <v>m³</v>
      </c>
      <c r="G670" s="4"/>
      <c r="H670" s="4"/>
      <c r="I670" s="4"/>
      <c r="J670" s="4"/>
      <c r="K670" s="4"/>
      <c r="L670" s="517"/>
      <c r="M670" s="4">
        <v>58.6719</v>
      </c>
      <c r="N670" s="4">
        <f ca="1" t="shared" si="1231"/>
        <v>470</v>
      </c>
      <c r="O670" s="4">
        <f ca="1">M670*N670</f>
        <v>27575.793</v>
      </c>
      <c r="P670" s="4"/>
      <c r="Q670" s="4"/>
      <c r="R670" s="4"/>
      <c r="S670" s="4"/>
      <c r="T670" s="4">
        <f ca="1" t="shared" si="1232"/>
        <v>0</v>
      </c>
      <c r="U670" s="4">
        <f ca="1" t="shared" si="1233"/>
        <v>0</v>
      </c>
      <c r="V670" s="4">
        <f ca="1" t="shared" si="1234"/>
        <v>0</v>
      </c>
      <c r="W670" s="4">
        <f ca="1" t="shared" si="1235"/>
        <v>0</v>
      </c>
      <c r="X670" s="4">
        <f ca="1" t="shared" si="1236"/>
        <v>58.6719</v>
      </c>
      <c r="Y670" s="4">
        <f ca="1" t="shared" si="1237"/>
        <v>27575.793</v>
      </c>
      <c r="Z670" s="4">
        <f ca="1" t="shared" si="1238"/>
        <v>0</v>
      </c>
      <c r="AA670" s="4">
        <f ca="1" t="shared" si="1239"/>
        <v>0</v>
      </c>
      <c r="AB670" s="4"/>
    </row>
    <row r="671" customHeight="1" outlineLevel="3" spans="1:28">
      <c r="A671" s="514" t="s">
        <v>3218</v>
      </c>
      <c r="B671" s="4"/>
      <c r="C671" s="510" t="s">
        <v>64</v>
      </c>
      <c r="D671" s="4" t="s">
        <v>262</v>
      </c>
      <c r="E671" s="4"/>
      <c r="F671" s="4" t="str">
        <f ca="1" t="shared" si="1230"/>
        <v>m2</v>
      </c>
      <c r="G671" s="4"/>
      <c r="H671" s="4"/>
      <c r="I671" s="4"/>
      <c r="J671" s="4"/>
      <c r="K671" s="4"/>
      <c r="L671" s="517"/>
      <c r="M671" s="4">
        <v>57.6278</v>
      </c>
      <c r="N671" s="4">
        <f ca="1" t="shared" si="1231"/>
        <v>55</v>
      </c>
      <c r="O671" s="4">
        <f ca="1">M671*N671</f>
        <v>3169.529</v>
      </c>
      <c r="P671" s="4"/>
      <c r="Q671" s="4"/>
      <c r="R671" s="4"/>
      <c r="S671" s="4"/>
      <c r="T671" s="4">
        <f ca="1" t="shared" si="1232"/>
        <v>0</v>
      </c>
      <c r="U671" s="4">
        <f ca="1" t="shared" si="1233"/>
        <v>0</v>
      </c>
      <c r="V671" s="4">
        <f ca="1" t="shared" si="1234"/>
        <v>0</v>
      </c>
      <c r="W671" s="4">
        <f ca="1" t="shared" si="1235"/>
        <v>0</v>
      </c>
      <c r="X671" s="4">
        <f ca="1" t="shared" si="1236"/>
        <v>57.6278</v>
      </c>
      <c r="Y671" s="4">
        <f ca="1" t="shared" si="1237"/>
        <v>3169.529</v>
      </c>
      <c r="Z671" s="4">
        <f ca="1" t="shared" si="1238"/>
        <v>0</v>
      </c>
      <c r="AA671" s="4">
        <f ca="1" t="shared" si="1239"/>
        <v>0</v>
      </c>
      <c r="AB671" s="4"/>
    </row>
    <row r="672" customHeight="1" outlineLevel="3" spans="1:28">
      <c r="A672" s="514" t="s">
        <v>3219</v>
      </c>
      <c r="B672" s="4"/>
      <c r="C672" s="510" t="s">
        <v>64</v>
      </c>
      <c r="D672" s="4" t="s">
        <v>296</v>
      </c>
      <c r="E672" s="4"/>
      <c r="F672" s="4" t="str">
        <f ca="1" t="shared" si="1230"/>
        <v>t</v>
      </c>
      <c r="G672" s="4"/>
      <c r="H672" s="4"/>
      <c r="I672" s="4"/>
      <c r="J672" s="4"/>
      <c r="K672" s="4"/>
      <c r="L672" s="517"/>
      <c r="M672" s="4">
        <v>14.068</v>
      </c>
      <c r="N672" s="4">
        <f ca="1" t="shared" si="1231"/>
        <v>700</v>
      </c>
      <c r="O672" s="4">
        <f ca="1">M672*N672</f>
        <v>9847.6</v>
      </c>
      <c r="P672" s="4"/>
      <c r="Q672" s="4"/>
      <c r="R672" s="4"/>
      <c r="S672" s="4"/>
      <c r="T672" s="4">
        <f ca="1" t="shared" si="1232"/>
        <v>0</v>
      </c>
      <c r="U672" s="4">
        <f ca="1" t="shared" si="1233"/>
        <v>0</v>
      </c>
      <c r="V672" s="4">
        <f ca="1" t="shared" si="1234"/>
        <v>0</v>
      </c>
      <c r="W672" s="4">
        <f ca="1" t="shared" si="1235"/>
        <v>0</v>
      </c>
      <c r="X672" s="4">
        <f ca="1" t="shared" si="1236"/>
        <v>14.068</v>
      </c>
      <c r="Y672" s="4">
        <f ca="1" t="shared" si="1237"/>
        <v>9847.6</v>
      </c>
      <c r="Z672" s="4">
        <f ca="1" t="shared" si="1238"/>
        <v>0</v>
      </c>
      <c r="AA672" s="4">
        <f ca="1" t="shared" si="1239"/>
        <v>0</v>
      </c>
      <c r="AB672" s="4"/>
    </row>
    <row r="673" customHeight="1" outlineLevel="3" spans="1:28">
      <c r="A673" s="514" t="s">
        <v>3220</v>
      </c>
      <c r="B673" s="4"/>
      <c r="C673" s="510" t="s">
        <v>59</v>
      </c>
      <c r="D673" s="4" t="s">
        <v>480</v>
      </c>
      <c r="E673" s="4" t="str">
        <f ca="1">"含钢量："&amp;ROUND($M$673/$G$668,3)&amp;$F$673&amp;"/"&amp;$F$668</f>
        <v>含钢量：0.241t/m3</v>
      </c>
      <c r="F673" s="4" t="str">
        <f ca="1" t="shared" si="1230"/>
        <v>t</v>
      </c>
      <c r="G673" s="4"/>
      <c r="H673" s="4"/>
      <c r="I673" s="4"/>
      <c r="J673" s="4"/>
      <c r="K673" s="4"/>
      <c r="L673" s="517"/>
      <c r="M673" s="4">
        <v>14.068</v>
      </c>
      <c r="N673" s="4">
        <f ca="1" t="shared" si="1231"/>
        <v>4200</v>
      </c>
      <c r="O673" s="4">
        <f ca="1">M673*N673</f>
        <v>59085.6</v>
      </c>
      <c r="P673" s="4"/>
      <c r="Q673" s="4"/>
      <c r="R673" s="4"/>
      <c r="S673" s="4"/>
      <c r="T673" s="4">
        <f ca="1" t="shared" si="1232"/>
        <v>0</v>
      </c>
      <c r="U673" s="4">
        <f ca="1" t="shared" si="1233"/>
        <v>0</v>
      </c>
      <c r="V673" s="4">
        <f ca="1" t="shared" si="1234"/>
        <v>0</v>
      </c>
      <c r="W673" s="4">
        <f ca="1" t="shared" si="1235"/>
        <v>0</v>
      </c>
      <c r="X673" s="4">
        <f ca="1" t="shared" si="1236"/>
        <v>14.068</v>
      </c>
      <c r="Y673" s="4">
        <f ca="1" t="shared" si="1237"/>
        <v>59085.6</v>
      </c>
      <c r="Z673" s="4">
        <f ca="1" t="shared" si="1238"/>
        <v>0</v>
      </c>
      <c r="AA673" s="4">
        <f ca="1" t="shared" si="1239"/>
        <v>0</v>
      </c>
      <c r="AB673" s="4"/>
    </row>
    <row r="674" customHeight="1" outlineLevel="2" spans="1:28">
      <c r="A674" s="515" t="s">
        <v>3221</v>
      </c>
      <c r="B674" s="4"/>
      <c r="C674" s="510" t="s">
        <v>1309</v>
      </c>
      <c r="D674" s="4" t="s">
        <v>3222</v>
      </c>
      <c r="E674" s="4" t="s">
        <v>2472</v>
      </c>
      <c r="F674" s="4" t="s">
        <v>72</v>
      </c>
      <c r="G674" s="4">
        <v>82.32</v>
      </c>
      <c r="H674" s="4">
        <v>2003.24770642202</v>
      </c>
      <c r="I674" s="4">
        <f>G674*H674</f>
        <v>164907.351192661</v>
      </c>
      <c r="J674" s="4">
        <f t="shared" ref="J674:L674" si="1240">+G674</f>
        <v>82.32</v>
      </c>
      <c r="K674" s="4">
        <f t="shared" si="1240"/>
        <v>2003.24770642202</v>
      </c>
      <c r="L674" s="517">
        <f t="shared" si="1240"/>
        <v>164907.351192661</v>
      </c>
      <c r="M674" s="4">
        <v>82.32</v>
      </c>
      <c r="N674" s="4">
        <f ca="1">O674/M674</f>
        <v>3702.74115245491</v>
      </c>
      <c r="O674" s="4">
        <f ca="1">(+O675+O676+O677+O678+O679)</f>
        <v>304809.651670088</v>
      </c>
      <c r="P674" s="4"/>
      <c r="Q674" s="4"/>
      <c r="R674" s="4">
        <f>+P674+J674</f>
        <v>82.32</v>
      </c>
      <c r="S674" s="4">
        <f>+Q674+L674</f>
        <v>164907.351192661</v>
      </c>
      <c r="T674" s="4">
        <f>IFERROR(VLOOKUP(A674,产值统计中间表!A:F,7,FALSE),0)</f>
        <v>0</v>
      </c>
      <c r="U674" s="4">
        <f>+T674*H674</f>
        <v>0</v>
      </c>
      <c r="V674" s="4">
        <f>IFERROR(VLOOKUP(A674,产值统计中间表!A:D,4,FALSE),0)</f>
        <v>0</v>
      </c>
      <c r="W674" s="4">
        <f>+V674*H674</f>
        <v>0</v>
      </c>
      <c r="X674" s="4">
        <f>+R674-V674</f>
        <v>82.32</v>
      </c>
      <c r="Y674" s="4">
        <f>+S674-W674</f>
        <v>164907.351192661</v>
      </c>
      <c r="Z674" s="4">
        <f>IFERROR(VLOOKUP(A674,业主统计中间表!A:D,4,FALSE),0)</f>
        <v>0</v>
      </c>
      <c r="AA674" s="4">
        <f>+Z674*H674</f>
        <v>0</v>
      </c>
      <c r="AB674" s="4"/>
    </row>
    <row r="675" customHeight="1" outlineLevel="3" spans="1:28">
      <c r="A675" s="514" t="s">
        <v>3223</v>
      </c>
      <c r="B675" s="4"/>
      <c r="C675" s="510" t="s">
        <v>64</v>
      </c>
      <c r="D675" s="4" t="s">
        <v>752</v>
      </c>
      <c r="E675" s="4"/>
      <c r="F675" s="4" t="str">
        <f ca="1" t="shared" ref="F675:F679" si="1241">VLOOKUP($D675,INDIRECT($C675),2,0)</f>
        <v>m3</v>
      </c>
      <c r="G675" s="4"/>
      <c r="H675" s="4"/>
      <c r="I675" s="4"/>
      <c r="J675" s="4"/>
      <c r="K675" s="4"/>
      <c r="L675" s="517"/>
      <c r="M675" s="4">
        <v>70.9128</v>
      </c>
      <c r="N675" s="4">
        <f ca="1" t="shared" ref="N675:N679" si="1242">VLOOKUP($D675,INDIRECT($C675),3,0)</f>
        <v>30</v>
      </c>
      <c r="O675" s="4">
        <f ca="1">M675*N675</f>
        <v>2127.384</v>
      </c>
      <c r="P675" s="4"/>
      <c r="Q675" s="4"/>
      <c r="R675" s="4"/>
      <c r="S675" s="4"/>
      <c r="T675" s="4">
        <f ca="1" t="shared" ref="T675:T679" si="1243">OFFSET(T675,-RIGHT($A675,LEN($A$6)),,1,1)/OFFSET(T675,-RIGHT($A675,LEN($A$6)),-13,1,1)*$M675</f>
        <v>0</v>
      </c>
      <c r="U675" s="4">
        <f ca="1" t="shared" ref="U675:U679" si="1244">+$N675*T675</f>
        <v>0</v>
      </c>
      <c r="V675" s="4">
        <f ca="1" t="shared" ref="V675:V679" si="1245">OFFSET(V675,-RIGHT($A675,LEN($A$6)),,1,1)/OFFSET(V675,-RIGHT($A675,LEN($A$6)),-15,1,1)*$M675</f>
        <v>0</v>
      </c>
      <c r="W675" s="4">
        <f ca="1" t="shared" ref="W675:W679" si="1246">+$N675*V675</f>
        <v>0</v>
      </c>
      <c r="X675" s="4">
        <f ca="1" t="shared" ref="X675:X679" si="1247">+M675-V675</f>
        <v>70.9128</v>
      </c>
      <c r="Y675" s="4">
        <f ca="1" t="shared" ref="Y675:Y679" si="1248">+O675-W675</f>
        <v>2127.384</v>
      </c>
      <c r="Z675" s="4">
        <f ca="1" t="shared" ref="Z675:Z679" si="1249">OFFSET(Z675,-RIGHT($A675,LEN($A$6)),,1,1)/OFFSET(Z675,-RIGHT($A675,LEN($A$6)),-19,1,1)*$M675</f>
        <v>0</v>
      </c>
      <c r="AA675" s="4">
        <f ca="1" t="shared" ref="AA675:AA679" si="1250">+$N675*Z675</f>
        <v>0</v>
      </c>
      <c r="AB675" s="4"/>
    </row>
    <row r="676" customHeight="1" outlineLevel="3" spans="1:28">
      <c r="A676" s="514" t="s">
        <v>3224</v>
      </c>
      <c r="B676" s="4"/>
      <c r="C676" s="510" t="s">
        <v>64</v>
      </c>
      <c r="D676" s="4" t="s">
        <v>262</v>
      </c>
      <c r="E676" s="4"/>
      <c r="F676" s="4" t="str">
        <f ca="1" t="shared" si="1241"/>
        <v>m2</v>
      </c>
      <c r="G676" s="4"/>
      <c r="H676" s="4"/>
      <c r="I676" s="4"/>
      <c r="J676" s="4"/>
      <c r="K676" s="4"/>
      <c r="L676" s="517"/>
      <c r="M676" s="4">
        <v>24.833016</v>
      </c>
      <c r="N676" s="4">
        <f ca="1" t="shared" si="1242"/>
        <v>55</v>
      </c>
      <c r="O676" s="4">
        <f ca="1">M676*N676</f>
        <v>1365.81588</v>
      </c>
      <c r="P676" s="4"/>
      <c r="Q676" s="4"/>
      <c r="R676" s="4"/>
      <c r="S676" s="4"/>
      <c r="T676" s="4">
        <f ca="1" t="shared" si="1243"/>
        <v>0</v>
      </c>
      <c r="U676" s="4">
        <f ca="1" t="shared" si="1244"/>
        <v>0</v>
      </c>
      <c r="V676" s="4">
        <f ca="1" t="shared" si="1245"/>
        <v>0</v>
      </c>
      <c r="W676" s="4">
        <f ca="1" t="shared" si="1246"/>
        <v>0</v>
      </c>
      <c r="X676" s="4">
        <f ca="1" t="shared" si="1247"/>
        <v>24.833016</v>
      </c>
      <c r="Y676" s="4">
        <f ca="1" t="shared" si="1248"/>
        <v>1365.81588</v>
      </c>
      <c r="Z676" s="4">
        <f ca="1" t="shared" si="1249"/>
        <v>0</v>
      </c>
      <c r="AA676" s="4">
        <f ca="1" t="shared" si="1250"/>
        <v>0</v>
      </c>
      <c r="AB676" s="4"/>
    </row>
    <row r="677" customHeight="1" outlineLevel="3" spans="1:28">
      <c r="A677" s="514" t="s">
        <v>3225</v>
      </c>
      <c r="B677" s="4"/>
      <c r="C677" s="510" t="s">
        <v>59</v>
      </c>
      <c r="D677" s="4" t="s">
        <v>206</v>
      </c>
      <c r="E677" s="4"/>
      <c r="F677" s="4" t="str">
        <f ca="1" t="shared" si="1241"/>
        <v>m3</v>
      </c>
      <c r="G677" s="4"/>
      <c r="H677" s="4"/>
      <c r="I677" s="4"/>
      <c r="J677" s="4"/>
      <c r="K677" s="4"/>
      <c r="L677" s="517"/>
      <c r="M677" s="4">
        <v>70.9128</v>
      </c>
      <c r="N677" s="4">
        <f ca="1" t="shared" si="1242"/>
        <v>3097.57831858407</v>
      </c>
      <c r="O677" s="4">
        <f ca="1">M677*N677</f>
        <v>219657.951790088</v>
      </c>
      <c r="P677" s="4"/>
      <c r="Q677" s="4"/>
      <c r="R677" s="4"/>
      <c r="S677" s="4"/>
      <c r="T677" s="4">
        <f ca="1" t="shared" si="1243"/>
        <v>0</v>
      </c>
      <c r="U677" s="4">
        <f ca="1" t="shared" si="1244"/>
        <v>0</v>
      </c>
      <c r="V677" s="4">
        <f ca="1" t="shared" si="1245"/>
        <v>0</v>
      </c>
      <c r="W677" s="4">
        <f ca="1" t="shared" si="1246"/>
        <v>0</v>
      </c>
      <c r="X677" s="4">
        <f ca="1" t="shared" si="1247"/>
        <v>70.9128</v>
      </c>
      <c r="Y677" s="4">
        <f ca="1" t="shared" si="1248"/>
        <v>219657.951790088</v>
      </c>
      <c r="Z677" s="4">
        <f ca="1" t="shared" si="1249"/>
        <v>0</v>
      </c>
      <c r="AA677" s="4">
        <f ca="1" t="shared" si="1250"/>
        <v>0</v>
      </c>
      <c r="AB677" s="4"/>
    </row>
    <row r="678" customHeight="1" outlineLevel="3" spans="1:28">
      <c r="A678" s="514" t="s">
        <v>3226</v>
      </c>
      <c r="B678" s="4"/>
      <c r="C678" s="510" t="s">
        <v>59</v>
      </c>
      <c r="D678" s="4" t="s">
        <v>480</v>
      </c>
      <c r="E678" s="4" t="str">
        <f ca="1">"含钢量："&amp;ROUND($M$678/$G$674,3)&amp;$F$678&amp;"/"&amp;$F$674</f>
        <v>含钢量：0.202t/m3</v>
      </c>
      <c r="F678" s="4" t="str">
        <f ca="1" t="shared" si="1241"/>
        <v>t</v>
      </c>
      <c r="G678" s="4"/>
      <c r="H678" s="4"/>
      <c r="I678" s="4"/>
      <c r="J678" s="4"/>
      <c r="K678" s="4"/>
      <c r="L678" s="517"/>
      <c r="M678" s="4">
        <v>16.665</v>
      </c>
      <c r="N678" s="4">
        <f ca="1" t="shared" si="1242"/>
        <v>4200</v>
      </c>
      <c r="O678" s="4">
        <f ca="1">M678*N678</f>
        <v>69993</v>
      </c>
      <c r="P678" s="4"/>
      <c r="Q678" s="4"/>
      <c r="R678" s="4"/>
      <c r="S678" s="4"/>
      <c r="T678" s="4">
        <f ca="1" t="shared" si="1243"/>
        <v>0</v>
      </c>
      <c r="U678" s="4">
        <f ca="1" t="shared" si="1244"/>
        <v>0</v>
      </c>
      <c r="V678" s="4">
        <f ca="1" t="shared" si="1245"/>
        <v>0</v>
      </c>
      <c r="W678" s="4">
        <f ca="1" t="shared" si="1246"/>
        <v>0</v>
      </c>
      <c r="X678" s="4">
        <f ca="1" t="shared" si="1247"/>
        <v>16.665</v>
      </c>
      <c r="Y678" s="4">
        <f ca="1" t="shared" si="1248"/>
        <v>69993</v>
      </c>
      <c r="Z678" s="4">
        <f ca="1" t="shared" si="1249"/>
        <v>0</v>
      </c>
      <c r="AA678" s="4">
        <f ca="1" t="shared" si="1250"/>
        <v>0</v>
      </c>
      <c r="AB678" s="4"/>
    </row>
    <row r="679" customHeight="1" outlineLevel="3" spans="1:28">
      <c r="A679" s="514" t="s">
        <v>3227</v>
      </c>
      <c r="B679" s="4"/>
      <c r="C679" s="510" t="s">
        <v>64</v>
      </c>
      <c r="D679" s="4" t="s">
        <v>296</v>
      </c>
      <c r="E679" s="4"/>
      <c r="F679" s="4" t="str">
        <f ca="1" t="shared" si="1241"/>
        <v>t</v>
      </c>
      <c r="G679" s="4"/>
      <c r="H679" s="4"/>
      <c r="I679" s="4"/>
      <c r="J679" s="4"/>
      <c r="K679" s="4"/>
      <c r="L679" s="517"/>
      <c r="M679" s="4">
        <v>16.665</v>
      </c>
      <c r="N679" s="4">
        <f ca="1" t="shared" si="1242"/>
        <v>700</v>
      </c>
      <c r="O679" s="4">
        <f ca="1">M679*N679</f>
        <v>11665.5</v>
      </c>
      <c r="P679" s="4"/>
      <c r="Q679" s="4"/>
      <c r="R679" s="4"/>
      <c r="S679" s="4"/>
      <c r="T679" s="4">
        <f ca="1" t="shared" si="1243"/>
        <v>0</v>
      </c>
      <c r="U679" s="4">
        <f ca="1" t="shared" si="1244"/>
        <v>0</v>
      </c>
      <c r="V679" s="4">
        <f ca="1" t="shared" si="1245"/>
        <v>0</v>
      </c>
      <c r="W679" s="4">
        <f ca="1" t="shared" si="1246"/>
        <v>0</v>
      </c>
      <c r="X679" s="4">
        <f ca="1" t="shared" si="1247"/>
        <v>16.665</v>
      </c>
      <c r="Y679" s="4">
        <f ca="1" t="shared" si="1248"/>
        <v>11665.5</v>
      </c>
      <c r="Z679" s="4">
        <f ca="1" t="shared" si="1249"/>
        <v>0</v>
      </c>
      <c r="AA679" s="4">
        <f ca="1" t="shared" si="1250"/>
        <v>0</v>
      </c>
      <c r="AB679" s="4"/>
    </row>
    <row r="680" customHeight="1" outlineLevel="2" spans="1:28">
      <c r="A680" s="515" t="s">
        <v>3228</v>
      </c>
      <c r="B680" s="4"/>
      <c r="C680" s="510" t="s">
        <v>1309</v>
      </c>
      <c r="D680" s="4" t="s">
        <v>3229</v>
      </c>
      <c r="E680" s="4" t="s">
        <v>2610</v>
      </c>
      <c r="F680" s="4" t="s">
        <v>169</v>
      </c>
      <c r="G680" s="4">
        <v>3</v>
      </c>
      <c r="H680" s="4">
        <v>15662.6330275229</v>
      </c>
      <c r="I680" s="4">
        <f>G680*H680</f>
        <v>46987.8990825687</v>
      </c>
      <c r="J680" s="4">
        <f t="shared" ref="J680:L680" si="1251">+G680</f>
        <v>3</v>
      </c>
      <c r="K680" s="4">
        <f t="shared" si="1251"/>
        <v>15662.6330275229</v>
      </c>
      <c r="L680" s="517">
        <f t="shared" si="1251"/>
        <v>46987.8990825687</v>
      </c>
      <c r="M680" s="4">
        <v>3</v>
      </c>
      <c r="N680" s="4">
        <f ca="1">O680/M680</f>
        <v>0</v>
      </c>
      <c r="O680" s="4">
        <f ca="1">(+O681+O682)</f>
        <v>0</v>
      </c>
      <c r="P680" s="4"/>
      <c r="Q680" s="4"/>
      <c r="R680" s="4">
        <f>+P680+J680</f>
        <v>3</v>
      </c>
      <c r="S680" s="4">
        <f>+Q680+L680</f>
        <v>46987.8990825687</v>
      </c>
      <c r="T680" s="4">
        <f>IFERROR(VLOOKUP(A680,产值统计中间表!A:F,7,FALSE),0)</f>
        <v>0</v>
      </c>
      <c r="U680" s="4">
        <f>+T680*H680</f>
        <v>0</v>
      </c>
      <c r="V680" s="4">
        <f>IFERROR(VLOOKUP(A680,产值统计中间表!A:D,4,FALSE),0)</f>
        <v>0</v>
      </c>
      <c r="W680" s="4">
        <f>+V680*H680</f>
        <v>0</v>
      </c>
      <c r="X680" s="4">
        <f>+R680-V680</f>
        <v>3</v>
      </c>
      <c r="Y680" s="4">
        <f>+S680-W680</f>
        <v>46987.8990825687</v>
      </c>
      <c r="Z680" s="4">
        <f>IFERROR(VLOOKUP(A680,业主统计中间表!A:D,4,FALSE),0)</f>
        <v>0</v>
      </c>
      <c r="AA680" s="4">
        <f>+Z680*H680</f>
        <v>0</v>
      </c>
      <c r="AB680" s="4"/>
    </row>
    <row r="681" customHeight="1" outlineLevel="3" spans="1:28">
      <c r="A681" s="514" t="s">
        <v>3230</v>
      </c>
      <c r="B681" s="4"/>
      <c r="C681" s="510" t="s">
        <v>59</v>
      </c>
      <c r="D681" s="4" t="s">
        <v>1026</v>
      </c>
      <c r="E681" s="4"/>
      <c r="F681" s="4" t="str">
        <f ca="1" t="shared" ref="F681:F685" si="1252">VLOOKUP($D681,INDIRECT($C681),2,0)</f>
        <v>套</v>
      </c>
      <c r="G681" s="4"/>
      <c r="H681" s="4"/>
      <c r="I681" s="4"/>
      <c r="J681" s="4"/>
      <c r="K681" s="4"/>
      <c r="L681" s="517"/>
      <c r="M681" s="4">
        <v>3</v>
      </c>
      <c r="N681" s="4">
        <f ca="1" t="shared" ref="N681:N685" si="1253">VLOOKUP($D681,INDIRECT($C681),3,0)</f>
        <v>0</v>
      </c>
      <c r="O681" s="4">
        <f ca="1">M681*N681</f>
        <v>0</v>
      </c>
      <c r="P681" s="4"/>
      <c r="Q681" s="4"/>
      <c r="R681" s="4"/>
      <c r="S681" s="4"/>
      <c r="T681" s="4">
        <f ca="1" t="shared" ref="T681:T685" si="1254">OFFSET(T681,-RIGHT($A681,LEN($A$6)),,1,1)/OFFSET(T681,-RIGHT($A681,LEN($A$6)),-13,1,1)*$M681</f>
        <v>0</v>
      </c>
      <c r="U681" s="4">
        <f ca="1" t="shared" ref="U681:U685" si="1255">+$N681*T681</f>
        <v>0</v>
      </c>
      <c r="V681" s="4">
        <f ca="1" t="shared" ref="V681:V685" si="1256">OFFSET(V681,-RIGHT($A681,LEN($A$6)),,1,1)/OFFSET(V681,-RIGHT($A681,LEN($A$6)),-15,1,1)*$M681</f>
        <v>0</v>
      </c>
      <c r="W681" s="4">
        <f ca="1" t="shared" ref="W681:W685" si="1257">+$N681*V681</f>
        <v>0</v>
      </c>
      <c r="X681" s="4">
        <f ca="1" t="shared" ref="X681:X685" si="1258">+M681-V681</f>
        <v>3</v>
      </c>
      <c r="Y681" s="4">
        <f ca="1" t="shared" ref="Y681:Y685" si="1259">+O681-W681</f>
        <v>0</v>
      </c>
      <c r="Z681" s="4">
        <f ca="1" t="shared" ref="Z681:Z685" si="1260">OFFSET(Z681,-RIGHT($A681,LEN($A$6)),,1,1)/OFFSET(Z681,-RIGHT($A681,LEN($A$6)),-19,1,1)*$M681</f>
        <v>0</v>
      </c>
      <c r="AA681" s="4">
        <f ca="1" t="shared" ref="AA681:AA685" si="1261">+$N681*Z681</f>
        <v>0</v>
      </c>
      <c r="AB681" s="4"/>
    </row>
    <row r="682" customHeight="1" outlineLevel="3" spans="1:28">
      <c r="A682" s="514" t="s">
        <v>3231</v>
      </c>
      <c r="B682" s="4"/>
      <c r="C682" s="510" t="s">
        <v>64</v>
      </c>
      <c r="D682" s="4" t="s">
        <v>1034</v>
      </c>
      <c r="E682" s="4"/>
      <c r="F682" s="4" t="str">
        <f ca="1" t="shared" si="1252"/>
        <v>套</v>
      </c>
      <c r="G682" s="4"/>
      <c r="H682" s="4"/>
      <c r="I682" s="4"/>
      <c r="J682" s="4"/>
      <c r="K682" s="4"/>
      <c r="L682" s="517"/>
      <c r="M682" s="4">
        <v>3</v>
      </c>
      <c r="N682" s="4">
        <f ca="1" t="shared" si="1253"/>
        <v>0</v>
      </c>
      <c r="O682" s="4">
        <f ca="1">M682*N682</f>
        <v>0</v>
      </c>
      <c r="P682" s="4"/>
      <c r="Q682" s="4"/>
      <c r="R682" s="4"/>
      <c r="S682" s="4"/>
      <c r="T682" s="4">
        <f ca="1" t="shared" si="1254"/>
        <v>0</v>
      </c>
      <c r="U682" s="4">
        <f ca="1" t="shared" si="1255"/>
        <v>0</v>
      </c>
      <c r="V682" s="4">
        <f ca="1" t="shared" si="1256"/>
        <v>0</v>
      </c>
      <c r="W682" s="4">
        <f ca="1" t="shared" si="1257"/>
        <v>0</v>
      </c>
      <c r="X682" s="4">
        <f ca="1" t="shared" si="1258"/>
        <v>3</v>
      </c>
      <c r="Y682" s="4">
        <f ca="1" t="shared" si="1259"/>
        <v>0</v>
      </c>
      <c r="Z682" s="4">
        <f ca="1" t="shared" si="1260"/>
        <v>0</v>
      </c>
      <c r="AA682" s="4">
        <f ca="1" t="shared" si="1261"/>
        <v>0</v>
      </c>
      <c r="AB682" s="4"/>
    </row>
    <row r="683" customHeight="1" outlineLevel="2" spans="1:28">
      <c r="A683" s="515" t="s">
        <v>3232</v>
      </c>
      <c r="B683" s="4"/>
      <c r="C683" s="510" t="s">
        <v>1309</v>
      </c>
      <c r="D683" s="4" t="s">
        <v>1152</v>
      </c>
      <c r="E683" s="4" t="s">
        <v>2610</v>
      </c>
      <c r="F683" s="4" t="s">
        <v>169</v>
      </c>
      <c r="G683" s="4">
        <v>3</v>
      </c>
      <c r="H683" s="4">
        <v>8073.33027522936</v>
      </c>
      <c r="I683" s="4">
        <f>G683*H683</f>
        <v>24219.9908256881</v>
      </c>
      <c r="J683" s="4">
        <f t="shared" ref="J683:L683" si="1262">+G683</f>
        <v>3</v>
      </c>
      <c r="K683" s="4">
        <f t="shared" si="1262"/>
        <v>8073.33027522936</v>
      </c>
      <c r="L683" s="517">
        <f t="shared" si="1262"/>
        <v>24219.9908256881</v>
      </c>
      <c r="M683" s="4">
        <v>3</v>
      </c>
      <c r="N683" s="4">
        <f ca="1">O683/M683</f>
        <v>0</v>
      </c>
      <c r="O683" s="4">
        <f ca="1">(+O684+O685)</f>
        <v>0</v>
      </c>
      <c r="P683" s="4"/>
      <c r="Q683" s="4"/>
      <c r="R683" s="4">
        <f>+P683+J683</f>
        <v>3</v>
      </c>
      <c r="S683" s="4">
        <f>+Q683+L683</f>
        <v>24219.9908256881</v>
      </c>
      <c r="T683" s="4">
        <f>IFERROR(VLOOKUP(A683,产值统计中间表!A:F,7,FALSE),0)</f>
        <v>0</v>
      </c>
      <c r="U683" s="4">
        <f>+T683*H683</f>
        <v>0</v>
      </c>
      <c r="V683" s="4">
        <f>IFERROR(VLOOKUP(A683,产值统计中间表!A:D,4,FALSE),0)</f>
        <v>0</v>
      </c>
      <c r="W683" s="4">
        <f>+V683*H683</f>
        <v>0</v>
      </c>
      <c r="X683" s="4">
        <f>+R683-V683</f>
        <v>3</v>
      </c>
      <c r="Y683" s="4">
        <f>+S683-W683</f>
        <v>24219.9908256881</v>
      </c>
      <c r="Z683" s="4">
        <f>IFERROR(VLOOKUP(A683,业主统计中间表!A:D,4,FALSE),0)</f>
        <v>0</v>
      </c>
      <c r="AA683" s="4">
        <f>+Z683*H683</f>
        <v>0</v>
      </c>
      <c r="AB683" s="4"/>
    </row>
    <row r="684" customHeight="1" outlineLevel="3" spans="1:28">
      <c r="A684" s="514" t="s">
        <v>3233</v>
      </c>
      <c r="B684" s="4"/>
      <c r="C684" s="510" t="s">
        <v>59</v>
      </c>
      <c r="D684" s="4" t="s">
        <v>1032</v>
      </c>
      <c r="E684" s="4"/>
      <c r="F684" s="4" t="str">
        <f ca="1" t="shared" si="1252"/>
        <v>套</v>
      </c>
      <c r="G684" s="4"/>
      <c r="H684" s="4"/>
      <c r="I684" s="4"/>
      <c r="J684" s="4"/>
      <c r="K684" s="4"/>
      <c r="L684" s="517"/>
      <c r="M684" s="4">
        <v>3</v>
      </c>
      <c r="N684" s="4">
        <f ca="1" t="shared" si="1253"/>
        <v>0</v>
      </c>
      <c r="O684" s="4">
        <f ca="1">M684*N684</f>
        <v>0</v>
      </c>
      <c r="P684" s="4"/>
      <c r="Q684" s="4"/>
      <c r="R684" s="4"/>
      <c r="S684" s="4"/>
      <c r="T684" s="4">
        <f ca="1" t="shared" si="1254"/>
        <v>0</v>
      </c>
      <c r="U684" s="4">
        <f ca="1" t="shared" si="1255"/>
        <v>0</v>
      </c>
      <c r="V684" s="4">
        <f ca="1" t="shared" si="1256"/>
        <v>0</v>
      </c>
      <c r="W684" s="4">
        <f ca="1" t="shared" si="1257"/>
        <v>0</v>
      </c>
      <c r="X684" s="4">
        <f ca="1" t="shared" si="1258"/>
        <v>3</v>
      </c>
      <c r="Y684" s="4">
        <f ca="1" t="shared" si="1259"/>
        <v>0</v>
      </c>
      <c r="Z684" s="4">
        <f ca="1" t="shared" si="1260"/>
        <v>0</v>
      </c>
      <c r="AA684" s="4">
        <f ca="1" t="shared" si="1261"/>
        <v>0</v>
      </c>
      <c r="AB684" s="4"/>
    </row>
    <row r="685" customHeight="1" outlineLevel="3" spans="1:28">
      <c r="A685" s="514" t="s">
        <v>3234</v>
      </c>
      <c r="B685" s="4"/>
      <c r="C685" s="510" t="s">
        <v>64</v>
      </c>
      <c r="D685" s="4" t="s">
        <v>1034</v>
      </c>
      <c r="E685" s="4"/>
      <c r="F685" s="4" t="str">
        <f ca="1" t="shared" si="1252"/>
        <v>套</v>
      </c>
      <c r="G685" s="4"/>
      <c r="H685" s="4"/>
      <c r="I685" s="4"/>
      <c r="J685" s="4"/>
      <c r="K685" s="4"/>
      <c r="L685" s="517"/>
      <c r="M685" s="4">
        <v>3</v>
      </c>
      <c r="N685" s="4">
        <f ca="1" t="shared" si="1253"/>
        <v>0</v>
      </c>
      <c r="O685" s="4">
        <f ca="1">M685*N685</f>
        <v>0</v>
      </c>
      <c r="P685" s="4"/>
      <c r="Q685" s="4"/>
      <c r="R685" s="4"/>
      <c r="S685" s="4"/>
      <c r="T685" s="4">
        <f ca="1" t="shared" si="1254"/>
        <v>0</v>
      </c>
      <c r="U685" s="4">
        <f ca="1" t="shared" si="1255"/>
        <v>0</v>
      </c>
      <c r="V685" s="4">
        <f ca="1" t="shared" si="1256"/>
        <v>0</v>
      </c>
      <c r="W685" s="4">
        <f ca="1" t="shared" si="1257"/>
        <v>0</v>
      </c>
      <c r="X685" s="4">
        <f ca="1" t="shared" si="1258"/>
        <v>3</v>
      </c>
      <c r="Y685" s="4">
        <f ca="1" t="shared" si="1259"/>
        <v>0</v>
      </c>
      <c r="Z685" s="4">
        <f ca="1" t="shared" si="1260"/>
        <v>0</v>
      </c>
      <c r="AA685" s="4">
        <f ca="1" t="shared" si="1261"/>
        <v>0</v>
      </c>
      <c r="AB685" s="4"/>
    </row>
    <row r="686" customHeight="1" outlineLevel="2" spans="1:28">
      <c r="A686" s="515" t="s">
        <v>3235</v>
      </c>
      <c r="B686" s="4"/>
      <c r="C686" s="510" t="s">
        <v>1309</v>
      </c>
      <c r="D686" s="4" t="s">
        <v>1029</v>
      </c>
      <c r="E686" s="4" t="s">
        <v>2610</v>
      </c>
      <c r="F686" s="4" t="s">
        <v>169</v>
      </c>
      <c r="G686" s="4">
        <v>6</v>
      </c>
      <c r="H686" s="4">
        <v>6060.63302752294</v>
      </c>
      <c r="I686" s="4">
        <f>G686*H686</f>
        <v>36363.7981651376</v>
      </c>
      <c r="J686" s="4">
        <f t="shared" ref="J686:L686" si="1263">+G686</f>
        <v>6</v>
      </c>
      <c r="K686" s="4">
        <f t="shared" si="1263"/>
        <v>6060.63302752294</v>
      </c>
      <c r="L686" s="517">
        <f t="shared" si="1263"/>
        <v>36363.7981651376</v>
      </c>
      <c r="M686" s="4">
        <v>6</v>
      </c>
      <c r="N686" s="4">
        <f ca="1">O686/M686</f>
        <v>0</v>
      </c>
      <c r="O686" s="4">
        <f ca="1">(+O687+O688)</f>
        <v>0</v>
      </c>
      <c r="P686" s="4"/>
      <c r="Q686" s="4"/>
      <c r="R686" s="4">
        <f>+P686+J686</f>
        <v>6</v>
      </c>
      <c r="S686" s="4">
        <f>+Q686+L686</f>
        <v>36363.7981651376</v>
      </c>
      <c r="T686" s="4">
        <f>IFERROR(VLOOKUP(A686,产值统计中间表!A:F,7,FALSE),0)</f>
        <v>0</v>
      </c>
      <c r="U686" s="4">
        <f>+T686*H686</f>
        <v>0</v>
      </c>
      <c r="V686" s="4">
        <f>IFERROR(VLOOKUP(A686,产值统计中间表!A:D,4,FALSE),0)</f>
        <v>0</v>
      </c>
      <c r="W686" s="4">
        <f>+V686*H686</f>
        <v>0</v>
      </c>
      <c r="X686" s="4">
        <f>+R686-V686</f>
        <v>6</v>
      </c>
      <c r="Y686" s="4">
        <f>+S686-W686</f>
        <v>36363.7981651376</v>
      </c>
      <c r="Z686" s="4">
        <f>IFERROR(VLOOKUP(A686,业主统计中间表!A:D,4,FALSE),0)</f>
        <v>0</v>
      </c>
      <c r="AA686" s="4">
        <f>+Z686*H686</f>
        <v>0</v>
      </c>
      <c r="AB686" s="4"/>
    </row>
    <row r="687" customHeight="1" outlineLevel="3" spans="1:28">
      <c r="A687" s="514" t="s">
        <v>3236</v>
      </c>
      <c r="B687" s="4"/>
      <c r="C687" s="510" t="s">
        <v>59</v>
      </c>
      <c r="D687" s="4" t="s">
        <v>1029</v>
      </c>
      <c r="E687" s="4"/>
      <c r="F687" s="4" t="str">
        <f ca="1" t="shared" ref="F687:F691" si="1264">VLOOKUP($D687,INDIRECT($C687),2,0)</f>
        <v>套</v>
      </c>
      <c r="G687" s="4"/>
      <c r="H687" s="4"/>
      <c r="I687" s="4"/>
      <c r="J687" s="4"/>
      <c r="K687" s="4"/>
      <c r="L687" s="517"/>
      <c r="M687" s="4">
        <v>6</v>
      </c>
      <c r="N687" s="4">
        <f ca="1" t="shared" ref="N687:N691" si="1265">VLOOKUP($D687,INDIRECT($C687),3,0)</f>
        <v>0</v>
      </c>
      <c r="O687" s="4">
        <f ca="1">M687*N687</f>
        <v>0</v>
      </c>
      <c r="P687" s="4"/>
      <c r="Q687" s="4"/>
      <c r="R687" s="4"/>
      <c r="S687" s="4"/>
      <c r="T687" s="4">
        <f ca="1" t="shared" ref="T687:T691" si="1266">OFFSET(T687,-RIGHT($A687,LEN($A$6)),,1,1)/OFFSET(T687,-RIGHT($A687,LEN($A$6)),-13,1,1)*$M687</f>
        <v>0</v>
      </c>
      <c r="U687" s="4">
        <f ca="1" t="shared" ref="U687:U691" si="1267">+$N687*T687</f>
        <v>0</v>
      </c>
      <c r="V687" s="4">
        <f ca="1" t="shared" ref="V687:V691" si="1268">OFFSET(V687,-RIGHT($A687,LEN($A$6)),,1,1)/OFFSET(V687,-RIGHT($A687,LEN($A$6)),-15,1,1)*$M687</f>
        <v>0</v>
      </c>
      <c r="W687" s="4">
        <f ca="1" t="shared" ref="W687:W691" si="1269">+$N687*V687</f>
        <v>0</v>
      </c>
      <c r="X687" s="4">
        <f ca="1" t="shared" ref="X687:X691" si="1270">+M687-V687</f>
        <v>6</v>
      </c>
      <c r="Y687" s="4">
        <f ca="1" t="shared" ref="Y687:Y691" si="1271">+O687-W687</f>
        <v>0</v>
      </c>
      <c r="Z687" s="4">
        <f ca="1" t="shared" ref="Z687:Z691" si="1272">OFFSET(Z687,-RIGHT($A687,LEN($A$6)),,1,1)/OFFSET(Z687,-RIGHT($A687,LEN($A$6)),-19,1,1)*$M687</f>
        <v>0</v>
      </c>
      <c r="AA687" s="4">
        <f ca="1" t="shared" ref="AA687:AA691" si="1273">+$N687*Z687</f>
        <v>0</v>
      </c>
      <c r="AB687" s="4"/>
    </row>
    <row r="688" customHeight="1" outlineLevel="3" spans="1:28">
      <c r="A688" s="514" t="s">
        <v>3237</v>
      </c>
      <c r="B688" s="4"/>
      <c r="C688" s="510" t="s">
        <v>64</v>
      </c>
      <c r="D688" s="4" t="s">
        <v>1034</v>
      </c>
      <c r="E688" s="4"/>
      <c r="F688" s="4" t="str">
        <f ca="1" t="shared" si="1264"/>
        <v>套</v>
      </c>
      <c r="G688" s="4"/>
      <c r="H688" s="4"/>
      <c r="I688" s="4"/>
      <c r="J688" s="4"/>
      <c r="K688" s="4"/>
      <c r="L688" s="517"/>
      <c r="M688" s="4">
        <v>6</v>
      </c>
      <c r="N688" s="4">
        <f ca="1" t="shared" si="1265"/>
        <v>0</v>
      </c>
      <c r="O688" s="4">
        <f ca="1">M688*N688</f>
        <v>0</v>
      </c>
      <c r="P688" s="4"/>
      <c r="Q688" s="4"/>
      <c r="R688" s="4"/>
      <c r="S688" s="4"/>
      <c r="T688" s="4">
        <f ca="1" t="shared" si="1266"/>
        <v>0</v>
      </c>
      <c r="U688" s="4">
        <f ca="1" t="shared" si="1267"/>
        <v>0</v>
      </c>
      <c r="V688" s="4">
        <f ca="1" t="shared" si="1268"/>
        <v>0</v>
      </c>
      <c r="W688" s="4">
        <f ca="1" t="shared" si="1269"/>
        <v>0</v>
      </c>
      <c r="X688" s="4">
        <f ca="1" t="shared" si="1270"/>
        <v>6</v>
      </c>
      <c r="Y688" s="4">
        <f ca="1" t="shared" si="1271"/>
        <v>0</v>
      </c>
      <c r="Z688" s="4">
        <f ca="1" t="shared" si="1272"/>
        <v>0</v>
      </c>
      <c r="AA688" s="4">
        <f ca="1" t="shared" si="1273"/>
        <v>0</v>
      </c>
      <c r="AB688" s="4"/>
    </row>
    <row r="689" customHeight="1" outlineLevel="2" spans="1:28">
      <c r="A689" s="515" t="s">
        <v>3238</v>
      </c>
      <c r="B689" s="4"/>
      <c r="C689" s="510" t="s">
        <v>1309</v>
      </c>
      <c r="D689" s="4" t="s">
        <v>999</v>
      </c>
      <c r="E689" s="4" t="s">
        <v>2610</v>
      </c>
      <c r="F689" s="4" t="s">
        <v>169</v>
      </c>
      <c r="G689" s="4">
        <v>4</v>
      </c>
      <c r="H689" s="4">
        <v>46.4036697247706</v>
      </c>
      <c r="I689" s="4">
        <f>G689*H689</f>
        <v>185.614678899082</v>
      </c>
      <c r="J689" s="4">
        <f t="shared" ref="J689:L689" si="1274">+G689</f>
        <v>4</v>
      </c>
      <c r="K689" s="4">
        <f t="shared" si="1274"/>
        <v>46.4036697247706</v>
      </c>
      <c r="L689" s="517">
        <f t="shared" si="1274"/>
        <v>185.614678899082</v>
      </c>
      <c r="M689" s="4">
        <v>4</v>
      </c>
      <c r="N689" s="4">
        <f ca="1">O689/M689</f>
        <v>10</v>
      </c>
      <c r="O689" s="4">
        <f ca="1">(+O690+O691)</f>
        <v>40</v>
      </c>
      <c r="P689" s="4"/>
      <c r="Q689" s="4"/>
      <c r="R689" s="4">
        <f>+P689+J689</f>
        <v>4</v>
      </c>
      <c r="S689" s="4">
        <f>+Q689+L689</f>
        <v>185.614678899082</v>
      </c>
      <c r="T689" s="4">
        <f>IFERROR(VLOOKUP(A689,产值统计中间表!A:F,7,FALSE),0)</f>
        <v>0</v>
      </c>
      <c r="U689" s="4">
        <f>+T689*H689</f>
        <v>0</v>
      </c>
      <c r="V689" s="4">
        <f>IFERROR(VLOOKUP(A689,产值统计中间表!A:D,4,FALSE),0)</f>
        <v>0</v>
      </c>
      <c r="W689" s="4">
        <f>+V689*H689</f>
        <v>0</v>
      </c>
      <c r="X689" s="4">
        <f>+R689-V689</f>
        <v>4</v>
      </c>
      <c r="Y689" s="4">
        <f>+S689-W689</f>
        <v>185.614678899082</v>
      </c>
      <c r="Z689" s="4">
        <f>IFERROR(VLOOKUP(A689,业主统计中间表!A:D,4,FALSE),0)</f>
        <v>0</v>
      </c>
      <c r="AA689" s="4">
        <f>+Z689*H689</f>
        <v>0</v>
      </c>
      <c r="AB689" s="4"/>
    </row>
    <row r="690" customHeight="1" outlineLevel="3" spans="1:28">
      <c r="A690" s="514" t="s">
        <v>3239</v>
      </c>
      <c r="B690" s="4"/>
      <c r="C690" s="510" t="s">
        <v>64</v>
      </c>
      <c r="D690" s="4" t="s">
        <v>1121</v>
      </c>
      <c r="E690" s="4"/>
      <c r="F690" s="4" t="str">
        <f ca="1" t="shared" si="1264"/>
        <v>个</v>
      </c>
      <c r="G690" s="4"/>
      <c r="H690" s="4"/>
      <c r="I690" s="4"/>
      <c r="J690" s="4"/>
      <c r="K690" s="4"/>
      <c r="L690" s="517"/>
      <c r="M690" s="4">
        <v>4</v>
      </c>
      <c r="N690" s="4">
        <f ca="1" t="shared" si="1265"/>
        <v>10</v>
      </c>
      <c r="O690" s="4">
        <f ca="1">M690*N690</f>
        <v>40</v>
      </c>
      <c r="P690" s="4"/>
      <c r="Q690" s="4"/>
      <c r="R690" s="4"/>
      <c r="S690" s="4"/>
      <c r="T690" s="4">
        <f ca="1" t="shared" si="1266"/>
        <v>0</v>
      </c>
      <c r="U690" s="4">
        <f ca="1" t="shared" si="1267"/>
        <v>0</v>
      </c>
      <c r="V690" s="4">
        <f ca="1" t="shared" si="1268"/>
        <v>0</v>
      </c>
      <c r="W690" s="4">
        <f ca="1" t="shared" si="1269"/>
        <v>0</v>
      </c>
      <c r="X690" s="4">
        <f ca="1" t="shared" si="1270"/>
        <v>4</v>
      </c>
      <c r="Y690" s="4">
        <f ca="1" t="shared" si="1271"/>
        <v>40</v>
      </c>
      <c r="Z690" s="4">
        <f ca="1" t="shared" si="1272"/>
        <v>0</v>
      </c>
      <c r="AA690" s="4">
        <f ca="1" t="shared" si="1273"/>
        <v>0</v>
      </c>
      <c r="AB690" s="4"/>
    </row>
    <row r="691" customHeight="1" outlineLevel="3" spans="1:28">
      <c r="A691" s="514" t="s">
        <v>3240</v>
      </c>
      <c r="B691" s="4"/>
      <c r="C691" s="510" t="s">
        <v>59</v>
      </c>
      <c r="D691" s="4" t="s">
        <v>999</v>
      </c>
      <c r="E691" s="4"/>
      <c r="F691" s="4" t="str">
        <f ca="1" t="shared" si="1264"/>
        <v>套</v>
      </c>
      <c r="G691" s="4"/>
      <c r="H691" s="4"/>
      <c r="I691" s="4"/>
      <c r="J691" s="4"/>
      <c r="K691" s="4"/>
      <c r="L691" s="517"/>
      <c r="M691" s="4">
        <v>4</v>
      </c>
      <c r="N691" s="4">
        <f ca="1" t="shared" si="1265"/>
        <v>0</v>
      </c>
      <c r="O691" s="4">
        <f ca="1">M691*N691</f>
        <v>0</v>
      </c>
      <c r="P691" s="4"/>
      <c r="Q691" s="4"/>
      <c r="R691" s="4"/>
      <c r="S691" s="4"/>
      <c r="T691" s="4">
        <f ca="1" t="shared" si="1266"/>
        <v>0</v>
      </c>
      <c r="U691" s="4">
        <f ca="1" t="shared" si="1267"/>
        <v>0</v>
      </c>
      <c r="V691" s="4">
        <f ca="1" t="shared" si="1268"/>
        <v>0</v>
      </c>
      <c r="W691" s="4">
        <f ca="1" t="shared" si="1269"/>
        <v>0</v>
      </c>
      <c r="X691" s="4">
        <f ca="1" t="shared" si="1270"/>
        <v>4</v>
      </c>
      <c r="Y691" s="4">
        <f ca="1" t="shared" si="1271"/>
        <v>0</v>
      </c>
      <c r="Z691" s="4">
        <f ca="1" t="shared" si="1272"/>
        <v>0</v>
      </c>
      <c r="AA691" s="4">
        <f ca="1" t="shared" si="1273"/>
        <v>0</v>
      </c>
      <c r="AB691" s="4"/>
    </row>
    <row r="692" customHeight="1" outlineLevel="2" spans="1:28">
      <c r="A692" s="515" t="s">
        <v>3241</v>
      </c>
      <c r="B692" s="4"/>
      <c r="C692" s="510" t="s">
        <v>1309</v>
      </c>
      <c r="D692" s="4" t="s">
        <v>1035</v>
      </c>
      <c r="E692" s="4" t="s">
        <v>2610</v>
      </c>
      <c r="F692" s="4" t="s">
        <v>169</v>
      </c>
      <c r="G692" s="4">
        <v>6</v>
      </c>
      <c r="H692" s="4">
        <v>133.651376146789</v>
      </c>
      <c r="I692" s="4">
        <f>G692*H692</f>
        <v>801.908256880734</v>
      </c>
      <c r="J692" s="4">
        <f t="shared" ref="J692:L692" si="1275">+G692</f>
        <v>6</v>
      </c>
      <c r="K692" s="4">
        <f t="shared" si="1275"/>
        <v>133.651376146789</v>
      </c>
      <c r="L692" s="517">
        <f t="shared" si="1275"/>
        <v>801.908256880734</v>
      </c>
      <c r="M692" s="4">
        <v>6</v>
      </c>
      <c r="N692" s="4">
        <f ca="1">O692/M692</f>
        <v>10</v>
      </c>
      <c r="O692" s="4">
        <f ca="1">(+O693+O694)</f>
        <v>60</v>
      </c>
      <c r="P692" s="4"/>
      <c r="Q692" s="4"/>
      <c r="R692" s="4">
        <f>+P692+J692</f>
        <v>6</v>
      </c>
      <c r="S692" s="4">
        <f>+Q692+L692</f>
        <v>801.908256880734</v>
      </c>
      <c r="T692" s="4">
        <f>IFERROR(VLOOKUP(A692,产值统计中间表!A:F,7,FALSE),0)</f>
        <v>0</v>
      </c>
      <c r="U692" s="4">
        <f>+T692*H692</f>
        <v>0</v>
      </c>
      <c r="V692" s="4">
        <f>IFERROR(VLOOKUP(A692,产值统计中间表!A:D,4,FALSE),0)</f>
        <v>0</v>
      </c>
      <c r="W692" s="4">
        <f>+V692*H692</f>
        <v>0</v>
      </c>
      <c r="X692" s="4">
        <f>+R692-V692</f>
        <v>6</v>
      </c>
      <c r="Y692" s="4">
        <f>+S692-W692</f>
        <v>801.908256880734</v>
      </c>
      <c r="Z692" s="4">
        <f>IFERROR(VLOOKUP(A692,业主统计中间表!A:D,4,FALSE),0)</f>
        <v>0</v>
      </c>
      <c r="AA692" s="4">
        <f>+Z692*H692</f>
        <v>0</v>
      </c>
      <c r="AB692" s="4"/>
    </row>
    <row r="693" customHeight="1" outlineLevel="3" spans="1:28">
      <c r="A693" s="514" t="s">
        <v>3242</v>
      </c>
      <c r="B693" s="4"/>
      <c r="C693" s="510" t="s">
        <v>64</v>
      </c>
      <c r="D693" s="4" t="s">
        <v>1121</v>
      </c>
      <c r="E693" s="4"/>
      <c r="F693" s="4" t="str">
        <f ca="1" t="shared" ref="F693:F697" si="1276">VLOOKUP($D693,INDIRECT($C693),2,0)</f>
        <v>个</v>
      </c>
      <c r="G693" s="4"/>
      <c r="H693" s="4"/>
      <c r="I693" s="4"/>
      <c r="J693" s="4"/>
      <c r="K693" s="4"/>
      <c r="L693" s="517"/>
      <c r="M693" s="4">
        <v>6</v>
      </c>
      <c r="N693" s="4">
        <f ca="1" t="shared" ref="N693:N697" si="1277">VLOOKUP($D693,INDIRECT($C693),3,0)</f>
        <v>10</v>
      </c>
      <c r="O693" s="4">
        <f ca="1">M693*N693</f>
        <v>60</v>
      </c>
      <c r="P693" s="4"/>
      <c r="Q693" s="4"/>
      <c r="R693" s="4"/>
      <c r="S693" s="4"/>
      <c r="T693" s="4">
        <f ca="1" t="shared" ref="T693:T697" si="1278">OFFSET(T693,-RIGHT($A693,LEN($A$6)),,1,1)/OFFSET(T693,-RIGHT($A693,LEN($A$6)),-13,1,1)*$M693</f>
        <v>0</v>
      </c>
      <c r="U693" s="4">
        <f ca="1" t="shared" ref="U693:U697" si="1279">+$N693*T693</f>
        <v>0</v>
      </c>
      <c r="V693" s="4">
        <f ca="1" t="shared" ref="V693:V697" si="1280">OFFSET(V693,-RIGHT($A693,LEN($A$6)),,1,1)/OFFSET(V693,-RIGHT($A693,LEN($A$6)),-15,1,1)*$M693</f>
        <v>0</v>
      </c>
      <c r="W693" s="4">
        <f ca="1" t="shared" ref="W693:W697" si="1281">+$N693*V693</f>
        <v>0</v>
      </c>
      <c r="X693" s="4">
        <f ca="1" t="shared" ref="X693:X697" si="1282">+M693-V693</f>
        <v>6</v>
      </c>
      <c r="Y693" s="4">
        <f ca="1" t="shared" ref="Y693:Y697" si="1283">+O693-W693</f>
        <v>60</v>
      </c>
      <c r="Z693" s="4">
        <f ca="1" t="shared" ref="Z693:Z697" si="1284">OFFSET(Z693,-RIGHT($A693,LEN($A$6)),,1,1)/OFFSET(Z693,-RIGHT($A693,LEN($A$6)),-19,1,1)*$M693</f>
        <v>0</v>
      </c>
      <c r="AA693" s="4">
        <f ca="1" t="shared" ref="AA693:AA697" si="1285">+$N693*Z693</f>
        <v>0</v>
      </c>
      <c r="AB693" s="4"/>
    </row>
    <row r="694" customHeight="1" outlineLevel="3" spans="1:28">
      <c r="A694" s="514" t="s">
        <v>3243</v>
      </c>
      <c r="B694" s="4"/>
      <c r="C694" s="510" t="s">
        <v>59</v>
      </c>
      <c r="D694" s="4" t="s">
        <v>1035</v>
      </c>
      <c r="E694" s="4"/>
      <c r="F694" s="4" t="str">
        <f ca="1" t="shared" si="1276"/>
        <v>套</v>
      </c>
      <c r="G694" s="4"/>
      <c r="H694" s="4"/>
      <c r="I694" s="4"/>
      <c r="J694" s="4"/>
      <c r="K694" s="4"/>
      <c r="L694" s="517"/>
      <c r="M694" s="4">
        <v>6</v>
      </c>
      <c r="N694" s="4">
        <f ca="1" t="shared" si="1277"/>
        <v>0</v>
      </c>
      <c r="O694" s="4">
        <f ca="1">M694*N694</f>
        <v>0</v>
      </c>
      <c r="P694" s="4"/>
      <c r="Q694" s="4"/>
      <c r="R694" s="4"/>
      <c r="S694" s="4"/>
      <c r="T694" s="4">
        <f ca="1" t="shared" si="1278"/>
        <v>0</v>
      </c>
      <c r="U694" s="4">
        <f ca="1" t="shared" si="1279"/>
        <v>0</v>
      </c>
      <c r="V694" s="4">
        <f ca="1" t="shared" si="1280"/>
        <v>0</v>
      </c>
      <c r="W694" s="4">
        <f ca="1" t="shared" si="1281"/>
        <v>0</v>
      </c>
      <c r="X694" s="4">
        <f ca="1" t="shared" si="1282"/>
        <v>6</v>
      </c>
      <c r="Y694" s="4">
        <f ca="1" t="shared" si="1283"/>
        <v>0</v>
      </c>
      <c r="Z694" s="4">
        <f ca="1" t="shared" si="1284"/>
        <v>0</v>
      </c>
      <c r="AA694" s="4">
        <f ca="1" t="shared" si="1285"/>
        <v>0</v>
      </c>
      <c r="AB694" s="4"/>
    </row>
    <row r="695" customHeight="1" outlineLevel="2" spans="1:28">
      <c r="A695" s="515" t="s">
        <v>3244</v>
      </c>
      <c r="B695" s="4"/>
      <c r="C695" s="510" t="s">
        <v>1309</v>
      </c>
      <c r="D695" s="4" t="s">
        <v>1038</v>
      </c>
      <c r="E695" s="4" t="s">
        <v>2610</v>
      </c>
      <c r="F695" s="4" t="s">
        <v>169</v>
      </c>
      <c r="G695" s="4">
        <v>6</v>
      </c>
      <c r="H695" s="4">
        <v>63.4495412844037</v>
      </c>
      <c r="I695" s="4">
        <f>G695*H695</f>
        <v>380.697247706422</v>
      </c>
      <c r="J695" s="4">
        <f t="shared" ref="J695:L695" si="1286">+G695</f>
        <v>6</v>
      </c>
      <c r="K695" s="4">
        <f t="shared" si="1286"/>
        <v>63.4495412844037</v>
      </c>
      <c r="L695" s="517">
        <f t="shared" si="1286"/>
        <v>380.697247706422</v>
      </c>
      <c r="M695" s="4">
        <v>6</v>
      </c>
      <c r="N695" s="4">
        <f ca="1">O695/M695</f>
        <v>10</v>
      </c>
      <c r="O695" s="4">
        <f ca="1">(+O696+O697)</f>
        <v>60</v>
      </c>
      <c r="P695" s="4"/>
      <c r="Q695" s="4"/>
      <c r="R695" s="4">
        <f>+P695+J695</f>
        <v>6</v>
      </c>
      <c r="S695" s="4">
        <f>+Q695+L695</f>
        <v>380.697247706422</v>
      </c>
      <c r="T695" s="4">
        <f>IFERROR(VLOOKUP(A695,产值统计中间表!A:F,7,FALSE),0)</f>
        <v>0</v>
      </c>
      <c r="U695" s="4">
        <f>+T695*H695</f>
        <v>0</v>
      </c>
      <c r="V695" s="4">
        <f>IFERROR(VLOOKUP(A695,产值统计中间表!A:D,4,FALSE),0)</f>
        <v>0</v>
      </c>
      <c r="W695" s="4">
        <f>+V695*H695</f>
        <v>0</v>
      </c>
      <c r="X695" s="4">
        <f>+R695-V695</f>
        <v>6</v>
      </c>
      <c r="Y695" s="4">
        <f>+S695-W695</f>
        <v>380.697247706422</v>
      </c>
      <c r="Z695" s="4">
        <f>IFERROR(VLOOKUP(A695,业主统计中间表!A:D,4,FALSE),0)</f>
        <v>0</v>
      </c>
      <c r="AA695" s="4">
        <f>+Z695*H695</f>
        <v>0</v>
      </c>
      <c r="AB695" s="4"/>
    </row>
    <row r="696" customHeight="1" outlineLevel="3" spans="1:28">
      <c r="A696" s="514" t="s">
        <v>3245</v>
      </c>
      <c r="B696" s="4"/>
      <c r="C696" s="510" t="s">
        <v>64</v>
      </c>
      <c r="D696" s="4" t="s">
        <v>1121</v>
      </c>
      <c r="E696" s="4"/>
      <c r="F696" s="4" t="str">
        <f ca="1" t="shared" si="1276"/>
        <v>个</v>
      </c>
      <c r="G696" s="4"/>
      <c r="H696" s="4"/>
      <c r="I696" s="4"/>
      <c r="J696" s="4"/>
      <c r="K696" s="4"/>
      <c r="L696" s="517"/>
      <c r="M696" s="4">
        <v>6</v>
      </c>
      <c r="N696" s="4">
        <f ca="1" t="shared" si="1277"/>
        <v>10</v>
      </c>
      <c r="O696" s="4">
        <f ca="1">M696*N696</f>
        <v>60</v>
      </c>
      <c r="P696" s="4"/>
      <c r="Q696" s="4"/>
      <c r="R696" s="4"/>
      <c r="S696" s="4"/>
      <c r="T696" s="4">
        <f ca="1" t="shared" si="1278"/>
        <v>0</v>
      </c>
      <c r="U696" s="4">
        <f ca="1" t="shared" si="1279"/>
        <v>0</v>
      </c>
      <c r="V696" s="4">
        <f ca="1" t="shared" si="1280"/>
        <v>0</v>
      </c>
      <c r="W696" s="4">
        <f ca="1" t="shared" si="1281"/>
        <v>0</v>
      </c>
      <c r="X696" s="4">
        <f ca="1" t="shared" si="1282"/>
        <v>6</v>
      </c>
      <c r="Y696" s="4">
        <f ca="1" t="shared" si="1283"/>
        <v>60</v>
      </c>
      <c r="Z696" s="4">
        <f ca="1" t="shared" si="1284"/>
        <v>0</v>
      </c>
      <c r="AA696" s="4">
        <f ca="1" t="shared" si="1285"/>
        <v>0</v>
      </c>
      <c r="AB696" s="4"/>
    </row>
    <row r="697" customHeight="1" outlineLevel="3" spans="1:28">
      <c r="A697" s="514" t="s">
        <v>3246</v>
      </c>
      <c r="B697" s="4"/>
      <c r="C697" s="510" t="s">
        <v>59</v>
      </c>
      <c r="D697" s="4" t="s">
        <v>1038</v>
      </c>
      <c r="E697" s="4"/>
      <c r="F697" s="4" t="str">
        <f ca="1" t="shared" si="1276"/>
        <v>套</v>
      </c>
      <c r="G697" s="4"/>
      <c r="H697" s="4"/>
      <c r="I697" s="4"/>
      <c r="J697" s="4"/>
      <c r="K697" s="4"/>
      <c r="L697" s="517"/>
      <c r="M697" s="4">
        <v>6</v>
      </c>
      <c r="N697" s="4">
        <f ca="1" t="shared" si="1277"/>
        <v>0</v>
      </c>
      <c r="O697" s="4">
        <f ca="1">M697*N697</f>
        <v>0</v>
      </c>
      <c r="P697" s="4"/>
      <c r="Q697" s="4"/>
      <c r="R697" s="4"/>
      <c r="S697" s="4"/>
      <c r="T697" s="4">
        <f ca="1" t="shared" si="1278"/>
        <v>0</v>
      </c>
      <c r="U697" s="4">
        <f ca="1" t="shared" si="1279"/>
        <v>0</v>
      </c>
      <c r="V697" s="4">
        <f ca="1" t="shared" si="1280"/>
        <v>0</v>
      </c>
      <c r="W697" s="4">
        <f ca="1" t="shared" si="1281"/>
        <v>0</v>
      </c>
      <c r="X697" s="4">
        <f ca="1" t="shared" si="1282"/>
        <v>6</v>
      </c>
      <c r="Y697" s="4">
        <f ca="1" t="shared" si="1283"/>
        <v>0</v>
      </c>
      <c r="Z697" s="4">
        <f ca="1" t="shared" si="1284"/>
        <v>0</v>
      </c>
      <c r="AA697" s="4">
        <f ca="1" t="shared" si="1285"/>
        <v>0</v>
      </c>
      <c r="AB697" s="4"/>
    </row>
    <row r="698" customHeight="1" outlineLevel="2" spans="1:28">
      <c r="A698" s="515" t="s">
        <v>3247</v>
      </c>
      <c r="B698" s="4"/>
      <c r="C698" s="510" t="s">
        <v>1309</v>
      </c>
      <c r="D698" s="4" t="s">
        <v>3248</v>
      </c>
      <c r="E698" s="4" t="s">
        <v>2472</v>
      </c>
      <c r="F698" s="4" t="s">
        <v>72</v>
      </c>
      <c r="G698" s="4">
        <v>2.28</v>
      </c>
      <c r="H698" s="4">
        <v>4906.07339449541</v>
      </c>
      <c r="I698" s="4">
        <f>G698*H698</f>
        <v>11185.8473394495</v>
      </c>
      <c r="J698" s="4">
        <f t="shared" ref="J698:L698" si="1287">+G698</f>
        <v>2.28</v>
      </c>
      <c r="K698" s="4">
        <f t="shared" si="1287"/>
        <v>4906.07339449541</v>
      </c>
      <c r="L698" s="517">
        <f t="shared" si="1287"/>
        <v>11185.8473394495</v>
      </c>
      <c r="M698" s="4">
        <v>2.28</v>
      </c>
      <c r="N698" s="4">
        <f ca="1">O698/M698</f>
        <v>568.595377192982</v>
      </c>
      <c r="O698" s="4">
        <f ca="1">(+O699+O700+O701)</f>
        <v>1296.39746</v>
      </c>
      <c r="P698" s="4"/>
      <c r="Q698" s="4"/>
      <c r="R698" s="4">
        <f>+P698+J698</f>
        <v>2.28</v>
      </c>
      <c r="S698" s="4">
        <f>+Q698+L698</f>
        <v>11185.8473394495</v>
      </c>
      <c r="T698" s="4">
        <f>IFERROR(VLOOKUP(A698,产值统计中间表!A:F,7,FALSE),0)</f>
        <v>0</v>
      </c>
      <c r="U698" s="4">
        <f>+T698*H698</f>
        <v>0</v>
      </c>
      <c r="V698" s="4">
        <f>IFERROR(VLOOKUP(A698,产值统计中间表!A:D,4,FALSE),0)</f>
        <v>0</v>
      </c>
      <c r="W698" s="4">
        <f>+V698*H698</f>
        <v>0</v>
      </c>
      <c r="X698" s="4">
        <f>+R698-V698</f>
        <v>2.28</v>
      </c>
      <c r="Y698" s="4">
        <f>+S698-W698</f>
        <v>11185.8473394495</v>
      </c>
      <c r="Z698" s="4">
        <f>IFERROR(VLOOKUP(A698,业主统计中间表!A:D,4,FALSE),0)</f>
        <v>0</v>
      </c>
      <c r="AA698" s="4">
        <f>+Z698*H698</f>
        <v>0</v>
      </c>
      <c r="AB698" s="4"/>
    </row>
    <row r="699" customHeight="1" outlineLevel="3" spans="1:28">
      <c r="A699" s="514" t="s">
        <v>3249</v>
      </c>
      <c r="B699" s="4"/>
      <c r="C699" s="510" t="s">
        <v>64</v>
      </c>
      <c r="D699" s="4" t="s">
        <v>752</v>
      </c>
      <c r="E699" s="4"/>
      <c r="F699" s="4" t="str">
        <f ca="1" t="shared" ref="F699:F701" si="1288">VLOOKUP($D699,INDIRECT($C699),2,0)</f>
        <v>m3</v>
      </c>
      <c r="G699" s="4"/>
      <c r="H699" s="4"/>
      <c r="I699" s="4"/>
      <c r="J699" s="4"/>
      <c r="K699" s="4"/>
      <c r="L699" s="517"/>
      <c r="M699" s="4">
        <v>2.2914</v>
      </c>
      <c r="N699" s="4">
        <f ca="1" t="shared" ref="N699:N701" si="1289">VLOOKUP($D699,INDIRECT($C699),3,0)</f>
        <v>30</v>
      </c>
      <c r="O699" s="4">
        <f ca="1">M699*N699</f>
        <v>68.742</v>
      </c>
      <c r="P699" s="4"/>
      <c r="Q699" s="4"/>
      <c r="R699" s="4"/>
      <c r="S699" s="4"/>
      <c r="T699" s="4">
        <f ca="1" t="shared" ref="T699:T701" si="1290">OFFSET(T699,-RIGHT($A699,LEN($A$6)),,1,1)/OFFSET(T699,-RIGHT($A699,LEN($A$6)),-13,1,1)*$M699</f>
        <v>0</v>
      </c>
      <c r="U699" s="4">
        <f ca="1" t="shared" ref="U699:U701" si="1291">+$N699*T699</f>
        <v>0</v>
      </c>
      <c r="V699" s="4">
        <f ca="1" t="shared" ref="V699:V701" si="1292">OFFSET(V699,-RIGHT($A699,LEN($A$6)),,1,1)/OFFSET(V699,-RIGHT($A699,LEN($A$6)),-15,1,1)*$M699</f>
        <v>0</v>
      </c>
      <c r="W699" s="4">
        <f ca="1" t="shared" ref="W699:W701" si="1293">+$N699*V699</f>
        <v>0</v>
      </c>
      <c r="X699" s="4">
        <f ca="1" t="shared" ref="X699:X701" si="1294">+M699-V699</f>
        <v>2.2914</v>
      </c>
      <c r="Y699" s="4">
        <f ca="1" t="shared" ref="Y699:Y701" si="1295">+O699-W699</f>
        <v>68.742</v>
      </c>
      <c r="Z699" s="4">
        <f ca="1" t="shared" ref="Z699:Z701" si="1296">OFFSET(Z699,-RIGHT($A699,LEN($A$6)),,1,1)/OFFSET(Z699,-RIGHT($A699,LEN($A$6)),-19,1,1)*$M699</f>
        <v>0</v>
      </c>
      <c r="AA699" s="4">
        <f ca="1" t="shared" ref="AA699:AA701" si="1297">+$N699*Z699</f>
        <v>0</v>
      </c>
      <c r="AB699" s="4"/>
    </row>
    <row r="700" customHeight="1" outlineLevel="3" spans="1:28">
      <c r="A700" s="514" t="s">
        <v>3250</v>
      </c>
      <c r="B700" s="4"/>
      <c r="C700" s="510" t="s">
        <v>64</v>
      </c>
      <c r="D700" s="4" t="s">
        <v>262</v>
      </c>
      <c r="E700" s="4"/>
      <c r="F700" s="4" t="str">
        <f ca="1" t="shared" si="1288"/>
        <v>m2</v>
      </c>
      <c r="G700" s="4"/>
      <c r="H700" s="4"/>
      <c r="I700" s="4"/>
      <c r="J700" s="4"/>
      <c r="K700" s="4"/>
      <c r="L700" s="517"/>
      <c r="M700" s="4">
        <v>3.156572</v>
      </c>
      <c r="N700" s="4">
        <f ca="1" t="shared" si="1289"/>
        <v>55</v>
      </c>
      <c r="O700" s="4">
        <f ca="1">M700*N700</f>
        <v>173.61146</v>
      </c>
      <c r="P700" s="4"/>
      <c r="Q700" s="4"/>
      <c r="R700" s="4"/>
      <c r="S700" s="4"/>
      <c r="T700" s="4">
        <f ca="1" t="shared" si="1290"/>
        <v>0</v>
      </c>
      <c r="U700" s="4">
        <f ca="1" t="shared" si="1291"/>
        <v>0</v>
      </c>
      <c r="V700" s="4">
        <f ca="1" t="shared" si="1292"/>
        <v>0</v>
      </c>
      <c r="W700" s="4">
        <f ca="1" t="shared" si="1293"/>
        <v>0</v>
      </c>
      <c r="X700" s="4">
        <f ca="1" t="shared" si="1294"/>
        <v>3.156572</v>
      </c>
      <c r="Y700" s="4">
        <f ca="1" t="shared" si="1295"/>
        <v>173.61146</v>
      </c>
      <c r="Z700" s="4">
        <f ca="1" t="shared" si="1296"/>
        <v>0</v>
      </c>
      <c r="AA700" s="4">
        <f ca="1" t="shared" si="1297"/>
        <v>0</v>
      </c>
      <c r="AB700" s="4"/>
    </row>
    <row r="701" customHeight="1" outlineLevel="3" spans="1:28">
      <c r="A701" s="514" t="s">
        <v>3251</v>
      </c>
      <c r="B701" s="4"/>
      <c r="C701" s="510" t="s">
        <v>59</v>
      </c>
      <c r="D701" s="4" t="s">
        <v>812</v>
      </c>
      <c r="E701" s="4"/>
      <c r="F701" s="4" t="str">
        <f ca="1" t="shared" si="1288"/>
        <v>m³</v>
      </c>
      <c r="G701" s="4"/>
      <c r="H701" s="4"/>
      <c r="I701" s="4"/>
      <c r="J701" s="4"/>
      <c r="K701" s="4"/>
      <c r="L701" s="517"/>
      <c r="M701" s="4">
        <v>2.2914</v>
      </c>
      <c r="N701" s="4">
        <f ca="1" t="shared" si="1289"/>
        <v>460</v>
      </c>
      <c r="O701" s="4">
        <f ca="1">M701*N701</f>
        <v>1054.044</v>
      </c>
      <c r="P701" s="4"/>
      <c r="Q701" s="4"/>
      <c r="R701" s="4"/>
      <c r="S701" s="4"/>
      <c r="T701" s="4">
        <f ca="1" t="shared" si="1290"/>
        <v>0</v>
      </c>
      <c r="U701" s="4">
        <f ca="1" t="shared" si="1291"/>
        <v>0</v>
      </c>
      <c r="V701" s="4">
        <f ca="1" t="shared" si="1292"/>
        <v>0</v>
      </c>
      <c r="W701" s="4">
        <f ca="1" t="shared" si="1293"/>
        <v>0</v>
      </c>
      <c r="X701" s="4">
        <f ca="1" t="shared" si="1294"/>
        <v>2.2914</v>
      </c>
      <c r="Y701" s="4">
        <f ca="1" t="shared" si="1295"/>
        <v>1054.044</v>
      </c>
      <c r="Z701" s="4">
        <f ca="1" t="shared" si="1296"/>
        <v>0</v>
      </c>
      <c r="AA701" s="4">
        <f ca="1" t="shared" si="1297"/>
        <v>0</v>
      </c>
      <c r="AB701" s="4"/>
    </row>
    <row r="702" customHeight="1" outlineLevel="2" spans="1:28">
      <c r="A702" s="515" t="s">
        <v>3252</v>
      </c>
      <c r="B702" s="4"/>
      <c r="C702" s="510" t="s">
        <v>1309</v>
      </c>
      <c r="D702" s="4" t="s">
        <v>3253</v>
      </c>
      <c r="E702" s="4" t="s">
        <v>2472</v>
      </c>
      <c r="F702" s="4" t="s">
        <v>72</v>
      </c>
      <c r="G702" s="4">
        <v>0.79</v>
      </c>
      <c r="H702" s="4">
        <v>3126.11926605505</v>
      </c>
      <c r="I702" s="4">
        <f>G702*H702</f>
        <v>2469.63422018349</v>
      </c>
      <c r="J702" s="4">
        <f t="shared" ref="J702:L702" si="1298">+G702</f>
        <v>0.79</v>
      </c>
      <c r="K702" s="4">
        <f t="shared" si="1298"/>
        <v>3126.11926605505</v>
      </c>
      <c r="L702" s="517">
        <f t="shared" si="1298"/>
        <v>2469.63422018349</v>
      </c>
      <c r="M702" s="4">
        <v>0.79</v>
      </c>
      <c r="N702" s="4">
        <f ca="1">O702/M702</f>
        <v>2602.79724050633</v>
      </c>
      <c r="O702" s="4">
        <f ca="1">(+O703+O704+O705+O706+O707)</f>
        <v>2056.20982</v>
      </c>
      <c r="P702" s="4"/>
      <c r="Q702" s="4"/>
      <c r="R702" s="4">
        <f>+P702+J702</f>
        <v>0.79</v>
      </c>
      <c r="S702" s="4">
        <f>+Q702+L702</f>
        <v>2469.63422018349</v>
      </c>
      <c r="T702" s="4">
        <f>IFERROR(VLOOKUP(A702,产值统计中间表!A:F,7,FALSE),0)</f>
        <v>0</v>
      </c>
      <c r="U702" s="4">
        <f>+T702*H702</f>
        <v>0</v>
      </c>
      <c r="V702" s="4">
        <f>IFERROR(VLOOKUP(A702,产值统计中间表!A:D,4,FALSE),0)</f>
        <v>0</v>
      </c>
      <c r="W702" s="4">
        <f>+V702*H702</f>
        <v>0</v>
      </c>
      <c r="X702" s="4">
        <f>+R702-V702</f>
        <v>0.79</v>
      </c>
      <c r="Y702" s="4">
        <f>+S702-W702</f>
        <v>2469.63422018349</v>
      </c>
      <c r="Z702" s="4">
        <f>IFERROR(VLOOKUP(A702,业主统计中间表!A:D,4,FALSE),0)</f>
        <v>0</v>
      </c>
      <c r="AA702" s="4">
        <f>+Z702*H702</f>
        <v>0</v>
      </c>
      <c r="AB702" s="4"/>
    </row>
    <row r="703" customHeight="1" outlineLevel="3" spans="1:28">
      <c r="A703" s="514" t="s">
        <v>3254</v>
      </c>
      <c r="B703" s="4"/>
      <c r="C703" s="510" t="s">
        <v>64</v>
      </c>
      <c r="D703" s="4" t="s">
        <v>752</v>
      </c>
      <c r="E703" s="4"/>
      <c r="F703" s="4" t="str">
        <f ca="1" t="shared" ref="F703:F707" si="1299">VLOOKUP($D703,INDIRECT($C703),2,0)</f>
        <v>m3</v>
      </c>
      <c r="G703" s="4"/>
      <c r="H703" s="4"/>
      <c r="I703" s="4"/>
      <c r="J703" s="4"/>
      <c r="K703" s="4"/>
      <c r="L703" s="517"/>
      <c r="M703" s="4">
        <v>0.79395</v>
      </c>
      <c r="N703" s="4">
        <f ca="1" t="shared" ref="N703:N707" si="1300">VLOOKUP($D703,INDIRECT($C703),3,0)</f>
        <v>30</v>
      </c>
      <c r="O703" s="4">
        <f ca="1">M703*N703</f>
        <v>23.8185</v>
      </c>
      <c r="P703" s="4"/>
      <c r="Q703" s="4"/>
      <c r="R703" s="4"/>
      <c r="S703" s="4"/>
      <c r="T703" s="4">
        <f ca="1" t="shared" ref="T703:T707" si="1301">OFFSET(T703,-RIGHT($A703,LEN($A$6)),,1,1)/OFFSET(T703,-RIGHT($A703,LEN($A$6)),-13,1,1)*$M703</f>
        <v>0</v>
      </c>
      <c r="U703" s="4">
        <f ca="1" t="shared" ref="U703:U707" si="1302">+$N703*T703</f>
        <v>0</v>
      </c>
      <c r="V703" s="4">
        <f ca="1" t="shared" ref="V703:V707" si="1303">OFFSET(V703,-RIGHT($A703,LEN($A$6)),,1,1)/OFFSET(V703,-RIGHT($A703,LEN($A$6)),-15,1,1)*$M703</f>
        <v>0</v>
      </c>
      <c r="W703" s="4">
        <f ca="1" t="shared" ref="W703:W707" si="1304">+$N703*V703</f>
        <v>0</v>
      </c>
      <c r="X703" s="4">
        <f ca="1" t="shared" ref="X703:X707" si="1305">+M703-V703</f>
        <v>0.79395</v>
      </c>
      <c r="Y703" s="4">
        <f ca="1" t="shared" ref="Y703:Y707" si="1306">+O703-W703</f>
        <v>23.8185</v>
      </c>
      <c r="Z703" s="4">
        <f ca="1" t="shared" ref="Z703:Z707" si="1307">OFFSET(Z703,-RIGHT($A703,LEN($A$6)),,1,1)/OFFSET(Z703,-RIGHT($A703,LEN($A$6)),-19,1,1)*$M703</f>
        <v>0</v>
      </c>
      <c r="AA703" s="4">
        <f ca="1" t="shared" ref="AA703:AA707" si="1308">+$N703*Z703</f>
        <v>0</v>
      </c>
      <c r="AB703" s="4"/>
    </row>
    <row r="704" customHeight="1" outlineLevel="3" spans="1:28">
      <c r="A704" s="514" t="s">
        <v>3255</v>
      </c>
      <c r="B704" s="4"/>
      <c r="C704" s="510" t="s">
        <v>64</v>
      </c>
      <c r="D704" s="4" t="s">
        <v>262</v>
      </c>
      <c r="E704" s="4" t="s">
        <v>1352</v>
      </c>
      <c r="F704" s="4" t="str">
        <f ca="1" t="shared" si="1299"/>
        <v>m2</v>
      </c>
      <c r="G704" s="4"/>
      <c r="H704" s="4"/>
      <c r="I704" s="4"/>
      <c r="J704" s="4"/>
      <c r="K704" s="4"/>
      <c r="L704" s="517"/>
      <c r="M704" s="4">
        <v>1.278424</v>
      </c>
      <c r="N704" s="4">
        <f ca="1" t="shared" si="1300"/>
        <v>55</v>
      </c>
      <c r="O704" s="4">
        <f ca="1">M704*N704</f>
        <v>70.31332</v>
      </c>
      <c r="P704" s="4"/>
      <c r="Q704" s="4"/>
      <c r="R704" s="4"/>
      <c r="S704" s="4"/>
      <c r="T704" s="4">
        <f ca="1" t="shared" si="1301"/>
        <v>0</v>
      </c>
      <c r="U704" s="4">
        <f ca="1" t="shared" si="1302"/>
        <v>0</v>
      </c>
      <c r="V704" s="4">
        <f ca="1" t="shared" si="1303"/>
        <v>0</v>
      </c>
      <c r="W704" s="4">
        <f ca="1" t="shared" si="1304"/>
        <v>0</v>
      </c>
      <c r="X704" s="4">
        <f ca="1" t="shared" si="1305"/>
        <v>1.278424</v>
      </c>
      <c r="Y704" s="4">
        <f ca="1" t="shared" si="1306"/>
        <v>70.31332</v>
      </c>
      <c r="Z704" s="4">
        <f ca="1" t="shared" si="1307"/>
        <v>0</v>
      </c>
      <c r="AA704" s="4">
        <f ca="1" t="shared" si="1308"/>
        <v>0</v>
      </c>
      <c r="AB704" s="4"/>
    </row>
    <row r="705" customHeight="1" outlineLevel="3" spans="1:28">
      <c r="A705" s="514" t="s">
        <v>3256</v>
      </c>
      <c r="B705" s="4"/>
      <c r="C705" s="510" t="s">
        <v>59</v>
      </c>
      <c r="D705" s="4" t="s">
        <v>812</v>
      </c>
      <c r="E705" s="4"/>
      <c r="F705" s="4" t="str">
        <f ca="1" t="shared" si="1299"/>
        <v>m³</v>
      </c>
      <c r="G705" s="4"/>
      <c r="H705" s="4"/>
      <c r="I705" s="4"/>
      <c r="J705" s="4"/>
      <c r="K705" s="4"/>
      <c r="L705" s="517"/>
      <c r="M705" s="4">
        <v>0.79395</v>
      </c>
      <c r="N705" s="4">
        <f ca="1" t="shared" si="1300"/>
        <v>460</v>
      </c>
      <c r="O705" s="4">
        <f ca="1">M705*N705</f>
        <v>365.217</v>
      </c>
      <c r="P705" s="4"/>
      <c r="Q705" s="4"/>
      <c r="R705" s="4"/>
      <c r="S705" s="4"/>
      <c r="T705" s="4">
        <f ca="1" t="shared" si="1301"/>
        <v>0</v>
      </c>
      <c r="U705" s="4">
        <f ca="1" t="shared" si="1302"/>
        <v>0</v>
      </c>
      <c r="V705" s="4">
        <f ca="1" t="shared" si="1303"/>
        <v>0</v>
      </c>
      <c r="W705" s="4">
        <f ca="1" t="shared" si="1304"/>
        <v>0</v>
      </c>
      <c r="X705" s="4">
        <f ca="1" t="shared" si="1305"/>
        <v>0.79395</v>
      </c>
      <c r="Y705" s="4">
        <f ca="1" t="shared" si="1306"/>
        <v>365.217</v>
      </c>
      <c r="Z705" s="4">
        <f ca="1" t="shared" si="1307"/>
        <v>0</v>
      </c>
      <c r="AA705" s="4">
        <f ca="1" t="shared" si="1308"/>
        <v>0</v>
      </c>
      <c r="AB705" s="4"/>
    </row>
    <row r="706" customHeight="1" outlineLevel="3" spans="1:28">
      <c r="A706" s="514" t="s">
        <v>3257</v>
      </c>
      <c r="B706" s="4"/>
      <c r="C706" s="510" t="s">
        <v>59</v>
      </c>
      <c r="D706" s="4" t="s">
        <v>480</v>
      </c>
      <c r="E706" s="4" t="str">
        <f ca="1">"含钢量："&amp;ROUND($M$706/$G$702,3)&amp;$F$706&amp;"/"&amp;$F$702</f>
        <v>含钢量：0.413t/m3</v>
      </c>
      <c r="F706" s="4" t="str">
        <f ca="1" t="shared" si="1299"/>
        <v>t</v>
      </c>
      <c r="G706" s="4"/>
      <c r="H706" s="4"/>
      <c r="I706" s="4"/>
      <c r="J706" s="4"/>
      <c r="K706" s="4"/>
      <c r="L706" s="517"/>
      <c r="M706" s="4">
        <v>0.32589</v>
      </c>
      <c r="N706" s="4">
        <f ca="1" t="shared" si="1300"/>
        <v>4200</v>
      </c>
      <c r="O706" s="4">
        <f ca="1">M706*N706</f>
        <v>1368.738</v>
      </c>
      <c r="P706" s="4"/>
      <c r="Q706" s="4"/>
      <c r="R706" s="4"/>
      <c r="S706" s="4"/>
      <c r="T706" s="4">
        <f ca="1" t="shared" si="1301"/>
        <v>0</v>
      </c>
      <c r="U706" s="4">
        <f ca="1" t="shared" si="1302"/>
        <v>0</v>
      </c>
      <c r="V706" s="4">
        <f ca="1" t="shared" si="1303"/>
        <v>0</v>
      </c>
      <c r="W706" s="4">
        <f ca="1" t="shared" si="1304"/>
        <v>0</v>
      </c>
      <c r="X706" s="4">
        <f ca="1" t="shared" si="1305"/>
        <v>0.32589</v>
      </c>
      <c r="Y706" s="4">
        <f ca="1" t="shared" si="1306"/>
        <v>1368.738</v>
      </c>
      <c r="Z706" s="4">
        <f ca="1" t="shared" si="1307"/>
        <v>0</v>
      </c>
      <c r="AA706" s="4">
        <f ca="1" t="shared" si="1308"/>
        <v>0</v>
      </c>
      <c r="AB706" s="4"/>
    </row>
    <row r="707" customHeight="1" outlineLevel="3" spans="1:28">
      <c r="A707" s="514" t="s">
        <v>3258</v>
      </c>
      <c r="B707" s="4"/>
      <c r="C707" s="510" t="s">
        <v>64</v>
      </c>
      <c r="D707" s="4" t="s">
        <v>296</v>
      </c>
      <c r="E707" s="4"/>
      <c r="F707" s="4" t="str">
        <f ca="1" t="shared" si="1299"/>
        <v>t</v>
      </c>
      <c r="G707" s="4"/>
      <c r="H707" s="4"/>
      <c r="I707" s="4"/>
      <c r="J707" s="4"/>
      <c r="K707" s="4"/>
      <c r="L707" s="517"/>
      <c r="M707" s="4">
        <v>0.32589</v>
      </c>
      <c r="N707" s="4">
        <f ca="1" t="shared" si="1300"/>
        <v>700</v>
      </c>
      <c r="O707" s="4">
        <f ca="1">M707*N707</f>
        <v>228.123</v>
      </c>
      <c r="P707" s="4"/>
      <c r="Q707" s="4"/>
      <c r="R707" s="4"/>
      <c r="S707" s="4"/>
      <c r="T707" s="4">
        <f ca="1" t="shared" si="1301"/>
        <v>0</v>
      </c>
      <c r="U707" s="4">
        <f ca="1" t="shared" si="1302"/>
        <v>0</v>
      </c>
      <c r="V707" s="4">
        <f ca="1" t="shared" si="1303"/>
        <v>0</v>
      </c>
      <c r="W707" s="4">
        <f ca="1" t="shared" si="1304"/>
        <v>0</v>
      </c>
      <c r="X707" s="4">
        <f ca="1" t="shared" si="1305"/>
        <v>0.32589</v>
      </c>
      <c r="Y707" s="4">
        <f ca="1" t="shared" si="1306"/>
        <v>228.123</v>
      </c>
      <c r="Z707" s="4">
        <f ca="1" t="shared" si="1307"/>
        <v>0</v>
      </c>
      <c r="AA707" s="4">
        <f ca="1" t="shared" si="1308"/>
        <v>0</v>
      </c>
      <c r="AB707" s="4"/>
    </row>
    <row r="708" customHeight="1" outlineLevel="2" spans="1:28">
      <c r="A708" s="515" t="s">
        <v>3259</v>
      </c>
      <c r="B708" s="4"/>
      <c r="C708" s="510" t="s">
        <v>1309</v>
      </c>
      <c r="D708" s="4" t="s">
        <v>2824</v>
      </c>
      <c r="E708" s="4" t="s">
        <v>2472</v>
      </c>
      <c r="F708" s="4" t="s">
        <v>82</v>
      </c>
      <c r="G708" s="4">
        <v>2.022</v>
      </c>
      <c r="H708" s="4">
        <v>8270.89908256881</v>
      </c>
      <c r="I708" s="4">
        <f>G708*H708</f>
        <v>16723.7579449541</v>
      </c>
      <c r="J708" s="4">
        <f t="shared" ref="J708:L708" si="1309">+G708</f>
        <v>2.022</v>
      </c>
      <c r="K708" s="4">
        <f t="shared" si="1309"/>
        <v>8270.89908256881</v>
      </c>
      <c r="L708" s="517">
        <f t="shared" si="1309"/>
        <v>16723.7579449541</v>
      </c>
      <c r="M708" s="4">
        <v>2.022</v>
      </c>
      <c r="N708" s="4">
        <f ca="1">O708/M708</f>
        <v>9278.73392680515</v>
      </c>
      <c r="O708" s="4">
        <f ca="1">(+O709)</f>
        <v>18761.6</v>
      </c>
      <c r="P708" s="4"/>
      <c r="Q708" s="4"/>
      <c r="R708" s="4">
        <f>+P708+J708</f>
        <v>2.022</v>
      </c>
      <c r="S708" s="4">
        <f>+Q708+L708</f>
        <v>16723.7579449541</v>
      </c>
      <c r="T708" s="4">
        <f>IFERROR(VLOOKUP(A708,产值统计中间表!A:F,7,FALSE),0)</f>
        <v>0</v>
      </c>
      <c r="U708" s="4">
        <f>+T708*H708</f>
        <v>0</v>
      </c>
      <c r="V708" s="4">
        <f>IFERROR(VLOOKUP(A708,产值统计中间表!A:D,4,FALSE),0)</f>
        <v>0</v>
      </c>
      <c r="W708" s="4">
        <f>+V708*H708</f>
        <v>0</v>
      </c>
      <c r="X708" s="4">
        <f>+R708-V708</f>
        <v>2.022</v>
      </c>
      <c r="Y708" s="4">
        <f>+S708-W708</f>
        <v>16723.7579449541</v>
      </c>
      <c r="Z708" s="4">
        <f>IFERROR(VLOOKUP(A708,业主统计中间表!A:D,4,FALSE),0)</f>
        <v>0</v>
      </c>
      <c r="AA708" s="4">
        <f>+Z708*H708</f>
        <v>0</v>
      </c>
      <c r="AB708" s="4"/>
    </row>
    <row r="709" customHeight="1" outlineLevel="3" spans="1:28">
      <c r="A709" s="514" t="s">
        <v>3260</v>
      </c>
      <c r="B709" s="4"/>
      <c r="C709" s="510" t="s">
        <v>65</v>
      </c>
      <c r="D709" s="4" t="s">
        <v>807</v>
      </c>
      <c r="E709" s="4"/>
      <c r="F709" s="4" t="str">
        <f ca="1" t="shared" ref="F709:F714" si="1310">VLOOKUP($D709,INDIRECT($C709),2,0)</f>
        <v>t</v>
      </c>
      <c r="G709" s="4"/>
      <c r="H709" s="4"/>
      <c r="I709" s="4"/>
      <c r="J709" s="4"/>
      <c r="K709" s="4"/>
      <c r="L709" s="517"/>
      <c r="M709" s="4">
        <v>2.132</v>
      </c>
      <c r="N709" s="4">
        <f ca="1" t="shared" ref="N709:N714" si="1311">VLOOKUP($D709,INDIRECT($C709),3,0)</f>
        <v>8800</v>
      </c>
      <c r="O709" s="4">
        <f ca="1">M709*N709</f>
        <v>18761.6</v>
      </c>
      <c r="P709" s="4"/>
      <c r="Q709" s="4"/>
      <c r="R709" s="4"/>
      <c r="S709" s="4"/>
      <c r="T709" s="4">
        <f ca="1" t="shared" ref="T709:T714" si="1312">OFFSET(T709,-RIGHT($A709,LEN($A$6)),,1,1)/OFFSET(T709,-RIGHT($A709,LEN($A$6)),-13,1,1)*$M709</f>
        <v>0</v>
      </c>
      <c r="U709" s="4">
        <f ca="1" t="shared" ref="U709:U714" si="1313">+$N709*T709</f>
        <v>0</v>
      </c>
      <c r="V709" s="4">
        <f ca="1" t="shared" ref="V709:V714" si="1314">OFFSET(V709,-RIGHT($A709,LEN($A$6)),,1,1)/OFFSET(V709,-RIGHT($A709,LEN($A$6)),-15,1,1)*$M709</f>
        <v>0</v>
      </c>
      <c r="W709" s="4">
        <f ca="1" t="shared" ref="W709:W714" si="1315">+$N709*V709</f>
        <v>0</v>
      </c>
      <c r="X709" s="4">
        <f ca="1" t="shared" ref="X709:X714" si="1316">+M709-V709</f>
        <v>2.132</v>
      </c>
      <c r="Y709" s="4">
        <f ca="1" t="shared" ref="Y709:Y714" si="1317">+O709-W709</f>
        <v>18761.6</v>
      </c>
      <c r="Z709" s="4">
        <f ca="1" t="shared" ref="Z709:Z714" si="1318">OFFSET(Z709,-RIGHT($A709,LEN($A$6)),,1,1)/OFFSET(Z709,-RIGHT($A709,LEN($A$6)),-19,1,1)*$M709</f>
        <v>0</v>
      </c>
      <c r="AA709" s="4">
        <f ca="1" t="shared" ref="AA709:AA714" si="1319">+$N709*Z709</f>
        <v>0</v>
      </c>
      <c r="AB709" s="4"/>
    </row>
    <row r="710" customHeight="1" outlineLevel="2" spans="1:28">
      <c r="A710" s="515" t="s">
        <v>3261</v>
      </c>
      <c r="B710" s="4"/>
      <c r="C710" s="510" t="s">
        <v>1309</v>
      </c>
      <c r="D710" s="4" t="s">
        <v>1041</v>
      </c>
      <c r="E710" s="4" t="s">
        <v>2626</v>
      </c>
      <c r="F710" s="4" t="s">
        <v>76</v>
      </c>
      <c r="G710" s="4">
        <v>28</v>
      </c>
      <c r="H710" s="4">
        <v>2719.04587155963</v>
      </c>
      <c r="I710" s="4">
        <f>G710*H710</f>
        <v>76133.2844036696</v>
      </c>
      <c r="J710" s="4">
        <f t="shared" ref="J710:L710" si="1320">+G710</f>
        <v>28</v>
      </c>
      <c r="K710" s="4">
        <f t="shared" si="1320"/>
        <v>2719.04587155963</v>
      </c>
      <c r="L710" s="517">
        <f t="shared" si="1320"/>
        <v>76133.2844036696</v>
      </c>
      <c r="M710" s="4">
        <v>28</v>
      </c>
      <c r="N710" s="4">
        <f ca="1">O710/M710</f>
        <v>363.825</v>
      </c>
      <c r="O710" s="4">
        <f ca="1">(+O711+O712+O713+O714)</f>
        <v>10187.1</v>
      </c>
      <c r="P710" s="4"/>
      <c r="Q710" s="4"/>
      <c r="R710" s="4">
        <f>+P710+J710</f>
        <v>28</v>
      </c>
      <c r="S710" s="4">
        <f>+Q710+L710</f>
        <v>76133.2844036696</v>
      </c>
      <c r="T710" s="4">
        <f>IFERROR(VLOOKUP(A710,产值统计中间表!A:F,7,FALSE),0)</f>
        <v>0</v>
      </c>
      <c r="U710" s="4">
        <f>+T710*H710</f>
        <v>0</v>
      </c>
      <c r="V710" s="4">
        <f>IFERROR(VLOOKUP(A710,产值统计中间表!A:D,4,FALSE),0)</f>
        <v>0</v>
      </c>
      <c r="W710" s="4">
        <f>+V710*H710</f>
        <v>0</v>
      </c>
      <c r="X710" s="4">
        <f>+R710-V710</f>
        <v>28</v>
      </c>
      <c r="Y710" s="4">
        <f>+S710-W710</f>
        <v>76133.2844036696</v>
      </c>
      <c r="Z710" s="4">
        <f>IFERROR(VLOOKUP(A710,业主统计中间表!A:D,4,FALSE),0)</f>
        <v>0</v>
      </c>
      <c r="AA710" s="4">
        <f>+Z710*H710</f>
        <v>0</v>
      </c>
      <c r="AB710" s="4"/>
    </row>
    <row r="711" customHeight="1" outlineLevel="3" spans="1:28">
      <c r="A711" s="514" t="s">
        <v>3262</v>
      </c>
      <c r="B711" s="4"/>
      <c r="C711" s="510" t="s">
        <v>64</v>
      </c>
      <c r="D711" s="4" t="s">
        <v>1046</v>
      </c>
      <c r="E711" s="4" t="s">
        <v>2634</v>
      </c>
      <c r="F711" s="4" t="str">
        <f ca="1" t="shared" si="1310"/>
        <v>m</v>
      </c>
      <c r="G711" s="4"/>
      <c r="H711" s="4"/>
      <c r="I711" s="4"/>
      <c r="J711" s="4"/>
      <c r="K711" s="4"/>
      <c r="L711" s="517"/>
      <c r="M711" s="4">
        <v>28</v>
      </c>
      <c r="N711" s="4">
        <f ca="1" t="shared" si="1311"/>
        <v>30</v>
      </c>
      <c r="O711" s="4">
        <f ca="1">M711*N711</f>
        <v>840</v>
      </c>
      <c r="P711" s="4"/>
      <c r="Q711" s="4"/>
      <c r="R711" s="4"/>
      <c r="S711" s="4"/>
      <c r="T711" s="4">
        <f ca="1" t="shared" si="1312"/>
        <v>0</v>
      </c>
      <c r="U711" s="4">
        <f ca="1" t="shared" si="1313"/>
        <v>0</v>
      </c>
      <c r="V711" s="4">
        <f ca="1" t="shared" si="1314"/>
        <v>0</v>
      </c>
      <c r="W711" s="4">
        <f ca="1" t="shared" si="1315"/>
        <v>0</v>
      </c>
      <c r="X711" s="4">
        <f ca="1" t="shared" si="1316"/>
        <v>28</v>
      </c>
      <c r="Y711" s="4">
        <f ca="1" t="shared" si="1317"/>
        <v>840</v>
      </c>
      <c r="Z711" s="4">
        <f ca="1" t="shared" si="1318"/>
        <v>0</v>
      </c>
      <c r="AA711" s="4">
        <f ca="1" t="shared" si="1319"/>
        <v>0</v>
      </c>
      <c r="AB711" s="4"/>
    </row>
    <row r="712" customHeight="1" outlineLevel="3" spans="1:28">
      <c r="A712" s="514" t="s">
        <v>3263</v>
      </c>
      <c r="B712" s="4"/>
      <c r="C712" s="510" t="s">
        <v>59</v>
      </c>
      <c r="D712" s="4" t="s">
        <v>1041</v>
      </c>
      <c r="E712" s="4"/>
      <c r="F712" s="4" t="str">
        <f ca="1" t="shared" si="1310"/>
        <v>m</v>
      </c>
      <c r="G712" s="4"/>
      <c r="H712" s="4"/>
      <c r="I712" s="4"/>
      <c r="J712" s="4"/>
      <c r="K712" s="4"/>
      <c r="L712" s="517"/>
      <c r="M712" s="4">
        <v>28</v>
      </c>
      <c r="N712" s="4">
        <f ca="1" t="shared" si="1311"/>
        <v>0</v>
      </c>
      <c r="O712" s="4">
        <f ca="1">M712*N712</f>
        <v>0</v>
      </c>
      <c r="P712" s="4"/>
      <c r="Q712" s="4"/>
      <c r="R712" s="4"/>
      <c r="S712" s="4"/>
      <c r="T712" s="4">
        <f ca="1" t="shared" si="1312"/>
        <v>0</v>
      </c>
      <c r="U712" s="4">
        <f ca="1" t="shared" si="1313"/>
        <v>0</v>
      </c>
      <c r="V712" s="4">
        <f ca="1" t="shared" si="1314"/>
        <v>0</v>
      </c>
      <c r="W712" s="4">
        <f ca="1" t="shared" si="1315"/>
        <v>0</v>
      </c>
      <c r="X712" s="4">
        <f ca="1" t="shared" si="1316"/>
        <v>28</v>
      </c>
      <c r="Y712" s="4">
        <f ca="1" t="shared" si="1317"/>
        <v>0</v>
      </c>
      <c r="Z712" s="4">
        <f ca="1" t="shared" si="1318"/>
        <v>0</v>
      </c>
      <c r="AA712" s="4">
        <f ca="1" t="shared" si="1319"/>
        <v>0</v>
      </c>
      <c r="AB712" s="4"/>
    </row>
    <row r="713" customHeight="1" outlineLevel="3" spans="1:28">
      <c r="A713" s="514" t="s">
        <v>3264</v>
      </c>
      <c r="B713" s="4"/>
      <c r="C713" s="510" t="s">
        <v>59</v>
      </c>
      <c r="D713" s="4" t="s">
        <v>834</v>
      </c>
      <c r="E713" s="4"/>
      <c r="F713" s="4" t="str">
        <f ca="1" t="shared" si="1310"/>
        <v>m³</v>
      </c>
      <c r="G713" s="4"/>
      <c r="H713" s="4"/>
      <c r="I713" s="4"/>
      <c r="J713" s="4"/>
      <c r="K713" s="4"/>
      <c r="L713" s="517"/>
      <c r="M713" s="4">
        <v>9.2862</v>
      </c>
      <c r="N713" s="4">
        <f ca="1" t="shared" si="1311"/>
        <v>500</v>
      </c>
      <c r="O713" s="4">
        <f ca="1">M713*N713</f>
        <v>4643.1</v>
      </c>
      <c r="P713" s="4"/>
      <c r="Q713" s="4"/>
      <c r="R713" s="4"/>
      <c r="S713" s="4"/>
      <c r="T713" s="4">
        <f ca="1" t="shared" si="1312"/>
        <v>0</v>
      </c>
      <c r="U713" s="4">
        <f ca="1" t="shared" si="1313"/>
        <v>0</v>
      </c>
      <c r="V713" s="4">
        <f ca="1" t="shared" si="1314"/>
        <v>0</v>
      </c>
      <c r="W713" s="4">
        <f ca="1" t="shared" si="1315"/>
        <v>0</v>
      </c>
      <c r="X713" s="4">
        <f ca="1" t="shared" si="1316"/>
        <v>9.2862</v>
      </c>
      <c r="Y713" s="4">
        <f ca="1" t="shared" si="1317"/>
        <v>4643.1</v>
      </c>
      <c r="Z713" s="4">
        <f ca="1" t="shared" si="1318"/>
        <v>0</v>
      </c>
      <c r="AA713" s="4">
        <f ca="1" t="shared" si="1319"/>
        <v>0</v>
      </c>
      <c r="AB713" s="4"/>
    </row>
    <row r="714" customHeight="1" outlineLevel="3" spans="1:28">
      <c r="A714" s="514" t="s">
        <v>3265</v>
      </c>
      <c r="B714" s="4"/>
      <c r="C714" s="510" t="s">
        <v>59</v>
      </c>
      <c r="D714" s="4" t="s">
        <v>480</v>
      </c>
      <c r="E714" s="4" t="str">
        <f ca="1">"含钢量："&amp;ROUND($M$714/$G$710,3)&amp;$F$714&amp;"/"&amp;$F$710</f>
        <v>含钢量：0.04t/m</v>
      </c>
      <c r="F714" s="4" t="str">
        <f ca="1" t="shared" si="1310"/>
        <v>t</v>
      </c>
      <c r="G714" s="4"/>
      <c r="H714" s="4"/>
      <c r="I714" s="4"/>
      <c r="J714" s="4"/>
      <c r="K714" s="4"/>
      <c r="L714" s="517"/>
      <c r="M714" s="4">
        <v>1.12</v>
      </c>
      <c r="N714" s="4">
        <f ca="1" t="shared" si="1311"/>
        <v>4200</v>
      </c>
      <c r="O714" s="4">
        <f ca="1">M714*N714</f>
        <v>4704</v>
      </c>
      <c r="P714" s="4"/>
      <c r="Q714" s="4"/>
      <c r="R714" s="4"/>
      <c r="S714" s="4"/>
      <c r="T714" s="4">
        <f ca="1" t="shared" si="1312"/>
        <v>0</v>
      </c>
      <c r="U714" s="4">
        <f ca="1" t="shared" si="1313"/>
        <v>0</v>
      </c>
      <c r="V714" s="4">
        <f ca="1" t="shared" si="1314"/>
        <v>0</v>
      </c>
      <c r="W714" s="4">
        <f ca="1" t="shared" si="1315"/>
        <v>0</v>
      </c>
      <c r="X714" s="4">
        <f ca="1" t="shared" si="1316"/>
        <v>1.12</v>
      </c>
      <c r="Y714" s="4">
        <f ca="1" t="shared" si="1317"/>
        <v>4704</v>
      </c>
      <c r="Z714" s="4">
        <f ca="1" t="shared" si="1318"/>
        <v>0</v>
      </c>
      <c r="AA714" s="4">
        <f ca="1" t="shared" si="1319"/>
        <v>0</v>
      </c>
      <c r="AB714" s="4"/>
    </row>
    <row r="715" customHeight="1" outlineLevel="2" spans="1:28">
      <c r="A715" s="515" t="s">
        <v>3266</v>
      </c>
      <c r="B715" s="4"/>
      <c r="C715" s="510" t="s">
        <v>1309</v>
      </c>
      <c r="D715" s="4" t="s">
        <v>1002</v>
      </c>
      <c r="E715" s="4" t="s">
        <v>2626</v>
      </c>
      <c r="F715" s="4" t="s">
        <v>76</v>
      </c>
      <c r="G715" s="4">
        <v>30</v>
      </c>
      <c r="H715" s="4">
        <v>1877.2752293578</v>
      </c>
      <c r="I715" s="4">
        <f>G715*H715</f>
        <v>56318.256880734</v>
      </c>
      <c r="J715" s="4">
        <f t="shared" ref="J715:L715" si="1321">+G715</f>
        <v>30</v>
      </c>
      <c r="K715" s="4">
        <f t="shared" si="1321"/>
        <v>1877.2752293578</v>
      </c>
      <c r="L715" s="517">
        <f t="shared" si="1321"/>
        <v>56318.256880734</v>
      </c>
      <c r="M715" s="4">
        <v>30</v>
      </c>
      <c r="N715" s="4">
        <f ca="1">O715/M715</f>
        <v>232.665</v>
      </c>
      <c r="O715" s="4">
        <f ca="1">(+O716+O717+O718+O719)</f>
        <v>6979.95</v>
      </c>
      <c r="P715" s="4"/>
      <c r="Q715" s="4"/>
      <c r="R715" s="4">
        <f>+P715+J715</f>
        <v>30</v>
      </c>
      <c r="S715" s="4">
        <f>+Q715+L715</f>
        <v>56318.256880734</v>
      </c>
      <c r="T715" s="4">
        <f>IFERROR(VLOOKUP(A715,产值统计中间表!A:F,7,FALSE),0)</f>
        <v>0</v>
      </c>
      <c r="U715" s="4">
        <f>+T715*H715</f>
        <v>0</v>
      </c>
      <c r="V715" s="4">
        <f>IFERROR(VLOOKUP(A715,产值统计中间表!A:D,4,FALSE),0)</f>
        <v>0</v>
      </c>
      <c r="W715" s="4">
        <f>+V715*H715</f>
        <v>0</v>
      </c>
      <c r="X715" s="4">
        <f>+R715-V715</f>
        <v>30</v>
      </c>
      <c r="Y715" s="4">
        <f>+S715-W715</f>
        <v>56318.256880734</v>
      </c>
      <c r="Z715" s="4">
        <f>IFERROR(VLOOKUP(A715,业主统计中间表!A:D,4,FALSE),0)</f>
        <v>0</v>
      </c>
      <c r="AA715" s="4">
        <f>+Z715*H715</f>
        <v>0</v>
      </c>
      <c r="AB715" s="4"/>
    </row>
    <row r="716" customHeight="1" outlineLevel="3" spans="1:28">
      <c r="A716" s="514" t="s">
        <v>3267</v>
      </c>
      <c r="B716" s="4"/>
      <c r="C716" s="510" t="s">
        <v>64</v>
      </c>
      <c r="D716" s="4" t="s">
        <v>1046</v>
      </c>
      <c r="E716" s="4" t="s">
        <v>2634</v>
      </c>
      <c r="F716" s="4" t="str">
        <f ca="1" t="shared" ref="F716:F719" si="1322">VLOOKUP($D716,INDIRECT($C716),2,0)</f>
        <v>m</v>
      </c>
      <c r="G716" s="4"/>
      <c r="H716" s="4"/>
      <c r="I716" s="4"/>
      <c r="J716" s="4"/>
      <c r="K716" s="4"/>
      <c r="L716" s="517"/>
      <c r="M716" s="4">
        <v>30</v>
      </c>
      <c r="N716" s="4">
        <f ca="1" t="shared" ref="N716:N719" si="1323">VLOOKUP($D716,INDIRECT($C716),3,0)</f>
        <v>30</v>
      </c>
      <c r="O716" s="4">
        <f ca="1">M716*N716</f>
        <v>900</v>
      </c>
      <c r="P716" s="4"/>
      <c r="Q716" s="4"/>
      <c r="R716" s="4"/>
      <c r="S716" s="4"/>
      <c r="T716" s="4">
        <f ca="1" t="shared" ref="T716:T719" si="1324">OFFSET(T716,-RIGHT($A716,LEN($A$6)),,1,1)/OFFSET(T716,-RIGHT($A716,LEN($A$6)),-13,1,1)*$M716</f>
        <v>0</v>
      </c>
      <c r="U716" s="4">
        <f ca="1" t="shared" ref="U716:U719" si="1325">+$N716*T716</f>
        <v>0</v>
      </c>
      <c r="V716" s="4">
        <f ca="1" t="shared" ref="V716:V719" si="1326">OFFSET(V716,-RIGHT($A716,LEN($A$6)),,1,1)/OFFSET(V716,-RIGHT($A716,LEN($A$6)),-15,1,1)*$M716</f>
        <v>0</v>
      </c>
      <c r="W716" s="4">
        <f ca="1" t="shared" ref="W716:W719" si="1327">+$N716*V716</f>
        <v>0</v>
      </c>
      <c r="X716" s="4">
        <f ca="1" t="shared" ref="X716:X719" si="1328">+M716-V716</f>
        <v>30</v>
      </c>
      <c r="Y716" s="4">
        <f ca="1" t="shared" ref="Y716:Y719" si="1329">+O716-W716</f>
        <v>900</v>
      </c>
      <c r="Z716" s="4">
        <f ca="1" t="shared" ref="Z716:Z719" si="1330">OFFSET(Z716,-RIGHT($A716,LEN($A$6)),,1,1)/OFFSET(Z716,-RIGHT($A716,LEN($A$6)),-19,1,1)*$M716</f>
        <v>0</v>
      </c>
      <c r="AA716" s="4">
        <f ca="1" t="shared" ref="AA716:AA719" si="1331">+$N716*Z716</f>
        <v>0</v>
      </c>
      <c r="AB716" s="4"/>
    </row>
    <row r="717" customHeight="1" outlineLevel="3" spans="1:28">
      <c r="A717" s="514" t="s">
        <v>3268</v>
      </c>
      <c r="B717" s="4"/>
      <c r="C717" s="510" t="s">
        <v>59</v>
      </c>
      <c r="D717" s="4" t="s">
        <v>1002</v>
      </c>
      <c r="E717" s="4"/>
      <c r="F717" s="4" t="str">
        <f ca="1" t="shared" si="1322"/>
        <v>m</v>
      </c>
      <c r="G717" s="4"/>
      <c r="H717" s="4"/>
      <c r="I717" s="4"/>
      <c r="J717" s="4"/>
      <c r="K717" s="4"/>
      <c r="L717" s="517"/>
      <c r="M717" s="4">
        <v>30</v>
      </c>
      <c r="N717" s="4">
        <f ca="1" t="shared" si="1323"/>
        <v>0</v>
      </c>
      <c r="O717" s="4">
        <f ca="1">M717*N717</f>
        <v>0</v>
      </c>
      <c r="P717" s="4"/>
      <c r="Q717" s="4"/>
      <c r="R717" s="4"/>
      <c r="S717" s="4"/>
      <c r="T717" s="4">
        <f ca="1" t="shared" si="1324"/>
        <v>0</v>
      </c>
      <c r="U717" s="4">
        <f ca="1" t="shared" si="1325"/>
        <v>0</v>
      </c>
      <c r="V717" s="4">
        <f ca="1" t="shared" si="1326"/>
        <v>0</v>
      </c>
      <c r="W717" s="4">
        <f ca="1" t="shared" si="1327"/>
        <v>0</v>
      </c>
      <c r="X717" s="4">
        <f ca="1" t="shared" si="1328"/>
        <v>30</v>
      </c>
      <c r="Y717" s="4">
        <f ca="1" t="shared" si="1329"/>
        <v>0</v>
      </c>
      <c r="Z717" s="4">
        <f ca="1" t="shared" si="1330"/>
        <v>0</v>
      </c>
      <c r="AA717" s="4">
        <f ca="1" t="shared" si="1331"/>
        <v>0</v>
      </c>
      <c r="AB717" s="4"/>
    </row>
    <row r="718" customHeight="1" outlineLevel="3" spans="1:28">
      <c r="A718" s="514" t="s">
        <v>3269</v>
      </c>
      <c r="B718" s="4"/>
      <c r="C718" s="510" t="s">
        <v>59</v>
      </c>
      <c r="D718" s="4" t="s">
        <v>834</v>
      </c>
      <c r="E718" s="4"/>
      <c r="F718" s="4" t="str">
        <f ca="1" t="shared" si="1322"/>
        <v>m³</v>
      </c>
      <c r="G718" s="4"/>
      <c r="H718" s="4"/>
      <c r="I718" s="4"/>
      <c r="J718" s="4"/>
      <c r="K718" s="4"/>
      <c r="L718" s="517"/>
      <c r="M718" s="4">
        <v>3.9195</v>
      </c>
      <c r="N718" s="4">
        <f ca="1" t="shared" si="1323"/>
        <v>500</v>
      </c>
      <c r="O718" s="4">
        <f ca="1">M718*N718</f>
        <v>1959.75</v>
      </c>
      <c r="P718" s="4"/>
      <c r="Q718" s="4"/>
      <c r="R718" s="4"/>
      <c r="S718" s="4"/>
      <c r="T718" s="4">
        <f ca="1" t="shared" si="1324"/>
        <v>0</v>
      </c>
      <c r="U718" s="4">
        <f ca="1" t="shared" si="1325"/>
        <v>0</v>
      </c>
      <c r="V718" s="4">
        <f ca="1" t="shared" si="1326"/>
        <v>0</v>
      </c>
      <c r="W718" s="4">
        <f ca="1" t="shared" si="1327"/>
        <v>0</v>
      </c>
      <c r="X718" s="4">
        <f ca="1" t="shared" si="1328"/>
        <v>3.9195</v>
      </c>
      <c r="Y718" s="4">
        <f ca="1" t="shared" si="1329"/>
        <v>1959.75</v>
      </c>
      <c r="Z718" s="4">
        <f ca="1" t="shared" si="1330"/>
        <v>0</v>
      </c>
      <c r="AA718" s="4">
        <f ca="1" t="shared" si="1331"/>
        <v>0</v>
      </c>
      <c r="AB718" s="4"/>
    </row>
    <row r="719" customHeight="1" outlineLevel="3" spans="1:28">
      <c r="A719" s="514" t="s">
        <v>3270</v>
      </c>
      <c r="B719" s="4"/>
      <c r="C719" s="510" t="s">
        <v>59</v>
      </c>
      <c r="D719" s="4" t="s">
        <v>480</v>
      </c>
      <c r="E719" s="4" t="str">
        <f ca="1">"含钢量："&amp;ROUND($M$719/$G$715,3)&amp;$F$719&amp;"/"&amp;$F$715</f>
        <v>含钢量：0.033t/m</v>
      </c>
      <c r="F719" s="4" t="str">
        <f ca="1" t="shared" si="1322"/>
        <v>t</v>
      </c>
      <c r="G719" s="4"/>
      <c r="H719" s="4"/>
      <c r="I719" s="4"/>
      <c r="J719" s="4"/>
      <c r="K719" s="4"/>
      <c r="L719" s="517"/>
      <c r="M719" s="4">
        <v>0.981</v>
      </c>
      <c r="N719" s="4">
        <f ca="1" t="shared" si="1323"/>
        <v>4200</v>
      </c>
      <c r="O719" s="4">
        <f ca="1">M719*N719</f>
        <v>4120.2</v>
      </c>
      <c r="P719" s="4"/>
      <c r="Q719" s="4"/>
      <c r="R719" s="4"/>
      <c r="S719" s="4"/>
      <c r="T719" s="4">
        <f ca="1" t="shared" si="1324"/>
        <v>0</v>
      </c>
      <c r="U719" s="4">
        <f ca="1" t="shared" si="1325"/>
        <v>0</v>
      </c>
      <c r="V719" s="4">
        <f ca="1" t="shared" si="1326"/>
        <v>0</v>
      </c>
      <c r="W719" s="4">
        <f ca="1" t="shared" si="1327"/>
        <v>0</v>
      </c>
      <c r="X719" s="4">
        <f ca="1" t="shared" si="1328"/>
        <v>0.981</v>
      </c>
      <c r="Y719" s="4">
        <f ca="1" t="shared" si="1329"/>
        <v>4120.2</v>
      </c>
      <c r="Z719" s="4">
        <f ca="1" t="shared" si="1330"/>
        <v>0</v>
      </c>
      <c r="AA719" s="4">
        <f ca="1" t="shared" si="1331"/>
        <v>0</v>
      </c>
      <c r="AB719" s="4"/>
    </row>
    <row r="720" customHeight="1" outlineLevel="2" spans="1:28">
      <c r="A720" s="515" t="s">
        <v>3271</v>
      </c>
      <c r="B720" s="4"/>
      <c r="C720" s="510" t="s">
        <v>1309</v>
      </c>
      <c r="D720" s="4" t="s">
        <v>2558</v>
      </c>
      <c r="E720" s="4" t="s">
        <v>2559</v>
      </c>
      <c r="F720" s="4" t="s">
        <v>69</v>
      </c>
      <c r="G720" s="4">
        <v>2160.7</v>
      </c>
      <c r="H720" s="4">
        <v>171.238532110092</v>
      </c>
      <c r="I720" s="4">
        <f>G720*H720</f>
        <v>369995.096330276</v>
      </c>
      <c r="J720" s="4">
        <f t="shared" ref="J720:L720" si="1332">+G720</f>
        <v>2160.7</v>
      </c>
      <c r="K720" s="4">
        <f t="shared" si="1332"/>
        <v>171.238532110092</v>
      </c>
      <c r="L720" s="517">
        <f t="shared" si="1332"/>
        <v>369995.096330276</v>
      </c>
      <c r="M720" s="4">
        <v>2160.7</v>
      </c>
      <c r="N720" s="4">
        <f ca="1">O720/M720</f>
        <v>131.221869301615</v>
      </c>
      <c r="O720" s="4">
        <f ca="1">(+O721+O722+O723+O724+O725)</f>
        <v>283531.093</v>
      </c>
      <c r="P720" s="4"/>
      <c r="Q720" s="4"/>
      <c r="R720" s="4">
        <f>+P720+J720</f>
        <v>2160.7</v>
      </c>
      <c r="S720" s="4">
        <f>+Q720+L720</f>
        <v>369995.096330276</v>
      </c>
      <c r="T720" s="4">
        <f>IFERROR(VLOOKUP(A720,产值统计中间表!A:F,7,FALSE),0)</f>
        <v>0</v>
      </c>
      <c r="U720" s="4">
        <f>+T720*H720</f>
        <v>0</v>
      </c>
      <c r="V720" s="4">
        <f>IFERROR(VLOOKUP(A720,产值统计中间表!A:D,4,FALSE),0)</f>
        <v>0</v>
      </c>
      <c r="W720" s="4">
        <f>+V720*H720</f>
        <v>0</v>
      </c>
      <c r="X720" s="4">
        <f>+R720-V720</f>
        <v>2160.7</v>
      </c>
      <c r="Y720" s="4">
        <f>+S720-W720</f>
        <v>369995.096330276</v>
      </c>
      <c r="Z720" s="4">
        <f>IFERROR(VLOOKUP(A720,业主统计中间表!A:D,4,FALSE),0)</f>
        <v>0</v>
      </c>
      <c r="AA720" s="4">
        <f>+Z720*H720</f>
        <v>0</v>
      </c>
      <c r="AB720" s="4"/>
    </row>
    <row r="721" customHeight="1" outlineLevel="3" spans="1:28">
      <c r="A721" s="514" t="s">
        <v>3272</v>
      </c>
      <c r="B721" s="4"/>
      <c r="C721" s="510" t="s">
        <v>64</v>
      </c>
      <c r="D721" s="4" t="s">
        <v>1064</v>
      </c>
      <c r="E721" s="4"/>
      <c r="F721" s="4" t="str">
        <f ca="1" t="shared" ref="F721:F725" si="1333">VLOOKUP($D721,INDIRECT($C721),2,0)</f>
        <v>m2</v>
      </c>
      <c r="G721" s="4"/>
      <c r="H721" s="4"/>
      <c r="I721" s="4"/>
      <c r="J721" s="4"/>
      <c r="K721" s="4"/>
      <c r="L721" s="517"/>
      <c r="M721" s="4">
        <v>173.7243</v>
      </c>
      <c r="N721" s="4">
        <f ca="1" t="shared" ref="N721:N725" si="1334">VLOOKUP($D721,INDIRECT($C721),3,0)</f>
        <v>10</v>
      </c>
      <c r="O721" s="4">
        <f ca="1">M721*N721</f>
        <v>1737.243</v>
      </c>
      <c r="P721" s="4"/>
      <c r="Q721" s="4"/>
      <c r="R721" s="4"/>
      <c r="S721" s="4"/>
      <c r="T721" s="4">
        <f ca="1" t="shared" ref="T721:T725" si="1335">OFFSET(T721,-RIGHT($A721,LEN($A$6)),,1,1)/OFFSET(T721,-RIGHT($A721,LEN($A$6)),-13,1,1)*$M721</f>
        <v>0</v>
      </c>
      <c r="U721" s="4">
        <f ca="1" t="shared" ref="U721:U725" si="1336">+$N721*T721</f>
        <v>0</v>
      </c>
      <c r="V721" s="4">
        <f ca="1" t="shared" ref="V721:V725" si="1337">OFFSET(V721,-RIGHT($A721,LEN($A$6)),,1,1)/OFFSET(V721,-RIGHT($A721,LEN($A$6)),-15,1,1)*$M721</f>
        <v>0</v>
      </c>
      <c r="W721" s="4">
        <f ca="1" t="shared" ref="W721:W725" si="1338">+$N721*V721</f>
        <v>0</v>
      </c>
      <c r="X721" s="4">
        <f ca="1" t="shared" ref="X721:X725" si="1339">+M721-V721</f>
        <v>173.7243</v>
      </c>
      <c r="Y721" s="4">
        <f ca="1" t="shared" ref="Y721:Y725" si="1340">+O721-W721</f>
        <v>1737.243</v>
      </c>
      <c r="Z721" s="4">
        <f ca="1" t="shared" ref="Z721:Z725" si="1341">OFFSET(Z721,-RIGHT($A721,LEN($A$6)),,1,1)/OFFSET(Z721,-RIGHT($A721,LEN($A$6)),-19,1,1)*$M721</f>
        <v>0</v>
      </c>
      <c r="AA721" s="4">
        <f ca="1" t="shared" ref="AA721:AA725" si="1342">+$N721*Z721</f>
        <v>0</v>
      </c>
      <c r="AB721" s="4"/>
    </row>
    <row r="722" customHeight="1" outlineLevel="3" spans="1:28">
      <c r="A722" s="514" t="s">
        <v>3273</v>
      </c>
      <c r="B722" s="4"/>
      <c r="C722" s="510" t="s">
        <v>64</v>
      </c>
      <c r="D722" s="4" t="s">
        <v>296</v>
      </c>
      <c r="E722" s="4"/>
      <c r="F722" s="4" t="str">
        <f ca="1" t="shared" si="1333"/>
        <v>t</v>
      </c>
      <c r="G722" s="4"/>
      <c r="H722" s="4"/>
      <c r="I722" s="4"/>
      <c r="J722" s="4"/>
      <c r="K722" s="4"/>
      <c r="L722" s="517"/>
      <c r="M722" s="4">
        <v>28.758</v>
      </c>
      <c r="N722" s="4">
        <f ca="1" t="shared" si="1334"/>
        <v>700</v>
      </c>
      <c r="O722" s="4">
        <f ca="1">M722*N722</f>
        <v>20130.6</v>
      </c>
      <c r="P722" s="4"/>
      <c r="Q722" s="4"/>
      <c r="R722" s="4"/>
      <c r="S722" s="4"/>
      <c r="T722" s="4">
        <f ca="1" t="shared" si="1335"/>
        <v>0</v>
      </c>
      <c r="U722" s="4">
        <f ca="1" t="shared" si="1336"/>
        <v>0</v>
      </c>
      <c r="V722" s="4">
        <f ca="1" t="shared" si="1337"/>
        <v>0</v>
      </c>
      <c r="W722" s="4">
        <f ca="1" t="shared" si="1338"/>
        <v>0</v>
      </c>
      <c r="X722" s="4">
        <f ca="1" t="shared" si="1339"/>
        <v>28.758</v>
      </c>
      <c r="Y722" s="4">
        <f ca="1" t="shared" si="1340"/>
        <v>20130.6</v>
      </c>
      <c r="Z722" s="4">
        <f ca="1" t="shared" si="1341"/>
        <v>0</v>
      </c>
      <c r="AA722" s="4">
        <f ca="1" t="shared" si="1342"/>
        <v>0</v>
      </c>
      <c r="AB722" s="4"/>
    </row>
    <row r="723" customHeight="1" outlineLevel="3" spans="1:28">
      <c r="A723" s="514" t="s">
        <v>3274</v>
      </c>
      <c r="B723" s="4"/>
      <c r="C723" s="510" t="s">
        <v>59</v>
      </c>
      <c r="D723" s="4" t="s">
        <v>834</v>
      </c>
      <c r="E723" s="4"/>
      <c r="F723" s="4" t="str">
        <f ca="1" t="shared" si="1333"/>
        <v>m³</v>
      </c>
      <c r="G723" s="4"/>
      <c r="H723" s="4"/>
      <c r="I723" s="4"/>
      <c r="J723" s="4"/>
      <c r="K723" s="4"/>
      <c r="L723" s="517"/>
      <c r="M723" s="4">
        <v>173.7243</v>
      </c>
      <c r="N723" s="4">
        <f ca="1" t="shared" si="1334"/>
        <v>500</v>
      </c>
      <c r="O723" s="4">
        <f ca="1">M723*N723</f>
        <v>86862.15</v>
      </c>
      <c r="P723" s="4"/>
      <c r="Q723" s="4"/>
      <c r="R723" s="4"/>
      <c r="S723" s="4"/>
      <c r="T723" s="4">
        <f ca="1" t="shared" si="1335"/>
        <v>0</v>
      </c>
      <c r="U723" s="4">
        <f ca="1" t="shared" si="1336"/>
        <v>0</v>
      </c>
      <c r="V723" s="4">
        <f ca="1" t="shared" si="1337"/>
        <v>0</v>
      </c>
      <c r="W723" s="4">
        <f ca="1" t="shared" si="1338"/>
        <v>0</v>
      </c>
      <c r="X723" s="4">
        <f ca="1" t="shared" si="1339"/>
        <v>173.7243</v>
      </c>
      <c r="Y723" s="4">
        <f ca="1" t="shared" si="1340"/>
        <v>86862.15</v>
      </c>
      <c r="Z723" s="4">
        <f ca="1" t="shared" si="1341"/>
        <v>0</v>
      </c>
      <c r="AA723" s="4">
        <f ca="1" t="shared" si="1342"/>
        <v>0</v>
      </c>
      <c r="AB723" s="4"/>
    </row>
    <row r="724" customHeight="1" outlineLevel="3" spans="1:28">
      <c r="A724" s="514" t="s">
        <v>3275</v>
      </c>
      <c r="B724" s="4"/>
      <c r="C724" s="510" t="s">
        <v>59</v>
      </c>
      <c r="D724" s="4" t="s">
        <v>480</v>
      </c>
      <c r="E724" s="4" t="str">
        <f ca="1">"含钢量："&amp;ROUND($M$724/$G$720,3)&amp;$F$724&amp;"/"&amp;$F$720</f>
        <v>含钢量：0.013t/m2</v>
      </c>
      <c r="F724" s="4" t="str">
        <f ca="1" t="shared" si="1333"/>
        <v>t</v>
      </c>
      <c r="G724" s="4"/>
      <c r="H724" s="4"/>
      <c r="I724" s="4"/>
      <c r="J724" s="4"/>
      <c r="K724" s="4"/>
      <c r="L724" s="517"/>
      <c r="M724" s="4">
        <v>28.758</v>
      </c>
      <c r="N724" s="4">
        <f ca="1" t="shared" si="1334"/>
        <v>4200</v>
      </c>
      <c r="O724" s="4">
        <f ca="1">M724*N724</f>
        <v>120783.6</v>
      </c>
      <c r="P724" s="4"/>
      <c r="Q724" s="4"/>
      <c r="R724" s="4"/>
      <c r="S724" s="4"/>
      <c r="T724" s="4">
        <f ca="1" t="shared" si="1335"/>
        <v>0</v>
      </c>
      <c r="U724" s="4">
        <f ca="1" t="shared" si="1336"/>
        <v>0</v>
      </c>
      <c r="V724" s="4">
        <f ca="1" t="shared" si="1337"/>
        <v>0</v>
      </c>
      <c r="W724" s="4">
        <f ca="1" t="shared" si="1338"/>
        <v>0</v>
      </c>
      <c r="X724" s="4">
        <f ca="1" t="shared" si="1339"/>
        <v>28.758</v>
      </c>
      <c r="Y724" s="4">
        <f ca="1" t="shared" si="1340"/>
        <v>120783.6</v>
      </c>
      <c r="Z724" s="4">
        <f ca="1" t="shared" si="1341"/>
        <v>0</v>
      </c>
      <c r="AA724" s="4">
        <f ca="1" t="shared" si="1342"/>
        <v>0</v>
      </c>
      <c r="AB724" s="4"/>
    </row>
    <row r="725" customHeight="1" outlineLevel="3" spans="1:28">
      <c r="A725" s="514" t="s">
        <v>3276</v>
      </c>
      <c r="B725" s="4"/>
      <c r="C725" s="510" t="s">
        <v>65</v>
      </c>
      <c r="D725" s="4" t="s">
        <v>811</v>
      </c>
      <c r="E725" s="4" t="s">
        <v>2565</v>
      </c>
      <c r="F725" s="4" t="str">
        <f ca="1" t="shared" si="1333"/>
        <v>m2</v>
      </c>
      <c r="G725" s="4"/>
      <c r="H725" s="4"/>
      <c r="I725" s="4"/>
      <c r="J725" s="4"/>
      <c r="K725" s="4"/>
      <c r="L725" s="517"/>
      <c r="M725" s="4">
        <v>2160.7</v>
      </c>
      <c r="N725" s="4">
        <f ca="1" t="shared" si="1334"/>
        <v>25</v>
      </c>
      <c r="O725" s="4">
        <f ca="1">M725*N725</f>
        <v>54017.5</v>
      </c>
      <c r="P725" s="4"/>
      <c r="Q725" s="4"/>
      <c r="R725" s="4"/>
      <c r="S725" s="4"/>
      <c r="T725" s="4">
        <f ca="1" t="shared" si="1335"/>
        <v>0</v>
      </c>
      <c r="U725" s="4">
        <f ca="1" t="shared" si="1336"/>
        <v>0</v>
      </c>
      <c r="V725" s="4">
        <f ca="1" t="shared" si="1337"/>
        <v>0</v>
      </c>
      <c r="W725" s="4">
        <f ca="1" t="shared" si="1338"/>
        <v>0</v>
      </c>
      <c r="X725" s="4">
        <f ca="1" t="shared" si="1339"/>
        <v>2160.7</v>
      </c>
      <c r="Y725" s="4">
        <f ca="1" t="shared" si="1340"/>
        <v>54017.5</v>
      </c>
      <c r="Z725" s="4">
        <f ca="1" t="shared" si="1341"/>
        <v>0</v>
      </c>
      <c r="AA725" s="4">
        <f ca="1" t="shared" si="1342"/>
        <v>0</v>
      </c>
      <c r="AB725" s="4"/>
    </row>
    <row r="726" customHeight="1" outlineLevel="2" spans="1:28">
      <c r="A726" s="515" t="s">
        <v>3277</v>
      </c>
      <c r="B726" s="4"/>
      <c r="C726" s="510" t="s">
        <v>1309</v>
      </c>
      <c r="D726" s="4" t="s">
        <v>2567</v>
      </c>
      <c r="E726" s="4" t="s">
        <v>2568</v>
      </c>
      <c r="F726" s="4" t="s">
        <v>69</v>
      </c>
      <c r="G726" s="4">
        <v>1711.38</v>
      </c>
      <c r="H726" s="4">
        <v>146.036697247706</v>
      </c>
      <c r="I726" s="4">
        <f>G726*H726</f>
        <v>249924.282935779</v>
      </c>
      <c r="J726" s="4">
        <f t="shared" ref="J726:L726" si="1343">+G726</f>
        <v>1711.38</v>
      </c>
      <c r="K726" s="4">
        <f t="shared" si="1343"/>
        <v>146.036697247706</v>
      </c>
      <c r="L726" s="517">
        <f t="shared" si="1343"/>
        <v>249924.282935779</v>
      </c>
      <c r="M726" s="4">
        <v>1711.38</v>
      </c>
      <c r="N726" s="4">
        <f ca="1">O726/M726</f>
        <v>10</v>
      </c>
      <c r="O726" s="4">
        <f ca="1">(+O727+O728+O729+O730+O731)</f>
        <v>17113.8</v>
      </c>
      <c r="P726" s="4"/>
      <c r="Q726" s="4"/>
      <c r="R726" s="4">
        <f>+P726+J726</f>
        <v>1711.38</v>
      </c>
      <c r="S726" s="4">
        <f>+Q726+L726</f>
        <v>249924.282935779</v>
      </c>
      <c r="T726" s="4">
        <f>IFERROR(VLOOKUP(A726,产值统计中间表!A:F,7,FALSE),0)</f>
        <v>0</v>
      </c>
      <c r="U726" s="4">
        <f>+T726*H726</f>
        <v>0</v>
      </c>
      <c r="V726" s="4">
        <f>IFERROR(VLOOKUP(A726,产值统计中间表!A:D,4,FALSE),0)</f>
        <v>0</v>
      </c>
      <c r="W726" s="4">
        <f>+V726*H726</f>
        <v>0</v>
      </c>
      <c r="X726" s="4">
        <f>+R726-V726</f>
        <v>1711.38</v>
      </c>
      <c r="Y726" s="4">
        <f>+S726-W726</f>
        <v>249924.282935779</v>
      </c>
      <c r="Z726" s="4">
        <f>IFERROR(VLOOKUP(A726,业主统计中间表!A:D,4,FALSE),0)</f>
        <v>0</v>
      </c>
      <c r="AA726" s="4">
        <f>+Z726*H726</f>
        <v>0</v>
      </c>
      <c r="AB726" s="4"/>
    </row>
    <row r="727" customHeight="1" outlineLevel="3" spans="1:28">
      <c r="A727" s="514" t="s">
        <v>3278</v>
      </c>
      <c r="B727" s="4"/>
      <c r="C727" s="510" t="s">
        <v>59</v>
      </c>
      <c r="D727" s="4" t="s">
        <v>254</v>
      </c>
      <c r="E727" s="4"/>
      <c r="F727" s="4" t="str">
        <f ca="1" t="shared" ref="F727:F731" si="1344">VLOOKUP($D727,INDIRECT($C727),2,0)</f>
        <v>m3</v>
      </c>
      <c r="G727" s="4"/>
      <c r="H727" s="4"/>
      <c r="I727" s="4"/>
      <c r="J727" s="4"/>
      <c r="K727" s="4"/>
      <c r="L727" s="517"/>
      <c r="M727" s="4">
        <v>104.22426</v>
      </c>
      <c r="N727" s="4">
        <f ca="1" t="shared" ref="N727:N731" si="1345">VLOOKUP($D727,INDIRECT($C727),3,0)</f>
        <v>0</v>
      </c>
      <c r="O727" s="4">
        <f ca="1">M727*N727</f>
        <v>0</v>
      </c>
      <c r="P727" s="4"/>
      <c r="Q727" s="4"/>
      <c r="R727" s="4"/>
      <c r="S727" s="4"/>
      <c r="T727" s="4">
        <f ca="1" t="shared" ref="T727:T731" si="1346">OFFSET(T727,-RIGHT($A727,LEN($A$6)),,1,1)/OFFSET(T727,-RIGHT($A727,LEN($A$6)),-13,1,1)*$M727</f>
        <v>0</v>
      </c>
      <c r="U727" s="4">
        <f ca="1" t="shared" ref="U727:U731" si="1347">+$N727*T727</f>
        <v>0</v>
      </c>
      <c r="V727" s="4">
        <f ca="1" t="shared" ref="V727:V731" si="1348">OFFSET(V727,-RIGHT($A727,LEN($A$6)),,1,1)/OFFSET(V727,-RIGHT($A727,LEN($A$6)),-15,1,1)*$M727</f>
        <v>0</v>
      </c>
      <c r="W727" s="4">
        <f ca="1" t="shared" ref="W727:W731" si="1349">+$N727*V727</f>
        <v>0</v>
      </c>
      <c r="X727" s="4">
        <f ca="1" t="shared" ref="X727:X731" si="1350">+M727-V727</f>
        <v>104.22426</v>
      </c>
      <c r="Y727" s="4">
        <f ca="1" t="shared" ref="Y727:Y731" si="1351">+O727-W727</f>
        <v>0</v>
      </c>
      <c r="Z727" s="4">
        <f ca="1" t="shared" ref="Z727:Z731" si="1352">OFFSET(Z727,-RIGHT($A727,LEN($A$6)),,1,1)/OFFSET(Z727,-RIGHT($A727,LEN($A$6)),-19,1,1)*$M727</f>
        <v>0</v>
      </c>
      <c r="AA727" s="4">
        <f ca="1" t="shared" ref="AA727:AA731" si="1353">+$N727*Z727</f>
        <v>0</v>
      </c>
      <c r="AB727" s="4"/>
    </row>
    <row r="728" customHeight="1" outlineLevel="3" spans="1:28">
      <c r="A728" s="514" t="s">
        <v>3279</v>
      </c>
      <c r="B728" s="4"/>
      <c r="C728" s="510" t="s">
        <v>59</v>
      </c>
      <c r="D728" s="4" t="s">
        <v>264</v>
      </c>
      <c r="E728" s="4"/>
      <c r="F728" s="4" t="str">
        <f ca="1" t="shared" si="1344"/>
        <v>m3</v>
      </c>
      <c r="G728" s="4"/>
      <c r="H728" s="4"/>
      <c r="I728" s="4"/>
      <c r="J728" s="4"/>
      <c r="K728" s="4"/>
      <c r="L728" s="517"/>
      <c r="M728" s="4">
        <v>69.3117</v>
      </c>
      <c r="N728" s="4">
        <f ca="1" t="shared" si="1345"/>
        <v>0</v>
      </c>
      <c r="O728" s="4">
        <f ca="1">M728*N728</f>
        <v>0</v>
      </c>
      <c r="P728" s="4"/>
      <c r="Q728" s="4"/>
      <c r="R728" s="4"/>
      <c r="S728" s="4"/>
      <c r="T728" s="4">
        <f ca="1" t="shared" si="1346"/>
        <v>0</v>
      </c>
      <c r="U728" s="4">
        <f ca="1" t="shared" si="1347"/>
        <v>0</v>
      </c>
      <c r="V728" s="4">
        <f ca="1" t="shared" si="1348"/>
        <v>0</v>
      </c>
      <c r="W728" s="4">
        <f ca="1" t="shared" si="1349"/>
        <v>0</v>
      </c>
      <c r="X728" s="4">
        <f ca="1" t="shared" si="1350"/>
        <v>69.3117</v>
      </c>
      <c r="Y728" s="4">
        <f ca="1" t="shared" si="1351"/>
        <v>0</v>
      </c>
      <c r="Z728" s="4">
        <f ca="1" t="shared" si="1352"/>
        <v>0</v>
      </c>
      <c r="AA728" s="4">
        <f ca="1" t="shared" si="1353"/>
        <v>0</v>
      </c>
      <c r="AB728" s="4"/>
    </row>
    <row r="729" customHeight="1" outlineLevel="3" spans="1:28">
      <c r="A729" s="514" t="s">
        <v>3280</v>
      </c>
      <c r="B729" s="4"/>
      <c r="C729" s="510" t="s">
        <v>59</v>
      </c>
      <c r="D729" s="4" t="s">
        <v>984</v>
      </c>
      <c r="E729" s="4"/>
      <c r="F729" s="4" t="str">
        <f ca="1" t="shared" si="1344"/>
        <v>t</v>
      </c>
      <c r="G729" s="4"/>
      <c r="H729" s="4"/>
      <c r="I729" s="4"/>
      <c r="J729" s="4"/>
      <c r="K729" s="4"/>
      <c r="L729" s="517"/>
      <c r="M729" s="4">
        <v>0.052</v>
      </c>
      <c r="N729" s="4">
        <f ca="1" t="shared" si="1345"/>
        <v>0</v>
      </c>
      <c r="O729" s="4">
        <f ca="1">M729*N729</f>
        <v>0</v>
      </c>
      <c r="P729" s="4"/>
      <c r="Q729" s="4"/>
      <c r="R729" s="4"/>
      <c r="S729" s="4"/>
      <c r="T729" s="4">
        <f ca="1" t="shared" si="1346"/>
        <v>0</v>
      </c>
      <c r="U729" s="4">
        <f ca="1" t="shared" si="1347"/>
        <v>0</v>
      </c>
      <c r="V729" s="4">
        <f ca="1" t="shared" si="1348"/>
        <v>0</v>
      </c>
      <c r="W729" s="4">
        <f ca="1" t="shared" si="1349"/>
        <v>0</v>
      </c>
      <c r="X729" s="4">
        <f ca="1" t="shared" si="1350"/>
        <v>0.052</v>
      </c>
      <c r="Y729" s="4">
        <f ca="1" t="shared" si="1351"/>
        <v>0</v>
      </c>
      <c r="Z729" s="4">
        <f ca="1" t="shared" si="1352"/>
        <v>0</v>
      </c>
      <c r="AA729" s="4">
        <f ca="1" t="shared" si="1353"/>
        <v>0</v>
      </c>
      <c r="AB729" s="4"/>
    </row>
    <row r="730" customHeight="1" outlineLevel="3" spans="1:28">
      <c r="A730" s="514" t="s">
        <v>3281</v>
      </c>
      <c r="B730" s="4"/>
      <c r="C730" s="510" t="s">
        <v>63</v>
      </c>
      <c r="D730" s="4" t="s">
        <v>1182</v>
      </c>
      <c r="E730" s="4"/>
      <c r="F730" s="4" t="str">
        <f ca="1" t="shared" si="1344"/>
        <v>m2</v>
      </c>
      <c r="G730" s="4"/>
      <c r="H730" s="4"/>
      <c r="I730" s="4"/>
      <c r="J730" s="4"/>
      <c r="K730" s="4"/>
      <c r="L730" s="517"/>
      <c r="M730" s="4">
        <v>1711.38</v>
      </c>
      <c r="N730" s="4">
        <f ca="1" t="shared" si="1345"/>
        <v>8</v>
      </c>
      <c r="O730" s="4">
        <f ca="1">M730*N730</f>
        <v>13691.04</v>
      </c>
      <c r="P730" s="4"/>
      <c r="Q730" s="4"/>
      <c r="R730" s="4"/>
      <c r="S730" s="4"/>
      <c r="T730" s="4">
        <f ca="1" t="shared" si="1346"/>
        <v>0</v>
      </c>
      <c r="U730" s="4">
        <f ca="1" t="shared" si="1347"/>
        <v>0</v>
      </c>
      <c r="V730" s="4">
        <f ca="1" t="shared" si="1348"/>
        <v>0</v>
      </c>
      <c r="W730" s="4">
        <f ca="1" t="shared" si="1349"/>
        <v>0</v>
      </c>
      <c r="X730" s="4">
        <f ca="1" t="shared" si="1350"/>
        <v>1711.38</v>
      </c>
      <c r="Y730" s="4">
        <f ca="1" t="shared" si="1351"/>
        <v>13691.04</v>
      </c>
      <c r="Z730" s="4">
        <f ca="1" t="shared" si="1352"/>
        <v>0</v>
      </c>
      <c r="AA730" s="4">
        <f ca="1" t="shared" si="1353"/>
        <v>0</v>
      </c>
      <c r="AB730" s="4"/>
    </row>
    <row r="731" customHeight="1" outlineLevel="3" spans="1:28">
      <c r="A731" s="514" t="s">
        <v>3282</v>
      </c>
      <c r="B731" s="4"/>
      <c r="C731" s="510" t="s">
        <v>63</v>
      </c>
      <c r="D731" s="4" t="s">
        <v>1186</v>
      </c>
      <c r="E731" s="4"/>
      <c r="F731" s="4" t="str">
        <f ca="1" t="shared" si="1344"/>
        <v>m2</v>
      </c>
      <c r="G731" s="4"/>
      <c r="H731" s="4"/>
      <c r="I731" s="4"/>
      <c r="J731" s="4"/>
      <c r="K731" s="4"/>
      <c r="L731" s="517"/>
      <c r="M731" s="4">
        <v>1711.38</v>
      </c>
      <c r="N731" s="4">
        <f ca="1" t="shared" si="1345"/>
        <v>2</v>
      </c>
      <c r="O731" s="4">
        <f ca="1">M731*N731</f>
        <v>3422.76</v>
      </c>
      <c r="P731" s="4"/>
      <c r="Q731" s="4"/>
      <c r="R731" s="4"/>
      <c r="S731" s="4"/>
      <c r="T731" s="4">
        <f ca="1" t="shared" si="1346"/>
        <v>0</v>
      </c>
      <c r="U731" s="4">
        <f ca="1" t="shared" si="1347"/>
        <v>0</v>
      </c>
      <c r="V731" s="4">
        <f ca="1" t="shared" si="1348"/>
        <v>0</v>
      </c>
      <c r="W731" s="4">
        <f ca="1" t="shared" si="1349"/>
        <v>0</v>
      </c>
      <c r="X731" s="4">
        <f ca="1" t="shared" si="1350"/>
        <v>1711.38</v>
      </c>
      <c r="Y731" s="4">
        <f ca="1" t="shared" si="1351"/>
        <v>3422.76</v>
      </c>
      <c r="Z731" s="4">
        <f ca="1" t="shared" si="1352"/>
        <v>0</v>
      </c>
      <c r="AA731" s="4">
        <f ca="1" t="shared" si="1353"/>
        <v>0</v>
      </c>
      <c r="AB731" s="4"/>
    </row>
    <row r="732" customHeight="1" outlineLevel="2" spans="1:28">
      <c r="A732" s="515" t="s">
        <v>3283</v>
      </c>
      <c r="B732" s="4"/>
      <c r="C732" s="510" t="s">
        <v>1309</v>
      </c>
      <c r="D732" s="4" t="s">
        <v>2575</v>
      </c>
      <c r="E732" s="4" t="s">
        <v>2576</v>
      </c>
      <c r="F732" s="4" t="s">
        <v>69</v>
      </c>
      <c r="G732" s="4">
        <v>1643</v>
      </c>
      <c r="H732" s="4">
        <v>60.0733944954128</v>
      </c>
      <c r="I732" s="4">
        <f>G732*H732</f>
        <v>98700.5871559632</v>
      </c>
      <c r="J732" s="4">
        <f t="shared" ref="J732:L732" si="1354">+G732</f>
        <v>1643</v>
      </c>
      <c r="K732" s="4">
        <f t="shared" si="1354"/>
        <v>60.0733944954128</v>
      </c>
      <c r="L732" s="517">
        <f t="shared" si="1354"/>
        <v>98700.5871559632</v>
      </c>
      <c r="M732" s="4">
        <v>1643</v>
      </c>
      <c r="N732" s="4">
        <f ca="1">O732/M732</f>
        <v>92.2702003540619</v>
      </c>
      <c r="O732" s="4">
        <f ca="1">(+O733+O734+O735+O736)</f>
        <v>151599.939181724</v>
      </c>
      <c r="P732" s="4"/>
      <c r="Q732" s="4"/>
      <c r="R732" s="4">
        <f>+P732+J732</f>
        <v>1643</v>
      </c>
      <c r="S732" s="4">
        <f>+Q732+L732</f>
        <v>98700.5871559632</v>
      </c>
      <c r="T732" s="4">
        <f>IFERROR(VLOOKUP(A732,产值统计中间表!A:F,7,FALSE),0)</f>
        <v>0</v>
      </c>
      <c r="U732" s="4">
        <f>+T732*H732</f>
        <v>0</v>
      </c>
      <c r="V732" s="4">
        <f>IFERROR(VLOOKUP(A732,产值统计中间表!A:D,4,FALSE),0)</f>
        <v>0</v>
      </c>
      <c r="W732" s="4">
        <f>+V732*H732</f>
        <v>0</v>
      </c>
      <c r="X732" s="4">
        <f>+R732-V732</f>
        <v>1643</v>
      </c>
      <c r="Y732" s="4">
        <f>+S732-W732</f>
        <v>98700.5871559632</v>
      </c>
      <c r="Z732" s="4">
        <f>IFERROR(VLOOKUP(A732,业主统计中间表!A:D,4,FALSE),0)</f>
        <v>0</v>
      </c>
      <c r="AA732" s="4">
        <f>+Z732*H732</f>
        <v>0</v>
      </c>
      <c r="AB732" s="4"/>
    </row>
    <row r="733" customHeight="1" outlineLevel="3" spans="1:28">
      <c r="A733" s="514" t="s">
        <v>3284</v>
      </c>
      <c r="B733" s="4"/>
      <c r="C733" s="510" t="s">
        <v>59</v>
      </c>
      <c r="D733" s="4" t="s">
        <v>840</v>
      </c>
      <c r="E733" s="4"/>
      <c r="F733" s="4" t="str">
        <f ca="1" t="shared" ref="F733:F736" si="1355">VLOOKUP($D733,INDIRECT($C733),2,0)</f>
        <v>m3</v>
      </c>
      <c r="G733" s="4"/>
      <c r="H733" s="4"/>
      <c r="I733" s="4"/>
      <c r="J733" s="4"/>
      <c r="K733" s="4"/>
      <c r="L733" s="517"/>
      <c r="M733" s="4">
        <v>83.3001</v>
      </c>
      <c r="N733" s="4">
        <f ca="1" t="shared" ref="N733:N736" si="1356">VLOOKUP($D733,INDIRECT($C733),3,0)</f>
        <v>1800</v>
      </c>
      <c r="O733" s="4">
        <f ca="1">M733*N733</f>
        <v>149940.18</v>
      </c>
      <c r="P733" s="4"/>
      <c r="Q733" s="4"/>
      <c r="R733" s="4"/>
      <c r="S733" s="4"/>
      <c r="T733" s="4">
        <f ca="1" t="shared" ref="T733:T736" si="1357">OFFSET(T733,-RIGHT($A733,LEN($A$6)),,1,1)/OFFSET(T733,-RIGHT($A733,LEN($A$6)),-13,1,1)*$M733</f>
        <v>0</v>
      </c>
      <c r="U733" s="4">
        <f ca="1" t="shared" ref="U733:U736" si="1358">+$N733*T733</f>
        <v>0</v>
      </c>
      <c r="V733" s="4">
        <f ca="1" t="shared" ref="V733:V736" si="1359">OFFSET(V733,-RIGHT($A733,LEN($A$6)),,1,1)/OFFSET(V733,-RIGHT($A733,LEN($A$6)),-15,1,1)*$M733</f>
        <v>0</v>
      </c>
      <c r="W733" s="4">
        <f ca="1" t="shared" ref="W733:W736" si="1360">+$N733*V733</f>
        <v>0</v>
      </c>
      <c r="X733" s="4">
        <f ca="1" t="shared" ref="X733:X736" si="1361">+M733-V733</f>
        <v>83.3001</v>
      </c>
      <c r="Y733" s="4">
        <f ca="1" t="shared" ref="Y733:Y736" si="1362">+O733-W733</f>
        <v>149940.18</v>
      </c>
      <c r="Z733" s="4">
        <f ca="1" t="shared" ref="Z733:Z736" si="1363">OFFSET(Z733,-RIGHT($A733,LEN($A$6)),,1,1)/OFFSET(Z733,-RIGHT($A733,LEN($A$6)),-19,1,1)*$M733</f>
        <v>0</v>
      </c>
      <c r="AA733" s="4">
        <f ca="1" t="shared" ref="AA733:AA736" si="1364">+$N733*Z733</f>
        <v>0</v>
      </c>
      <c r="AB733" s="4"/>
    </row>
    <row r="734" customHeight="1" outlineLevel="3" spans="1:28">
      <c r="A734" s="514" t="s">
        <v>3285</v>
      </c>
      <c r="B734" s="4"/>
      <c r="C734" s="510" t="s">
        <v>59</v>
      </c>
      <c r="D734" s="4" t="s">
        <v>984</v>
      </c>
      <c r="E734" s="4"/>
      <c r="F734" s="4" t="str">
        <f ca="1" t="shared" si="1355"/>
        <v>t</v>
      </c>
      <c r="G734" s="4"/>
      <c r="H734" s="4"/>
      <c r="I734" s="4"/>
      <c r="J734" s="4"/>
      <c r="K734" s="4"/>
      <c r="L734" s="517"/>
      <c r="M734" s="4">
        <v>0.57</v>
      </c>
      <c r="N734" s="4">
        <f ca="1" t="shared" si="1356"/>
        <v>0</v>
      </c>
      <c r="O734" s="4">
        <f ca="1">M734*N734</f>
        <v>0</v>
      </c>
      <c r="P734" s="4"/>
      <c r="Q734" s="4"/>
      <c r="R734" s="4"/>
      <c r="S734" s="4"/>
      <c r="T734" s="4">
        <f ca="1" t="shared" si="1357"/>
        <v>0</v>
      </c>
      <c r="U734" s="4">
        <f ca="1" t="shared" si="1358"/>
        <v>0</v>
      </c>
      <c r="V734" s="4">
        <f ca="1" t="shared" si="1359"/>
        <v>0</v>
      </c>
      <c r="W734" s="4">
        <f ca="1" t="shared" si="1360"/>
        <v>0</v>
      </c>
      <c r="X734" s="4">
        <f ca="1" t="shared" si="1361"/>
        <v>0.57</v>
      </c>
      <c r="Y734" s="4">
        <f ca="1" t="shared" si="1362"/>
        <v>0</v>
      </c>
      <c r="Z734" s="4">
        <f ca="1" t="shared" si="1363"/>
        <v>0</v>
      </c>
      <c r="AA734" s="4">
        <f ca="1" t="shared" si="1364"/>
        <v>0</v>
      </c>
      <c r="AB734" s="4"/>
    </row>
    <row r="735" customHeight="1" outlineLevel="3" spans="1:28">
      <c r="A735" s="514" t="s">
        <v>3286</v>
      </c>
      <c r="B735" s="4"/>
      <c r="C735" s="510" t="s">
        <v>63</v>
      </c>
      <c r="D735" s="4" t="s">
        <v>1182</v>
      </c>
      <c r="E735" s="4"/>
      <c r="F735" s="4" t="str">
        <f ca="1" t="shared" si="1355"/>
        <v>m2</v>
      </c>
      <c r="G735" s="4"/>
      <c r="H735" s="4"/>
      <c r="I735" s="4"/>
      <c r="J735" s="4"/>
      <c r="K735" s="4"/>
      <c r="L735" s="517"/>
      <c r="M735" s="4">
        <v>165.975918172366</v>
      </c>
      <c r="N735" s="4">
        <f ca="1" t="shared" si="1356"/>
        <v>8</v>
      </c>
      <c r="O735" s="4">
        <f ca="1">M735*N735</f>
        <v>1327.80734537893</v>
      </c>
      <c r="P735" s="4"/>
      <c r="Q735" s="4"/>
      <c r="R735" s="4"/>
      <c r="S735" s="4"/>
      <c r="T735" s="4">
        <f ca="1" t="shared" si="1357"/>
        <v>0</v>
      </c>
      <c r="U735" s="4">
        <f ca="1" t="shared" si="1358"/>
        <v>0</v>
      </c>
      <c r="V735" s="4">
        <f ca="1" t="shared" si="1359"/>
        <v>0</v>
      </c>
      <c r="W735" s="4">
        <f ca="1" t="shared" si="1360"/>
        <v>0</v>
      </c>
      <c r="X735" s="4">
        <f ca="1" t="shared" si="1361"/>
        <v>165.975918172366</v>
      </c>
      <c r="Y735" s="4">
        <f ca="1" t="shared" si="1362"/>
        <v>1327.80734537893</v>
      </c>
      <c r="Z735" s="4">
        <f ca="1" t="shared" si="1363"/>
        <v>0</v>
      </c>
      <c r="AA735" s="4">
        <f ca="1" t="shared" si="1364"/>
        <v>0</v>
      </c>
      <c r="AB735" s="4"/>
    </row>
    <row r="736" customHeight="1" outlineLevel="3" spans="1:28">
      <c r="A736" s="514" t="s">
        <v>3287</v>
      </c>
      <c r="B736" s="4"/>
      <c r="C736" s="510" t="s">
        <v>63</v>
      </c>
      <c r="D736" s="4" t="s">
        <v>1186</v>
      </c>
      <c r="E736" s="4"/>
      <c r="F736" s="4" t="str">
        <f ca="1" t="shared" si="1355"/>
        <v>m2</v>
      </c>
      <c r="G736" s="4"/>
      <c r="H736" s="4"/>
      <c r="I736" s="4"/>
      <c r="J736" s="4"/>
      <c r="K736" s="4"/>
      <c r="L736" s="517"/>
      <c r="M736" s="4">
        <v>165.975918172366</v>
      </c>
      <c r="N736" s="4">
        <f ca="1" t="shared" si="1356"/>
        <v>2</v>
      </c>
      <c r="O736" s="4">
        <f ca="1">M736*N736</f>
        <v>331.951836344732</v>
      </c>
      <c r="P736" s="4"/>
      <c r="Q736" s="4"/>
      <c r="R736" s="4"/>
      <c r="S736" s="4"/>
      <c r="T736" s="4">
        <f ca="1" t="shared" si="1357"/>
        <v>0</v>
      </c>
      <c r="U736" s="4">
        <f ca="1" t="shared" si="1358"/>
        <v>0</v>
      </c>
      <c r="V736" s="4">
        <f ca="1" t="shared" si="1359"/>
        <v>0</v>
      </c>
      <c r="W736" s="4">
        <f ca="1" t="shared" si="1360"/>
        <v>0</v>
      </c>
      <c r="X736" s="4">
        <f ca="1" t="shared" si="1361"/>
        <v>165.975918172366</v>
      </c>
      <c r="Y736" s="4">
        <f ca="1" t="shared" si="1362"/>
        <v>331.951836344732</v>
      </c>
      <c r="Z736" s="4">
        <f ca="1" t="shared" si="1363"/>
        <v>0</v>
      </c>
      <c r="AA736" s="4">
        <f ca="1" t="shared" si="1364"/>
        <v>0</v>
      </c>
      <c r="AB736" s="4"/>
    </row>
    <row r="737" customHeight="1" outlineLevel="2" spans="1:28">
      <c r="A737" s="515" t="s">
        <v>3288</v>
      </c>
      <c r="B737" s="4"/>
      <c r="C737" s="510" t="s">
        <v>1309</v>
      </c>
      <c r="D737" s="4" t="s">
        <v>1005</v>
      </c>
      <c r="E737" s="4" t="s">
        <v>2626</v>
      </c>
      <c r="F737" s="4" t="s">
        <v>76</v>
      </c>
      <c r="G737" s="4">
        <v>83.03</v>
      </c>
      <c r="H737" s="4">
        <v>417.311926605505</v>
      </c>
      <c r="I737" s="4">
        <f>G737*H737</f>
        <v>34649.4092660551</v>
      </c>
      <c r="J737" s="4">
        <f t="shared" ref="J737:L737" si="1365">+G737</f>
        <v>83.03</v>
      </c>
      <c r="K737" s="4">
        <f t="shared" si="1365"/>
        <v>417.311926605505</v>
      </c>
      <c r="L737" s="517">
        <f t="shared" si="1365"/>
        <v>34649.4092660551</v>
      </c>
      <c r="M737" s="4">
        <v>83.03</v>
      </c>
      <c r="N737" s="4">
        <f ca="1">O737/M737</f>
        <v>30</v>
      </c>
      <c r="O737" s="4">
        <f ca="1">(+O738+O739)</f>
        <v>2490.9</v>
      </c>
      <c r="P737" s="4"/>
      <c r="Q737" s="4"/>
      <c r="R737" s="4">
        <f>+P737+J737</f>
        <v>83.03</v>
      </c>
      <c r="S737" s="4">
        <f>+Q737+L737</f>
        <v>34649.4092660551</v>
      </c>
      <c r="T737" s="4">
        <f>IFERROR(VLOOKUP(A737,产值统计中间表!A:F,7,FALSE),0)</f>
        <v>0</v>
      </c>
      <c r="U737" s="4">
        <f>+T737*H737</f>
        <v>0</v>
      </c>
      <c r="V737" s="4">
        <f>IFERROR(VLOOKUP(A737,产值统计中间表!A:D,4,FALSE),0)</f>
        <v>0</v>
      </c>
      <c r="W737" s="4">
        <f>+V737*H737</f>
        <v>0</v>
      </c>
      <c r="X737" s="4">
        <f>+R737-V737</f>
        <v>83.03</v>
      </c>
      <c r="Y737" s="4">
        <f>+S737-W737</f>
        <v>34649.4092660551</v>
      </c>
      <c r="Z737" s="4">
        <f>IFERROR(VLOOKUP(A737,业主统计中间表!A:D,4,FALSE),0)</f>
        <v>0</v>
      </c>
      <c r="AA737" s="4">
        <f>+Z737*H737</f>
        <v>0</v>
      </c>
      <c r="AB737" s="4"/>
    </row>
    <row r="738" customHeight="1" outlineLevel="3" spans="1:28">
      <c r="A738" s="514" t="s">
        <v>3289</v>
      </c>
      <c r="B738" s="4"/>
      <c r="C738" s="510" t="s">
        <v>64</v>
      </c>
      <c r="D738" s="4" t="s">
        <v>1049</v>
      </c>
      <c r="E738" s="4"/>
      <c r="F738" s="4" t="str">
        <f ca="1" t="shared" ref="F738:F745" si="1366">VLOOKUP($D738,INDIRECT($C738),2,0)</f>
        <v>m</v>
      </c>
      <c r="G738" s="4"/>
      <c r="H738" s="4"/>
      <c r="I738" s="4"/>
      <c r="J738" s="4"/>
      <c r="K738" s="4"/>
      <c r="L738" s="517"/>
      <c r="M738" s="4">
        <v>83.03</v>
      </c>
      <c r="N738" s="4">
        <f ca="1" t="shared" ref="N738:N745" si="1367">VLOOKUP($D738,INDIRECT($C738),3,0)</f>
        <v>30</v>
      </c>
      <c r="O738" s="4">
        <f ca="1">M738*N738</f>
        <v>2490.9</v>
      </c>
      <c r="P738" s="4"/>
      <c r="Q738" s="4"/>
      <c r="R738" s="4"/>
      <c r="S738" s="4"/>
      <c r="T738" s="4">
        <f ca="1" t="shared" ref="T738:T745" si="1368">OFFSET(T738,-RIGHT($A738,LEN($A$6)),,1,1)/OFFSET(T738,-RIGHT($A738,LEN($A$6)),-13,1,1)*$M738</f>
        <v>0</v>
      </c>
      <c r="U738" s="4">
        <f ca="1" t="shared" ref="U738:U745" si="1369">+$N738*T738</f>
        <v>0</v>
      </c>
      <c r="V738" s="4">
        <f ca="1" t="shared" ref="V738:V745" si="1370">OFFSET(V738,-RIGHT($A738,LEN($A$6)),,1,1)/OFFSET(V738,-RIGHT($A738,LEN($A$6)),-15,1,1)*$M738</f>
        <v>0</v>
      </c>
      <c r="W738" s="4">
        <f ca="1" t="shared" ref="W738:W745" si="1371">+$N738*V738</f>
        <v>0</v>
      </c>
      <c r="X738" s="4">
        <f ca="1" t="shared" ref="X738:X745" si="1372">+M738-V738</f>
        <v>83.03</v>
      </c>
      <c r="Y738" s="4">
        <f ca="1" t="shared" ref="Y738:Y745" si="1373">+O738-W738</f>
        <v>2490.9</v>
      </c>
      <c r="Z738" s="4">
        <f ca="1" t="shared" ref="Z738:Z745" si="1374">OFFSET(Z738,-RIGHT($A738,LEN($A$6)),,1,1)/OFFSET(Z738,-RIGHT($A738,LEN($A$6)),-19,1,1)*$M738</f>
        <v>0</v>
      </c>
      <c r="AA738" s="4">
        <f ca="1" t="shared" ref="AA738:AA745" si="1375">+$N738*Z738</f>
        <v>0</v>
      </c>
      <c r="AB738" s="4"/>
    </row>
    <row r="739" customHeight="1" outlineLevel="3" spans="1:28">
      <c r="A739" s="514" t="s">
        <v>3290</v>
      </c>
      <c r="B739" s="4"/>
      <c r="C739" s="510" t="s">
        <v>59</v>
      </c>
      <c r="D739" s="4" t="s">
        <v>1005</v>
      </c>
      <c r="E739" s="4"/>
      <c r="F739" s="4" t="str">
        <f ca="1" t="shared" si="1366"/>
        <v>m</v>
      </c>
      <c r="G739" s="4"/>
      <c r="H739" s="4"/>
      <c r="I739" s="4"/>
      <c r="J739" s="4"/>
      <c r="K739" s="4"/>
      <c r="L739" s="517"/>
      <c r="M739" s="4">
        <v>83.3001</v>
      </c>
      <c r="N739" s="4">
        <f ca="1" t="shared" si="1367"/>
        <v>0</v>
      </c>
      <c r="O739" s="4">
        <f ca="1">M739*N739</f>
        <v>0</v>
      </c>
      <c r="P739" s="4"/>
      <c r="Q739" s="4"/>
      <c r="R739" s="4"/>
      <c r="S739" s="4"/>
      <c r="T739" s="4">
        <f ca="1" t="shared" si="1368"/>
        <v>0</v>
      </c>
      <c r="U739" s="4">
        <f ca="1" t="shared" si="1369"/>
        <v>0</v>
      </c>
      <c r="V739" s="4">
        <f ca="1" t="shared" si="1370"/>
        <v>0</v>
      </c>
      <c r="W739" s="4">
        <f ca="1" t="shared" si="1371"/>
        <v>0</v>
      </c>
      <c r="X739" s="4">
        <f ca="1" t="shared" si="1372"/>
        <v>83.3001</v>
      </c>
      <c r="Y739" s="4">
        <f ca="1" t="shared" si="1373"/>
        <v>0</v>
      </c>
      <c r="Z739" s="4">
        <f ca="1" t="shared" si="1374"/>
        <v>0</v>
      </c>
      <c r="AA739" s="4">
        <f ca="1" t="shared" si="1375"/>
        <v>0</v>
      </c>
      <c r="AB739" s="4"/>
    </row>
    <row r="740" customHeight="1" outlineLevel="2" spans="1:28">
      <c r="A740" s="515" t="s">
        <v>3291</v>
      </c>
      <c r="B740" s="4"/>
      <c r="C740" s="510" t="s">
        <v>1309</v>
      </c>
      <c r="D740" s="4" t="s">
        <v>2582</v>
      </c>
      <c r="E740" s="4" t="s">
        <v>2472</v>
      </c>
      <c r="F740" s="4" t="s">
        <v>72</v>
      </c>
      <c r="G740" s="4">
        <v>21.79</v>
      </c>
      <c r="H740" s="4">
        <v>2432.07339449541</v>
      </c>
      <c r="I740" s="4">
        <f>G740*H740</f>
        <v>52994.879266055</v>
      </c>
      <c r="J740" s="4">
        <f t="shared" ref="J740:L740" si="1376">+G740</f>
        <v>21.79</v>
      </c>
      <c r="K740" s="4">
        <f t="shared" si="1376"/>
        <v>2432.07339449541</v>
      </c>
      <c r="L740" s="517">
        <f t="shared" si="1376"/>
        <v>52994.879266055</v>
      </c>
      <c r="M740" s="4">
        <v>21.79</v>
      </c>
      <c r="N740" s="4">
        <f ca="1">O740/M740</f>
        <v>4576.77822486263</v>
      </c>
      <c r="O740" s="4">
        <f ca="1">(+O741+O742+O743+O744+O745)</f>
        <v>99727.9975197566</v>
      </c>
      <c r="P740" s="4"/>
      <c r="Q740" s="4"/>
      <c r="R740" s="4">
        <f>+P740+J740</f>
        <v>21.79</v>
      </c>
      <c r="S740" s="4">
        <f>+Q740+L740</f>
        <v>52994.879266055</v>
      </c>
      <c r="T740" s="4">
        <f>IFERROR(VLOOKUP(A740,产值统计中间表!A:F,7,FALSE),0)</f>
        <v>0</v>
      </c>
      <c r="U740" s="4">
        <f>+T740*H740</f>
        <v>0</v>
      </c>
      <c r="V740" s="4">
        <f>IFERROR(VLOOKUP(A740,产值统计中间表!A:D,4,FALSE),0)</f>
        <v>0</v>
      </c>
      <c r="W740" s="4">
        <f>+V740*H740</f>
        <v>0</v>
      </c>
      <c r="X740" s="4">
        <f>+R740-V740</f>
        <v>21.79</v>
      </c>
      <c r="Y740" s="4">
        <f>+S740-W740</f>
        <v>52994.879266055</v>
      </c>
      <c r="Z740" s="4">
        <f>IFERROR(VLOOKUP(A740,业主统计中间表!A:D,4,FALSE),0)</f>
        <v>0</v>
      </c>
      <c r="AA740" s="4">
        <f>+Z740*H740</f>
        <v>0</v>
      </c>
      <c r="AB740" s="4"/>
    </row>
    <row r="741" customHeight="1" outlineLevel="3" spans="1:28">
      <c r="A741" s="514" t="s">
        <v>3292</v>
      </c>
      <c r="B741" s="4"/>
      <c r="C741" s="510" t="s">
        <v>64</v>
      </c>
      <c r="D741" s="4" t="s">
        <v>752</v>
      </c>
      <c r="E741" s="4"/>
      <c r="F741" s="4" t="str">
        <f ca="1" t="shared" si="1366"/>
        <v>m3</v>
      </c>
      <c r="G741" s="4"/>
      <c r="H741" s="4"/>
      <c r="I741" s="4"/>
      <c r="J741" s="4"/>
      <c r="K741" s="4"/>
      <c r="L741" s="517"/>
      <c r="M741" s="4">
        <v>21.89895</v>
      </c>
      <c r="N741" s="4">
        <f ca="1" t="shared" si="1367"/>
        <v>30</v>
      </c>
      <c r="O741" s="4">
        <f ca="1">M741*N741</f>
        <v>656.9685</v>
      </c>
      <c r="P741" s="4"/>
      <c r="Q741" s="4"/>
      <c r="R741" s="4"/>
      <c r="S741" s="4"/>
      <c r="T741" s="4">
        <f ca="1" t="shared" si="1368"/>
        <v>0</v>
      </c>
      <c r="U741" s="4">
        <f ca="1" t="shared" si="1369"/>
        <v>0</v>
      </c>
      <c r="V741" s="4">
        <f ca="1" t="shared" si="1370"/>
        <v>0</v>
      </c>
      <c r="W741" s="4">
        <f ca="1" t="shared" si="1371"/>
        <v>0</v>
      </c>
      <c r="X741" s="4">
        <f ca="1" t="shared" si="1372"/>
        <v>21.89895</v>
      </c>
      <c r="Y741" s="4">
        <f ca="1" t="shared" si="1373"/>
        <v>656.9685</v>
      </c>
      <c r="Z741" s="4">
        <f ca="1" t="shared" si="1374"/>
        <v>0</v>
      </c>
      <c r="AA741" s="4">
        <f ca="1" t="shared" si="1375"/>
        <v>0</v>
      </c>
      <c r="AB741" s="4"/>
    </row>
    <row r="742" customHeight="1" outlineLevel="3" spans="1:28">
      <c r="A742" s="514" t="s">
        <v>3293</v>
      </c>
      <c r="B742" s="4"/>
      <c r="C742" s="510" t="s">
        <v>64</v>
      </c>
      <c r="D742" s="4" t="s">
        <v>262</v>
      </c>
      <c r="E742" s="4"/>
      <c r="F742" s="4" t="str">
        <f ca="1" t="shared" si="1366"/>
        <v>m2</v>
      </c>
      <c r="G742" s="4"/>
      <c r="H742" s="4"/>
      <c r="I742" s="4"/>
      <c r="J742" s="4"/>
      <c r="K742" s="4"/>
      <c r="L742" s="517"/>
      <c r="M742" s="4">
        <v>67.73426</v>
      </c>
      <c r="N742" s="4">
        <f ca="1" t="shared" si="1367"/>
        <v>55</v>
      </c>
      <c r="O742" s="4">
        <f ca="1">M742*N742</f>
        <v>3725.3843</v>
      </c>
      <c r="P742" s="4"/>
      <c r="Q742" s="4"/>
      <c r="R742" s="4"/>
      <c r="S742" s="4"/>
      <c r="T742" s="4">
        <f ca="1" t="shared" si="1368"/>
        <v>0</v>
      </c>
      <c r="U742" s="4">
        <f ca="1" t="shared" si="1369"/>
        <v>0</v>
      </c>
      <c r="V742" s="4">
        <f ca="1" t="shared" si="1370"/>
        <v>0</v>
      </c>
      <c r="W742" s="4">
        <f ca="1" t="shared" si="1371"/>
        <v>0</v>
      </c>
      <c r="X742" s="4">
        <f ca="1" t="shared" si="1372"/>
        <v>67.73426</v>
      </c>
      <c r="Y742" s="4">
        <f ca="1" t="shared" si="1373"/>
        <v>3725.3843</v>
      </c>
      <c r="Z742" s="4">
        <f ca="1" t="shared" si="1374"/>
        <v>0</v>
      </c>
      <c r="AA742" s="4">
        <f ca="1" t="shared" si="1375"/>
        <v>0</v>
      </c>
      <c r="AB742" s="4"/>
    </row>
    <row r="743" customHeight="1" outlineLevel="3" spans="1:28">
      <c r="A743" s="514" t="s">
        <v>3294</v>
      </c>
      <c r="B743" s="4"/>
      <c r="C743" s="510" t="s">
        <v>59</v>
      </c>
      <c r="D743" s="4" t="s">
        <v>206</v>
      </c>
      <c r="E743" s="4"/>
      <c r="F743" s="4" t="str">
        <f ca="1" t="shared" si="1366"/>
        <v>m3</v>
      </c>
      <c r="G743" s="4"/>
      <c r="H743" s="4"/>
      <c r="I743" s="4"/>
      <c r="J743" s="4"/>
      <c r="K743" s="4"/>
      <c r="L743" s="517"/>
      <c r="M743" s="4">
        <v>21.89895</v>
      </c>
      <c r="N743" s="4">
        <f ca="1" t="shared" si="1367"/>
        <v>3097.57831858407</v>
      </c>
      <c r="O743" s="4">
        <f ca="1">M743*N743</f>
        <v>67833.7127197566</v>
      </c>
      <c r="P743" s="4"/>
      <c r="Q743" s="4"/>
      <c r="R743" s="4"/>
      <c r="S743" s="4"/>
      <c r="T743" s="4">
        <f ca="1" t="shared" si="1368"/>
        <v>0</v>
      </c>
      <c r="U743" s="4">
        <f ca="1" t="shared" si="1369"/>
        <v>0</v>
      </c>
      <c r="V743" s="4">
        <f ca="1" t="shared" si="1370"/>
        <v>0</v>
      </c>
      <c r="W743" s="4">
        <f ca="1" t="shared" si="1371"/>
        <v>0</v>
      </c>
      <c r="X743" s="4">
        <f ca="1" t="shared" si="1372"/>
        <v>21.89895</v>
      </c>
      <c r="Y743" s="4">
        <f ca="1" t="shared" si="1373"/>
        <v>67833.7127197566</v>
      </c>
      <c r="Z743" s="4">
        <f ca="1" t="shared" si="1374"/>
        <v>0</v>
      </c>
      <c r="AA743" s="4">
        <f ca="1" t="shared" si="1375"/>
        <v>0</v>
      </c>
      <c r="AB743" s="4"/>
    </row>
    <row r="744" customHeight="1" outlineLevel="3" spans="1:28">
      <c r="A744" s="514" t="s">
        <v>3295</v>
      </c>
      <c r="B744" s="4"/>
      <c r="C744" s="510" t="s">
        <v>59</v>
      </c>
      <c r="D744" s="4" t="s">
        <v>480</v>
      </c>
      <c r="E744" s="4" t="str">
        <f ca="1">"含钢量："&amp;ROUND($M$744/$G$740,3)&amp;$F$744&amp;"/"&amp;$F$740</f>
        <v>含钢量：0.258t/m3</v>
      </c>
      <c r="F744" s="4" t="str">
        <f ca="1" t="shared" si="1366"/>
        <v>t</v>
      </c>
      <c r="G744" s="4"/>
      <c r="H744" s="4"/>
      <c r="I744" s="4"/>
      <c r="J744" s="4"/>
      <c r="K744" s="4"/>
      <c r="L744" s="517"/>
      <c r="M744" s="4">
        <v>5.61468</v>
      </c>
      <c r="N744" s="4">
        <f ca="1" t="shared" si="1367"/>
        <v>4200</v>
      </c>
      <c r="O744" s="4">
        <f ca="1">M744*N744</f>
        <v>23581.656</v>
      </c>
      <c r="P744" s="4"/>
      <c r="Q744" s="4"/>
      <c r="R744" s="4"/>
      <c r="S744" s="4"/>
      <c r="T744" s="4">
        <f ca="1" t="shared" si="1368"/>
        <v>0</v>
      </c>
      <c r="U744" s="4">
        <f ca="1" t="shared" si="1369"/>
        <v>0</v>
      </c>
      <c r="V744" s="4">
        <f ca="1" t="shared" si="1370"/>
        <v>0</v>
      </c>
      <c r="W744" s="4">
        <f ca="1" t="shared" si="1371"/>
        <v>0</v>
      </c>
      <c r="X744" s="4">
        <f ca="1" t="shared" si="1372"/>
        <v>5.61468</v>
      </c>
      <c r="Y744" s="4">
        <f ca="1" t="shared" si="1373"/>
        <v>23581.656</v>
      </c>
      <c r="Z744" s="4">
        <f ca="1" t="shared" si="1374"/>
        <v>0</v>
      </c>
      <c r="AA744" s="4">
        <f ca="1" t="shared" si="1375"/>
        <v>0</v>
      </c>
      <c r="AB744" s="4"/>
    </row>
    <row r="745" customHeight="1" outlineLevel="3" spans="1:28">
      <c r="A745" s="514" t="s">
        <v>3296</v>
      </c>
      <c r="B745" s="4"/>
      <c r="C745" s="510" t="s">
        <v>64</v>
      </c>
      <c r="D745" s="4" t="s">
        <v>296</v>
      </c>
      <c r="E745" s="4"/>
      <c r="F745" s="4" t="str">
        <f ca="1" t="shared" si="1366"/>
        <v>t</v>
      </c>
      <c r="G745" s="4"/>
      <c r="H745" s="4"/>
      <c r="I745" s="4"/>
      <c r="J745" s="4"/>
      <c r="K745" s="4"/>
      <c r="L745" s="517"/>
      <c r="M745" s="4">
        <v>5.61468</v>
      </c>
      <c r="N745" s="4">
        <f ca="1" t="shared" si="1367"/>
        <v>700</v>
      </c>
      <c r="O745" s="4">
        <f ca="1">M745*N745</f>
        <v>3930.276</v>
      </c>
      <c r="P745" s="4"/>
      <c r="Q745" s="4"/>
      <c r="R745" s="4"/>
      <c r="S745" s="4"/>
      <c r="T745" s="4">
        <f ca="1" t="shared" si="1368"/>
        <v>0</v>
      </c>
      <c r="U745" s="4">
        <f ca="1" t="shared" si="1369"/>
        <v>0</v>
      </c>
      <c r="V745" s="4">
        <f ca="1" t="shared" si="1370"/>
        <v>0</v>
      </c>
      <c r="W745" s="4">
        <f ca="1" t="shared" si="1371"/>
        <v>0</v>
      </c>
      <c r="X745" s="4">
        <f ca="1" t="shared" si="1372"/>
        <v>5.61468</v>
      </c>
      <c r="Y745" s="4">
        <f ca="1" t="shared" si="1373"/>
        <v>3930.276</v>
      </c>
      <c r="Z745" s="4">
        <f ca="1" t="shared" si="1374"/>
        <v>0</v>
      </c>
      <c r="AA745" s="4">
        <f ca="1" t="shared" si="1375"/>
        <v>0</v>
      </c>
      <c r="AB745" s="4"/>
    </row>
    <row r="746" customHeight="1" outlineLevel="2" spans="1:28">
      <c r="A746" s="515" t="s">
        <v>3297</v>
      </c>
      <c r="B746" s="4"/>
      <c r="C746" s="510" t="s">
        <v>1309</v>
      </c>
      <c r="D746" s="4" t="s">
        <v>2781</v>
      </c>
      <c r="E746" s="4" t="s">
        <v>2589</v>
      </c>
      <c r="F746" s="4" t="s">
        <v>72</v>
      </c>
      <c r="G746" s="4">
        <v>35.59</v>
      </c>
      <c r="H746" s="4">
        <v>1740.51376146789</v>
      </c>
      <c r="I746" s="4">
        <f>G746*H746</f>
        <v>61944.8847706422</v>
      </c>
      <c r="J746" s="4">
        <f t="shared" ref="J746:L746" si="1377">+G746</f>
        <v>35.59</v>
      </c>
      <c r="K746" s="4">
        <f t="shared" si="1377"/>
        <v>1740.51376146789</v>
      </c>
      <c r="L746" s="517">
        <f t="shared" si="1377"/>
        <v>61944.8847706422</v>
      </c>
      <c r="M746" s="4">
        <v>35.59</v>
      </c>
      <c r="N746" s="4">
        <f ca="1">O746/M746</f>
        <v>4266.17983933664</v>
      </c>
      <c r="O746" s="4">
        <f ca="1">(+O747+O748+O749+O750+O751)</f>
        <v>151833.340481991</v>
      </c>
      <c r="P746" s="4"/>
      <c r="Q746" s="4"/>
      <c r="R746" s="4">
        <f>+P746+J746</f>
        <v>35.59</v>
      </c>
      <c r="S746" s="4">
        <f>+Q746+L746</f>
        <v>61944.8847706422</v>
      </c>
      <c r="T746" s="4">
        <f>IFERROR(VLOOKUP(A746,产值统计中间表!A:F,7,FALSE),0)</f>
        <v>0</v>
      </c>
      <c r="U746" s="4">
        <f>+T746*H746</f>
        <v>0</v>
      </c>
      <c r="V746" s="4">
        <f>IFERROR(VLOOKUP(A746,产值统计中间表!A:D,4,FALSE),0)</f>
        <v>0</v>
      </c>
      <c r="W746" s="4">
        <f>+V746*H746</f>
        <v>0</v>
      </c>
      <c r="X746" s="4">
        <f>+R746-V746</f>
        <v>35.59</v>
      </c>
      <c r="Y746" s="4">
        <f>+S746-W746</f>
        <v>61944.8847706422</v>
      </c>
      <c r="Z746" s="4">
        <f>IFERROR(VLOOKUP(A746,业主统计中间表!A:D,4,FALSE),0)</f>
        <v>0</v>
      </c>
      <c r="AA746" s="4">
        <f>+Z746*H746</f>
        <v>0</v>
      </c>
      <c r="AB746" s="4"/>
    </row>
    <row r="747" customHeight="1" outlineLevel="3" spans="1:28">
      <c r="A747" s="514" t="s">
        <v>3298</v>
      </c>
      <c r="B747" s="4"/>
      <c r="C747" s="510" t="s">
        <v>64</v>
      </c>
      <c r="D747" s="4" t="s">
        <v>262</v>
      </c>
      <c r="E747" s="4" t="s">
        <v>2473</v>
      </c>
      <c r="F747" s="4" t="str">
        <f ca="1" t="shared" ref="F747:F751" si="1378">VLOOKUP($D747,INDIRECT($C747),2,0)</f>
        <v>m2</v>
      </c>
      <c r="G747" s="4"/>
      <c r="H747" s="4"/>
      <c r="I747" s="4"/>
      <c r="J747" s="4"/>
      <c r="K747" s="4"/>
      <c r="L747" s="517"/>
      <c r="M747" s="4">
        <v>203.69</v>
      </c>
      <c r="N747" s="4">
        <f ca="1" t="shared" ref="N747:N751" si="1379">VLOOKUP($D747,INDIRECT($C747),3,0)</f>
        <v>55</v>
      </c>
      <c r="O747" s="4">
        <f ca="1">M747*N747</f>
        <v>11202.95</v>
      </c>
      <c r="P747" s="4"/>
      <c r="Q747" s="4"/>
      <c r="R747" s="4"/>
      <c r="S747" s="4"/>
      <c r="T747" s="4">
        <f ca="1" t="shared" ref="T747:T751" si="1380">OFFSET(T747,-RIGHT($A747,LEN($A$6)),,1,1)/OFFSET(T747,-RIGHT($A747,LEN($A$6)),-13,1,1)*$M747</f>
        <v>0</v>
      </c>
      <c r="U747" s="4">
        <f ca="1" t="shared" ref="U747:U751" si="1381">+$N747*T747</f>
        <v>0</v>
      </c>
      <c r="V747" s="4">
        <f ca="1" t="shared" ref="V747:V751" si="1382">OFFSET(V747,-RIGHT($A747,LEN($A$6)),,1,1)/OFFSET(V747,-RIGHT($A747,LEN($A$6)),-15,1,1)*$M747</f>
        <v>0</v>
      </c>
      <c r="W747" s="4">
        <f ca="1" t="shared" ref="W747:W751" si="1383">+$N747*V747</f>
        <v>0</v>
      </c>
      <c r="X747" s="4">
        <f ca="1" t="shared" ref="X747:X751" si="1384">+M747-V747</f>
        <v>203.69</v>
      </c>
      <c r="Y747" s="4">
        <f ca="1" t="shared" ref="Y747:Y751" si="1385">+O747-W747</f>
        <v>11202.95</v>
      </c>
      <c r="Z747" s="4">
        <f ca="1" t="shared" ref="Z747:Z751" si="1386">OFFSET(Z747,-RIGHT($A747,LEN($A$6)),,1,1)/OFFSET(Z747,-RIGHT($A747,LEN($A$6)),-19,1,1)*$M747</f>
        <v>0</v>
      </c>
      <c r="AA747" s="4">
        <f ca="1" t="shared" ref="AA747:AA751" si="1387">+$N747*Z747</f>
        <v>0</v>
      </c>
      <c r="AB747" s="4"/>
    </row>
    <row r="748" customHeight="1" outlineLevel="3" spans="1:28">
      <c r="A748" s="514" t="s">
        <v>3299</v>
      </c>
      <c r="B748" s="4"/>
      <c r="C748" s="510" t="s">
        <v>59</v>
      </c>
      <c r="D748" s="4" t="s">
        <v>206</v>
      </c>
      <c r="E748" s="4"/>
      <c r="F748" s="4" t="str">
        <f ca="1" t="shared" si="1378"/>
        <v>m3</v>
      </c>
      <c r="G748" s="4"/>
      <c r="H748" s="4"/>
      <c r="I748" s="4"/>
      <c r="J748" s="4"/>
      <c r="K748" s="4"/>
      <c r="L748" s="517"/>
      <c r="M748" s="4">
        <v>35.9459</v>
      </c>
      <c r="N748" s="4">
        <f ca="1" t="shared" si="1379"/>
        <v>3097.57831858407</v>
      </c>
      <c r="O748" s="4">
        <f ca="1">M748*N748</f>
        <v>111345.240481991</v>
      </c>
      <c r="P748" s="4"/>
      <c r="Q748" s="4"/>
      <c r="R748" s="4"/>
      <c r="S748" s="4"/>
      <c r="T748" s="4">
        <f ca="1" t="shared" si="1380"/>
        <v>0</v>
      </c>
      <c r="U748" s="4">
        <f ca="1" t="shared" si="1381"/>
        <v>0</v>
      </c>
      <c r="V748" s="4">
        <f ca="1" t="shared" si="1382"/>
        <v>0</v>
      </c>
      <c r="W748" s="4">
        <f ca="1" t="shared" si="1383"/>
        <v>0</v>
      </c>
      <c r="X748" s="4">
        <f ca="1" t="shared" si="1384"/>
        <v>35.9459</v>
      </c>
      <c r="Y748" s="4">
        <f ca="1" t="shared" si="1385"/>
        <v>111345.240481991</v>
      </c>
      <c r="Z748" s="4">
        <f ca="1" t="shared" si="1386"/>
        <v>0</v>
      </c>
      <c r="AA748" s="4">
        <f ca="1" t="shared" si="1387"/>
        <v>0</v>
      </c>
      <c r="AB748" s="4"/>
    </row>
    <row r="749" customHeight="1" outlineLevel="3" spans="1:28">
      <c r="A749" s="514" t="s">
        <v>3300</v>
      </c>
      <c r="B749" s="4"/>
      <c r="C749" s="510" t="s">
        <v>59</v>
      </c>
      <c r="D749" s="4" t="s">
        <v>397</v>
      </c>
      <c r="E749" s="4" t="str">
        <f ca="1">"含钢量："&amp;ROUND($M$749/$G$746,3)&amp;$F$749&amp;"/"&amp;$F$746</f>
        <v>含钢量：0.136t/m3</v>
      </c>
      <c r="F749" s="4" t="str">
        <f ca="1" t="shared" si="1378"/>
        <v>t</v>
      </c>
      <c r="G749" s="4"/>
      <c r="H749" s="4"/>
      <c r="I749" s="4"/>
      <c r="J749" s="4"/>
      <c r="K749" s="4"/>
      <c r="L749" s="517"/>
      <c r="M749" s="4">
        <v>4.83</v>
      </c>
      <c r="N749" s="4">
        <f ca="1" t="shared" si="1379"/>
        <v>4000</v>
      </c>
      <c r="O749" s="4">
        <f ca="1">M749*N749</f>
        <v>19320</v>
      </c>
      <c r="P749" s="4"/>
      <c r="Q749" s="4"/>
      <c r="R749" s="4"/>
      <c r="S749" s="4"/>
      <c r="T749" s="4">
        <f ca="1" t="shared" si="1380"/>
        <v>0</v>
      </c>
      <c r="U749" s="4">
        <f ca="1" t="shared" si="1381"/>
        <v>0</v>
      </c>
      <c r="V749" s="4">
        <f ca="1" t="shared" si="1382"/>
        <v>0</v>
      </c>
      <c r="W749" s="4">
        <f ca="1" t="shared" si="1383"/>
        <v>0</v>
      </c>
      <c r="X749" s="4">
        <f ca="1" t="shared" si="1384"/>
        <v>4.83</v>
      </c>
      <c r="Y749" s="4">
        <f ca="1" t="shared" si="1385"/>
        <v>19320</v>
      </c>
      <c r="Z749" s="4">
        <f ca="1" t="shared" si="1386"/>
        <v>0</v>
      </c>
      <c r="AA749" s="4">
        <f ca="1" t="shared" si="1387"/>
        <v>0</v>
      </c>
      <c r="AB749" s="4"/>
    </row>
    <row r="750" customHeight="1" outlineLevel="3" spans="1:28">
      <c r="A750" s="514" t="s">
        <v>3301</v>
      </c>
      <c r="B750" s="4"/>
      <c r="C750" s="510" t="s">
        <v>64</v>
      </c>
      <c r="D750" s="4" t="s">
        <v>296</v>
      </c>
      <c r="E750" s="4"/>
      <c r="F750" s="4" t="str">
        <f ca="1" t="shared" si="1378"/>
        <v>t</v>
      </c>
      <c r="G750" s="4"/>
      <c r="H750" s="4"/>
      <c r="I750" s="4"/>
      <c r="J750" s="4"/>
      <c r="K750" s="4"/>
      <c r="L750" s="517"/>
      <c r="M750" s="4">
        <v>4.83</v>
      </c>
      <c r="N750" s="4">
        <f ca="1" t="shared" si="1379"/>
        <v>700</v>
      </c>
      <c r="O750" s="4">
        <f ca="1">M750*N750</f>
        <v>3381</v>
      </c>
      <c r="P750" s="4"/>
      <c r="Q750" s="4"/>
      <c r="R750" s="4"/>
      <c r="S750" s="4"/>
      <c r="T750" s="4">
        <f ca="1" t="shared" si="1380"/>
        <v>0</v>
      </c>
      <c r="U750" s="4">
        <f ca="1" t="shared" si="1381"/>
        <v>0</v>
      </c>
      <c r="V750" s="4">
        <f ca="1" t="shared" si="1382"/>
        <v>0</v>
      </c>
      <c r="W750" s="4">
        <f ca="1" t="shared" si="1383"/>
        <v>0</v>
      </c>
      <c r="X750" s="4">
        <f ca="1" t="shared" si="1384"/>
        <v>4.83</v>
      </c>
      <c r="Y750" s="4">
        <f ca="1" t="shared" si="1385"/>
        <v>3381</v>
      </c>
      <c r="Z750" s="4">
        <f ca="1" t="shared" si="1386"/>
        <v>0</v>
      </c>
      <c r="AA750" s="4">
        <f ca="1" t="shared" si="1387"/>
        <v>0</v>
      </c>
      <c r="AB750" s="4"/>
    </row>
    <row r="751" customHeight="1" outlineLevel="3" spans="1:28">
      <c r="A751" s="514" t="s">
        <v>3302</v>
      </c>
      <c r="B751" s="4"/>
      <c r="C751" s="510" t="s">
        <v>64</v>
      </c>
      <c r="D751" s="4" t="s">
        <v>1112</v>
      </c>
      <c r="E751" s="4"/>
      <c r="F751" s="4" t="str">
        <f ca="1" t="shared" si="1378"/>
        <v>m³</v>
      </c>
      <c r="G751" s="4"/>
      <c r="H751" s="4"/>
      <c r="I751" s="4"/>
      <c r="J751" s="4"/>
      <c r="K751" s="4"/>
      <c r="L751" s="517"/>
      <c r="M751" s="4">
        <v>35.59</v>
      </c>
      <c r="N751" s="4">
        <f ca="1" t="shared" si="1379"/>
        <v>185</v>
      </c>
      <c r="O751" s="4">
        <f ca="1">M751*N751</f>
        <v>6584.15</v>
      </c>
      <c r="P751" s="4"/>
      <c r="Q751" s="4"/>
      <c r="R751" s="4"/>
      <c r="S751" s="4"/>
      <c r="T751" s="4">
        <f ca="1" t="shared" si="1380"/>
        <v>0</v>
      </c>
      <c r="U751" s="4">
        <f ca="1" t="shared" si="1381"/>
        <v>0</v>
      </c>
      <c r="V751" s="4">
        <f ca="1" t="shared" si="1382"/>
        <v>0</v>
      </c>
      <c r="W751" s="4">
        <f ca="1" t="shared" si="1383"/>
        <v>0</v>
      </c>
      <c r="X751" s="4">
        <f ca="1" t="shared" si="1384"/>
        <v>35.59</v>
      </c>
      <c r="Y751" s="4">
        <f ca="1" t="shared" si="1385"/>
        <v>6584.15</v>
      </c>
      <c r="Z751" s="4">
        <f ca="1" t="shared" si="1386"/>
        <v>0</v>
      </c>
      <c r="AA751" s="4">
        <f ca="1" t="shared" si="1387"/>
        <v>0</v>
      </c>
      <c r="AB751" s="4"/>
    </row>
    <row r="752" customHeight="1" outlineLevel="2" spans="1:28">
      <c r="A752" s="515" t="s">
        <v>3303</v>
      </c>
      <c r="B752" s="4"/>
      <c r="C752" s="510" t="s">
        <v>1309</v>
      </c>
      <c r="D752" s="4" t="s">
        <v>2597</v>
      </c>
      <c r="E752" s="4" t="s">
        <v>2589</v>
      </c>
      <c r="F752" s="4" t="s">
        <v>72</v>
      </c>
      <c r="G752" s="4">
        <v>40.14</v>
      </c>
      <c r="H752" s="4">
        <v>2554.01834862385</v>
      </c>
      <c r="I752" s="4">
        <f>G752*H752</f>
        <v>102518.296513761</v>
      </c>
      <c r="J752" s="4">
        <f t="shared" ref="J752:L752" si="1388">+G752</f>
        <v>40.14</v>
      </c>
      <c r="K752" s="4">
        <f t="shared" si="1388"/>
        <v>2554.01834862385</v>
      </c>
      <c r="L752" s="517">
        <f t="shared" si="1388"/>
        <v>102518.296513761</v>
      </c>
      <c r="M752" s="4">
        <v>40.14</v>
      </c>
      <c r="N752" s="4">
        <f ca="1">O752/M752</f>
        <v>5214.21265931849</v>
      </c>
      <c r="O752" s="4">
        <f ca="1">(+O753+O754+O755+O756+O757)</f>
        <v>209298.496145044</v>
      </c>
      <c r="P752" s="4"/>
      <c r="Q752" s="4"/>
      <c r="R752" s="4">
        <f>+P752+J752</f>
        <v>40.14</v>
      </c>
      <c r="S752" s="4">
        <f>+Q752+L752</f>
        <v>102518.296513761</v>
      </c>
      <c r="T752" s="4">
        <f>IFERROR(VLOOKUP(A752,产值统计中间表!A:F,7,FALSE),0)</f>
        <v>0</v>
      </c>
      <c r="U752" s="4">
        <f>+T752*H752</f>
        <v>0</v>
      </c>
      <c r="V752" s="4">
        <f>IFERROR(VLOOKUP(A752,产值统计中间表!A:D,4,FALSE),0)</f>
        <v>0</v>
      </c>
      <c r="W752" s="4">
        <f>+V752*H752</f>
        <v>0</v>
      </c>
      <c r="X752" s="4">
        <f>+R752-V752</f>
        <v>40.14</v>
      </c>
      <c r="Y752" s="4">
        <f>+S752-W752</f>
        <v>102518.296513761</v>
      </c>
      <c r="Z752" s="4">
        <f>IFERROR(VLOOKUP(A752,业主统计中间表!A:D,4,FALSE),0)</f>
        <v>0</v>
      </c>
      <c r="AA752" s="4">
        <f>+Z752*H752</f>
        <v>0</v>
      </c>
      <c r="AB752" s="4"/>
    </row>
    <row r="753" customHeight="1" outlineLevel="3" spans="1:28">
      <c r="A753" s="514" t="s">
        <v>3304</v>
      </c>
      <c r="B753" s="4"/>
      <c r="C753" s="510" t="s">
        <v>64</v>
      </c>
      <c r="D753" s="4" t="s">
        <v>1115</v>
      </c>
      <c r="E753" s="4"/>
      <c r="F753" s="4" t="str">
        <f ca="1" t="shared" ref="F753:F757" si="1389">VLOOKUP($D753,INDIRECT($C753),2,0)</f>
        <v>m³</v>
      </c>
      <c r="G753" s="4"/>
      <c r="H753" s="4"/>
      <c r="I753" s="4"/>
      <c r="J753" s="4"/>
      <c r="K753" s="4"/>
      <c r="L753" s="517"/>
      <c r="M753" s="4">
        <v>40.5414</v>
      </c>
      <c r="N753" s="4">
        <f ca="1" t="shared" ref="N753:N757" si="1390">VLOOKUP($D753,INDIRECT($C753),3,0)</f>
        <v>90</v>
      </c>
      <c r="O753" s="4">
        <f ca="1">M753*N753</f>
        <v>3648.726</v>
      </c>
      <c r="P753" s="4"/>
      <c r="Q753" s="4"/>
      <c r="R753" s="4"/>
      <c r="S753" s="4"/>
      <c r="T753" s="4">
        <f ca="1" t="shared" ref="T753:T757" si="1391">OFFSET(T753,-RIGHT($A753,LEN($A$6)),,1,1)/OFFSET(T753,-RIGHT($A753,LEN($A$6)),-13,1,1)*$M753</f>
        <v>0</v>
      </c>
      <c r="U753" s="4">
        <f ca="1" t="shared" ref="U753:U757" si="1392">+$N753*T753</f>
        <v>0</v>
      </c>
      <c r="V753" s="4">
        <f ca="1" t="shared" ref="V753:V757" si="1393">OFFSET(V753,-RIGHT($A753,LEN($A$6)),,1,1)/OFFSET(V753,-RIGHT($A753,LEN($A$6)),-15,1,1)*$M753</f>
        <v>0</v>
      </c>
      <c r="W753" s="4">
        <f ca="1" t="shared" ref="W753:W757" si="1394">+$N753*V753</f>
        <v>0</v>
      </c>
      <c r="X753" s="4">
        <f ca="1" t="shared" ref="X753:X757" si="1395">+M753-V753</f>
        <v>40.5414</v>
      </c>
      <c r="Y753" s="4">
        <f ca="1" t="shared" ref="Y753:Y757" si="1396">+O753-W753</f>
        <v>3648.726</v>
      </c>
      <c r="Z753" s="4">
        <f ca="1" t="shared" ref="Z753:Z757" si="1397">OFFSET(Z753,-RIGHT($A753,LEN($A$6)),,1,1)/OFFSET(Z753,-RIGHT($A753,LEN($A$6)),-19,1,1)*$M753</f>
        <v>0</v>
      </c>
      <c r="AA753" s="4">
        <f ca="1" t="shared" ref="AA753:AA757" si="1398">+$N753*Z753</f>
        <v>0</v>
      </c>
      <c r="AB753" s="4"/>
    </row>
    <row r="754" customHeight="1" outlineLevel="3" spans="1:28">
      <c r="A754" s="514" t="s">
        <v>3305</v>
      </c>
      <c r="B754" s="4"/>
      <c r="C754" s="510" t="s">
        <v>59</v>
      </c>
      <c r="D754" s="4" t="s">
        <v>206</v>
      </c>
      <c r="E754" s="4"/>
      <c r="F754" s="4" t="str">
        <f ca="1" t="shared" si="1389"/>
        <v>m3</v>
      </c>
      <c r="G754" s="4"/>
      <c r="H754" s="4"/>
      <c r="I754" s="4"/>
      <c r="J754" s="4"/>
      <c r="K754" s="4"/>
      <c r="L754" s="517"/>
      <c r="M754" s="4">
        <v>40.5414</v>
      </c>
      <c r="N754" s="4">
        <f ca="1" t="shared" si="1390"/>
        <v>3097.57831858407</v>
      </c>
      <c r="O754" s="4">
        <f ca="1">M754*N754</f>
        <v>125580.161645044</v>
      </c>
      <c r="P754" s="4"/>
      <c r="Q754" s="4"/>
      <c r="R754" s="4"/>
      <c r="S754" s="4"/>
      <c r="T754" s="4">
        <f ca="1" t="shared" si="1391"/>
        <v>0</v>
      </c>
      <c r="U754" s="4">
        <f ca="1" t="shared" si="1392"/>
        <v>0</v>
      </c>
      <c r="V754" s="4">
        <f ca="1" t="shared" si="1393"/>
        <v>0</v>
      </c>
      <c r="W754" s="4">
        <f ca="1" t="shared" si="1394"/>
        <v>0</v>
      </c>
      <c r="X754" s="4">
        <f ca="1" t="shared" si="1395"/>
        <v>40.5414</v>
      </c>
      <c r="Y754" s="4">
        <f ca="1" t="shared" si="1396"/>
        <v>125580.161645044</v>
      </c>
      <c r="Z754" s="4">
        <f ca="1" t="shared" si="1397"/>
        <v>0</v>
      </c>
      <c r="AA754" s="4">
        <f ca="1" t="shared" si="1398"/>
        <v>0</v>
      </c>
      <c r="AB754" s="4"/>
    </row>
    <row r="755" customHeight="1" outlineLevel="3" spans="1:28">
      <c r="A755" s="514" t="s">
        <v>3306</v>
      </c>
      <c r="B755" s="4"/>
      <c r="C755" s="510" t="s">
        <v>64</v>
      </c>
      <c r="D755" s="4" t="s">
        <v>262</v>
      </c>
      <c r="E755" s="4" t="s">
        <v>2473</v>
      </c>
      <c r="F755" s="4" t="str">
        <f ca="1" t="shared" si="1389"/>
        <v>m2</v>
      </c>
      <c r="G755" s="4"/>
      <c r="H755" s="4"/>
      <c r="I755" s="4"/>
      <c r="J755" s="4"/>
      <c r="K755" s="4"/>
      <c r="L755" s="517"/>
      <c r="M755" s="4">
        <v>256.41</v>
      </c>
      <c r="N755" s="4">
        <f ca="1" t="shared" si="1390"/>
        <v>55</v>
      </c>
      <c r="O755" s="4">
        <f ca="1">M755*N755</f>
        <v>14102.55</v>
      </c>
      <c r="P755" s="4"/>
      <c r="Q755" s="4"/>
      <c r="R755" s="4"/>
      <c r="S755" s="4"/>
      <c r="T755" s="4">
        <f ca="1" t="shared" si="1391"/>
        <v>0</v>
      </c>
      <c r="U755" s="4">
        <f ca="1" t="shared" si="1392"/>
        <v>0</v>
      </c>
      <c r="V755" s="4">
        <f ca="1" t="shared" si="1393"/>
        <v>0</v>
      </c>
      <c r="W755" s="4">
        <f ca="1" t="shared" si="1394"/>
        <v>0</v>
      </c>
      <c r="X755" s="4">
        <f ca="1" t="shared" si="1395"/>
        <v>256.41</v>
      </c>
      <c r="Y755" s="4">
        <f ca="1" t="shared" si="1396"/>
        <v>14102.55</v>
      </c>
      <c r="Z755" s="4">
        <f ca="1" t="shared" si="1397"/>
        <v>0</v>
      </c>
      <c r="AA755" s="4">
        <f ca="1" t="shared" si="1398"/>
        <v>0</v>
      </c>
      <c r="AB755" s="4"/>
    </row>
    <row r="756" customHeight="1" outlineLevel="3" spans="1:28">
      <c r="A756" s="514" t="s">
        <v>3307</v>
      </c>
      <c r="B756" s="4"/>
      <c r="C756" s="510" t="s">
        <v>59</v>
      </c>
      <c r="D756" s="4" t="s">
        <v>480</v>
      </c>
      <c r="E756" s="4" t="str">
        <f ca="1">"含钢量："&amp;ROUND($M$756/$G$752,3)&amp;$F$756&amp;"/"&amp;$F$752</f>
        <v>含钢量：0.335t/m3</v>
      </c>
      <c r="F756" s="4" t="str">
        <f ca="1" t="shared" si="1389"/>
        <v>t</v>
      </c>
      <c r="G756" s="4"/>
      <c r="H756" s="4"/>
      <c r="I756" s="4"/>
      <c r="J756" s="4"/>
      <c r="K756" s="4"/>
      <c r="L756" s="517"/>
      <c r="M756" s="4">
        <v>13.462665</v>
      </c>
      <c r="N756" s="4">
        <f ca="1" t="shared" si="1390"/>
        <v>4200</v>
      </c>
      <c r="O756" s="4">
        <f ca="1">M756*N756</f>
        <v>56543.193</v>
      </c>
      <c r="P756" s="4"/>
      <c r="Q756" s="4"/>
      <c r="R756" s="4"/>
      <c r="S756" s="4"/>
      <c r="T756" s="4">
        <f ca="1" t="shared" si="1391"/>
        <v>0</v>
      </c>
      <c r="U756" s="4">
        <f ca="1" t="shared" si="1392"/>
        <v>0</v>
      </c>
      <c r="V756" s="4">
        <f ca="1" t="shared" si="1393"/>
        <v>0</v>
      </c>
      <c r="W756" s="4">
        <f ca="1" t="shared" si="1394"/>
        <v>0</v>
      </c>
      <c r="X756" s="4">
        <f ca="1" t="shared" si="1395"/>
        <v>13.462665</v>
      </c>
      <c r="Y756" s="4">
        <f ca="1" t="shared" si="1396"/>
        <v>56543.193</v>
      </c>
      <c r="Z756" s="4">
        <f ca="1" t="shared" si="1397"/>
        <v>0</v>
      </c>
      <c r="AA756" s="4">
        <f ca="1" t="shared" si="1398"/>
        <v>0</v>
      </c>
      <c r="AB756" s="4"/>
    </row>
    <row r="757" customHeight="1" outlineLevel="3" spans="1:28">
      <c r="A757" s="514" t="s">
        <v>3308</v>
      </c>
      <c r="B757" s="4"/>
      <c r="C757" s="510" t="s">
        <v>64</v>
      </c>
      <c r="D757" s="4" t="s">
        <v>296</v>
      </c>
      <c r="E757" s="4"/>
      <c r="F757" s="4" t="str">
        <f ca="1" t="shared" si="1389"/>
        <v>t</v>
      </c>
      <c r="G757" s="4"/>
      <c r="H757" s="4"/>
      <c r="I757" s="4"/>
      <c r="J757" s="4"/>
      <c r="K757" s="4"/>
      <c r="L757" s="517"/>
      <c r="M757" s="4">
        <v>13.462665</v>
      </c>
      <c r="N757" s="4">
        <f ca="1" t="shared" si="1390"/>
        <v>700</v>
      </c>
      <c r="O757" s="4">
        <f ca="1">M757*N757</f>
        <v>9423.8655</v>
      </c>
      <c r="P757" s="4"/>
      <c r="Q757" s="4"/>
      <c r="R757" s="4"/>
      <c r="S757" s="4"/>
      <c r="T757" s="4">
        <f ca="1" t="shared" si="1391"/>
        <v>0</v>
      </c>
      <c r="U757" s="4">
        <f ca="1" t="shared" si="1392"/>
        <v>0</v>
      </c>
      <c r="V757" s="4">
        <f ca="1" t="shared" si="1393"/>
        <v>0</v>
      </c>
      <c r="W757" s="4">
        <f ca="1" t="shared" si="1394"/>
        <v>0</v>
      </c>
      <c r="X757" s="4">
        <f ca="1" t="shared" si="1395"/>
        <v>13.462665</v>
      </c>
      <c r="Y757" s="4">
        <f ca="1" t="shared" si="1396"/>
        <v>9423.8655</v>
      </c>
      <c r="Z757" s="4">
        <f ca="1" t="shared" si="1397"/>
        <v>0</v>
      </c>
      <c r="AA757" s="4">
        <f ca="1" t="shared" si="1398"/>
        <v>0</v>
      </c>
      <c r="AB757" s="4"/>
    </row>
    <row r="758" customHeight="1" outlineLevel="2" spans="1:28">
      <c r="A758" s="515" t="s">
        <v>3309</v>
      </c>
      <c r="B758" s="4"/>
      <c r="C758" s="510" t="s">
        <v>1309</v>
      </c>
      <c r="D758" s="4" t="s">
        <v>822</v>
      </c>
      <c r="E758" s="4" t="s">
        <v>2604</v>
      </c>
      <c r="F758" s="4" t="s">
        <v>76</v>
      </c>
      <c r="G758" s="4">
        <v>119.82</v>
      </c>
      <c r="H758" s="4">
        <v>1265.26605504587</v>
      </c>
      <c r="I758" s="4">
        <f>G758*H758</f>
        <v>151604.178715596</v>
      </c>
      <c r="J758" s="4">
        <f t="shared" ref="J758:L758" si="1399">+G758</f>
        <v>119.82</v>
      </c>
      <c r="K758" s="4">
        <f t="shared" si="1399"/>
        <v>1265.26605504587</v>
      </c>
      <c r="L758" s="517">
        <f t="shared" si="1399"/>
        <v>151604.178715596</v>
      </c>
      <c r="M758" s="4">
        <v>119.82</v>
      </c>
      <c r="N758" s="4">
        <f ca="1" t="shared" ref="N758:N762" si="1400">O758/M758</f>
        <v>550</v>
      </c>
      <c r="O758" s="4">
        <f ca="1">(+O759)</f>
        <v>65901</v>
      </c>
      <c r="P758" s="4"/>
      <c r="Q758" s="4"/>
      <c r="R758" s="4">
        <f t="shared" ref="R758:R762" si="1401">+P758+J758</f>
        <v>119.82</v>
      </c>
      <c r="S758" s="4">
        <f t="shared" ref="S758:S762" si="1402">+Q758+L758</f>
        <v>151604.178715596</v>
      </c>
      <c r="T758" s="4">
        <f>IFERROR(VLOOKUP(A758,产值统计中间表!A:F,7,FALSE),0)</f>
        <v>0</v>
      </c>
      <c r="U758" s="4">
        <f t="shared" ref="U758:U762" si="1403">+T758*H758</f>
        <v>0</v>
      </c>
      <c r="V758" s="4">
        <f>IFERROR(VLOOKUP(A758,产值统计中间表!A:D,4,FALSE),0)</f>
        <v>0</v>
      </c>
      <c r="W758" s="4">
        <f t="shared" ref="W758:W762" si="1404">+V758*H758</f>
        <v>0</v>
      </c>
      <c r="X758" s="4">
        <f t="shared" ref="X758:X762" si="1405">+R758-V758</f>
        <v>119.82</v>
      </c>
      <c r="Y758" s="4">
        <f t="shared" ref="Y758:Y762" si="1406">+S758-W758</f>
        <v>151604.178715596</v>
      </c>
      <c r="Z758" s="4">
        <f>IFERROR(VLOOKUP(A758,业主统计中间表!A:D,4,FALSE),0)</f>
        <v>0</v>
      </c>
      <c r="AA758" s="4">
        <f t="shared" ref="AA758:AA762" si="1407">+Z758*H758</f>
        <v>0</v>
      </c>
      <c r="AB758" s="4"/>
    </row>
    <row r="759" customHeight="1" outlineLevel="3" spans="1:28">
      <c r="A759" s="514" t="s">
        <v>3310</v>
      </c>
      <c r="B759" s="4"/>
      <c r="C759" s="510" t="s">
        <v>65</v>
      </c>
      <c r="D759" s="4" t="s">
        <v>822</v>
      </c>
      <c r="E759" s="4"/>
      <c r="F759" s="4" t="str">
        <f ca="1" t="shared" ref="F759:F763" si="1408">VLOOKUP($D759,INDIRECT($C759),2,0)</f>
        <v>m</v>
      </c>
      <c r="G759" s="4"/>
      <c r="H759" s="4"/>
      <c r="I759" s="4"/>
      <c r="J759" s="4"/>
      <c r="K759" s="4"/>
      <c r="L759" s="517"/>
      <c r="M759" s="4">
        <v>119.82</v>
      </c>
      <c r="N759" s="4">
        <f ca="1" t="shared" ref="N759:N763" si="1409">VLOOKUP($D759,INDIRECT($C759),3,0)</f>
        <v>550</v>
      </c>
      <c r="O759" s="4">
        <f ca="1">M759*N759</f>
        <v>65901</v>
      </c>
      <c r="P759" s="4"/>
      <c r="Q759" s="4"/>
      <c r="R759" s="4"/>
      <c r="S759" s="4"/>
      <c r="T759" s="4">
        <f ca="1" t="shared" ref="T759:T763" si="1410">OFFSET(T759,-RIGHT($A759,LEN($A$6)),,1,1)/OFFSET(T759,-RIGHT($A759,LEN($A$6)),-13,1,1)*$M759</f>
        <v>0</v>
      </c>
      <c r="U759" s="4">
        <f ca="1" t="shared" ref="U759:U763" si="1411">+$N759*T759</f>
        <v>0</v>
      </c>
      <c r="V759" s="4">
        <f ca="1" t="shared" ref="V759:V763" si="1412">OFFSET(V759,-RIGHT($A759,LEN($A$6)),,1,1)/OFFSET(V759,-RIGHT($A759,LEN($A$6)),-15,1,1)*$M759</f>
        <v>0</v>
      </c>
      <c r="W759" s="4">
        <f ca="1" t="shared" ref="W759:W763" si="1413">+$N759*V759</f>
        <v>0</v>
      </c>
      <c r="X759" s="4">
        <f ca="1" t="shared" ref="X759:X763" si="1414">+M759-V759</f>
        <v>119.82</v>
      </c>
      <c r="Y759" s="4">
        <f ca="1" t="shared" ref="Y759:Y763" si="1415">+O759-W759</f>
        <v>65901</v>
      </c>
      <c r="Z759" s="4">
        <f ca="1" t="shared" ref="Z759:Z763" si="1416">OFFSET(Z759,-RIGHT($A759,LEN($A$6)),,1,1)/OFFSET(Z759,-RIGHT($A759,LEN($A$6)),-19,1,1)*$M759</f>
        <v>0</v>
      </c>
      <c r="AA759" s="4">
        <f ca="1" t="shared" ref="AA759:AA763" si="1417">+$N759*Z759</f>
        <v>0</v>
      </c>
      <c r="AB759" s="4"/>
    </row>
    <row r="760" customHeight="1" outlineLevel="2" spans="1:28">
      <c r="A760" s="515" t="s">
        <v>3311</v>
      </c>
      <c r="B760" s="4"/>
      <c r="C760" s="510" t="s">
        <v>1309</v>
      </c>
      <c r="D760" s="4" t="s">
        <v>2607</v>
      </c>
      <c r="E760" s="4" t="s">
        <v>2604</v>
      </c>
      <c r="F760" s="4" t="s">
        <v>76</v>
      </c>
      <c r="G760" s="4">
        <v>119.82</v>
      </c>
      <c r="H760" s="4">
        <v>1628.56880733945</v>
      </c>
      <c r="I760" s="4">
        <f>G760*H760</f>
        <v>195135.114495413</v>
      </c>
      <c r="J760" s="4">
        <f t="shared" ref="J760:L760" si="1418">+G760</f>
        <v>119.82</v>
      </c>
      <c r="K760" s="4">
        <f t="shared" si="1418"/>
        <v>1628.56880733945</v>
      </c>
      <c r="L760" s="517">
        <f t="shared" si="1418"/>
        <v>195135.114495413</v>
      </c>
      <c r="M760" s="4">
        <v>119.82</v>
      </c>
      <c r="N760" s="4">
        <f ca="1" t="shared" si="1400"/>
        <v>500</v>
      </c>
      <c r="O760" s="4">
        <f ca="1">(+O761)</f>
        <v>59910</v>
      </c>
      <c r="P760" s="4"/>
      <c r="Q760" s="4"/>
      <c r="R760" s="4">
        <f t="shared" si="1401"/>
        <v>119.82</v>
      </c>
      <c r="S760" s="4">
        <f t="shared" si="1402"/>
        <v>195135.114495413</v>
      </c>
      <c r="T760" s="4">
        <f>IFERROR(VLOOKUP(A760,产值统计中间表!A:F,7,FALSE),0)</f>
        <v>0</v>
      </c>
      <c r="U760" s="4">
        <f t="shared" si="1403"/>
        <v>0</v>
      </c>
      <c r="V760" s="4">
        <f>IFERROR(VLOOKUP(A760,产值统计中间表!A:D,4,FALSE),0)</f>
        <v>0</v>
      </c>
      <c r="W760" s="4">
        <f t="shared" si="1404"/>
        <v>0</v>
      </c>
      <c r="X760" s="4">
        <f t="shared" si="1405"/>
        <v>119.82</v>
      </c>
      <c r="Y760" s="4">
        <f t="shared" si="1406"/>
        <v>195135.114495413</v>
      </c>
      <c r="Z760" s="4">
        <f>IFERROR(VLOOKUP(A760,业主统计中间表!A:D,4,FALSE),0)</f>
        <v>0</v>
      </c>
      <c r="AA760" s="4">
        <f t="shared" si="1407"/>
        <v>0</v>
      </c>
      <c r="AB760" s="4"/>
    </row>
    <row r="761" customHeight="1" outlineLevel="3" spans="1:28">
      <c r="A761" s="514" t="s">
        <v>3312</v>
      </c>
      <c r="B761" s="4"/>
      <c r="C761" s="510" t="s">
        <v>65</v>
      </c>
      <c r="D761" s="4" t="s">
        <v>622</v>
      </c>
      <c r="E761" s="4"/>
      <c r="F761" s="4" t="str">
        <f ca="1" t="shared" si="1408"/>
        <v>m</v>
      </c>
      <c r="G761" s="4"/>
      <c r="H761" s="4"/>
      <c r="I761" s="4"/>
      <c r="J761" s="4"/>
      <c r="K761" s="4"/>
      <c r="L761" s="517"/>
      <c r="M761" s="4">
        <v>119.82</v>
      </c>
      <c r="N761" s="4">
        <f ca="1" t="shared" si="1409"/>
        <v>500</v>
      </c>
      <c r="O761" s="4">
        <f ca="1">M761*N761</f>
        <v>59910</v>
      </c>
      <c r="P761" s="4"/>
      <c r="Q761" s="4"/>
      <c r="R761" s="4"/>
      <c r="S761" s="4"/>
      <c r="T761" s="4">
        <f ca="1" t="shared" si="1410"/>
        <v>0</v>
      </c>
      <c r="U761" s="4">
        <f ca="1" t="shared" si="1411"/>
        <v>0</v>
      </c>
      <c r="V761" s="4">
        <f ca="1" t="shared" si="1412"/>
        <v>0</v>
      </c>
      <c r="W761" s="4">
        <f ca="1" t="shared" si="1413"/>
        <v>0</v>
      </c>
      <c r="X761" s="4">
        <f ca="1" t="shared" si="1414"/>
        <v>119.82</v>
      </c>
      <c r="Y761" s="4">
        <f ca="1" t="shared" si="1415"/>
        <v>59910</v>
      </c>
      <c r="Z761" s="4">
        <f ca="1" t="shared" si="1416"/>
        <v>0</v>
      </c>
      <c r="AA761" s="4">
        <f ca="1" t="shared" si="1417"/>
        <v>0</v>
      </c>
      <c r="AB761" s="4"/>
    </row>
    <row r="762" customHeight="1" outlineLevel="2" spans="1:28">
      <c r="A762" s="515" t="s">
        <v>3313</v>
      </c>
      <c r="B762" s="4"/>
      <c r="C762" s="510" t="s">
        <v>1309</v>
      </c>
      <c r="D762" s="4" t="s">
        <v>783</v>
      </c>
      <c r="E762" s="4" t="s">
        <v>3314</v>
      </c>
      <c r="F762" s="4" t="s">
        <v>76</v>
      </c>
      <c r="G762" s="4">
        <v>60</v>
      </c>
      <c r="H762" s="4">
        <v>714.165137614679</v>
      </c>
      <c r="I762" s="4">
        <f>G762*H762</f>
        <v>42849.9082568807</v>
      </c>
      <c r="J762" s="4">
        <f t="shared" ref="J762:L762" si="1419">+G762</f>
        <v>60</v>
      </c>
      <c r="K762" s="4">
        <f t="shared" si="1419"/>
        <v>714.165137614679</v>
      </c>
      <c r="L762" s="517">
        <f t="shared" si="1419"/>
        <v>42849.9082568807</v>
      </c>
      <c r="M762" s="4">
        <v>60</v>
      </c>
      <c r="N762" s="4">
        <f ca="1" t="shared" si="1400"/>
        <v>706.194690265487</v>
      </c>
      <c r="O762" s="4">
        <f ca="1">(+O763)</f>
        <v>42371.6814159292</v>
      </c>
      <c r="P762" s="4"/>
      <c r="Q762" s="4"/>
      <c r="R762" s="4">
        <f t="shared" si="1401"/>
        <v>60</v>
      </c>
      <c r="S762" s="4">
        <f t="shared" si="1402"/>
        <v>42849.9082568807</v>
      </c>
      <c r="T762" s="4">
        <f>IFERROR(VLOOKUP(A762,产值统计中间表!A:F,7,FALSE),0)</f>
        <v>0</v>
      </c>
      <c r="U762" s="4">
        <f t="shared" si="1403"/>
        <v>0</v>
      </c>
      <c r="V762" s="4">
        <f>IFERROR(VLOOKUP(A762,产值统计中间表!A:D,4,FALSE),0)</f>
        <v>0</v>
      </c>
      <c r="W762" s="4">
        <f t="shared" si="1404"/>
        <v>0</v>
      </c>
      <c r="X762" s="4">
        <f t="shared" si="1405"/>
        <v>60</v>
      </c>
      <c r="Y762" s="4">
        <f t="shared" si="1406"/>
        <v>42849.9082568807</v>
      </c>
      <c r="Z762" s="4">
        <f>IFERROR(VLOOKUP(A762,业主统计中间表!A:D,4,FALSE),0)</f>
        <v>0</v>
      </c>
      <c r="AA762" s="4">
        <f t="shared" si="1407"/>
        <v>0</v>
      </c>
      <c r="AB762" s="4"/>
    </row>
    <row r="763" customHeight="1" outlineLevel="3" spans="1:28">
      <c r="A763" s="514" t="s">
        <v>3315</v>
      </c>
      <c r="B763" s="4"/>
      <c r="C763" s="510" t="s">
        <v>65</v>
      </c>
      <c r="D763" s="4" t="s">
        <v>783</v>
      </c>
      <c r="E763" s="4"/>
      <c r="F763" s="4" t="str">
        <f ca="1" t="shared" si="1408"/>
        <v>m</v>
      </c>
      <c r="G763" s="4"/>
      <c r="H763" s="4"/>
      <c r="I763" s="4"/>
      <c r="J763" s="4"/>
      <c r="K763" s="4"/>
      <c r="L763" s="517"/>
      <c r="M763" s="4">
        <v>60</v>
      </c>
      <c r="N763" s="4">
        <f ca="1" t="shared" si="1409"/>
        <v>706.194690265487</v>
      </c>
      <c r="O763" s="4">
        <f ca="1">M763*N763</f>
        <v>42371.6814159292</v>
      </c>
      <c r="P763" s="4"/>
      <c r="Q763" s="4"/>
      <c r="R763" s="4"/>
      <c r="S763" s="4"/>
      <c r="T763" s="4">
        <f ca="1" t="shared" si="1410"/>
        <v>0</v>
      </c>
      <c r="U763" s="4">
        <f ca="1" t="shared" si="1411"/>
        <v>0</v>
      </c>
      <c r="V763" s="4">
        <f ca="1" t="shared" si="1412"/>
        <v>0</v>
      </c>
      <c r="W763" s="4">
        <f ca="1" t="shared" si="1413"/>
        <v>0</v>
      </c>
      <c r="X763" s="4">
        <f ca="1" t="shared" si="1414"/>
        <v>60</v>
      </c>
      <c r="Y763" s="4">
        <f ca="1" t="shared" si="1415"/>
        <v>42371.6814159292</v>
      </c>
      <c r="Z763" s="4">
        <f ca="1" t="shared" si="1416"/>
        <v>0</v>
      </c>
      <c r="AA763" s="4">
        <f ca="1" t="shared" si="1417"/>
        <v>0</v>
      </c>
      <c r="AB763" s="4"/>
    </row>
    <row r="764" customHeight="1" outlineLevel="2" spans="1:28">
      <c r="A764" s="515" t="s">
        <v>3316</v>
      </c>
      <c r="B764" s="4"/>
      <c r="C764" s="510" t="s">
        <v>1309</v>
      </c>
      <c r="D764" s="4" t="s">
        <v>2643</v>
      </c>
      <c r="E764" s="4" t="s">
        <v>2644</v>
      </c>
      <c r="F764" s="4" t="s">
        <v>195</v>
      </c>
      <c r="G764" s="4">
        <v>1</v>
      </c>
      <c r="H764" s="4">
        <v>24824.9541284404</v>
      </c>
      <c r="I764" s="4">
        <f>G764*H764</f>
        <v>24824.9541284404</v>
      </c>
      <c r="J764" s="4">
        <f t="shared" ref="J764:L764" si="1420">+G764</f>
        <v>1</v>
      </c>
      <c r="K764" s="4">
        <f t="shared" si="1420"/>
        <v>24824.9541284404</v>
      </c>
      <c r="L764" s="517">
        <f t="shared" si="1420"/>
        <v>24824.9541284404</v>
      </c>
      <c r="M764" s="4">
        <v>1</v>
      </c>
      <c r="N764" s="4">
        <f ca="1">O764/M764</f>
        <v>15440.7384</v>
      </c>
      <c r="O764" s="4">
        <f ca="1">(+O765+O766+O767+O768+O769)</f>
        <v>15440.7384</v>
      </c>
      <c r="P764" s="4"/>
      <c r="Q764" s="4"/>
      <c r="R764" s="4">
        <f>+P764+J764</f>
        <v>1</v>
      </c>
      <c r="S764" s="4">
        <f>+Q764+L764</f>
        <v>24824.9541284404</v>
      </c>
      <c r="T764" s="4">
        <f>IFERROR(VLOOKUP(A764,产值统计中间表!A:F,7,FALSE),0)</f>
        <v>0</v>
      </c>
      <c r="U764" s="4">
        <f>+T764*H764</f>
        <v>0</v>
      </c>
      <c r="V764" s="4">
        <f>IFERROR(VLOOKUP(A764,产值统计中间表!A:D,4,FALSE),0)</f>
        <v>0</v>
      </c>
      <c r="W764" s="4">
        <f>+V764*H764</f>
        <v>0</v>
      </c>
      <c r="X764" s="4">
        <f>+R764-V764</f>
        <v>1</v>
      </c>
      <c r="Y764" s="4">
        <f>+S764-W764</f>
        <v>24824.9541284404</v>
      </c>
      <c r="Z764" s="4">
        <f>IFERROR(VLOOKUP(A764,业主统计中间表!A:D,4,FALSE),0)</f>
        <v>0</v>
      </c>
      <c r="AA764" s="4">
        <f>+Z764*H764</f>
        <v>0</v>
      </c>
      <c r="AB764" s="4"/>
    </row>
    <row r="765" customHeight="1" outlineLevel="3" spans="1:28">
      <c r="A765" s="514" t="s">
        <v>3317</v>
      </c>
      <c r="B765" s="4"/>
      <c r="C765" s="510" t="s">
        <v>64</v>
      </c>
      <c r="D765" s="4" t="s">
        <v>1037</v>
      </c>
      <c r="E765" s="4"/>
      <c r="F765" s="4" t="str">
        <f ca="1" t="shared" ref="F765:F769" si="1421">VLOOKUP($D765,INDIRECT($C765),2,0)</f>
        <v>m</v>
      </c>
      <c r="G765" s="4"/>
      <c r="H765" s="4"/>
      <c r="I765" s="4"/>
      <c r="J765" s="4"/>
      <c r="K765" s="4"/>
      <c r="L765" s="517"/>
      <c r="M765" s="4">
        <f>257.04+72</f>
        <v>329.04</v>
      </c>
      <c r="N765" s="4">
        <f ca="1" t="shared" ref="N765:N769" si="1422">VLOOKUP($D765,INDIRECT($C765),3,0)</f>
        <v>12</v>
      </c>
      <c r="O765" s="4">
        <f ca="1">M765*N765</f>
        <v>3948.48</v>
      </c>
      <c r="P765" s="4"/>
      <c r="Q765" s="4"/>
      <c r="R765" s="4"/>
      <c r="S765" s="4"/>
      <c r="T765" s="4">
        <f ca="1" t="shared" ref="T765:T769" si="1423">OFFSET(T765,-RIGHT($A765,LEN($A$6)),,1,1)/OFFSET(T765,-RIGHT($A765,LEN($A$6)),-13,1,1)*$M765</f>
        <v>0</v>
      </c>
      <c r="U765" s="4">
        <f ca="1" t="shared" ref="U765:U769" si="1424">+$N765*T765</f>
        <v>0</v>
      </c>
      <c r="V765" s="4">
        <f ca="1" t="shared" ref="V765:V769" si="1425">OFFSET(V765,-RIGHT($A765,LEN($A$6)),,1,1)/OFFSET(V765,-RIGHT($A765,LEN($A$6)),-15,1,1)*$M765</f>
        <v>0</v>
      </c>
      <c r="W765" s="4">
        <f ca="1" t="shared" ref="W765:W769" si="1426">+$N765*V765</f>
        <v>0</v>
      </c>
      <c r="X765" s="4">
        <f ca="1" t="shared" ref="X765:X769" si="1427">+M765-V765</f>
        <v>329.04</v>
      </c>
      <c r="Y765" s="4">
        <f ca="1" t="shared" ref="Y765:Y769" si="1428">+O765-W765</f>
        <v>3948.48</v>
      </c>
      <c r="Z765" s="4">
        <f ca="1" t="shared" ref="Z765:Z769" si="1429">OFFSET(Z765,-RIGHT($A765,LEN($A$6)),,1,1)/OFFSET(Z765,-RIGHT($A765,LEN($A$6)),-19,1,1)*$M765</f>
        <v>0</v>
      </c>
      <c r="AA765" s="4">
        <f ca="1" t="shared" ref="AA765:AA769" si="1430">+$N765*Z765</f>
        <v>0</v>
      </c>
      <c r="AB765" s="4"/>
    </row>
    <row r="766" customHeight="1" outlineLevel="3" spans="1:28">
      <c r="A766" s="514" t="s">
        <v>3318</v>
      </c>
      <c r="B766" s="4"/>
      <c r="C766" s="510" t="s">
        <v>59</v>
      </c>
      <c r="D766" s="4" t="s">
        <v>1140</v>
      </c>
      <c r="E766" s="4"/>
      <c r="F766" s="4" t="str">
        <f ca="1" t="shared" si="1421"/>
        <v>m</v>
      </c>
      <c r="G766" s="4"/>
      <c r="H766" s="4"/>
      <c r="I766" s="4"/>
      <c r="J766" s="4"/>
      <c r="K766" s="4"/>
      <c r="L766" s="517"/>
      <c r="M766" s="4">
        <v>72</v>
      </c>
      <c r="N766" s="4">
        <f ca="1" t="shared" si="1422"/>
        <v>0</v>
      </c>
      <c r="O766" s="4">
        <f ca="1">M766*N766</f>
        <v>0</v>
      </c>
      <c r="P766" s="4"/>
      <c r="Q766" s="4"/>
      <c r="R766" s="4"/>
      <c r="S766" s="4"/>
      <c r="T766" s="4">
        <f ca="1" t="shared" si="1423"/>
        <v>0</v>
      </c>
      <c r="U766" s="4">
        <f ca="1" t="shared" si="1424"/>
        <v>0</v>
      </c>
      <c r="V766" s="4">
        <f ca="1" t="shared" si="1425"/>
        <v>0</v>
      </c>
      <c r="W766" s="4">
        <f ca="1" t="shared" si="1426"/>
        <v>0</v>
      </c>
      <c r="X766" s="4">
        <f ca="1" t="shared" si="1427"/>
        <v>72</v>
      </c>
      <c r="Y766" s="4">
        <f ca="1" t="shared" si="1428"/>
        <v>0</v>
      </c>
      <c r="Z766" s="4">
        <f ca="1" t="shared" si="1429"/>
        <v>0</v>
      </c>
      <c r="AA766" s="4">
        <f ca="1" t="shared" si="1430"/>
        <v>0</v>
      </c>
      <c r="AB766" s="4"/>
    </row>
    <row r="767" customHeight="1" outlineLevel="3" spans="1:28">
      <c r="A767" s="514" t="s">
        <v>3319</v>
      </c>
      <c r="B767" s="4"/>
      <c r="C767" s="510" t="s">
        <v>59</v>
      </c>
      <c r="D767" s="4" t="s">
        <v>852</v>
      </c>
      <c r="E767" s="4"/>
      <c r="F767" s="4" t="str">
        <f ca="1" t="shared" si="1421"/>
        <v>m</v>
      </c>
      <c r="G767" s="4"/>
      <c r="H767" s="4"/>
      <c r="I767" s="4"/>
      <c r="J767" s="4"/>
      <c r="K767" s="4"/>
      <c r="L767" s="517"/>
      <c r="M767" s="4">
        <v>257.04</v>
      </c>
      <c r="N767" s="4">
        <f ca="1" t="shared" si="1422"/>
        <v>44.71</v>
      </c>
      <c r="O767" s="4">
        <f ca="1">M767*N767</f>
        <v>11492.2584</v>
      </c>
      <c r="P767" s="4"/>
      <c r="Q767" s="4"/>
      <c r="R767" s="4"/>
      <c r="S767" s="4"/>
      <c r="T767" s="4">
        <f ca="1" t="shared" si="1423"/>
        <v>0</v>
      </c>
      <c r="U767" s="4">
        <f ca="1" t="shared" si="1424"/>
        <v>0</v>
      </c>
      <c r="V767" s="4">
        <f ca="1" t="shared" si="1425"/>
        <v>0</v>
      </c>
      <c r="W767" s="4">
        <f ca="1" t="shared" si="1426"/>
        <v>0</v>
      </c>
      <c r="X767" s="4">
        <f ca="1" t="shared" si="1427"/>
        <v>257.04</v>
      </c>
      <c r="Y767" s="4">
        <f ca="1" t="shared" si="1428"/>
        <v>11492.2584</v>
      </c>
      <c r="Z767" s="4">
        <f ca="1" t="shared" si="1429"/>
        <v>0</v>
      </c>
      <c r="AA767" s="4">
        <f ca="1" t="shared" si="1430"/>
        <v>0</v>
      </c>
      <c r="AB767" s="4"/>
    </row>
    <row r="768" customHeight="1" outlineLevel="3" spans="1:28">
      <c r="A768" s="514" t="s">
        <v>3320</v>
      </c>
      <c r="B768" s="4"/>
      <c r="C768" s="510" t="s">
        <v>59</v>
      </c>
      <c r="D768" s="4" t="s">
        <v>1143</v>
      </c>
      <c r="E768" s="4"/>
      <c r="F768" s="4" t="str">
        <f ca="1" t="shared" si="1421"/>
        <v>套</v>
      </c>
      <c r="G768" s="4"/>
      <c r="H768" s="4"/>
      <c r="I768" s="4"/>
      <c r="J768" s="4"/>
      <c r="K768" s="4"/>
      <c r="L768" s="517"/>
      <c r="M768" s="4">
        <v>24</v>
      </c>
      <c r="N768" s="4">
        <f ca="1" t="shared" si="1422"/>
        <v>0</v>
      </c>
      <c r="O768" s="4">
        <f ca="1">M768*N768</f>
        <v>0</v>
      </c>
      <c r="P768" s="4"/>
      <c r="Q768" s="4"/>
      <c r="R768" s="4"/>
      <c r="S768" s="4"/>
      <c r="T768" s="4">
        <f ca="1" t="shared" si="1423"/>
        <v>0</v>
      </c>
      <c r="U768" s="4">
        <f ca="1" t="shared" si="1424"/>
        <v>0</v>
      </c>
      <c r="V768" s="4">
        <f ca="1" t="shared" si="1425"/>
        <v>0</v>
      </c>
      <c r="W768" s="4">
        <f ca="1" t="shared" si="1426"/>
        <v>0</v>
      </c>
      <c r="X768" s="4">
        <f ca="1" t="shared" si="1427"/>
        <v>24</v>
      </c>
      <c r="Y768" s="4">
        <f ca="1" t="shared" si="1428"/>
        <v>0</v>
      </c>
      <c r="Z768" s="4">
        <f ca="1" t="shared" si="1429"/>
        <v>0</v>
      </c>
      <c r="AA768" s="4">
        <f ca="1" t="shared" si="1430"/>
        <v>0</v>
      </c>
      <c r="AB768" s="4"/>
    </row>
    <row r="769" customHeight="1" outlineLevel="3" spans="1:28">
      <c r="A769" s="514" t="s">
        <v>3321</v>
      </c>
      <c r="B769" s="4"/>
      <c r="C769" s="510" t="s">
        <v>64</v>
      </c>
      <c r="D769" s="4" t="s">
        <v>890</v>
      </c>
      <c r="E769" s="4"/>
      <c r="F769" s="4" t="str">
        <f ca="1" t="shared" si="1421"/>
        <v>m</v>
      </c>
      <c r="G769" s="4"/>
      <c r="H769" s="4"/>
      <c r="I769" s="4"/>
      <c r="J769" s="4"/>
      <c r="K769" s="4"/>
      <c r="L769" s="517"/>
      <c r="M769" s="4">
        <v>24</v>
      </c>
      <c r="N769" s="4">
        <f ca="1" t="shared" si="1422"/>
        <v>0</v>
      </c>
      <c r="O769" s="4">
        <f ca="1">M769*N769</f>
        <v>0</v>
      </c>
      <c r="P769" s="4"/>
      <c r="Q769" s="4"/>
      <c r="R769" s="4"/>
      <c r="S769" s="4"/>
      <c r="T769" s="4">
        <f ca="1" t="shared" si="1423"/>
        <v>0</v>
      </c>
      <c r="U769" s="4">
        <f ca="1" t="shared" si="1424"/>
        <v>0</v>
      </c>
      <c r="V769" s="4">
        <f ca="1" t="shared" si="1425"/>
        <v>0</v>
      </c>
      <c r="W769" s="4">
        <f ca="1" t="shared" si="1426"/>
        <v>0</v>
      </c>
      <c r="X769" s="4">
        <f ca="1" t="shared" si="1427"/>
        <v>24</v>
      </c>
      <c r="Y769" s="4">
        <f ca="1" t="shared" si="1428"/>
        <v>0</v>
      </c>
      <c r="Z769" s="4">
        <f ca="1" t="shared" si="1429"/>
        <v>0</v>
      </c>
      <c r="AA769" s="4">
        <f ca="1" t="shared" si="1430"/>
        <v>0</v>
      </c>
      <c r="AB769" s="4"/>
    </row>
    <row r="770" customHeight="1" outlineLevel="2" spans="1:28">
      <c r="A770" s="515" t="s">
        <v>3322</v>
      </c>
      <c r="B770" s="4"/>
      <c r="C770" s="510" t="s">
        <v>1309</v>
      </c>
      <c r="D770" s="4" t="s">
        <v>2650</v>
      </c>
      <c r="E770" s="4" t="s">
        <v>2651</v>
      </c>
      <c r="F770" s="4" t="s">
        <v>195</v>
      </c>
      <c r="G770" s="4">
        <v>1</v>
      </c>
      <c r="H770" s="4">
        <v>132919.128440367</v>
      </c>
      <c r="I770" s="4">
        <f>G770*H770</f>
        <v>132919.128440367</v>
      </c>
      <c r="J770" s="4">
        <f t="shared" ref="J770:L770" si="1431">+G770</f>
        <v>1</v>
      </c>
      <c r="K770" s="4">
        <f t="shared" si="1431"/>
        <v>132919.128440367</v>
      </c>
      <c r="L770" s="517">
        <f t="shared" si="1431"/>
        <v>132919.128440367</v>
      </c>
      <c r="M770" s="4">
        <v>1</v>
      </c>
      <c r="N770" s="4">
        <f ca="1">O770/M770</f>
        <v>230373.40788</v>
      </c>
      <c r="O770" s="4">
        <f ca="1">(+O771+O772+O773+O774)</f>
        <v>230373.40788</v>
      </c>
      <c r="P770" s="4"/>
      <c r="Q770" s="4"/>
      <c r="R770" s="4">
        <f>+P770+J770</f>
        <v>1</v>
      </c>
      <c r="S770" s="4">
        <f>+Q770+L770</f>
        <v>132919.128440367</v>
      </c>
      <c r="T770" s="4">
        <f>IFERROR(VLOOKUP(A770,产值统计中间表!A:F,7,FALSE),0)</f>
        <v>0</v>
      </c>
      <c r="U770" s="4">
        <f>+T770*H770</f>
        <v>0</v>
      </c>
      <c r="V770" s="4">
        <f>IFERROR(VLOOKUP(A770,产值统计中间表!A:D,4,FALSE),0)</f>
        <v>0</v>
      </c>
      <c r="W770" s="4">
        <f>+V770*H770</f>
        <v>0</v>
      </c>
      <c r="X770" s="4">
        <f>+R770-V770</f>
        <v>1</v>
      </c>
      <c r="Y770" s="4">
        <f>+S770-W770</f>
        <v>132919.128440367</v>
      </c>
      <c r="Z770" s="4">
        <f>IFERROR(VLOOKUP(A770,业主统计中间表!A:D,4,FALSE),0)</f>
        <v>0</v>
      </c>
      <c r="AA770" s="4">
        <f>+Z770*H770</f>
        <v>0</v>
      </c>
      <c r="AB770" s="4"/>
    </row>
    <row r="771" customHeight="1" outlineLevel="3" spans="1:28">
      <c r="A771" s="514" t="s">
        <v>3323</v>
      </c>
      <c r="B771" s="4"/>
      <c r="C771" s="510" t="s">
        <v>64</v>
      </c>
      <c r="D771" s="4" t="s">
        <v>744</v>
      </c>
      <c r="E771" s="4"/>
      <c r="F771" s="4" t="str">
        <f ca="1" t="shared" ref="F771:F774" si="1432">VLOOKUP($D771,INDIRECT($C771),2,0)</f>
        <v>m2</v>
      </c>
      <c r="G771" s="4"/>
      <c r="H771" s="4"/>
      <c r="I771" s="4"/>
      <c r="J771" s="4"/>
      <c r="K771" s="4"/>
      <c r="L771" s="517"/>
      <c r="M771" s="4">
        <v>756</v>
      </c>
      <c r="N771" s="4">
        <f ca="1" t="shared" ref="N771:N774" si="1433">VLOOKUP($D771,INDIRECT($C771),3,0)</f>
        <v>2</v>
      </c>
      <c r="O771" s="4">
        <f ca="1">M771*N771</f>
        <v>1512</v>
      </c>
      <c r="P771" s="4"/>
      <c r="Q771" s="4"/>
      <c r="R771" s="4"/>
      <c r="S771" s="4"/>
      <c r="T771" s="4">
        <f ca="1" t="shared" ref="T771:T774" si="1434">OFFSET(T771,-RIGHT($A771,LEN($A$6)),,1,1)/OFFSET(T771,-RIGHT($A771,LEN($A$6)),-13,1,1)*$M771</f>
        <v>0</v>
      </c>
      <c r="U771" s="4">
        <f ca="1" t="shared" ref="U771:U774" si="1435">+$N771*T771</f>
        <v>0</v>
      </c>
      <c r="V771" s="4">
        <f ca="1" t="shared" ref="V771:V774" si="1436">OFFSET(V771,-RIGHT($A771,LEN($A$6)),,1,1)/OFFSET(V771,-RIGHT($A771,LEN($A$6)),-15,1,1)*$M771</f>
        <v>0</v>
      </c>
      <c r="W771" s="4">
        <f ca="1" t="shared" ref="W771:W774" si="1437">+$N771*V771</f>
        <v>0</v>
      </c>
      <c r="X771" s="4">
        <f ca="1" t="shared" ref="X771:X774" si="1438">+M771-V771</f>
        <v>756</v>
      </c>
      <c r="Y771" s="4">
        <f ca="1" t="shared" ref="Y771:Y774" si="1439">+O771-W771</f>
        <v>1512</v>
      </c>
      <c r="Z771" s="4">
        <f ca="1" t="shared" ref="Z771:Z774" si="1440">OFFSET(Z771,-RIGHT($A771,LEN($A$6)),,1,1)/OFFSET(Z771,-RIGHT($A771,LEN($A$6)),-19,1,1)*$M771</f>
        <v>0</v>
      </c>
      <c r="AA771" s="4">
        <f ca="1" t="shared" ref="AA771:AA774" si="1441">+$N771*Z771</f>
        <v>0</v>
      </c>
      <c r="AB771" s="4"/>
    </row>
    <row r="772" customHeight="1" outlineLevel="3" spans="1:28">
      <c r="A772" s="514" t="s">
        <v>3324</v>
      </c>
      <c r="B772" s="4"/>
      <c r="C772" s="510" t="s">
        <v>59</v>
      </c>
      <c r="D772" s="4" t="s">
        <v>885</v>
      </c>
      <c r="E772" s="4"/>
      <c r="F772" s="4" t="str">
        <f ca="1" t="shared" si="1432"/>
        <v>m2</v>
      </c>
      <c r="G772" s="4"/>
      <c r="H772" s="4"/>
      <c r="I772" s="4"/>
      <c r="J772" s="4"/>
      <c r="K772" s="4"/>
      <c r="L772" s="517"/>
      <c r="M772" s="4">
        <v>756</v>
      </c>
      <c r="N772" s="4">
        <f ca="1" t="shared" si="1433"/>
        <v>180</v>
      </c>
      <c r="O772" s="4">
        <f ca="1">M772*N772</f>
        <v>136080</v>
      </c>
      <c r="P772" s="4"/>
      <c r="Q772" s="4"/>
      <c r="R772" s="4"/>
      <c r="S772" s="4"/>
      <c r="T772" s="4">
        <f ca="1" t="shared" si="1434"/>
        <v>0</v>
      </c>
      <c r="U772" s="4">
        <f ca="1" t="shared" si="1435"/>
        <v>0</v>
      </c>
      <c r="V772" s="4">
        <f ca="1" t="shared" si="1436"/>
        <v>0</v>
      </c>
      <c r="W772" s="4">
        <f ca="1" t="shared" si="1437"/>
        <v>0</v>
      </c>
      <c r="X772" s="4">
        <f ca="1" t="shared" si="1438"/>
        <v>756</v>
      </c>
      <c r="Y772" s="4">
        <f ca="1" t="shared" si="1439"/>
        <v>136080</v>
      </c>
      <c r="Z772" s="4">
        <f ca="1" t="shared" si="1440"/>
        <v>0</v>
      </c>
      <c r="AA772" s="4">
        <f ca="1" t="shared" si="1441"/>
        <v>0</v>
      </c>
      <c r="AB772" s="4"/>
    </row>
    <row r="773" customHeight="1" outlineLevel="3" spans="1:28">
      <c r="A773" s="514" t="s">
        <v>3325</v>
      </c>
      <c r="B773" s="4"/>
      <c r="C773" s="510" t="s">
        <v>59</v>
      </c>
      <c r="D773" s="4" t="s">
        <v>870</v>
      </c>
      <c r="E773" s="4"/>
      <c r="F773" s="4" t="str">
        <f ca="1" t="shared" si="1432"/>
        <v>m3</v>
      </c>
      <c r="G773" s="4"/>
      <c r="H773" s="4"/>
      <c r="I773" s="4"/>
      <c r="J773" s="4"/>
      <c r="K773" s="4"/>
      <c r="L773" s="517"/>
      <c r="M773" s="4">
        <v>682.668</v>
      </c>
      <c r="N773" s="4">
        <f ca="1" t="shared" si="1433"/>
        <v>130</v>
      </c>
      <c r="O773" s="4">
        <f ca="1">M773*N773</f>
        <v>88746.84</v>
      </c>
      <c r="P773" s="4"/>
      <c r="Q773" s="4"/>
      <c r="R773" s="4"/>
      <c r="S773" s="4"/>
      <c r="T773" s="4">
        <f ca="1" t="shared" si="1434"/>
        <v>0</v>
      </c>
      <c r="U773" s="4">
        <f ca="1" t="shared" si="1435"/>
        <v>0</v>
      </c>
      <c r="V773" s="4">
        <f ca="1" t="shared" si="1436"/>
        <v>0</v>
      </c>
      <c r="W773" s="4">
        <f ca="1" t="shared" si="1437"/>
        <v>0</v>
      </c>
      <c r="X773" s="4">
        <f ca="1" t="shared" si="1438"/>
        <v>682.668</v>
      </c>
      <c r="Y773" s="4">
        <f ca="1" t="shared" si="1439"/>
        <v>88746.84</v>
      </c>
      <c r="Z773" s="4">
        <f ca="1" t="shared" si="1440"/>
        <v>0</v>
      </c>
      <c r="AA773" s="4">
        <f ca="1" t="shared" si="1441"/>
        <v>0</v>
      </c>
      <c r="AB773" s="4"/>
    </row>
    <row r="774" customHeight="1" outlineLevel="3" spans="1:28">
      <c r="A774" s="514" t="s">
        <v>3326</v>
      </c>
      <c r="B774" s="4"/>
      <c r="C774" s="510" t="s">
        <v>63</v>
      </c>
      <c r="D774" s="4" t="s">
        <v>801</v>
      </c>
      <c r="E774" s="4"/>
      <c r="F774" s="4" t="str">
        <f ca="1" t="shared" si="1432"/>
        <v>m3</v>
      </c>
      <c r="G774" s="4"/>
      <c r="H774" s="4"/>
      <c r="I774" s="4"/>
      <c r="J774" s="4"/>
      <c r="K774" s="4"/>
      <c r="L774" s="517"/>
      <c r="M774" s="4">
        <v>682.668</v>
      </c>
      <c r="N774" s="4">
        <f ca="1" t="shared" si="1433"/>
        <v>5.91</v>
      </c>
      <c r="O774" s="4">
        <f ca="1">M774*N774</f>
        <v>4034.56788</v>
      </c>
      <c r="P774" s="4"/>
      <c r="Q774" s="4"/>
      <c r="R774" s="4"/>
      <c r="S774" s="4"/>
      <c r="T774" s="4">
        <f ca="1" t="shared" si="1434"/>
        <v>0</v>
      </c>
      <c r="U774" s="4">
        <f ca="1" t="shared" si="1435"/>
        <v>0</v>
      </c>
      <c r="V774" s="4">
        <f ca="1" t="shared" si="1436"/>
        <v>0</v>
      </c>
      <c r="W774" s="4">
        <f ca="1" t="shared" si="1437"/>
        <v>0</v>
      </c>
      <c r="X774" s="4">
        <f ca="1" t="shared" si="1438"/>
        <v>682.668</v>
      </c>
      <c r="Y774" s="4">
        <f ca="1" t="shared" si="1439"/>
        <v>4034.56788</v>
      </c>
      <c r="Z774" s="4">
        <f ca="1" t="shared" si="1440"/>
        <v>0</v>
      </c>
      <c r="AA774" s="4">
        <f ca="1" t="shared" si="1441"/>
        <v>0</v>
      </c>
      <c r="AB774" s="4"/>
    </row>
    <row r="775" customHeight="1" outlineLevel="2" spans="1:28">
      <c r="A775" s="515" t="s">
        <v>3327</v>
      </c>
      <c r="B775" s="4"/>
      <c r="C775" s="510" t="s">
        <v>1309</v>
      </c>
      <c r="D775" s="4" t="s">
        <v>2657</v>
      </c>
      <c r="E775" s="4" t="s">
        <v>2658</v>
      </c>
      <c r="F775" s="4" t="s">
        <v>69</v>
      </c>
      <c r="G775" s="4">
        <v>934.3</v>
      </c>
      <c r="H775" s="4">
        <v>322.266055045871</v>
      </c>
      <c r="I775" s="4">
        <f>G775*H775</f>
        <v>301093.175229357</v>
      </c>
      <c r="J775" s="4">
        <f t="shared" ref="J775:L775" si="1442">+G775</f>
        <v>934.3</v>
      </c>
      <c r="K775" s="4">
        <f t="shared" si="1442"/>
        <v>322.266055045871</v>
      </c>
      <c r="L775" s="517">
        <f t="shared" si="1442"/>
        <v>301093.175229357</v>
      </c>
      <c r="M775" s="4">
        <v>934.3</v>
      </c>
      <c r="N775" s="4">
        <f ca="1">O775/M775</f>
        <v>169.276806165043</v>
      </c>
      <c r="O775" s="4">
        <f ca="1">(+O776+O777+O778+O779+O780+O781)</f>
        <v>158155.32</v>
      </c>
      <c r="P775" s="4"/>
      <c r="Q775" s="4"/>
      <c r="R775" s="4">
        <f>+P775+J775</f>
        <v>934.3</v>
      </c>
      <c r="S775" s="4">
        <f>+Q775+L775</f>
        <v>301093.175229357</v>
      </c>
      <c r="T775" s="4">
        <f>IFERROR(VLOOKUP(A775,产值统计中间表!A:F,7,FALSE),0)</f>
        <v>0</v>
      </c>
      <c r="U775" s="4">
        <f>+T775*H775</f>
        <v>0</v>
      </c>
      <c r="V775" s="4">
        <f>IFERROR(VLOOKUP(A775,产值统计中间表!A:D,4,FALSE),0)</f>
        <v>0</v>
      </c>
      <c r="W775" s="4">
        <f>+V775*H775</f>
        <v>0</v>
      </c>
      <c r="X775" s="4">
        <f>+R775-V775</f>
        <v>934.3</v>
      </c>
      <c r="Y775" s="4">
        <f>+S775-W775</f>
        <v>301093.175229357</v>
      </c>
      <c r="Z775" s="4">
        <f>IFERROR(VLOOKUP(A775,业主统计中间表!A:D,4,FALSE),0)</f>
        <v>0</v>
      </c>
      <c r="AA775" s="4">
        <f>+Z775*H775</f>
        <v>0</v>
      </c>
      <c r="AB775" s="4"/>
    </row>
    <row r="776" customHeight="1" outlineLevel="3" spans="1:28">
      <c r="A776" s="514" t="s">
        <v>3328</v>
      </c>
      <c r="B776" s="4"/>
      <c r="C776" s="510" t="s">
        <v>64</v>
      </c>
      <c r="D776" s="4" t="s">
        <v>662</v>
      </c>
      <c r="E776" s="4"/>
      <c r="F776" s="4" t="str">
        <f ca="1" t="shared" ref="F776:F781" si="1443">VLOOKUP($D776,INDIRECT($C776),2,0)</f>
        <v>m3</v>
      </c>
      <c r="G776" s="4"/>
      <c r="H776" s="4"/>
      <c r="I776" s="4"/>
      <c r="J776" s="4"/>
      <c r="K776" s="4"/>
      <c r="L776" s="517"/>
      <c r="M776" s="4">
        <f>116.8+38.91</f>
        <v>155.71</v>
      </c>
      <c r="N776" s="4">
        <f ca="1" t="shared" ref="N776:N781" si="1444">VLOOKUP($D776,INDIRECT($C776),3,0)</f>
        <v>2</v>
      </c>
      <c r="O776" s="4">
        <f ca="1" t="shared" ref="O776:O781" si="1445">M776*N776</f>
        <v>311.42</v>
      </c>
      <c r="P776" s="4"/>
      <c r="Q776" s="4"/>
      <c r="R776" s="4"/>
      <c r="S776" s="4"/>
      <c r="T776" s="4">
        <f ca="1" t="shared" ref="T776:T781" si="1446">OFFSET(T776,-RIGHT($A776,LEN($A$6)),,1,1)/OFFSET(T776,-RIGHT($A776,LEN($A$6)),-13,1,1)*$M776</f>
        <v>0</v>
      </c>
      <c r="U776" s="4">
        <f ca="1" t="shared" ref="U776:U781" si="1447">+$N776*T776</f>
        <v>0</v>
      </c>
      <c r="V776" s="4">
        <f ca="1" t="shared" ref="V776:V781" si="1448">OFFSET(V776,-RIGHT($A776,LEN($A$6)),,1,1)/OFFSET(V776,-RIGHT($A776,LEN($A$6)),-15,1,1)*$M776</f>
        <v>0</v>
      </c>
      <c r="W776" s="4">
        <f ca="1" t="shared" ref="W776:W781" si="1449">+$N776*V776</f>
        <v>0</v>
      </c>
      <c r="X776" s="4">
        <f ca="1" t="shared" ref="X776:X781" si="1450">+M776-V776</f>
        <v>155.71</v>
      </c>
      <c r="Y776" s="4">
        <f ca="1" t="shared" ref="Y776:Y781" si="1451">+O776-W776</f>
        <v>311.42</v>
      </c>
      <c r="Z776" s="4">
        <f ca="1" t="shared" ref="Z776:Z781" si="1452">OFFSET(Z776,-RIGHT($A776,LEN($A$6)),,1,1)/OFFSET(Z776,-RIGHT($A776,LEN($A$6)),-19,1,1)*$M776</f>
        <v>0</v>
      </c>
      <c r="AA776" s="4">
        <f ca="1" t="shared" ref="AA776:AA781" si="1453">+$N776*Z776</f>
        <v>0</v>
      </c>
      <c r="AB776" s="4"/>
    </row>
    <row r="777" customHeight="1" outlineLevel="3" spans="1:28">
      <c r="A777" s="514" t="s">
        <v>3329</v>
      </c>
      <c r="B777" s="4"/>
      <c r="C777" s="510" t="s">
        <v>59</v>
      </c>
      <c r="D777" s="4" t="s">
        <v>1017</v>
      </c>
      <c r="E777" s="4"/>
      <c r="F777" s="4" t="str">
        <f ca="1" t="shared" si="1443"/>
        <v>m3</v>
      </c>
      <c r="G777" s="4"/>
      <c r="H777" s="4"/>
      <c r="I777" s="4"/>
      <c r="J777" s="4"/>
      <c r="K777" s="4"/>
      <c r="L777" s="517"/>
      <c r="M777" s="4">
        <v>122.07205</v>
      </c>
      <c r="N777" s="4">
        <f ca="1" t="shared" si="1444"/>
        <v>0</v>
      </c>
      <c r="O777" s="4">
        <f ca="1" t="shared" si="1445"/>
        <v>0</v>
      </c>
      <c r="P777" s="4"/>
      <c r="Q777" s="4"/>
      <c r="R777" s="4"/>
      <c r="S777" s="4"/>
      <c r="T777" s="4">
        <f ca="1" t="shared" si="1446"/>
        <v>0</v>
      </c>
      <c r="U777" s="4">
        <f ca="1" t="shared" si="1447"/>
        <v>0</v>
      </c>
      <c r="V777" s="4">
        <f ca="1" t="shared" si="1448"/>
        <v>0</v>
      </c>
      <c r="W777" s="4">
        <f ca="1" t="shared" si="1449"/>
        <v>0</v>
      </c>
      <c r="X777" s="4">
        <f ca="1" t="shared" si="1450"/>
        <v>122.07205</v>
      </c>
      <c r="Y777" s="4">
        <f ca="1" t="shared" si="1451"/>
        <v>0</v>
      </c>
      <c r="Z777" s="4">
        <f ca="1" t="shared" si="1452"/>
        <v>0</v>
      </c>
      <c r="AA777" s="4">
        <f ca="1" t="shared" si="1453"/>
        <v>0</v>
      </c>
      <c r="AB777" s="4"/>
    </row>
    <row r="778" customHeight="1" outlineLevel="3" spans="1:28">
      <c r="A778" s="514" t="s">
        <v>3330</v>
      </c>
      <c r="B778" s="4"/>
      <c r="C778" s="510" t="s">
        <v>59</v>
      </c>
      <c r="D778" s="4" t="s">
        <v>347</v>
      </c>
      <c r="E778" s="4"/>
      <c r="F778" s="4" t="str">
        <f ca="1" t="shared" si="1443"/>
        <v>m3</v>
      </c>
      <c r="G778" s="4"/>
      <c r="H778" s="4"/>
      <c r="I778" s="4"/>
      <c r="J778" s="4"/>
      <c r="K778" s="4"/>
      <c r="L778" s="517"/>
      <c r="M778" s="4">
        <v>38.9125</v>
      </c>
      <c r="N778" s="4">
        <f ca="1" t="shared" si="1444"/>
        <v>120</v>
      </c>
      <c r="O778" s="4">
        <f ca="1" t="shared" si="1445"/>
        <v>4669.5</v>
      </c>
      <c r="P778" s="4"/>
      <c r="Q778" s="4"/>
      <c r="R778" s="4"/>
      <c r="S778" s="4"/>
      <c r="T778" s="4">
        <f ca="1" t="shared" si="1446"/>
        <v>0</v>
      </c>
      <c r="U778" s="4">
        <f ca="1" t="shared" si="1447"/>
        <v>0</v>
      </c>
      <c r="V778" s="4">
        <f ca="1" t="shared" si="1448"/>
        <v>0</v>
      </c>
      <c r="W778" s="4">
        <f ca="1" t="shared" si="1449"/>
        <v>0</v>
      </c>
      <c r="X778" s="4">
        <f ca="1" t="shared" si="1450"/>
        <v>38.9125</v>
      </c>
      <c r="Y778" s="4">
        <f ca="1" t="shared" si="1451"/>
        <v>4669.5</v>
      </c>
      <c r="Z778" s="4">
        <f ca="1" t="shared" si="1452"/>
        <v>0</v>
      </c>
      <c r="AA778" s="4">
        <f ca="1" t="shared" si="1453"/>
        <v>0</v>
      </c>
      <c r="AB778" s="4"/>
    </row>
    <row r="779" customHeight="1" outlineLevel="3" spans="1:28">
      <c r="A779" s="514" t="s">
        <v>3331</v>
      </c>
      <c r="B779" s="4"/>
      <c r="C779" s="510" t="s">
        <v>59</v>
      </c>
      <c r="D779" s="4" t="s">
        <v>492</v>
      </c>
      <c r="E779" s="4"/>
      <c r="F779" s="4" t="str">
        <f ca="1" t="shared" si="1443"/>
        <v>m3</v>
      </c>
      <c r="G779" s="4"/>
      <c r="H779" s="4"/>
      <c r="I779" s="4"/>
      <c r="J779" s="4"/>
      <c r="K779" s="4"/>
      <c r="L779" s="517"/>
      <c r="M779" s="4">
        <v>116.8</v>
      </c>
      <c r="N779" s="4">
        <f ca="1" t="shared" si="1444"/>
        <v>600</v>
      </c>
      <c r="O779" s="4">
        <f ca="1" t="shared" si="1445"/>
        <v>70080</v>
      </c>
      <c r="P779" s="4"/>
      <c r="Q779" s="4"/>
      <c r="R779" s="4"/>
      <c r="S779" s="4"/>
      <c r="T779" s="4">
        <f ca="1" t="shared" si="1446"/>
        <v>0</v>
      </c>
      <c r="U779" s="4">
        <f ca="1" t="shared" si="1447"/>
        <v>0</v>
      </c>
      <c r="V779" s="4">
        <f ca="1" t="shared" si="1448"/>
        <v>0</v>
      </c>
      <c r="W779" s="4">
        <f ca="1" t="shared" si="1449"/>
        <v>0</v>
      </c>
      <c r="X779" s="4">
        <f ca="1" t="shared" si="1450"/>
        <v>116.8</v>
      </c>
      <c r="Y779" s="4">
        <f ca="1" t="shared" si="1451"/>
        <v>70080</v>
      </c>
      <c r="Z779" s="4">
        <f ca="1" t="shared" si="1452"/>
        <v>0</v>
      </c>
      <c r="AA779" s="4">
        <f ca="1" t="shared" si="1453"/>
        <v>0</v>
      </c>
      <c r="AB779" s="4"/>
    </row>
    <row r="780" customHeight="1" outlineLevel="3" spans="1:28">
      <c r="A780" s="514" t="s">
        <v>3332</v>
      </c>
      <c r="B780" s="4"/>
      <c r="C780" s="510" t="s">
        <v>65</v>
      </c>
      <c r="D780" s="4" t="s">
        <v>667</v>
      </c>
      <c r="E780" s="4"/>
      <c r="F780" s="4" t="str">
        <f ca="1" t="shared" si="1443"/>
        <v>m2</v>
      </c>
      <c r="G780" s="4"/>
      <c r="H780" s="4"/>
      <c r="I780" s="4"/>
      <c r="J780" s="4"/>
      <c r="K780" s="4"/>
      <c r="L780" s="517"/>
      <c r="M780" s="4">
        <v>934.3</v>
      </c>
      <c r="N780" s="4">
        <f ca="1" t="shared" si="1444"/>
        <v>20</v>
      </c>
      <c r="O780" s="4">
        <f ca="1" t="shared" si="1445"/>
        <v>18686</v>
      </c>
      <c r="P780" s="4"/>
      <c r="Q780" s="4"/>
      <c r="R780" s="4"/>
      <c r="S780" s="4"/>
      <c r="T780" s="4">
        <f ca="1" t="shared" si="1446"/>
        <v>0</v>
      </c>
      <c r="U780" s="4">
        <f ca="1" t="shared" si="1447"/>
        <v>0</v>
      </c>
      <c r="V780" s="4">
        <f ca="1" t="shared" si="1448"/>
        <v>0</v>
      </c>
      <c r="W780" s="4">
        <f ca="1" t="shared" si="1449"/>
        <v>0</v>
      </c>
      <c r="X780" s="4">
        <f ca="1" t="shared" si="1450"/>
        <v>934.3</v>
      </c>
      <c r="Y780" s="4">
        <f ca="1" t="shared" si="1451"/>
        <v>18686</v>
      </c>
      <c r="Z780" s="4">
        <f ca="1" t="shared" si="1452"/>
        <v>0</v>
      </c>
      <c r="AA780" s="4">
        <f ca="1" t="shared" si="1453"/>
        <v>0</v>
      </c>
      <c r="AB780" s="4"/>
    </row>
    <row r="781" customHeight="1" outlineLevel="3" spans="1:28">
      <c r="A781" s="514" t="s">
        <v>3333</v>
      </c>
      <c r="B781" s="4"/>
      <c r="C781" s="510" t="s">
        <v>64</v>
      </c>
      <c r="D781" s="4" t="s">
        <v>325</v>
      </c>
      <c r="E781" s="4" t="s">
        <v>2667</v>
      </c>
      <c r="F781" s="4" t="str">
        <f ca="1" t="shared" si="1443"/>
        <v>m3</v>
      </c>
      <c r="G781" s="4"/>
      <c r="H781" s="4"/>
      <c r="I781" s="4"/>
      <c r="J781" s="4"/>
      <c r="K781" s="4"/>
      <c r="L781" s="517"/>
      <c r="M781" s="4">
        <v>1288.168</v>
      </c>
      <c r="N781" s="4">
        <f ca="1" t="shared" si="1444"/>
        <v>50</v>
      </c>
      <c r="O781" s="4">
        <f ca="1" t="shared" si="1445"/>
        <v>64408.4</v>
      </c>
      <c r="P781" s="4"/>
      <c r="Q781" s="4"/>
      <c r="R781" s="4"/>
      <c r="S781" s="4"/>
      <c r="T781" s="4">
        <f ca="1" t="shared" si="1446"/>
        <v>0</v>
      </c>
      <c r="U781" s="4">
        <f ca="1" t="shared" si="1447"/>
        <v>0</v>
      </c>
      <c r="V781" s="4">
        <f ca="1" t="shared" si="1448"/>
        <v>0</v>
      </c>
      <c r="W781" s="4">
        <f ca="1" t="shared" si="1449"/>
        <v>0</v>
      </c>
      <c r="X781" s="4">
        <f ca="1" t="shared" si="1450"/>
        <v>1288.168</v>
      </c>
      <c r="Y781" s="4">
        <f ca="1" t="shared" si="1451"/>
        <v>64408.4</v>
      </c>
      <c r="Z781" s="4">
        <f ca="1" t="shared" si="1452"/>
        <v>0</v>
      </c>
      <c r="AA781" s="4">
        <f ca="1" t="shared" si="1453"/>
        <v>0</v>
      </c>
      <c r="AB781" s="4"/>
    </row>
    <row r="782" customHeight="1" outlineLevel="2" spans="1:28">
      <c r="A782" s="515" t="s">
        <v>3334</v>
      </c>
      <c r="B782" s="4"/>
      <c r="C782" s="510" t="s">
        <v>1309</v>
      </c>
      <c r="D782" s="4" t="s">
        <v>2669</v>
      </c>
      <c r="E782" s="4" t="s">
        <v>2670</v>
      </c>
      <c r="F782" s="4" t="s">
        <v>69</v>
      </c>
      <c r="G782" s="4">
        <v>2562.15</v>
      </c>
      <c r="H782" s="4">
        <v>97.302752293578</v>
      </c>
      <c r="I782" s="4">
        <f>G782*H782</f>
        <v>249304.246788991</v>
      </c>
      <c r="J782" s="4">
        <f t="shared" ref="J782:L782" si="1454">+G782</f>
        <v>2562.15</v>
      </c>
      <c r="K782" s="4">
        <f t="shared" si="1454"/>
        <v>97.302752293578</v>
      </c>
      <c r="L782" s="517">
        <f t="shared" si="1454"/>
        <v>249304.246788991</v>
      </c>
      <c r="M782" s="4">
        <v>2562.15</v>
      </c>
      <c r="N782" s="4">
        <f ca="1">O782/M782</f>
        <v>45</v>
      </c>
      <c r="O782" s="4">
        <f ca="1">(+O783)</f>
        <v>115296.75</v>
      </c>
      <c r="P782" s="4"/>
      <c r="Q782" s="4"/>
      <c r="R782" s="4">
        <f>+P782+J782</f>
        <v>2562.15</v>
      </c>
      <c r="S782" s="4">
        <f>+Q782+L782</f>
        <v>249304.246788991</v>
      </c>
      <c r="T782" s="4">
        <f>IFERROR(VLOOKUP(A782,产值统计中间表!A:F,7,FALSE),0)</f>
        <v>0</v>
      </c>
      <c r="U782" s="4">
        <f>+T782*H782</f>
        <v>0</v>
      </c>
      <c r="V782" s="4">
        <f>IFERROR(VLOOKUP(A782,产值统计中间表!A:D,4,FALSE),0)</f>
        <v>0</v>
      </c>
      <c r="W782" s="4">
        <f>+V782*H782</f>
        <v>0</v>
      </c>
      <c r="X782" s="4">
        <f>+R782-V782</f>
        <v>2562.15</v>
      </c>
      <c r="Y782" s="4">
        <f>+S782-W782</f>
        <v>249304.246788991</v>
      </c>
      <c r="Z782" s="4">
        <f>IFERROR(VLOOKUP(A782,业主统计中间表!A:D,4,FALSE),0)</f>
        <v>0</v>
      </c>
      <c r="AA782" s="4">
        <f>+Z782*H782</f>
        <v>0</v>
      </c>
      <c r="AB782" s="4"/>
    </row>
    <row r="783" customHeight="1" outlineLevel="3" spans="1:28">
      <c r="A783" s="514" t="s">
        <v>3335</v>
      </c>
      <c r="B783" s="4"/>
      <c r="C783" s="510" t="s">
        <v>65</v>
      </c>
      <c r="D783" s="4" t="s">
        <v>663</v>
      </c>
      <c r="E783" s="4"/>
      <c r="F783" s="4" t="str">
        <f ca="1" t="shared" ref="F783:F794" si="1455">VLOOKUP($D783,INDIRECT($C783),2,0)</f>
        <v>m2</v>
      </c>
      <c r="G783" s="4"/>
      <c r="H783" s="4"/>
      <c r="I783" s="4"/>
      <c r="J783" s="4"/>
      <c r="K783" s="4"/>
      <c r="L783" s="517"/>
      <c r="M783" s="4">
        <v>2562.15</v>
      </c>
      <c r="N783" s="4">
        <f ca="1" t="shared" ref="N783:N794" si="1456">VLOOKUP($D783,INDIRECT($C783),3,0)</f>
        <v>45</v>
      </c>
      <c r="O783" s="4">
        <f ca="1">M783*N783</f>
        <v>115296.75</v>
      </c>
      <c r="P783" s="4"/>
      <c r="Q783" s="4"/>
      <c r="R783" s="4"/>
      <c r="S783" s="4"/>
      <c r="T783" s="4">
        <f ca="1" t="shared" ref="T783:T794" si="1457">OFFSET(T783,-RIGHT($A783,LEN($A$6)),,1,1)/OFFSET(T783,-RIGHT($A783,LEN($A$6)),-13,1,1)*$M783</f>
        <v>0</v>
      </c>
      <c r="U783" s="4">
        <f ca="1" t="shared" ref="U783:U794" si="1458">+$N783*T783</f>
        <v>0</v>
      </c>
      <c r="V783" s="4">
        <f ca="1" t="shared" ref="V783:V794" si="1459">OFFSET(V783,-RIGHT($A783,LEN($A$6)),,1,1)/OFFSET(V783,-RIGHT($A783,LEN($A$6)),-15,1,1)*$M783</f>
        <v>0</v>
      </c>
      <c r="W783" s="4">
        <f ca="1" t="shared" ref="W783:W794" si="1460">+$N783*V783</f>
        <v>0</v>
      </c>
      <c r="X783" s="4">
        <f ca="1" t="shared" ref="X783:X794" si="1461">+M783-V783</f>
        <v>2562.15</v>
      </c>
      <c r="Y783" s="4">
        <f ca="1" t="shared" ref="Y783:Y794" si="1462">+O783-W783</f>
        <v>115296.75</v>
      </c>
      <c r="Z783" s="4">
        <f ca="1" t="shared" ref="Z783:Z794" si="1463">OFFSET(Z783,-RIGHT($A783,LEN($A$6)),,1,1)/OFFSET(Z783,-RIGHT($A783,LEN($A$6)),-19,1,1)*$M783</f>
        <v>0</v>
      </c>
      <c r="AA783" s="4">
        <f ca="1" t="shared" ref="AA783:AA794" si="1464">+$N783*Z783</f>
        <v>0</v>
      </c>
      <c r="AB783" s="4"/>
    </row>
    <row r="784" customHeight="1" outlineLevel="1" spans="1:28">
      <c r="A784" s="518" t="s">
        <v>3336</v>
      </c>
      <c r="B784" s="4"/>
      <c r="C784" s="510" t="s">
        <v>60</v>
      </c>
      <c r="D784" s="4" t="s">
        <v>3337</v>
      </c>
      <c r="E784" s="4"/>
      <c r="F784" s="4"/>
      <c r="G784" s="4"/>
      <c r="H784" s="4"/>
      <c r="I784" s="4">
        <f>(+I785+I795+I801+I803+I805+I807+I809+I815+I818+I820+I823+I826+I828+I830+I832+I834+I836+I838+I840+I842+I844+I846+I849+I856)</f>
        <v>75308989.5006332</v>
      </c>
      <c r="J784" s="4"/>
      <c r="K784" s="4"/>
      <c r="L784" s="517">
        <f>(+L785+L795+L801+L803+L805+L807+L809+L815+L818+L820+L823+L826+L828+L830+L832+L834+L836+L838+L840+L842+L844+L846+L849+L856)</f>
        <v>75308989.5006332</v>
      </c>
      <c r="M784" s="4"/>
      <c r="N784" s="4"/>
      <c r="O784" s="4">
        <f ca="1">(+O785+O795+O801+O803+O805+O807+O809+O815+O818+O820+O823+O826+O828+O830+O832+O834+O836+O838+O840+O842+O844+O846+O849+O856)</f>
        <v>64583897.5032086</v>
      </c>
      <c r="P784" s="4"/>
      <c r="Q784" s="4"/>
      <c r="R784" s="4"/>
      <c r="S784" s="4"/>
      <c r="T784" s="4"/>
      <c r="U784" s="4"/>
      <c r="V784" s="4"/>
      <c r="W784" s="4"/>
      <c r="X784" s="4"/>
      <c r="Y784" s="4"/>
      <c r="Z784" s="4"/>
      <c r="AA784" s="4"/>
      <c r="AB784" s="4"/>
    </row>
    <row r="785" customHeight="1" outlineLevel="2" spans="1:28">
      <c r="A785" s="515" t="s">
        <v>3338</v>
      </c>
      <c r="B785" s="4"/>
      <c r="C785" s="510" t="s">
        <v>1309</v>
      </c>
      <c r="D785" s="4" t="s">
        <v>3168</v>
      </c>
      <c r="E785" s="4" t="s">
        <v>1365</v>
      </c>
      <c r="F785" s="4" t="s">
        <v>72</v>
      </c>
      <c r="G785" s="4">
        <v>1668.47</v>
      </c>
      <c r="H785" s="4">
        <v>1693.22018348624</v>
      </c>
      <c r="I785" s="4">
        <f>G785*H785</f>
        <v>2825087.07954129</v>
      </c>
      <c r="J785" s="4">
        <f t="shared" ref="J785:L785" si="1465">+G785</f>
        <v>1668.47</v>
      </c>
      <c r="K785" s="4">
        <f t="shared" si="1465"/>
        <v>1693.22018348624</v>
      </c>
      <c r="L785" s="517">
        <f t="shared" si="1465"/>
        <v>2825087.07954129</v>
      </c>
      <c r="M785" s="4">
        <v>1668.47</v>
      </c>
      <c r="N785" s="4">
        <f ca="1">O785/M785</f>
        <v>1447.24451167836</v>
      </c>
      <c r="O785" s="4">
        <f ca="1">(+O786+O787+O788+O789+O790+O791+O792+O793+O794)</f>
        <v>2414684.0504</v>
      </c>
      <c r="P785" s="4"/>
      <c r="Q785" s="4"/>
      <c r="R785" s="4">
        <f>+P785+J785</f>
        <v>1668.47</v>
      </c>
      <c r="S785" s="4">
        <f>+Q785+L785</f>
        <v>2825087.07954129</v>
      </c>
      <c r="T785" s="4">
        <f>IFERROR(VLOOKUP(A785,产值统计中间表!A:F,7,FALSE),0)</f>
        <v>0</v>
      </c>
      <c r="U785" s="4">
        <f>+T785*H785</f>
        <v>0</v>
      </c>
      <c r="V785" s="4">
        <f>IFERROR(VLOOKUP(A785,产值统计中间表!A:D,4,FALSE),0)</f>
        <v>0</v>
      </c>
      <c r="W785" s="4">
        <f>+V785*H785</f>
        <v>0</v>
      </c>
      <c r="X785" s="4">
        <f>+R785-V785</f>
        <v>1668.47</v>
      </c>
      <c r="Y785" s="4">
        <f>+S785-W785</f>
        <v>2825087.07954129</v>
      </c>
      <c r="Z785" s="4">
        <f>IFERROR(VLOOKUP(A785,业主统计中间表!A:D,4,FALSE),0)</f>
        <v>0</v>
      </c>
      <c r="AA785" s="4">
        <f>+Z785*H785</f>
        <v>0</v>
      </c>
      <c r="AB785" s="4"/>
    </row>
    <row r="786" customHeight="1" outlineLevel="3" spans="1:28">
      <c r="A786" s="514" t="s">
        <v>3339</v>
      </c>
      <c r="B786" s="4"/>
      <c r="C786" s="510" t="s">
        <v>65</v>
      </c>
      <c r="D786" s="4" t="s">
        <v>687</v>
      </c>
      <c r="E786" s="4" t="s">
        <v>3174</v>
      </c>
      <c r="F786" s="4" t="str">
        <f ca="1" t="shared" si="1455"/>
        <v>m³</v>
      </c>
      <c r="G786" s="4"/>
      <c r="H786" s="4"/>
      <c r="I786" s="4"/>
      <c r="J786" s="4"/>
      <c r="K786" s="4"/>
      <c r="L786" s="517"/>
      <c r="M786" s="4">
        <v>1668.47</v>
      </c>
      <c r="N786" s="4">
        <f ca="1" t="shared" si="1456"/>
        <v>390</v>
      </c>
      <c r="O786" s="4">
        <f ca="1" t="shared" ref="O786:O794" si="1466">M786*N786</f>
        <v>650703.3</v>
      </c>
      <c r="P786" s="4"/>
      <c r="Q786" s="4"/>
      <c r="R786" s="4"/>
      <c r="S786" s="4"/>
      <c r="T786" s="4">
        <f ca="1" t="shared" si="1457"/>
        <v>0</v>
      </c>
      <c r="U786" s="4">
        <f ca="1" t="shared" si="1458"/>
        <v>0</v>
      </c>
      <c r="V786" s="4">
        <f ca="1" t="shared" si="1459"/>
        <v>0</v>
      </c>
      <c r="W786" s="4">
        <f ca="1" t="shared" si="1460"/>
        <v>0</v>
      </c>
      <c r="X786" s="4">
        <f ca="1" t="shared" si="1461"/>
        <v>1668.47</v>
      </c>
      <c r="Y786" s="4">
        <f ca="1" t="shared" si="1462"/>
        <v>650703.3</v>
      </c>
      <c r="Z786" s="4">
        <f ca="1" t="shared" si="1463"/>
        <v>0</v>
      </c>
      <c r="AA786" s="4">
        <f ca="1" t="shared" si="1464"/>
        <v>0</v>
      </c>
      <c r="AB786" s="4"/>
    </row>
    <row r="787" customHeight="1" outlineLevel="3" spans="1:28">
      <c r="A787" s="514" t="s">
        <v>3340</v>
      </c>
      <c r="B787" s="4"/>
      <c r="C787" s="510" t="s">
        <v>59</v>
      </c>
      <c r="D787" s="4" t="s">
        <v>784</v>
      </c>
      <c r="E787" s="4"/>
      <c r="F787" s="4" t="str">
        <f ca="1" t="shared" si="1455"/>
        <v>m³</v>
      </c>
      <c r="G787" s="4"/>
      <c r="H787" s="4"/>
      <c r="I787" s="4"/>
      <c r="J787" s="4"/>
      <c r="K787" s="4"/>
      <c r="L787" s="517"/>
      <c r="M787" s="4">
        <v>1928.417626</v>
      </c>
      <c r="N787" s="4">
        <f ca="1" t="shared" si="1456"/>
        <v>400</v>
      </c>
      <c r="O787" s="4">
        <f ca="1" t="shared" si="1466"/>
        <v>771367.0504</v>
      </c>
      <c r="P787" s="4"/>
      <c r="Q787" s="4"/>
      <c r="R787" s="4"/>
      <c r="S787" s="4"/>
      <c r="T787" s="4">
        <f ca="1" t="shared" si="1457"/>
        <v>0</v>
      </c>
      <c r="U787" s="4">
        <f ca="1" t="shared" si="1458"/>
        <v>0</v>
      </c>
      <c r="V787" s="4">
        <f ca="1" t="shared" si="1459"/>
        <v>0</v>
      </c>
      <c r="W787" s="4">
        <f ca="1" t="shared" si="1460"/>
        <v>0</v>
      </c>
      <c r="X787" s="4">
        <f ca="1" t="shared" si="1461"/>
        <v>1928.417626</v>
      </c>
      <c r="Y787" s="4">
        <f ca="1" t="shared" si="1462"/>
        <v>771367.0504</v>
      </c>
      <c r="Z787" s="4">
        <f ca="1" t="shared" si="1463"/>
        <v>0</v>
      </c>
      <c r="AA787" s="4">
        <f ca="1" t="shared" si="1464"/>
        <v>0</v>
      </c>
      <c r="AB787" s="4"/>
    </row>
    <row r="788" customHeight="1" outlineLevel="3" spans="1:28">
      <c r="A788" s="514" t="s">
        <v>3341</v>
      </c>
      <c r="B788" s="4"/>
      <c r="C788" s="510" t="s">
        <v>59</v>
      </c>
      <c r="D788" s="4" t="s">
        <v>788</v>
      </c>
      <c r="E788" s="4" t="str">
        <f ca="1">"含钢量："&amp;ROUND($M$788/$G$785,3)&amp;$F$788&amp;"/"&amp;$F$785</f>
        <v>含钢量：0.124t/m3</v>
      </c>
      <c r="F788" s="4" t="str">
        <f ca="1" t="shared" si="1455"/>
        <v>t</v>
      </c>
      <c r="G788" s="4"/>
      <c r="H788" s="4"/>
      <c r="I788" s="4"/>
      <c r="J788" s="4"/>
      <c r="K788" s="4"/>
      <c r="L788" s="517"/>
      <c r="M788" s="4">
        <v>206.618</v>
      </c>
      <c r="N788" s="4">
        <f ca="1" t="shared" si="1456"/>
        <v>4000</v>
      </c>
      <c r="O788" s="4">
        <f ca="1" t="shared" si="1466"/>
        <v>826472</v>
      </c>
      <c r="P788" s="4"/>
      <c r="Q788" s="4"/>
      <c r="R788" s="4"/>
      <c r="S788" s="4"/>
      <c r="T788" s="4">
        <f ca="1" t="shared" si="1457"/>
        <v>0</v>
      </c>
      <c r="U788" s="4">
        <f ca="1" t="shared" si="1458"/>
        <v>0</v>
      </c>
      <c r="V788" s="4">
        <f ca="1" t="shared" si="1459"/>
        <v>0</v>
      </c>
      <c r="W788" s="4">
        <f ca="1" t="shared" si="1460"/>
        <v>0</v>
      </c>
      <c r="X788" s="4">
        <f ca="1" t="shared" si="1461"/>
        <v>206.618</v>
      </c>
      <c r="Y788" s="4">
        <f ca="1" t="shared" si="1462"/>
        <v>826472</v>
      </c>
      <c r="Z788" s="4">
        <f ca="1" t="shared" si="1463"/>
        <v>0</v>
      </c>
      <c r="AA788" s="4">
        <f ca="1" t="shared" si="1464"/>
        <v>0</v>
      </c>
      <c r="AB788" s="4"/>
    </row>
    <row r="789" customHeight="1" outlineLevel="3" spans="1:28">
      <c r="A789" s="514" t="s">
        <v>3342</v>
      </c>
      <c r="B789" s="4"/>
      <c r="C789" s="510" t="s">
        <v>64</v>
      </c>
      <c r="D789" s="4" t="s">
        <v>1055</v>
      </c>
      <c r="E789" s="4" t="s">
        <v>2467</v>
      </c>
      <c r="F789" s="4" t="str">
        <f ca="1" t="shared" si="1455"/>
        <v>根</v>
      </c>
      <c r="G789" s="4"/>
      <c r="H789" s="4"/>
      <c r="I789" s="4"/>
      <c r="J789" s="4"/>
      <c r="K789" s="4"/>
      <c r="L789" s="517"/>
      <c r="M789" s="4">
        <v>16</v>
      </c>
      <c r="N789" s="4">
        <f ca="1" t="shared" si="1456"/>
        <v>180</v>
      </c>
      <c r="O789" s="4">
        <f ca="1" t="shared" si="1466"/>
        <v>2880</v>
      </c>
      <c r="P789" s="4"/>
      <c r="Q789" s="4"/>
      <c r="R789" s="4"/>
      <c r="S789" s="4"/>
      <c r="T789" s="4">
        <f ca="1" t="shared" si="1457"/>
        <v>0</v>
      </c>
      <c r="U789" s="4">
        <f ca="1" t="shared" si="1458"/>
        <v>0</v>
      </c>
      <c r="V789" s="4">
        <f ca="1" t="shared" si="1459"/>
        <v>0</v>
      </c>
      <c r="W789" s="4">
        <f ca="1" t="shared" si="1460"/>
        <v>0</v>
      </c>
      <c r="X789" s="4">
        <f ca="1" t="shared" si="1461"/>
        <v>16</v>
      </c>
      <c r="Y789" s="4">
        <f ca="1" t="shared" si="1462"/>
        <v>2880</v>
      </c>
      <c r="Z789" s="4">
        <f ca="1" t="shared" si="1463"/>
        <v>0</v>
      </c>
      <c r="AA789" s="4">
        <f ca="1" t="shared" si="1464"/>
        <v>0</v>
      </c>
      <c r="AB789" s="4"/>
    </row>
    <row r="790" customHeight="1" outlineLevel="3" spans="1:28">
      <c r="A790" s="514" t="s">
        <v>3343</v>
      </c>
      <c r="B790" s="4"/>
      <c r="C790" s="510" t="s">
        <v>64</v>
      </c>
      <c r="D790" s="4" t="s">
        <v>1055</v>
      </c>
      <c r="E790" s="4" t="s">
        <v>2467</v>
      </c>
      <c r="F790" s="4" t="str">
        <f ca="1" t="shared" si="1455"/>
        <v>根</v>
      </c>
      <c r="G790" s="4"/>
      <c r="H790" s="4"/>
      <c r="I790" s="4"/>
      <c r="J790" s="4"/>
      <c r="K790" s="4"/>
      <c r="L790" s="517"/>
      <c r="M790" s="4">
        <v>16</v>
      </c>
      <c r="N790" s="4">
        <f ca="1" t="shared" si="1456"/>
        <v>180</v>
      </c>
      <c r="O790" s="4">
        <f ca="1" t="shared" si="1466"/>
        <v>2880</v>
      </c>
      <c r="P790" s="4"/>
      <c r="Q790" s="4"/>
      <c r="R790" s="4"/>
      <c r="S790" s="4"/>
      <c r="T790" s="4">
        <f ca="1" t="shared" si="1457"/>
        <v>0</v>
      </c>
      <c r="U790" s="4">
        <f ca="1" t="shared" si="1458"/>
        <v>0</v>
      </c>
      <c r="V790" s="4">
        <f ca="1" t="shared" si="1459"/>
        <v>0</v>
      </c>
      <c r="W790" s="4">
        <f ca="1" t="shared" si="1460"/>
        <v>0</v>
      </c>
      <c r="X790" s="4">
        <f ca="1" t="shared" si="1461"/>
        <v>16</v>
      </c>
      <c r="Y790" s="4">
        <f ca="1" t="shared" si="1462"/>
        <v>2880</v>
      </c>
      <c r="Z790" s="4">
        <f ca="1" t="shared" si="1463"/>
        <v>0</v>
      </c>
      <c r="AA790" s="4">
        <f ca="1" t="shared" si="1464"/>
        <v>0</v>
      </c>
      <c r="AB790" s="4"/>
    </row>
    <row r="791" customHeight="1" outlineLevel="3" spans="1:28">
      <c r="A791" s="514" t="s">
        <v>3344</v>
      </c>
      <c r="B791" s="4"/>
      <c r="C791" s="510" t="s">
        <v>65</v>
      </c>
      <c r="D791" s="4" t="s">
        <v>651</v>
      </c>
      <c r="E791" s="4"/>
      <c r="F791" s="4" t="str">
        <f ca="1" t="shared" si="1455"/>
        <v>根</v>
      </c>
      <c r="G791" s="4"/>
      <c r="H791" s="4"/>
      <c r="I791" s="4"/>
      <c r="J791" s="4"/>
      <c r="K791" s="4"/>
      <c r="L791" s="517"/>
      <c r="M791" s="4">
        <v>32</v>
      </c>
      <c r="N791" s="4">
        <f ca="1" t="shared" si="1456"/>
        <v>65</v>
      </c>
      <c r="O791" s="4">
        <f ca="1" t="shared" si="1466"/>
        <v>2080</v>
      </c>
      <c r="P791" s="4"/>
      <c r="Q791" s="4"/>
      <c r="R791" s="4"/>
      <c r="S791" s="4"/>
      <c r="T791" s="4">
        <f ca="1" t="shared" si="1457"/>
        <v>0</v>
      </c>
      <c r="U791" s="4">
        <f ca="1" t="shared" si="1458"/>
        <v>0</v>
      </c>
      <c r="V791" s="4">
        <f ca="1" t="shared" si="1459"/>
        <v>0</v>
      </c>
      <c r="W791" s="4">
        <f ca="1" t="shared" si="1460"/>
        <v>0</v>
      </c>
      <c r="X791" s="4">
        <f ca="1" t="shared" si="1461"/>
        <v>32</v>
      </c>
      <c r="Y791" s="4">
        <f ca="1" t="shared" si="1462"/>
        <v>2080</v>
      </c>
      <c r="Z791" s="4">
        <f ca="1" t="shared" si="1463"/>
        <v>0</v>
      </c>
      <c r="AA791" s="4">
        <f ca="1" t="shared" si="1464"/>
        <v>0</v>
      </c>
      <c r="AB791" s="4"/>
    </row>
    <row r="792" customHeight="1" outlineLevel="3" spans="1:28">
      <c r="A792" s="514" t="s">
        <v>3345</v>
      </c>
      <c r="B792" s="4"/>
      <c r="C792" s="510" t="s">
        <v>65</v>
      </c>
      <c r="D792" s="4" t="s">
        <v>655</v>
      </c>
      <c r="E792" s="4"/>
      <c r="F792" s="4" t="str">
        <f ca="1" t="shared" si="1455"/>
        <v>根</v>
      </c>
      <c r="G792" s="4"/>
      <c r="H792" s="4"/>
      <c r="I792" s="4"/>
      <c r="J792" s="4"/>
      <c r="K792" s="4"/>
      <c r="L792" s="517"/>
      <c r="M792" s="4">
        <v>32</v>
      </c>
      <c r="N792" s="4">
        <f ca="1" t="shared" si="1456"/>
        <v>750</v>
      </c>
      <c r="O792" s="4">
        <f ca="1" t="shared" si="1466"/>
        <v>24000</v>
      </c>
      <c r="P792" s="4"/>
      <c r="Q792" s="4"/>
      <c r="R792" s="4"/>
      <c r="S792" s="4"/>
      <c r="T792" s="4">
        <f ca="1" t="shared" si="1457"/>
        <v>0</v>
      </c>
      <c r="U792" s="4">
        <f ca="1" t="shared" si="1458"/>
        <v>0</v>
      </c>
      <c r="V792" s="4">
        <f ca="1" t="shared" si="1459"/>
        <v>0</v>
      </c>
      <c r="W792" s="4">
        <f ca="1" t="shared" si="1460"/>
        <v>0</v>
      </c>
      <c r="X792" s="4">
        <f ca="1" t="shared" si="1461"/>
        <v>32</v>
      </c>
      <c r="Y792" s="4">
        <f ca="1" t="shared" si="1462"/>
        <v>24000</v>
      </c>
      <c r="Z792" s="4">
        <f ca="1" t="shared" si="1463"/>
        <v>0</v>
      </c>
      <c r="AA792" s="4">
        <f ca="1" t="shared" si="1464"/>
        <v>0</v>
      </c>
      <c r="AB792" s="4"/>
    </row>
    <row r="793" customHeight="1" outlineLevel="3" spans="1:28">
      <c r="A793" s="514" t="s">
        <v>3346</v>
      </c>
      <c r="B793" s="4"/>
      <c r="C793" s="510" t="s">
        <v>59</v>
      </c>
      <c r="D793" s="4" t="s">
        <v>1131</v>
      </c>
      <c r="E793" s="4"/>
      <c r="F793" s="4" t="str">
        <f ca="1" t="shared" si="1455"/>
        <v>m</v>
      </c>
      <c r="G793" s="4"/>
      <c r="H793" s="4"/>
      <c r="I793" s="4"/>
      <c r="J793" s="4"/>
      <c r="K793" s="4"/>
      <c r="L793" s="517"/>
      <c r="M793" s="4">
        <v>2849.28</v>
      </c>
      <c r="N793" s="4">
        <f ca="1" t="shared" si="1456"/>
        <v>0</v>
      </c>
      <c r="O793" s="4">
        <f ca="1" t="shared" si="1466"/>
        <v>0</v>
      </c>
      <c r="P793" s="4"/>
      <c r="Q793" s="4"/>
      <c r="R793" s="4"/>
      <c r="S793" s="4"/>
      <c r="T793" s="4">
        <f ca="1" t="shared" si="1457"/>
        <v>0</v>
      </c>
      <c r="U793" s="4">
        <f ca="1" t="shared" si="1458"/>
        <v>0</v>
      </c>
      <c r="V793" s="4">
        <f ca="1" t="shared" si="1459"/>
        <v>0</v>
      </c>
      <c r="W793" s="4">
        <f ca="1" t="shared" si="1460"/>
        <v>0</v>
      </c>
      <c r="X793" s="4">
        <f ca="1" t="shared" si="1461"/>
        <v>2849.28</v>
      </c>
      <c r="Y793" s="4">
        <f ca="1" t="shared" si="1462"/>
        <v>0</v>
      </c>
      <c r="Z793" s="4">
        <f ca="1" t="shared" si="1463"/>
        <v>0</v>
      </c>
      <c r="AA793" s="4">
        <f ca="1" t="shared" si="1464"/>
        <v>0</v>
      </c>
      <c r="AB793" s="4"/>
    </row>
    <row r="794" customHeight="1" outlineLevel="3" spans="1:28">
      <c r="A794" s="514" t="s">
        <v>3347</v>
      </c>
      <c r="B794" s="4"/>
      <c r="C794" s="510" t="s">
        <v>64</v>
      </c>
      <c r="D794" s="4" t="s">
        <v>1040</v>
      </c>
      <c r="E794" s="4"/>
      <c r="F794" s="4" t="str">
        <f ca="1" t="shared" si="1455"/>
        <v>t</v>
      </c>
      <c r="G794" s="4"/>
      <c r="H794" s="4"/>
      <c r="I794" s="4"/>
      <c r="J794" s="4"/>
      <c r="K794" s="4"/>
      <c r="L794" s="517"/>
      <c r="M794" s="4">
        <v>206.618</v>
      </c>
      <c r="N794" s="4">
        <f ca="1" t="shared" si="1456"/>
        <v>650</v>
      </c>
      <c r="O794" s="4">
        <f ca="1" t="shared" si="1466"/>
        <v>134301.7</v>
      </c>
      <c r="P794" s="4"/>
      <c r="Q794" s="4"/>
      <c r="R794" s="4"/>
      <c r="S794" s="4"/>
      <c r="T794" s="4">
        <f ca="1" t="shared" si="1457"/>
        <v>0</v>
      </c>
      <c r="U794" s="4">
        <f ca="1" t="shared" si="1458"/>
        <v>0</v>
      </c>
      <c r="V794" s="4">
        <f ca="1" t="shared" si="1459"/>
        <v>0</v>
      </c>
      <c r="W794" s="4">
        <f ca="1" t="shared" si="1460"/>
        <v>0</v>
      </c>
      <c r="X794" s="4">
        <f ca="1" t="shared" si="1461"/>
        <v>206.618</v>
      </c>
      <c r="Y794" s="4">
        <f ca="1" t="shared" si="1462"/>
        <v>134301.7</v>
      </c>
      <c r="Z794" s="4">
        <f ca="1" t="shared" si="1463"/>
        <v>0</v>
      </c>
      <c r="AA794" s="4">
        <f ca="1" t="shared" si="1464"/>
        <v>0</v>
      </c>
      <c r="AB794" s="4"/>
    </row>
    <row r="795" customHeight="1" outlineLevel="2" spans="1:28">
      <c r="A795" s="515" t="s">
        <v>3348</v>
      </c>
      <c r="B795" s="4"/>
      <c r="C795" s="510" t="s">
        <v>1309</v>
      </c>
      <c r="D795" s="4" t="s">
        <v>3349</v>
      </c>
      <c r="E795" s="4" t="s">
        <v>2472</v>
      </c>
      <c r="F795" s="4" t="s">
        <v>72</v>
      </c>
      <c r="G795" s="4">
        <v>2750</v>
      </c>
      <c r="H795" s="4">
        <v>1050.63302752294</v>
      </c>
      <c r="I795" s="4">
        <f>G795*H795</f>
        <v>2889240.82568809</v>
      </c>
      <c r="J795" s="4">
        <f t="shared" ref="J795:L795" si="1467">+G795</f>
        <v>2750</v>
      </c>
      <c r="K795" s="4">
        <f t="shared" si="1467"/>
        <v>1050.63302752294</v>
      </c>
      <c r="L795" s="517">
        <f t="shared" si="1467"/>
        <v>2889240.82568809</v>
      </c>
      <c r="M795" s="4">
        <v>2750</v>
      </c>
      <c r="N795" s="4">
        <f ca="1">O795/M795</f>
        <v>1072.20031512126</v>
      </c>
      <c r="O795" s="4">
        <f ca="1">(+O796+O797+O798+O799+O800)</f>
        <v>2948550.86658345</v>
      </c>
      <c r="P795" s="4"/>
      <c r="Q795" s="4"/>
      <c r="R795" s="4">
        <f>+P795+J795</f>
        <v>2750</v>
      </c>
      <c r="S795" s="4">
        <f>+Q795+L795</f>
        <v>2889240.82568809</v>
      </c>
      <c r="T795" s="4">
        <f>IFERROR(VLOOKUP(A795,产值统计中间表!A:F,7,FALSE),0)</f>
        <v>0</v>
      </c>
      <c r="U795" s="4">
        <f>+T795*H795</f>
        <v>0</v>
      </c>
      <c r="V795" s="4">
        <f>IFERROR(VLOOKUP(A795,产值统计中间表!A:D,4,FALSE),0)</f>
        <v>0</v>
      </c>
      <c r="W795" s="4">
        <f>+V795*H795</f>
        <v>0</v>
      </c>
      <c r="X795" s="4">
        <f>+R795-V795</f>
        <v>2750</v>
      </c>
      <c r="Y795" s="4">
        <f>+S795-W795</f>
        <v>2889240.82568809</v>
      </c>
      <c r="Z795" s="4">
        <f>IFERROR(VLOOKUP(A795,业主统计中间表!A:D,4,FALSE),0)</f>
        <v>0</v>
      </c>
      <c r="AA795" s="4">
        <f>+Z795*H795</f>
        <v>0</v>
      </c>
      <c r="AB795" s="4"/>
    </row>
    <row r="796" customHeight="1" outlineLevel="3" spans="1:28">
      <c r="A796" s="514" t="s">
        <v>3350</v>
      </c>
      <c r="B796" s="4"/>
      <c r="C796" s="510" t="s">
        <v>64</v>
      </c>
      <c r="D796" s="4" t="s">
        <v>262</v>
      </c>
      <c r="E796" s="4" t="s">
        <v>3351</v>
      </c>
      <c r="F796" s="4" t="str">
        <f ca="1" t="shared" ref="F796:F800" si="1468">VLOOKUP($D796,INDIRECT($C796),2,0)</f>
        <v>m2</v>
      </c>
      <c r="G796" s="4"/>
      <c r="H796" s="4"/>
      <c r="I796" s="4"/>
      <c r="J796" s="4"/>
      <c r="K796" s="4"/>
      <c r="L796" s="517"/>
      <c r="M796" s="4">
        <v>747.94</v>
      </c>
      <c r="N796" s="4">
        <f ca="1" t="shared" ref="N796:N800" si="1469">VLOOKUP($D796,INDIRECT($C796),3,0)</f>
        <v>55</v>
      </c>
      <c r="O796" s="4">
        <f ca="1">M796*N796</f>
        <v>41136.7</v>
      </c>
      <c r="P796" s="4"/>
      <c r="Q796" s="4"/>
      <c r="R796" s="4"/>
      <c r="S796" s="4"/>
      <c r="T796" s="4">
        <f ca="1" t="shared" ref="T796:T800" si="1470">OFFSET(T796,-RIGHT($A796,LEN($A$6)),,1,1)/OFFSET(T796,-RIGHT($A796,LEN($A$6)),-13,1,1)*$M796</f>
        <v>0</v>
      </c>
      <c r="U796" s="4">
        <f ca="1" t="shared" ref="U796:U800" si="1471">+$N796*T796</f>
        <v>0</v>
      </c>
      <c r="V796" s="4">
        <f ca="1" t="shared" ref="V796:V800" si="1472">OFFSET(V796,-RIGHT($A796,LEN($A$6)),,1,1)/OFFSET(V796,-RIGHT($A796,LEN($A$6)),-15,1,1)*$M796</f>
        <v>0</v>
      </c>
      <c r="W796" s="4">
        <f ca="1" t="shared" ref="W796:W800" si="1473">+$N796*V796</f>
        <v>0</v>
      </c>
      <c r="X796" s="4">
        <f ca="1" t="shared" ref="X796:X800" si="1474">+M796-V796</f>
        <v>747.94</v>
      </c>
      <c r="Y796" s="4">
        <f ca="1" t="shared" ref="Y796:Y800" si="1475">+O796-W796</f>
        <v>41136.7</v>
      </c>
      <c r="Z796" s="4">
        <f ca="1" t="shared" ref="Z796:Z800" si="1476">OFFSET(Z796,-RIGHT($A796,LEN($A$6)),,1,1)/OFFSET(Z796,-RIGHT($A796,LEN($A$6)),-19,1,1)*$M796</f>
        <v>0</v>
      </c>
      <c r="AA796" s="4">
        <f ca="1" t="shared" ref="AA796:AA800" si="1477">+$N796*Z796</f>
        <v>0</v>
      </c>
      <c r="AB796" s="4"/>
    </row>
    <row r="797" customHeight="1" outlineLevel="3" spans="1:28">
      <c r="A797" s="514" t="s">
        <v>3352</v>
      </c>
      <c r="B797" s="4"/>
      <c r="C797" s="510" t="s">
        <v>64</v>
      </c>
      <c r="D797" s="4" t="s">
        <v>296</v>
      </c>
      <c r="E797" s="4"/>
      <c r="F797" s="4" t="str">
        <f ca="1" t="shared" si="1468"/>
        <v>t</v>
      </c>
      <c r="G797" s="4"/>
      <c r="H797" s="4"/>
      <c r="I797" s="4"/>
      <c r="J797" s="4"/>
      <c r="K797" s="4"/>
      <c r="L797" s="517"/>
      <c r="M797" s="4">
        <v>260.81</v>
      </c>
      <c r="N797" s="4">
        <f ca="1" t="shared" si="1469"/>
        <v>700</v>
      </c>
      <c r="O797" s="4">
        <f ca="1">M797*N797</f>
        <v>182567</v>
      </c>
      <c r="P797" s="4"/>
      <c r="Q797" s="4"/>
      <c r="R797" s="4"/>
      <c r="S797" s="4"/>
      <c r="T797" s="4">
        <f ca="1" t="shared" si="1470"/>
        <v>0</v>
      </c>
      <c r="U797" s="4">
        <f ca="1" t="shared" si="1471"/>
        <v>0</v>
      </c>
      <c r="V797" s="4">
        <f ca="1" t="shared" si="1472"/>
        <v>0</v>
      </c>
      <c r="W797" s="4">
        <f ca="1" t="shared" si="1473"/>
        <v>0</v>
      </c>
      <c r="X797" s="4">
        <f ca="1" t="shared" si="1474"/>
        <v>260.81</v>
      </c>
      <c r="Y797" s="4">
        <f ca="1" t="shared" si="1475"/>
        <v>182567</v>
      </c>
      <c r="Z797" s="4">
        <f ca="1" t="shared" si="1476"/>
        <v>0</v>
      </c>
      <c r="AA797" s="4">
        <f ca="1" t="shared" si="1477"/>
        <v>0</v>
      </c>
      <c r="AB797" s="4"/>
    </row>
    <row r="798" customHeight="1" outlineLevel="3" spans="1:28">
      <c r="A798" s="514" t="s">
        <v>3353</v>
      </c>
      <c r="B798" s="4"/>
      <c r="C798" s="510" t="s">
        <v>59</v>
      </c>
      <c r="D798" s="4" t="s">
        <v>812</v>
      </c>
      <c r="E798" s="4"/>
      <c r="F798" s="4" t="str">
        <f ca="1" t="shared" si="1468"/>
        <v>m³</v>
      </c>
      <c r="G798" s="4"/>
      <c r="H798" s="4"/>
      <c r="I798" s="4"/>
      <c r="J798" s="4"/>
      <c r="K798" s="4"/>
      <c r="L798" s="517"/>
      <c r="M798" s="4">
        <v>2763.75</v>
      </c>
      <c r="N798" s="4">
        <f ca="1" t="shared" si="1469"/>
        <v>460</v>
      </c>
      <c r="O798" s="4">
        <f ca="1">M798*N798</f>
        <v>1271325</v>
      </c>
      <c r="P798" s="4"/>
      <c r="Q798" s="4"/>
      <c r="R798" s="4"/>
      <c r="S798" s="4"/>
      <c r="T798" s="4">
        <f ca="1" t="shared" si="1470"/>
        <v>0</v>
      </c>
      <c r="U798" s="4">
        <f ca="1" t="shared" si="1471"/>
        <v>0</v>
      </c>
      <c r="V798" s="4">
        <f ca="1" t="shared" si="1472"/>
        <v>0</v>
      </c>
      <c r="W798" s="4">
        <f ca="1" t="shared" si="1473"/>
        <v>0</v>
      </c>
      <c r="X798" s="4">
        <f ca="1" t="shared" si="1474"/>
        <v>2763.75</v>
      </c>
      <c r="Y798" s="4">
        <f ca="1" t="shared" si="1475"/>
        <v>1271325</v>
      </c>
      <c r="Z798" s="4">
        <f ca="1" t="shared" si="1476"/>
        <v>0</v>
      </c>
      <c r="AA798" s="4">
        <f ca="1" t="shared" si="1477"/>
        <v>0</v>
      </c>
      <c r="AB798" s="4"/>
    </row>
    <row r="799" customHeight="1" outlineLevel="3" spans="1:28">
      <c r="A799" s="514" t="s">
        <v>3354</v>
      </c>
      <c r="B799" s="4"/>
      <c r="C799" s="510" t="s">
        <v>59</v>
      </c>
      <c r="D799" s="4" t="s">
        <v>480</v>
      </c>
      <c r="E799" s="4" t="str">
        <f ca="1">"含钢量："&amp;ROUND($M$799/$G$795,3)&amp;$F$799&amp;"/"&amp;$F$795</f>
        <v>含钢量：0.095t/m3</v>
      </c>
      <c r="F799" s="4" t="str">
        <f ca="1" t="shared" si="1468"/>
        <v>t</v>
      </c>
      <c r="G799" s="4"/>
      <c r="H799" s="4"/>
      <c r="I799" s="4"/>
      <c r="J799" s="4"/>
      <c r="K799" s="4"/>
      <c r="L799" s="517"/>
      <c r="M799" s="4">
        <v>260.81</v>
      </c>
      <c r="N799" s="4">
        <f ca="1" t="shared" si="1469"/>
        <v>4200</v>
      </c>
      <c r="O799" s="4">
        <f ca="1">M799*N799</f>
        <v>1095402</v>
      </c>
      <c r="P799" s="4"/>
      <c r="Q799" s="4"/>
      <c r="R799" s="4"/>
      <c r="S799" s="4"/>
      <c r="T799" s="4">
        <f ca="1" t="shared" si="1470"/>
        <v>0</v>
      </c>
      <c r="U799" s="4">
        <f ca="1" t="shared" si="1471"/>
        <v>0</v>
      </c>
      <c r="V799" s="4">
        <f ca="1" t="shared" si="1472"/>
        <v>0</v>
      </c>
      <c r="W799" s="4">
        <f ca="1" t="shared" si="1473"/>
        <v>0</v>
      </c>
      <c r="X799" s="4">
        <f ca="1" t="shared" si="1474"/>
        <v>260.81</v>
      </c>
      <c r="Y799" s="4">
        <f ca="1" t="shared" si="1475"/>
        <v>1095402</v>
      </c>
      <c r="Z799" s="4">
        <f ca="1" t="shared" si="1476"/>
        <v>0</v>
      </c>
      <c r="AA799" s="4">
        <f ca="1" t="shared" si="1477"/>
        <v>0</v>
      </c>
      <c r="AB799" s="4"/>
    </row>
    <row r="800" customHeight="1" outlineLevel="3" spans="1:28">
      <c r="A800" s="514" t="s">
        <v>3355</v>
      </c>
      <c r="B800" s="4"/>
      <c r="C800" s="510" t="s">
        <v>59</v>
      </c>
      <c r="D800" s="4" t="s">
        <v>191</v>
      </c>
      <c r="E800" s="4"/>
      <c r="F800" s="4" t="str">
        <f ca="1" t="shared" si="1468"/>
        <v>m3</v>
      </c>
      <c r="G800" s="4"/>
      <c r="H800" s="4"/>
      <c r="I800" s="4"/>
      <c r="J800" s="4"/>
      <c r="K800" s="4"/>
      <c r="L800" s="517"/>
      <c r="M800" s="4">
        <v>116.3991</v>
      </c>
      <c r="N800" s="4">
        <f ca="1" t="shared" si="1469"/>
        <v>3076.65752212389</v>
      </c>
      <c r="O800" s="4">
        <f ca="1">M800*N800</f>
        <v>358120.166583451</v>
      </c>
      <c r="P800" s="4"/>
      <c r="Q800" s="4"/>
      <c r="R800" s="4"/>
      <c r="S800" s="4"/>
      <c r="T800" s="4">
        <f ca="1" t="shared" si="1470"/>
        <v>0</v>
      </c>
      <c r="U800" s="4">
        <f ca="1" t="shared" si="1471"/>
        <v>0</v>
      </c>
      <c r="V800" s="4">
        <f ca="1" t="shared" si="1472"/>
        <v>0</v>
      </c>
      <c r="W800" s="4">
        <f ca="1" t="shared" si="1473"/>
        <v>0</v>
      </c>
      <c r="X800" s="4">
        <f ca="1" t="shared" si="1474"/>
        <v>116.3991</v>
      </c>
      <c r="Y800" s="4">
        <f ca="1" t="shared" si="1475"/>
        <v>358120.166583451</v>
      </c>
      <c r="Z800" s="4">
        <f ca="1" t="shared" si="1476"/>
        <v>0</v>
      </c>
      <c r="AA800" s="4">
        <f ca="1" t="shared" si="1477"/>
        <v>0</v>
      </c>
      <c r="AB800" s="4"/>
    </row>
    <row r="801" customHeight="1" outlineLevel="2" spans="1:28">
      <c r="A801" s="515" t="s">
        <v>3356</v>
      </c>
      <c r="B801" s="4"/>
      <c r="C801" s="510" t="s">
        <v>1309</v>
      </c>
      <c r="D801" s="4" t="s">
        <v>3357</v>
      </c>
      <c r="E801" s="4" t="s">
        <v>3358</v>
      </c>
      <c r="F801" s="4" t="s">
        <v>82</v>
      </c>
      <c r="G801" s="4">
        <v>3506.35</v>
      </c>
      <c r="H801" s="4">
        <v>10637.7798165138</v>
      </c>
      <c r="I801" s="4">
        <f>G801*H801</f>
        <v>37299779.2596332</v>
      </c>
      <c r="J801" s="4">
        <f t="shared" ref="J801:L801" si="1478">+G801</f>
        <v>3506.35</v>
      </c>
      <c r="K801" s="4">
        <f t="shared" si="1478"/>
        <v>10637.7798165138</v>
      </c>
      <c r="L801" s="517">
        <f t="shared" si="1478"/>
        <v>37299779.2596332</v>
      </c>
      <c r="M801" s="4">
        <v>3506.35</v>
      </c>
      <c r="N801" s="4">
        <f t="shared" ref="N801:N805" si="1479">O801/M801</f>
        <v>9340</v>
      </c>
      <c r="O801" s="4">
        <f>(+O802)</f>
        <v>32749309</v>
      </c>
      <c r="P801" s="4"/>
      <c r="Q801" s="4"/>
      <c r="R801" s="4">
        <f t="shared" ref="R801:R805" si="1480">+P801+J801</f>
        <v>3506.35</v>
      </c>
      <c r="S801" s="4">
        <f t="shared" ref="S801:S805" si="1481">+Q801+L801</f>
        <v>37299779.2596332</v>
      </c>
      <c r="T801" s="4">
        <f>IFERROR(VLOOKUP(A801,产值统计中间表!A:F,7,FALSE),0)</f>
        <v>0</v>
      </c>
      <c r="U801" s="4">
        <f t="shared" ref="U801:U805" si="1482">+T801*H801</f>
        <v>0</v>
      </c>
      <c r="V801" s="4">
        <f>IFERROR(VLOOKUP(A801,产值统计中间表!A:D,4,FALSE),0)</f>
        <v>0</v>
      </c>
      <c r="W801" s="4">
        <f t="shared" ref="W801:W805" si="1483">+V801*H801</f>
        <v>0</v>
      </c>
      <c r="X801" s="4">
        <f t="shared" ref="X801:X805" si="1484">+R801-V801</f>
        <v>3506.35</v>
      </c>
      <c r="Y801" s="4">
        <f t="shared" ref="Y801:Y805" si="1485">+S801-W801</f>
        <v>37299779.2596332</v>
      </c>
      <c r="Z801" s="4">
        <f>IFERROR(VLOOKUP(A801,业主统计中间表!A:D,4,FALSE),0)</f>
        <v>0</v>
      </c>
      <c r="AA801" s="4">
        <f t="shared" ref="AA801:AA805" si="1486">+Z801*H801</f>
        <v>0</v>
      </c>
      <c r="AB801" s="4"/>
    </row>
    <row r="802" customHeight="1" outlineLevel="3" spans="1:28">
      <c r="A802" s="514" t="s">
        <v>3359</v>
      </c>
      <c r="B802" s="4"/>
      <c r="C802" s="510" t="s">
        <v>65</v>
      </c>
      <c r="D802" s="4" t="s">
        <v>731</v>
      </c>
      <c r="E802" s="4" t="s">
        <v>3360</v>
      </c>
      <c r="F802" s="4" t="str">
        <f ca="1" t="shared" ref="F802:F806" si="1487">VLOOKUP($D802,INDIRECT($C802),2,0)</f>
        <v>t</v>
      </c>
      <c r="G802" s="4"/>
      <c r="H802" s="4"/>
      <c r="I802" s="4"/>
      <c r="J802" s="4"/>
      <c r="K802" s="4"/>
      <c r="L802" s="517"/>
      <c r="M802" s="4">
        <f t="shared" ref="M802:M806" si="1488">+G801</f>
        <v>3506.35</v>
      </c>
      <c r="N802" s="4">
        <v>9340</v>
      </c>
      <c r="O802" s="4">
        <f>M802*N802</f>
        <v>32749309</v>
      </c>
      <c r="P802" s="4"/>
      <c r="Q802" s="4"/>
      <c r="R802" s="4"/>
      <c r="S802" s="4"/>
      <c r="T802" s="4">
        <f ca="1" t="shared" ref="T802:T806" si="1489">OFFSET(T802,-RIGHT($A802,LEN($A$6)),,1,1)/OFFSET(T802,-RIGHT($A802,LEN($A$6)),-13,1,1)*$M802</f>
        <v>0</v>
      </c>
      <c r="U802" s="4">
        <f ca="1" t="shared" ref="U802:U806" si="1490">+$N802*T802</f>
        <v>0</v>
      </c>
      <c r="V802" s="4">
        <f ca="1" t="shared" ref="V802:V806" si="1491">OFFSET(V802,-RIGHT($A802,LEN($A$6)),,1,1)/OFFSET(V802,-RIGHT($A802,LEN($A$6)),-15,1,1)*$M802</f>
        <v>0</v>
      </c>
      <c r="W802" s="4">
        <f ca="1" t="shared" ref="W802:W806" si="1492">+$N802*V802</f>
        <v>0</v>
      </c>
      <c r="X802" s="4">
        <f ca="1" t="shared" ref="X802:X806" si="1493">+M802-V802</f>
        <v>3506.35</v>
      </c>
      <c r="Y802" s="4">
        <f ca="1" t="shared" ref="Y802:Y806" si="1494">+O802-W802</f>
        <v>32749309</v>
      </c>
      <c r="Z802" s="4">
        <f ca="1" t="shared" ref="Z802:Z806" si="1495">OFFSET(Z802,-RIGHT($A802,LEN($A$6)),,1,1)/OFFSET(Z802,-RIGHT($A802,LEN($A$6)),-19,1,1)*$M802</f>
        <v>0</v>
      </c>
      <c r="AA802" s="4">
        <f ca="1" t="shared" ref="AA802:AA806" si="1496">+$N802*Z802</f>
        <v>0</v>
      </c>
      <c r="AB802" s="4"/>
    </row>
    <row r="803" customHeight="1" outlineLevel="2" spans="1:28">
      <c r="A803" s="515" t="s">
        <v>3361</v>
      </c>
      <c r="B803" s="4"/>
      <c r="C803" s="510" t="s">
        <v>1309</v>
      </c>
      <c r="D803" s="4" t="s">
        <v>3362</v>
      </c>
      <c r="E803" s="4" t="s">
        <v>3358</v>
      </c>
      <c r="F803" s="4" t="s">
        <v>82</v>
      </c>
      <c r="G803" s="4">
        <v>8.864</v>
      </c>
      <c r="H803" s="4">
        <v>92471.871559633</v>
      </c>
      <c r="I803" s="4">
        <f>G803*H803</f>
        <v>819670.669504587</v>
      </c>
      <c r="J803" s="4">
        <f t="shared" ref="J803:L803" si="1497">+G803</f>
        <v>8.864</v>
      </c>
      <c r="K803" s="4">
        <f t="shared" si="1497"/>
        <v>92471.871559633</v>
      </c>
      <c r="L803" s="517">
        <f t="shared" si="1497"/>
        <v>819670.669504587</v>
      </c>
      <c r="M803" s="4">
        <v>8.864</v>
      </c>
      <c r="N803" s="4">
        <f ca="1" t="shared" si="1479"/>
        <v>70000</v>
      </c>
      <c r="O803" s="4">
        <f ca="1">(+O804)</f>
        <v>620480</v>
      </c>
      <c r="P803" s="4"/>
      <c r="Q803" s="4"/>
      <c r="R803" s="4">
        <f t="shared" si="1480"/>
        <v>8.864</v>
      </c>
      <c r="S803" s="4">
        <f t="shared" si="1481"/>
        <v>819670.669504587</v>
      </c>
      <c r="T803" s="4">
        <f>IFERROR(VLOOKUP(A803,产值统计中间表!A:F,7,FALSE),0)</f>
        <v>0</v>
      </c>
      <c r="U803" s="4">
        <f t="shared" si="1482"/>
        <v>0</v>
      </c>
      <c r="V803" s="4">
        <f>IFERROR(VLOOKUP(A803,产值统计中间表!A:D,4,FALSE),0)</f>
        <v>0</v>
      </c>
      <c r="W803" s="4">
        <f t="shared" si="1483"/>
        <v>0</v>
      </c>
      <c r="X803" s="4">
        <f t="shared" si="1484"/>
        <v>8.864</v>
      </c>
      <c r="Y803" s="4">
        <f t="shared" si="1485"/>
        <v>819670.669504587</v>
      </c>
      <c r="Z803" s="4">
        <f>IFERROR(VLOOKUP(A803,业主统计中间表!A:D,4,FALSE),0)</f>
        <v>0</v>
      </c>
      <c r="AA803" s="4">
        <f t="shared" si="1486"/>
        <v>0</v>
      </c>
      <c r="AB803" s="4"/>
    </row>
    <row r="804" customHeight="1" outlineLevel="3" spans="1:28">
      <c r="A804" s="514" t="s">
        <v>3363</v>
      </c>
      <c r="B804" s="4"/>
      <c r="C804" s="510" t="s">
        <v>65</v>
      </c>
      <c r="D804" s="4" t="s">
        <v>736</v>
      </c>
      <c r="E804" s="4" t="s">
        <v>3364</v>
      </c>
      <c r="F804" s="4" t="str">
        <f ca="1" t="shared" si="1487"/>
        <v>t</v>
      </c>
      <c r="G804" s="4"/>
      <c r="H804" s="4"/>
      <c r="I804" s="4"/>
      <c r="J804" s="4"/>
      <c r="K804" s="4"/>
      <c r="L804" s="517"/>
      <c r="M804" s="4">
        <f t="shared" si="1488"/>
        <v>8.864</v>
      </c>
      <c r="N804" s="4">
        <f ca="1">VLOOKUP($D804,INDIRECT($C804),3,0)</f>
        <v>70000</v>
      </c>
      <c r="O804" s="4">
        <f ca="1">M804*N804</f>
        <v>620480</v>
      </c>
      <c r="P804" s="4"/>
      <c r="Q804" s="4"/>
      <c r="R804" s="4"/>
      <c r="S804" s="4"/>
      <c r="T804" s="4">
        <f ca="1" t="shared" si="1489"/>
        <v>0</v>
      </c>
      <c r="U804" s="4">
        <f ca="1" t="shared" si="1490"/>
        <v>0</v>
      </c>
      <c r="V804" s="4">
        <f ca="1" t="shared" si="1491"/>
        <v>0</v>
      </c>
      <c r="W804" s="4">
        <f ca="1" t="shared" si="1492"/>
        <v>0</v>
      </c>
      <c r="X804" s="4">
        <f ca="1" t="shared" si="1493"/>
        <v>8.864</v>
      </c>
      <c r="Y804" s="4">
        <f ca="1" t="shared" si="1494"/>
        <v>620480</v>
      </c>
      <c r="Z804" s="4">
        <f ca="1" t="shared" si="1495"/>
        <v>0</v>
      </c>
      <c r="AA804" s="4">
        <f ca="1" t="shared" si="1496"/>
        <v>0</v>
      </c>
      <c r="AB804" s="4"/>
    </row>
    <row r="805" customHeight="1" outlineLevel="2" spans="1:28">
      <c r="A805" s="515" t="s">
        <v>3365</v>
      </c>
      <c r="B805" s="4"/>
      <c r="C805" s="510" t="s">
        <v>1309</v>
      </c>
      <c r="D805" s="4" t="s">
        <v>741</v>
      </c>
      <c r="E805" s="4" t="s">
        <v>3358</v>
      </c>
      <c r="F805" s="4" t="s">
        <v>82</v>
      </c>
      <c r="G805" s="4">
        <v>35.076</v>
      </c>
      <c r="H805" s="4">
        <v>9090.22935779817</v>
      </c>
      <c r="I805" s="4">
        <f>G805*H805</f>
        <v>318848.884954129</v>
      </c>
      <c r="J805" s="4">
        <f t="shared" ref="J805:L805" si="1498">+G805</f>
        <v>35.076</v>
      </c>
      <c r="K805" s="4">
        <f t="shared" si="1498"/>
        <v>9090.22935779817</v>
      </c>
      <c r="L805" s="517">
        <f t="shared" si="1498"/>
        <v>318848.884954129</v>
      </c>
      <c r="M805" s="4">
        <v>35.076</v>
      </c>
      <c r="N805" s="4">
        <f t="shared" si="1479"/>
        <v>9490</v>
      </c>
      <c r="O805" s="4">
        <f>(+O806)</f>
        <v>332871.24</v>
      </c>
      <c r="P805" s="4"/>
      <c r="Q805" s="4"/>
      <c r="R805" s="4">
        <f t="shared" si="1480"/>
        <v>35.076</v>
      </c>
      <c r="S805" s="4">
        <f t="shared" si="1481"/>
        <v>318848.884954129</v>
      </c>
      <c r="T805" s="4">
        <f>IFERROR(VLOOKUP(A805,产值统计中间表!A:F,7,FALSE),0)</f>
        <v>0</v>
      </c>
      <c r="U805" s="4">
        <f t="shared" si="1482"/>
        <v>0</v>
      </c>
      <c r="V805" s="4">
        <f>IFERROR(VLOOKUP(A805,产值统计中间表!A:D,4,FALSE),0)</f>
        <v>0</v>
      </c>
      <c r="W805" s="4">
        <f t="shared" si="1483"/>
        <v>0</v>
      </c>
      <c r="X805" s="4">
        <f t="shared" si="1484"/>
        <v>35.076</v>
      </c>
      <c r="Y805" s="4">
        <f t="shared" si="1485"/>
        <v>318848.884954129</v>
      </c>
      <c r="Z805" s="4">
        <f>IFERROR(VLOOKUP(A805,业主统计中间表!A:D,4,FALSE),0)</f>
        <v>0</v>
      </c>
      <c r="AA805" s="4">
        <f t="shared" si="1486"/>
        <v>0</v>
      </c>
      <c r="AB805" s="4"/>
    </row>
    <row r="806" customHeight="1" outlineLevel="3" spans="1:28">
      <c r="A806" s="514" t="s">
        <v>3366</v>
      </c>
      <c r="B806" s="4"/>
      <c r="C806" s="510" t="s">
        <v>65</v>
      </c>
      <c r="D806" s="4" t="s">
        <v>741</v>
      </c>
      <c r="E806" s="4" t="s">
        <v>3364</v>
      </c>
      <c r="F806" s="4" t="str">
        <f ca="1" t="shared" si="1487"/>
        <v>t</v>
      </c>
      <c r="G806" s="4"/>
      <c r="H806" s="4"/>
      <c r="I806" s="4"/>
      <c r="J806" s="4"/>
      <c r="K806" s="4"/>
      <c r="L806" s="517"/>
      <c r="M806" s="4">
        <f t="shared" si="1488"/>
        <v>35.076</v>
      </c>
      <c r="N806" s="4">
        <v>9490</v>
      </c>
      <c r="O806" s="4">
        <f>M806*N806</f>
        <v>332871.24</v>
      </c>
      <c r="P806" s="4"/>
      <c r="Q806" s="4"/>
      <c r="R806" s="4"/>
      <c r="S806" s="4"/>
      <c r="T806" s="4">
        <f ca="1" t="shared" si="1489"/>
        <v>0</v>
      </c>
      <c r="U806" s="4">
        <f ca="1" t="shared" si="1490"/>
        <v>0</v>
      </c>
      <c r="V806" s="4">
        <f ca="1" t="shared" si="1491"/>
        <v>0</v>
      </c>
      <c r="W806" s="4">
        <f ca="1" t="shared" si="1492"/>
        <v>0</v>
      </c>
      <c r="X806" s="4">
        <f ca="1" t="shared" si="1493"/>
        <v>35.076</v>
      </c>
      <c r="Y806" s="4">
        <f ca="1" t="shared" si="1494"/>
        <v>332871.24</v>
      </c>
      <c r="Z806" s="4">
        <f ca="1" t="shared" si="1495"/>
        <v>0</v>
      </c>
      <c r="AA806" s="4">
        <f ca="1" t="shared" si="1496"/>
        <v>0</v>
      </c>
      <c r="AB806" s="4"/>
    </row>
    <row r="807" customHeight="1" outlineLevel="2" spans="1:28">
      <c r="A807" s="515" t="s">
        <v>3367</v>
      </c>
      <c r="B807" s="4"/>
      <c r="C807" s="510" t="s">
        <v>1309</v>
      </c>
      <c r="D807" s="4" t="s">
        <v>745</v>
      </c>
      <c r="E807" s="4" t="s">
        <v>3358</v>
      </c>
      <c r="F807" s="4" t="s">
        <v>82</v>
      </c>
      <c r="G807" s="4">
        <v>2126.678</v>
      </c>
      <c r="H807" s="4">
        <v>11329.4128440367</v>
      </c>
      <c r="I807" s="4">
        <f>G807*H807</f>
        <v>24094013.0483303</v>
      </c>
      <c r="J807" s="4">
        <f t="shared" ref="J807:L807" si="1499">+G807</f>
        <v>2126.678</v>
      </c>
      <c r="K807" s="4">
        <f t="shared" si="1499"/>
        <v>11329.4128440367</v>
      </c>
      <c r="L807" s="517">
        <f t="shared" si="1499"/>
        <v>24094013.0483303</v>
      </c>
      <c r="M807" s="4">
        <v>2126.678</v>
      </c>
      <c r="N807" s="4">
        <f>O807/M807</f>
        <v>9490</v>
      </c>
      <c r="O807" s="4">
        <f>(+O808)</f>
        <v>20182174.22</v>
      </c>
      <c r="P807" s="4"/>
      <c r="Q807" s="4"/>
      <c r="R807" s="4">
        <f>+P807+J807</f>
        <v>2126.678</v>
      </c>
      <c r="S807" s="4">
        <f>+Q807+L807</f>
        <v>24094013.0483303</v>
      </c>
      <c r="T807" s="4">
        <f>IFERROR(VLOOKUP(A807,产值统计中间表!A:F,7,FALSE),0)</f>
        <v>0</v>
      </c>
      <c r="U807" s="4">
        <f>+T807*H807</f>
        <v>0</v>
      </c>
      <c r="V807" s="4">
        <f>IFERROR(VLOOKUP(A807,产值统计中间表!A:D,4,FALSE),0)</f>
        <v>0</v>
      </c>
      <c r="W807" s="4">
        <f>+V807*H807</f>
        <v>0</v>
      </c>
      <c r="X807" s="4">
        <f>+R807-V807</f>
        <v>2126.678</v>
      </c>
      <c r="Y807" s="4">
        <f>+S807-W807</f>
        <v>24094013.0483303</v>
      </c>
      <c r="Z807" s="4">
        <f>IFERROR(VLOOKUP(A807,业主统计中间表!A:D,4,FALSE),0)</f>
        <v>0</v>
      </c>
      <c r="AA807" s="4">
        <f>+Z807*H807</f>
        <v>0</v>
      </c>
      <c r="AB807" s="4"/>
    </row>
    <row r="808" customHeight="1" outlineLevel="3" spans="1:28">
      <c r="A808" s="514" t="s">
        <v>3368</v>
      </c>
      <c r="B808" s="4"/>
      <c r="C808" s="510" t="s">
        <v>65</v>
      </c>
      <c r="D808" s="4" t="s">
        <v>745</v>
      </c>
      <c r="E808" s="4" t="s">
        <v>3364</v>
      </c>
      <c r="F808" s="4" t="str">
        <f ca="1" t="shared" ref="F808:F814" si="1500">VLOOKUP($D808,INDIRECT($C808),2,0)</f>
        <v>t</v>
      </c>
      <c r="G808" s="4"/>
      <c r="H808" s="4"/>
      <c r="I808" s="4"/>
      <c r="J808" s="4"/>
      <c r="K808" s="4"/>
      <c r="L808" s="517"/>
      <c r="M808" s="4">
        <f>+G807</f>
        <v>2126.678</v>
      </c>
      <c r="N808" s="4">
        <v>9490</v>
      </c>
      <c r="O808" s="4">
        <f>M808*N808</f>
        <v>20182174.22</v>
      </c>
      <c r="P808" s="4"/>
      <c r="Q808" s="4"/>
      <c r="R808" s="4"/>
      <c r="S808" s="4"/>
      <c r="T808" s="4">
        <f ca="1" t="shared" ref="T808:T814" si="1501">OFFSET(T808,-RIGHT($A808,LEN($A$6)),,1,1)/OFFSET(T808,-RIGHT($A808,LEN($A$6)),-13,1,1)*$M808</f>
        <v>0</v>
      </c>
      <c r="U808" s="4">
        <f ca="1" t="shared" ref="U808:U814" si="1502">+$N808*T808</f>
        <v>0</v>
      </c>
      <c r="V808" s="4">
        <f ca="1" t="shared" ref="V808:V814" si="1503">OFFSET(V808,-RIGHT($A808,LEN($A$6)),,1,1)/OFFSET(V808,-RIGHT($A808,LEN($A$6)),-15,1,1)*$M808</f>
        <v>0</v>
      </c>
      <c r="W808" s="4">
        <f ca="1" t="shared" ref="W808:W814" si="1504">+$N808*V808</f>
        <v>0</v>
      </c>
      <c r="X808" s="4">
        <f ca="1" t="shared" ref="X808:X814" si="1505">+M808-V808</f>
        <v>2126.678</v>
      </c>
      <c r="Y808" s="4">
        <f ca="1" t="shared" ref="Y808:Y814" si="1506">+O808-W808</f>
        <v>20182174.22</v>
      </c>
      <c r="Z808" s="4">
        <f ca="1" t="shared" ref="Z808:Z814" si="1507">OFFSET(Z808,-RIGHT($A808,LEN($A$6)),,1,1)/OFFSET(Z808,-RIGHT($A808,LEN($A$6)),-19,1,1)*$M808</f>
        <v>0</v>
      </c>
      <c r="AA808" s="4">
        <f ca="1" t="shared" ref="AA808:AA814" si="1508">+$N808*Z808</f>
        <v>0</v>
      </c>
      <c r="AB808" s="4"/>
    </row>
    <row r="809" customHeight="1" outlineLevel="2" spans="1:28">
      <c r="A809" s="515" t="s">
        <v>3369</v>
      </c>
      <c r="B809" s="4"/>
      <c r="C809" s="510" t="s">
        <v>1309</v>
      </c>
      <c r="D809" s="4" t="s">
        <v>3370</v>
      </c>
      <c r="E809" s="4" t="s">
        <v>2472</v>
      </c>
      <c r="F809" s="4" t="s">
        <v>82</v>
      </c>
      <c r="G809" s="4">
        <v>39.372</v>
      </c>
      <c r="H809" s="4">
        <v>8495.61467889908</v>
      </c>
      <c r="I809" s="4">
        <f>G809*H809</f>
        <v>334489.341137615</v>
      </c>
      <c r="J809" s="4">
        <f t="shared" ref="J809:L809" si="1509">+G809</f>
        <v>39.372</v>
      </c>
      <c r="K809" s="4">
        <f t="shared" si="1509"/>
        <v>8495.61467889908</v>
      </c>
      <c r="L809" s="517">
        <f t="shared" si="1509"/>
        <v>334489.341137615</v>
      </c>
      <c r="M809" s="4">
        <v>39.372</v>
      </c>
      <c r="N809" s="4">
        <f ca="1">O809/M809</f>
        <v>9647.04</v>
      </c>
      <c r="O809" s="4">
        <f ca="1">(+O810+O811+O812+O813+O814)</f>
        <v>379823.25888</v>
      </c>
      <c r="P809" s="4"/>
      <c r="Q809" s="4"/>
      <c r="R809" s="4">
        <f>+P809+J809</f>
        <v>39.372</v>
      </c>
      <c r="S809" s="4">
        <f>+Q809+L809</f>
        <v>334489.341137615</v>
      </c>
      <c r="T809" s="4">
        <f>IFERROR(VLOOKUP(A809,产值统计中间表!A:F,7,FALSE),0)</f>
        <v>0</v>
      </c>
      <c r="U809" s="4">
        <f>+T809*H809</f>
        <v>0</v>
      </c>
      <c r="V809" s="4">
        <f>IFERROR(VLOOKUP(A809,产值统计中间表!A:D,4,FALSE),0)</f>
        <v>0</v>
      </c>
      <c r="W809" s="4">
        <f>+V809*H809</f>
        <v>0</v>
      </c>
      <c r="X809" s="4">
        <f>+R809-V809</f>
        <v>39.372</v>
      </c>
      <c r="Y809" s="4">
        <f>+S809-W809</f>
        <v>334489.341137615</v>
      </c>
      <c r="Z809" s="4">
        <f>IFERROR(VLOOKUP(A809,业主统计中间表!A:D,4,FALSE),0)</f>
        <v>0</v>
      </c>
      <c r="AA809" s="4">
        <f>+Z809*H809</f>
        <v>0</v>
      </c>
      <c r="AB809" s="4"/>
    </row>
    <row r="810" customHeight="1" outlineLevel="3" spans="1:28">
      <c r="A810" s="514" t="s">
        <v>3371</v>
      </c>
      <c r="B810" s="4"/>
      <c r="C810" s="510" t="s">
        <v>59</v>
      </c>
      <c r="D810" s="4" t="s">
        <v>800</v>
      </c>
      <c r="E810" s="4"/>
      <c r="F810" s="4" t="str">
        <f ca="1" t="shared" si="1500"/>
        <v>t</v>
      </c>
      <c r="G810" s="4"/>
      <c r="H810" s="4"/>
      <c r="I810" s="4"/>
      <c r="J810" s="4"/>
      <c r="K810" s="4"/>
      <c r="L810" s="517"/>
      <c r="M810" s="4">
        <v>40.94688</v>
      </c>
      <c r="N810" s="4">
        <f ca="1" t="shared" ref="N810:N814" si="1510">VLOOKUP($D810,INDIRECT($C810),3,0)</f>
        <v>7000</v>
      </c>
      <c r="O810" s="4">
        <f ca="1">M810*N810</f>
        <v>286628.16</v>
      </c>
      <c r="P810" s="4"/>
      <c r="Q810" s="4"/>
      <c r="R810" s="4"/>
      <c r="S810" s="4"/>
      <c r="T810" s="4">
        <f ca="1" t="shared" si="1501"/>
        <v>0</v>
      </c>
      <c r="U810" s="4">
        <f ca="1" t="shared" si="1502"/>
        <v>0</v>
      </c>
      <c r="V810" s="4">
        <f ca="1" t="shared" si="1503"/>
        <v>0</v>
      </c>
      <c r="W810" s="4">
        <f ca="1" t="shared" si="1504"/>
        <v>0</v>
      </c>
      <c r="X810" s="4">
        <f ca="1" t="shared" si="1505"/>
        <v>40.94688</v>
      </c>
      <c r="Y810" s="4">
        <f ca="1" t="shared" si="1506"/>
        <v>286628.16</v>
      </c>
      <c r="Z810" s="4">
        <f ca="1" t="shared" si="1507"/>
        <v>0</v>
      </c>
      <c r="AA810" s="4">
        <f ca="1" t="shared" si="1508"/>
        <v>0</v>
      </c>
      <c r="AB810" s="4"/>
    </row>
    <row r="811" customHeight="1" outlineLevel="3" spans="1:28">
      <c r="A811" s="514" t="s">
        <v>3372</v>
      </c>
      <c r="B811" s="4"/>
      <c r="C811" s="510" t="s">
        <v>59</v>
      </c>
      <c r="D811" s="4" t="s">
        <v>1137</v>
      </c>
      <c r="E811" s="4"/>
      <c r="F811" s="4" t="str">
        <f ca="1" t="shared" si="1500"/>
        <v>套</v>
      </c>
      <c r="G811" s="4"/>
      <c r="H811" s="4"/>
      <c r="I811" s="4"/>
      <c r="J811" s="4"/>
      <c r="K811" s="4"/>
      <c r="L811" s="517"/>
      <c r="M811" s="4">
        <v>304</v>
      </c>
      <c r="N811" s="4">
        <f ca="1" t="shared" si="1510"/>
        <v>0</v>
      </c>
      <c r="O811" s="4">
        <f ca="1">M811*N811</f>
        <v>0</v>
      </c>
      <c r="P811" s="4"/>
      <c r="Q811" s="4"/>
      <c r="R811" s="4"/>
      <c r="S811" s="4"/>
      <c r="T811" s="4">
        <f ca="1" t="shared" si="1501"/>
        <v>0</v>
      </c>
      <c r="U811" s="4">
        <f ca="1" t="shared" si="1502"/>
        <v>0</v>
      </c>
      <c r="V811" s="4">
        <f ca="1" t="shared" si="1503"/>
        <v>0</v>
      </c>
      <c r="W811" s="4">
        <f ca="1" t="shared" si="1504"/>
        <v>0</v>
      </c>
      <c r="X811" s="4">
        <f ca="1" t="shared" si="1505"/>
        <v>304</v>
      </c>
      <c r="Y811" s="4">
        <f ca="1" t="shared" si="1506"/>
        <v>0</v>
      </c>
      <c r="Z811" s="4">
        <f ca="1" t="shared" si="1507"/>
        <v>0</v>
      </c>
      <c r="AA811" s="4">
        <f ca="1" t="shared" si="1508"/>
        <v>0</v>
      </c>
      <c r="AB811" s="4"/>
    </row>
    <row r="812" customHeight="1" outlineLevel="3" spans="1:28">
      <c r="A812" s="514" t="s">
        <v>3373</v>
      </c>
      <c r="B812" s="4"/>
      <c r="C812" s="510" t="s">
        <v>64</v>
      </c>
      <c r="D812" s="4" t="s">
        <v>296</v>
      </c>
      <c r="E812" s="4" t="s">
        <v>3374</v>
      </c>
      <c r="F812" s="4" t="str">
        <f ca="1" t="shared" si="1500"/>
        <v>t</v>
      </c>
      <c r="G812" s="4"/>
      <c r="H812" s="4"/>
      <c r="I812" s="4"/>
      <c r="J812" s="4"/>
      <c r="K812" s="4"/>
      <c r="L812" s="517"/>
      <c r="M812" s="4">
        <v>40.94688</v>
      </c>
      <c r="N812" s="4">
        <f ca="1" t="shared" si="1510"/>
        <v>700</v>
      </c>
      <c r="O812" s="4">
        <f ca="1">M812*N812</f>
        <v>28662.816</v>
      </c>
      <c r="P812" s="4"/>
      <c r="Q812" s="4"/>
      <c r="R812" s="4"/>
      <c r="S812" s="4"/>
      <c r="T812" s="4">
        <f ca="1" t="shared" si="1501"/>
        <v>0</v>
      </c>
      <c r="U812" s="4">
        <f ca="1" t="shared" si="1502"/>
        <v>0</v>
      </c>
      <c r="V812" s="4">
        <f ca="1" t="shared" si="1503"/>
        <v>0</v>
      </c>
      <c r="W812" s="4">
        <f ca="1" t="shared" si="1504"/>
        <v>0</v>
      </c>
      <c r="X812" s="4">
        <f ca="1" t="shared" si="1505"/>
        <v>40.94688</v>
      </c>
      <c r="Y812" s="4">
        <f ca="1" t="shared" si="1506"/>
        <v>28662.816</v>
      </c>
      <c r="Z812" s="4">
        <f ca="1" t="shared" si="1507"/>
        <v>0</v>
      </c>
      <c r="AA812" s="4">
        <f ca="1" t="shared" si="1508"/>
        <v>0</v>
      </c>
      <c r="AB812" s="4"/>
    </row>
    <row r="813" customHeight="1" outlineLevel="3" spans="1:28">
      <c r="A813" s="514" t="s">
        <v>3375</v>
      </c>
      <c r="B813" s="4"/>
      <c r="C813" s="510" t="s">
        <v>59</v>
      </c>
      <c r="D813" s="4" t="s">
        <v>1146</v>
      </c>
      <c r="E813" s="4"/>
      <c r="F813" s="4" t="str">
        <f ca="1" t="shared" si="1500"/>
        <v>m</v>
      </c>
      <c r="G813" s="4"/>
      <c r="H813" s="4"/>
      <c r="I813" s="4"/>
      <c r="J813" s="4"/>
      <c r="K813" s="4"/>
      <c r="L813" s="517"/>
      <c r="M813" s="4">
        <v>3644.56064</v>
      </c>
      <c r="N813" s="4">
        <f ca="1" t="shared" si="1510"/>
        <v>0</v>
      </c>
      <c r="O813" s="4">
        <f ca="1">M813*N813</f>
        <v>0</v>
      </c>
      <c r="P813" s="4"/>
      <c r="Q813" s="4"/>
      <c r="R813" s="4"/>
      <c r="S813" s="4"/>
      <c r="T813" s="4">
        <f ca="1" t="shared" si="1501"/>
        <v>0</v>
      </c>
      <c r="U813" s="4">
        <f ca="1" t="shared" si="1502"/>
        <v>0</v>
      </c>
      <c r="V813" s="4">
        <f ca="1" t="shared" si="1503"/>
        <v>0</v>
      </c>
      <c r="W813" s="4">
        <f ca="1" t="shared" si="1504"/>
        <v>0</v>
      </c>
      <c r="X813" s="4">
        <f ca="1" t="shared" si="1505"/>
        <v>3644.56064</v>
      </c>
      <c r="Y813" s="4">
        <f ca="1" t="shared" si="1506"/>
        <v>0</v>
      </c>
      <c r="Z813" s="4">
        <f ca="1" t="shared" si="1507"/>
        <v>0</v>
      </c>
      <c r="AA813" s="4">
        <f ca="1" t="shared" si="1508"/>
        <v>0</v>
      </c>
      <c r="AB813" s="4"/>
    </row>
    <row r="814" customHeight="1" outlineLevel="3" spans="1:28">
      <c r="A814" s="514" t="s">
        <v>3376</v>
      </c>
      <c r="B814" s="4"/>
      <c r="C814" s="510" t="s">
        <v>64</v>
      </c>
      <c r="D814" s="4" t="s">
        <v>1058</v>
      </c>
      <c r="E814" s="4"/>
      <c r="F814" s="4" t="str">
        <f ca="1" t="shared" si="1500"/>
        <v>T</v>
      </c>
      <c r="G814" s="4"/>
      <c r="H814" s="4"/>
      <c r="I814" s="4"/>
      <c r="J814" s="4"/>
      <c r="K814" s="4"/>
      <c r="L814" s="517"/>
      <c r="M814" s="4">
        <v>40.94688</v>
      </c>
      <c r="N814" s="4">
        <f ca="1" t="shared" si="1510"/>
        <v>1576</v>
      </c>
      <c r="O814" s="4">
        <f ca="1">M814*N814</f>
        <v>64532.28288</v>
      </c>
      <c r="P814" s="4"/>
      <c r="Q814" s="4"/>
      <c r="R814" s="4"/>
      <c r="S814" s="4"/>
      <c r="T814" s="4">
        <f ca="1" t="shared" si="1501"/>
        <v>0</v>
      </c>
      <c r="U814" s="4">
        <f ca="1" t="shared" si="1502"/>
        <v>0</v>
      </c>
      <c r="V814" s="4">
        <f ca="1" t="shared" si="1503"/>
        <v>0</v>
      </c>
      <c r="W814" s="4">
        <f ca="1" t="shared" si="1504"/>
        <v>0</v>
      </c>
      <c r="X814" s="4">
        <f ca="1" t="shared" si="1505"/>
        <v>40.94688</v>
      </c>
      <c r="Y814" s="4">
        <f ca="1" t="shared" si="1506"/>
        <v>64532.28288</v>
      </c>
      <c r="Z814" s="4">
        <f ca="1" t="shared" si="1507"/>
        <v>0</v>
      </c>
      <c r="AA814" s="4">
        <f ca="1" t="shared" si="1508"/>
        <v>0</v>
      </c>
      <c r="AB814" s="4"/>
    </row>
    <row r="815" customHeight="1" outlineLevel="2" spans="1:28">
      <c r="A815" s="515" t="s">
        <v>3377</v>
      </c>
      <c r="B815" s="4"/>
      <c r="C815" s="510" t="s">
        <v>1309</v>
      </c>
      <c r="D815" s="4" t="s">
        <v>3378</v>
      </c>
      <c r="E815" s="4" t="s">
        <v>2472</v>
      </c>
      <c r="F815" s="4" t="s">
        <v>72</v>
      </c>
      <c r="G815" s="4">
        <v>488</v>
      </c>
      <c r="H815" s="4">
        <v>1432</v>
      </c>
      <c r="I815" s="4">
        <f>G815*H815</f>
        <v>698816</v>
      </c>
      <c r="J815" s="4">
        <f t="shared" ref="J815:L815" si="1511">+G815</f>
        <v>488</v>
      </c>
      <c r="K815" s="4">
        <f t="shared" si="1511"/>
        <v>1432</v>
      </c>
      <c r="L815" s="517">
        <f t="shared" si="1511"/>
        <v>698816</v>
      </c>
      <c r="M815" s="4">
        <v>488</v>
      </c>
      <c r="N815" s="4">
        <f ca="1" t="shared" ref="N815:N820" si="1512">O815/M815</f>
        <v>517.575</v>
      </c>
      <c r="O815" s="4">
        <f ca="1">(+O816+O817)</f>
        <v>252576.6</v>
      </c>
      <c r="P815" s="4"/>
      <c r="Q815" s="4"/>
      <c r="R815" s="4">
        <f t="shared" ref="R815:R820" si="1513">+P815+J815</f>
        <v>488</v>
      </c>
      <c r="S815" s="4">
        <f t="shared" ref="S815:S820" si="1514">+Q815+L815</f>
        <v>698816</v>
      </c>
      <c r="T815" s="4">
        <f>IFERROR(VLOOKUP(A815,产值统计中间表!A:F,7,FALSE),0)</f>
        <v>0</v>
      </c>
      <c r="U815" s="4">
        <f t="shared" ref="U815:U820" si="1515">+T815*H815</f>
        <v>0</v>
      </c>
      <c r="V815" s="4">
        <f>IFERROR(VLOOKUP(A815,产值统计中间表!A:D,4,FALSE),0)</f>
        <v>0</v>
      </c>
      <c r="W815" s="4">
        <f t="shared" ref="W815:W820" si="1516">+V815*H815</f>
        <v>0</v>
      </c>
      <c r="X815" s="4">
        <f t="shared" ref="X815:X820" si="1517">+R815-V815</f>
        <v>488</v>
      </c>
      <c r="Y815" s="4">
        <f t="shared" ref="Y815:Y820" si="1518">+S815-W815</f>
        <v>698816</v>
      </c>
      <c r="Z815" s="4">
        <f>IFERROR(VLOOKUP(A815,业主统计中间表!A:D,4,FALSE),0)</f>
        <v>0</v>
      </c>
      <c r="AA815" s="4">
        <f t="shared" ref="AA815:AA820" si="1519">+Z815*H815</f>
        <v>0</v>
      </c>
      <c r="AB815" s="4"/>
    </row>
    <row r="816" customHeight="1" outlineLevel="3" spans="1:28">
      <c r="A816" s="514" t="s">
        <v>3379</v>
      </c>
      <c r="B816" s="4"/>
      <c r="C816" s="510" t="s">
        <v>64</v>
      </c>
      <c r="D816" s="4" t="s">
        <v>80</v>
      </c>
      <c r="E816" s="4"/>
      <c r="F816" s="4" t="str">
        <f ca="1" t="shared" ref="F816:F819" si="1520">VLOOKUP($D816,INDIRECT($C816),2,0)</f>
        <v>m3</v>
      </c>
      <c r="G816" s="4"/>
      <c r="H816" s="4"/>
      <c r="I816" s="4"/>
      <c r="J816" s="4"/>
      <c r="K816" s="4"/>
      <c r="L816" s="517"/>
      <c r="M816" s="4">
        <v>490.44</v>
      </c>
      <c r="N816" s="4">
        <f ca="1" t="shared" ref="N816:N822" si="1521">VLOOKUP($D816,INDIRECT($C816),3,0)</f>
        <v>45</v>
      </c>
      <c r="O816" s="4">
        <f ca="1">M816*N816</f>
        <v>22069.8</v>
      </c>
      <c r="P816" s="4"/>
      <c r="Q816" s="4"/>
      <c r="R816" s="4"/>
      <c r="S816" s="4"/>
      <c r="T816" s="4">
        <f ca="1" t="shared" ref="T816:T819" si="1522">OFFSET(T816,-RIGHT($A816,LEN($A$6)),,1,1)/OFFSET(T816,-RIGHT($A816,LEN($A$6)),-13,1,1)*$M816</f>
        <v>0</v>
      </c>
      <c r="U816" s="4">
        <f ca="1" t="shared" ref="U816:U819" si="1523">+$N816*T816</f>
        <v>0</v>
      </c>
      <c r="V816" s="4">
        <f ca="1" t="shared" ref="V816:V819" si="1524">OFFSET(V816,-RIGHT($A816,LEN($A$6)),,1,1)/OFFSET(V816,-RIGHT($A816,LEN($A$6)),-15,1,1)*$M816</f>
        <v>0</v>
      </c>
      <c r="W816" s="4">
        <f ca="1" t="shared" ref="W816:W819" si="1525">+$N816*V816</f>
        <v>0</v>
      </c>
      <c r="X816" s="4">
        <f ca="1" t="shared" ref="X816:X819" si="1526">+M816-V816</f>
        <v>490.44</v>
      </c>
      <c r="Y816" s="4">
        <f ca="1" t="shared" ref="Y816:Y819" si="1527">+O816-W816</f>
        <v>22069.8</v>
      </c>
      <c r="Z816" s="4">
        <f ca="1" t="shared" ref="Z816:Z819" si="1528">OFFSET(Z816,-RIGHT($A816,LEN($A$6)),,1,1)/OFFSET(Z816,-RIGHT($A816,LEN($A$6)),-19,1,1)*$M816</f>
        <v>0</v>
      </c>
      <c r="AA816" s="4">
        <f ca="1" t="shared" ref="AA816:AA819" si="1529">+$N816*Z816</f>
        <v>0</v>
      </c>
      <c r="AB816" s="4"/>
    </row>
    <row r="817" customHeight="1" outlineLevel="3" spans="1:28">
      <c r="A817" s="514" t="s">
        <v>3380</v>
      </c>
      <c r="B817" s="4"/>
      <c r="C817" s="510" t="s">
        <v>59</v>
      </c>
      <c r="D817" s="4" t="s">
        <v>796</v>
      </c>
      <c r="E817" s="4"/>
      <c r="F817" s="4" t="str">
        <f ca="1" t="shared" si="1520"/>
        <v>m³</v>
      </c>
      <c r="G817" s="4"/>
      <c r="H817" s="4"/>
      <c r="I817" s="4"/>
      <c r="J817" s="4"/>
      <c r="K817" s="4"/>
      <c r="L817" s="517"/>
      <c r="M817" s="4">
        <v>490.44</v>
      </c>
      <c r="N817" s="4">
        <f ca="1" t="shared" si="1521"/>
        <v>470</v>
      </c>
      <c r="O817" s="4">
        <f ca="1">M817*N817</f>
        <v>230506.8</v>
      </c>
      <c r="P817" s="4"/>
      <c r="Q817" s="4"/>
      <c r="R817" s="4"/>
      <c r="S817" s="4"/>
      <c r="T817" s="4">
        <f ca="1" t="shared" si="1522"/>
        <v>0</v>
      </c>
      <c r="U817" s="4">
        <f ca="1" t="shared" si="1523"/>
        <v>0</v>
      </c>
      <c r="V817" s="4">
        <f ca="1" t="shared" si="1524"/>
        <v>0</v>
      </c>
      <c r="W817" s="4">
        <f ca="1" t="shared" si="1525"/>
        <v>0</v>
      </c>
      <c r="X817" s="4">
        <f ca="1" t="shared" si="1526"/>
        <v>490.44</v>
      </c>
      <c r="Y817" s="4">
        <f ca="1" t="shared" si="1527"/>
        <v>230506.8</v>
      </c>
      <c r="Z817" s="4">
        <f ca="1" t="shared" si="1528"/>
        <v>0</v>
      </c>
      <c r="AA817" s="4">
        <f ca="1" t="shared" si="1529"/>
        <v>0</v>
      </c>
      <c r="AB817" s="4"/>
    </row>
    <row r="818" customHeight="1" outlineLevel="2" spans="1:28">
      <c r="A818" s="515" t="s">
        <v>3381</v>
      </c>
      <c r="B818" s="4"/>
      <c r="C818" s="510" t="s">
        <v>1309</v>
      </c>
      <c r="D818" s="4" t="s">
        <v>749</v>
      </c>
      <c r="E818" s="4" t="s">
        <v>3382</v>
      </c>
      <c r="F818" s="4" t="s">
        <v>82</v>
      </c>
      <c r="G818" s="4">
        <v>16.189</v>
      </c>
      <c r="H818" s="4">
        <v>9796.89908256881</v>
      </c>
      <c r="I818" s="4">
        <f>G818*H818</f>
        <v>158601.999247706</v>
      </c>
      <c r="J818" s="4">
        <f t="shared" ref="J818:L818" si="1530">+G818</f>
        <v>16.189</v>
      </c>
      <c r="K818" s="4">
        <f t="shared" si="1530"/>
        <v>9796.89908256881</v>
      </c>
      <c r="L818" s="517">
        <f t="shared" si="1530"/>
        <v>158601.999247706</v>
      </c>
      <c r="M818" s="4">
        <v>16.189</v>
      </c>
      <c r="N818" s="4">
        <f t="shared" si="1512"/>
        <v>9340</v>
      </c>
      <c r="O818" s="4">
        <f>(+O819)</f>
        <v>151205.26</v>
      </c>
      <c r="P818" s="4"/>
      <c r="Q818" s="4"/>
      <c r="R818" s="4">
        <f t="shared" si="1513"/>
        <v>16.189</v>
      </c>
      <c r="S818" s="4">
        <f t="shared" si="1514"/>
        <v>158601.999247706</v>
      </c>
      <c r="T818" s="4">
        <f>IFERROR(VLOOKUP(A818,产值统计中间表!A:F,7,FALSE),0)</f>
        <v>0</v>
      </c>
      <c r="U818" s="4">
        <f t="shared" si="1515"/>
        <v>0</v>
      </c>
      <c r="V818" s="4">
        <f>IFERROR(VLOOKUP(A818,产值统计中间表!A:D,4,FALSE),0)</f>
        <v>0</v>
      </c>
      <c r="W818" s="4">
        <f t="shared" si="1516"/>
        <v>0</v>
      </c>
      <c r="X818" s="4">
        <f t="shared" si="1517"/>
        <v>16.189</v>
      </c>
      <c r="Y818" s="4">
        <f t="shared" si="1518"/>
        <v>158601.999247706</v>
      </c>
      <c r="Z818" s="4">
        <f>IFERROR(VLOOKUP(A818,业主统计中间表!A:D,4,FALSE),0)</f>
        <v>0</v>
      </c>
      <c r="AA818" s="4">
        <f t="shared" si="1519"/>
        <v>0</v>
      </c>
      <c r="AB818" s="4"/>
    </row>
    <row r="819" customHeight="1" outlineLevel="3" spans="1:28">
      <c r="A819" s="514" t="s">
        <v>3383</v>
      </c>
      <c r="B819" s="4"/>
      <c r="C819" s="510" t="s">
        <v>65</v>
      </c>
      <c r="D819" s="4" t="s">
        <v>749</v>
      </c>
      <c r="E819" s="4" t="s">
        <v>3364</v>
      </c>
      <c r="F819" s="4" t="str">
        <f ca="1" t="shared" si="1520"/>
        <v>t</v>
      </c>
      <c r="G819" s="4"/>
      <c r="H819" s="4"/>
      <c r="I819" s="4"/>
      <c r="J819" s="4"/>
      <c r="K819" s="4"/>
      <c r="L819" s="517"/>
      <c r="M819" s="4">
        <f>+G818</f>
        <v>16.189</v>
      </c>
      <c r="N819" s="4">
        <v>9340</v>
      </c>
      <c r="O819" s="4">
        <f>M819*N819</f>
        <v>151205.26</v>
      </c>
      <c r="P819" s="4"/>
      <c r="Q819" s="4"/>
      <c r="R819" s="4"/>
      <c r="S819" s="4"/>
      <c r="T819" s="4">
        <f ca="1" t="shared" si="1522"/>
        <v>0</v>
      </c>
      <c r="U819" s="4">
        <f ca="1" t="shared" si="1523"/>
        <v>0</v>
      </c>
      <c r="V819" s="4">
        <f ca="1" t="shared" si="1524"/>
        <v>0</v>
      </c>
      <c r="W819" s="4">
        <f ca="1" t="shared" si="1525"/>
        <v>0</v>
      </c>
      <c r="X819" s="4">
        <f ca="1" t="shared" si="1526"/>
        <v>16.189</v>
      </c>
      <c r="Y819" s="4">
        <f ca="1" t="shared" si="1527"/>
        <v>151205.26</v>
      </c>
      <c r="Z819" s="4">
        <f ca="1" t="shared" si="1528"/>
        <v>0</v>
      </c>
      <c r="AA819" s="4">
        <f ca="1" t="shared" si="1529"/>
        <v>0</v>
      </c>
      <c r="AB819" s="4"/>
    </row>
    <row r="820" customHeight="1" outlineLevel="2" spans="1:28">
      <c r="A820" s="515" t="s">
        <v>3384</v>
      </c>
      <c r="B820" s="4"/>
      <c r="C820" s="510" t="s">
        <v>1309</v>
      </c>
      <c r="D820" s="4" t="s">
        <v>1149</v>
      </c>
      <c r="E820" s="4" t="s">
        <v>2610</v>
      </c>
      <c r="F820" s="4" t="s">
        <v>169</v>
      </c>
      <c r="G820" s="4">
        <v>4</v>
      </c>
      <c r="H820" s="4">
        <v>6939.54128440367</v>
      </c>
      <c r="I820" s="4">
        <f>G820*H820</f>
        <v>27758.1651376147</v>
      </c>
      <c r="J820" s="4">
        <f t="shared" ref="J820:L820" si="1531">+G820</f>
        <v>4</v>
      </c>
      <c r="K820" s="4">
        <f t="shared" si="1531"/>
        <v>6939.54128440367</v>
      </c>
      <c r="L820" s="517">
        <f t="shared" si="1531"/>
        <v>27758.1651376147</v>
      </c>
      <c r="M820" s="4">
        <v>4</v>
      </c>
      <c r="N820" s="4">
        <f ca="1" t="shared" si="1512"/>
        <v>0</v>
      </c>
      <c r="O820" s="4">
        <f ca="1">(+O821+O822)</f>
        <v>0</v>
      </c>
      <c r="P820" s="4"/>
      <c r="Q820" s="4"/>
      <c r="R820" s="4">
        <f t="shared" si="1513"/>
        <v>4</v>
      </c>
      <c r="S820" s="4">
        <f t="shared" si="1514"/>
        <v>27758.1651376147</v>
      </c>
      <c r="T820" s="4">
        <f>IFERROR(VLOOKUP(A820,产值统计中间表!A:F,7,FALSE),0)</f>
        <v>0</v>
      </c>
      <c r="U820" s="4">
        <f t="shared" si="1515"/>
        <v>0</v>
      </c>
      <c r="V820" s="4">
        <f>IFERROR(VLOOKUP(A820,产值统计中间表!A:D,4,FALSE),0)</f>
        <v>0</v>
      </c>
      <c r="W820" s="4">
        <f t="shared" si="1516"/>
        <v>0</v>
      </c>
      <c r="X820" s="4">
        <f t="shared" si="1517"/>
        <v>4</v>
      </c>
      <c r="Y820" s="4">
        <f t="shared" si="1518"/>
        <v>27758.1651376147</v>
      </c>
      <c r="Z820" s="4">
        <f>IFERROR(VLOOKUP(A820,业主统计中间表!A:D,4,FALSE),0)</f>
        <v>0</v>
      </c>
      <c r="AA820" s="4">
        <f t="shared" si="1519"/>
        <v>0</v>
      </c>
      <c r="AB820" s="4"/>
    </row>
    <row r="821" customHeight="1" outlineLevel="3" spans="1:28">
      <c r="A821" s="514" t="s">
        <v>3385</v>
      </c>
      <c r="B821" s="4"/>
      <c r="C821" s="510" t="s">
        <v>59</v>
      </c>
      <c r="D821" s="4" t="s">
        <v>1149</v>
      </c>
      <c r="E821" s="4"/>
      <c r="F821" s="4" t="str">
        <f ca="1" t="shared" ref="F821:F825" si="1532">VLOOKUP($D821,INDIRECT($C821),2,0)</f>
        <v>套</v>
      </c>
      <c r="G821" s="4"/>
      <c r="H821" s="4"/>
      <c r="I821" s="4"/>
      <c r="J821" s="4"/>
      <c r="K821" s="4"/>
      <c r="L821" s="517"/>
      <c r="M821" s="4">
        <v>4</v>
      </c>
      <c r="N821" s="4">
        <f ca="1" t="shared" si="1521"/>
        <v>0</v>
      </c>
      <c r="O821" s="4">
        <f ca="1">M821*N821</f>
        <v>0</v>
      </c>
      <c r="P821" s="4"/>
      <c r="Q821" s="4"/>
      <c r="R821" s="4"/>
      <c r="S821" s="4"/>
      <c r="T821" s="4">
        <f ca="1" t="shared" ref="T821:T825" si="1533">OFFSET(T821,-RIGHT($A821,LEN($A$6)),,1,1)/OFFSET(T821,-RIGHT($A821,LEN($A$6)),-13,1,1)*$M821</f>
        <v>0</v>
      </c>
      <c r="U821" s="4">
        <f ca="1" t="shared" ref="U821:U825" si="1534">+$N821*T821</f>
        <v>0</v>
      </c>
      <c r="V821" s="4">
        <f ca="1" t="shared" ref="V821:V825" si="1535">OFFSET(V821,-RIGHT($A821,LEN($A$6)),,1,1)/OFFSET(V821,-RIGHT($A821,LEN($A$6)),-15,1,1)*$M821</f>
        <v>0</v>
      </c>
      <c r="W821" s="4">
        <f ca="1" t="shared" ref="W821:W825" si="1536">+$N821*V821</f>
        <v>0</v>
      </c>
      <c r="X821" s="4">
        <f ca="1" t="shared" ref="X821:X825" si="1537">+M821-V821</f>
        <v>4</v>
      </c>
      <c r="Y821" s="4">
        <f ca="1" t="shared" ref="Y821:Y825" si="1538">+O821-W821</f>
        <v>0</v>
      </c>
      <c r="Z821" s="4">
        <f ca="1" t="shared" ref="Z821:Z825" si="1539">OFFSET(Z821,-RIGHT($A821,LEN($A$6)),,1,1)/OFFSET(Z821,-RIGHT($A821,LEN($A$6)),-19,1,1)*$M821</f>
        <v>0</v>
      </c>
      <c r="AA821" s="4">
        <f ca="1" t="shared" ref="AA821:AA825" si="1540">+$N821*Z821</f>
        <v>0</v>
      </c>
      <c r="AB821" s="4"/>
    </row>
    <row r="822" customHeight="1" outlineLevel="3" spans="1:28">
      <c r="A822" s="514" t="s">
        <v>3386</v>
      </c>
      <c r="B822" s="4"/>
      <c r="C822" s="510" t="s">
        <v>64</v>
      </c>
      <c r="D822" s="4" t="s">
        <v>1034</v>
      </c>
      <c r="E822" s="4"/>
      <c r="F822" s="4" t="str">
        <f ca="1" t="shared" si="1532"/>
        <v>套</v>
      </c>
      <c r="G822" s="4"/>
      <c r="H822" s="4"/>
      <c r="I822" s="4"/>
      <c r="J822" s="4"/>
      <c r="K822" s="4"/>
      <c r="L822" s="517"/>
      <c r="M822" s="4">
        <v>4</v>
      </c>
      <c r="N822" s="4">
        <f ca="1" t="shared" si="1521"/>
        <v>0</v>
      </c>
      <c r="O822" s="4">
        <f ca="1">M822*N822</f>
        <v>0</v>
      </c>
      <c r="P822" s="4"/>
      <c r="Q822" s="4"/>
      <c r="R822" s="4"/>
      <c r="S822" s="4"/>
      <c r="T822" s="4">
        <f ca="1" t="shared" si="1533"/>
        <v>0</v>
      </c>
      <c r="U822" s="4">
        <f ca="1" t="shared" si="1534"/>
        <v>0</v>
      </c>
      <c r="V822" s="4">
        <f ca="1" t="shared" si="1535"/>
        <v>0</v>
      </c>
      <c r="W822" s="4">
        <f ca="1" t="shared" si="1536"/>
        <v>0</v>
      </c>
      <c r="X822" s="4">
        <f ca="1" t="shared" si="1537"/>
        <v>4</v>
      </c>
      <c r="Y822" s="4">
        <f ca="1" t="shared" si="1538"/>
        <v>0</v>
      </c>
      <c r="Z822" s="4">
        <f ca="1" t="shared" si="1539"/>
        <v>0</v>
      </c>
      <c r="AA822" s="4">
        <f ca="1" t="shared" si="1540"/>
        <v>0</v>
      </c>
      <c r="AB822" s="4"/>
    </row>
    <row r="823" customHeight="1" outlineLevel="2" spans="1:28">
      <c r="A823" s="515" t="s">
        <v>3387</v>
      </c>
      <c r="B823" s="4"/>
      <c r="C823" s="510" t="s">
        <v>1309</v>
      </c>
      <c r="D823" s="4" t="s">
        <v>1152</v>
      </c>
      <c r="E823" s="4" t="s">
        <v>2610</v>
      </c>
      <c r="F823" s="4" t="s">
        <v>169</v>
      </c>
      <c r="G823" s="4">
        <v>4</v>
      </c>
      <c r="H823" s="4">
        <v>5334.94495412844</v>
      </c>
      <c r="I823" s="4">
        <f>G823*H823</f>
        <v>21339.7798165138</v>
      </c>
      <c r="J823" s="4">
        <f t="shared" ref="J823:L823" si="1541">+G823</f>
        <v>4</v>
      </c>
      <c r="K823" s="4">
        <f t="shared" si="1541"/>
        <v>5334.94495412844</v>
      </c>
      <c r="L823" s="517">
        <f t="shared" si="1541"/>
        <v>21339.7798165138</v>
      </c>
      <c r="M823" s="4">
        <v>4</v>
      </c>
      <c r="N823" s="4">
        <f ca="1" t="shared" ref="N823:N828" si="1542">O823/M823</f>
        <v>0</v>
      </c>
      <c r="O823" s="4">
        <f ca="1">(+O824+O825)</f>
        <v>0</v>
      </c>
      <c r="P823" s="4"/>
      <c r="Q823" s="4"/>
      <c r="R823" s="4">
        <f t="shared" ref="R823:R828" si="1543">+P823+J823</f>
        <v>4</v>
      </c>
      <c r="S823" s="4">
        <f t="shared" ref="S823:S828" si="1544">+Q823+L823</f>
        <v>21339.7798165138</v>
      </c>
      <c r="T823" s="4">
        <f>IFERROR(VLOOKUP(A823,产值统计中间表!A:F,7,FALSE),0)</f>
        <v>0</v>
      </c>
      <c r="U823" s="4">
        <f t="shared" ref="U823:U828" si="1545">+T823*H823</f>
        <v>0</v>
      </c>
      <c r="V823" s="4">
        <f>IFERROR(VLOOKUP(A823,产值统计中间表!A:D,4,FALSE),0)</f>
        <v>0</v>
      </c>
      <c r="W823" s="4">
        <f t="shared" ref="W823:W828" si="1546">+V823*H823</f>
        <v>0</v>
      </c>
      <c r="X823" s="4">
        <f t="shared" ref="X823:X828" si="1547">+R823-V823</f>
        <v>4</v>
      </c>
      <c r="Y823" s="4">
        <f t="shared" ref="Y823:Y828" si="1548">+S823-W823</f>
        <v>21339.7798165138</v>
      </c>
      <c r="Z823" s="4">
        <f>IFERROR(VLOOKUP(A823,业主统计中间表!A:D,4,FALSE),0)</f>
        <v>0</v>
      </c>
      <c r="AA823" s="4">
        <f t="shared" ref="AA823:AA828" si="1549">+Z823*H823</f>
        <v>0</v>
      </c>
      <c r="AB823" s="4"/>
    </row>
    <row r="824" customHeight="1" outlineLevel="3" spans="1:28">
      <c r="A824" s="514" t="s">
        <v>3388</v>
      </c>
      <c r="B824" s="4"/>
      <c r="C824" s="510" t="s">
        <v>59</v>
      </c>
      <c r="D824" s="4" t="s">
        <v>1152</v>
      </c>
      <c r="E824" s="4"/>
      <c r="F824" s="4" t="str">
        <f ca="1" t="shared" si="1532"/>
        <v>套</v>
      </c>
      <c r="G824" s="4"/>
      <c r="H824" s="4"/>
      <c r="I824" s="4"/>
      <c r="J824" s="4"/>
      <c r="K824" s="4"/>
      <c r="L824" s="517"/>
      <c r="M824" s="4">
        <v>4</v>
      </c>
      <c r="N824" s="4">
        <f ca="1">VLOOKUP($D824,INDIRECT($C824),3,0)</f>
        <v>0</v>
      </c>
      <c r="O824" s="4">
        <f ca="1">M824*N824</f>
        <v>0</v>
      </c>
      <c r="P824" s="4"/>
      <c r="Q824" s="4"/>
      <c r="R824" s="4"/>
      <c r="S824" s="4"/>
      <c r="T824" s="4">
        <f ca="1" t="shared" si="1533"/>
        <v>0</v>
      </c>
      <c r="U824" s="4">
        <f ca="1" t="shared" si="1534"/>
        <v>0</v>
      </c>
      <c r="V824" s="4">
        <f ca="1" t="shared" si="1535"/>
        <v>0</v>
      </c>
      <c r="W824" s="4">
        <f ca="1" t="shared" si="1536"/>
        <v>0</v>
      </c>
      <c r="X824" s="4">
        <f ca="1" t="shared" si="1537"/>
        <v>4</v>
      </c>
      <c r="Y824" s="4">
        <f ca="1" t="shared" si="1538"/>
        <v>0</v>
      </c>
      <c r="Z824" s="4">
        <f ca="1" t="shared" si="1539"/>
        <v>0</v>
      </c>
      <c r="AA824" s="4">
        <f ca="1" t="shared" si="1540"/>
        <v>0</v>
      </c>
      <c r="AB824" s="4"/>
    </row>
    <row r="825" customHeight="1" outlineLevel="3" spans="1:28">
      <c r="A825" s="514" t="s">
        <v>3389</v>
      </c>
      <c r="B825" s="4"/>
      <c r="C825" s="510" t="s">
        <v>64</v>
      </c>
      <c r="D825" s="4" t="s">
        <v>1034</v>
      </c>
      <c r="E825" s="4"/>
      <c r="F825" s="4" t="str">
        <f ca="1" t="shared" si="1532"/>
        <v>套</v>
      </c>
      <c r="G825" s="4"/>
      <c r="H825" s="4"/>
      <c r="I825" s="4"/>
      <c r="J825" s="4"/>
      <c r="K825" s="4"/>
      <c r="L825" s="517"/>
      <c r="M825" s="4">
        <v>4</v>
      </c>
      <c r="N825" s="4">
        <f ca="1">VLOOKUP($D825,INDIRECT($C825),3,0)</f>
        <v>0</v>
      </c>
      <c r="O825" s="4">
        <f ca="1">M825*N825</f>
        <v>0</v>
      </c>
      <c r="P825" s="4"/>
      <c r="Q825" s="4"/>
      <c r="R825" s="4"/>
      <c r="S825" s="4"/>
      <c r="T825" s="4">
        <f ca="1" t="shared" si="1533"/>
        <v>0</v>
      </c>
      <c r="U825" s="4">
        <f ca="1" t="shared" si="1534"/>
        <v>0</v>
      </c>
      <c r="V825" s="4">
        <f ca="1" t="shared" si="1535"/>
        <v>0</v>
      </c>
      <c r="W825" s="4">
        <f ca="1" t="shared" si="1536"/>
        <v>0</v>
      </c>
      <c r="X825" s="4">
        <f ca="1" t="shared" si="1537"/>
        <v>4</v>
      </c>
      <c r="Y825" s="4">
        <f ca="1" t="shared" si="1538"/>
        <v>0</v>
      </c>
      <c r="Z825" s="4">
        <f ca="1" t="shared" si="1539"/>
        <v>0</v>
      </c>
      <c r="AA825" s="4">
        <f ca="1" t="shared" si="1540"/>
        <v>0</v>
      </c>
      <c r="AB825" s="4"/>
    </row>
    <row r="826" customHeight="1" outlineLevel="2" spans="1:28">
      <c r="A826" s="515" t="s">
        <v>3390</v>
      </c>
      <c r="B826" s="4"/>
      <c r="C826" s="510" t="s">
        <v>1309</v>
      </c>
      <c r="D826" s="4" t="s">
        <v>2824</v>
      </c>
      <c r="E826" s="4" t="s">
        <v>2472</v>
      </c>
      <c r="F826" s="4" t="s">
        <v>82</v>
      </c>
      <c r="G826" s="4">
        <v>2.022</v>
      </c>
      <c r="H826" s="4">
        <v>8270.89908256881</v>
      </c>
      <c r="I826" s="4">
        <f>G826*H826</f>
        <v>16723.7579449541</v>
      </c>
      <c r="J826" s="4">
        <f t="shared" ref="J826:L826" si="1550">+G826</f>
        <v>2.022</v>
      </c>
      <c r="K826" s="4">
        <f t="shared" si="1550"/>
        <v>8270.89908256881</v>
      </c>
      <c r="L826" s="517">
        <f t="shared" si="1550"/>
        <v>16723.7579449541</v>
      </c>
      <c r="M826" s="4">
        <v>2.022</v>
      </c>
      <c r="N826" s="4">
        <f t="shared" si="1542"/>
        <v>8800</v>
      </c>
      <c r="O826" s="4">
        <f>(+O827)</f>
        <v>17793.6</v>
      </c>
      <c r="P826" s="4"/>
      <c r="Q826" s="4"/>
      <c r="R826" s="4">
        <f t="shared" si="1543"/>
        <v>2.022</v>
      </c>
      <c r="S826" s="4">
        <f t="shared" si="1544"/>
        <v>16723.7579449541</v>
      </c>
      <c r="T826" s="4">
        <f>IFERROR(VLOOKUP(A826,产值统计中间表!A:F,7,FALSE),0)</f>
        <v>0</v>
      </c>
      <c r="U826" s="4">
        <f t="shared" si="1545"/>
        <v>0</v>
      </c>
      <c r="V826" s="4">
        <f>IFERROR(VLOOKUP(A826,产值统计中间表!A:D,4,FALSE),0)</f>
        <v>0</v>
      </c>
      <c r="W826" s="4">
        <f t="shared" si="1546"/>
        <v>0</v>
      </c>
      <c r="X826" s="4">
        <f t="shared" si="1547"/>
        <v>2.022</v>
      </c>
      <c r="Y826" s="4">
        <f t="shared" si="1548"/>
        <v>16723.7579449541</v>
      </c>
      <c r="Z826" s="4">
        <f>IFERROR(VLOOKUP(A826,业主统计中间表!A:D,4,FALSE),0)</f>
        <v>0</v>
      </c>
      <c r="AA826" s="4">
        <f t="shared" si="1549"/>
        <v>0</v>
      </c>
      <c r="AB826" s="4"/>
    </row>
    <row r="827" customHeight="1" outlineLevel="3" spans="1:28">
      <c r="A827" s="514" t="s">
        <v>3391</v>
      </c>
      <c r="B827" s="4"/>
      <c r="C827" s="510" t="s">
        <v>65</v>
      </c>
      <c r="D827" s="4" t="s">
        <v>807</v>
      </c>
      <c r="E827" s="4" t="s">
        <v>3364</v>
      </c>
      <c r="F827" s="4" t="str">
        <f ca="1" t="shared" ref="F827:F831" si="1551">VLOOKUP($D827,INDIRECT($C827),2,0)</f>
        <v>t</v>
      </c>
      <c r="G827" s="4"/>
      <c r="H827" s="4"/>
      <c r="I827" s="4"/>
      <c r="J827" s="4"/>
      <c r="K827" s="4"/>
      <c r="L827" s="517"/>
      <c r="M827" s="4">
        <f t="shared" ref="M827:M831" si="1552">+G826</f>
        <v>2.022</v>
      </c>
      <c r="N827" s="4">
        <v>8800</v>
      </c>
      <c r="O827" s="4">
        <f>M827*N827</f>
        <v>17793.6</v>
      </c>
      <c r="P827" s="4"/>
      <c r="Q827" s="4"/>
      <c r="R827" s="4"/>
      <c r="S827" s="4"/>
      <c r="T827" s="4">
        <f ca="1" t="shared" ref="T827:T831" si="1553">OFFSET(T827,-RIGHT($A827,LEN($A$6)),,1,1)/OFFSET(T827,-RIGHT($A827,LEN($A$6)),-13,1,1)*$M827</f>
        <v>0</v>
      </c>
      <c r="U827" s="4">
        <f ca="1" t="shared" ref="U827:U831" si="1554">+$N827*T827</f>
        <v>0</v>
      </c>
      <c r="V827" s="4">
        <f ca="1" t="shared" ref="V827:V831" si="1555">OFFSET(V827,-RIGHT($A827,LEN($A$6)),,1,1)/OFFSET(V827,-RIGHT($A827,LEN($A$6)),-15,1,1)*$M827</f>
        <v>0</v>
      </c>
      <c r="W827" s="4">
        <f ca="1" t="shared" ref="W827:W831" si="1556">+$N827*V827</f>
        <v>0</v>
      </c>
      <c r="X827" s="4">
        <f ca="1" t="shared" ref="X827:X831" si="1557">+M827-V827</f>
        <v>2.022</v>
      </c>
      <c r="Y827" s="4">
        <f ca="1" t="shared" ref="Y827:Y831" si="1558">+O827-W827</f>
        <v>17793.6</v>
      </c>
      <c r="Z827" s="4">
        <f ca="1" t="shared" ref="Z827:Z831" si="1559">OFFSET(Z827,-RIGHT($A827,LEN($A$6)),,1,1)/OFFSET(Z827,-RIGHT($A827,LEN($A$6)),-19,1,1)*$M827</f>
        <v>0</v>
      </c>
      <c r="AA827" s="4">
        <f ca="1" t="shared" ref="AA827:AA831" si="1560">+$N827*Z827</f>
        <v>0</v>
      </c>
      <c r="AB827" s="4"/>
    </row>
    <row r="828" customHeight="1" outlineLevel="2" spans="1:28">
      <c r="A828" s="515" t="s">
        <v>3392</v>
      </c>
      <c r="B828" s="4"/>
      <c r="C828" s="510" t="s">
        <v>1309</v>
      </c>
      <c r="D828" s="4" t="s">
        <v>753</v>
      </c>
      <c r="E828" s="4" t="s">
        <v>3358</v>
      </c>
      <c r="F828" s="4" t="s">
        <v>82</v>
      </c>
      <c r="G828" s="4">
        <v>68.239</v>
      </c>
      <c r="H828" s="4">
        <v>10275.7798165138</v>
      </c>
      <c r="I828" s="4">
        <f>G828*H828</f>
        <v>701208.938899085</v>
      </c>
      <c r="J828" s="4">
        <f t="shared" ref="J828:L828" si="1561">+G828</f>
        <v>68.239</v>
      </c>
      <c r="K828" s="4">
        <f t="shared" si="1561"/>
        <v>10275.7798165138</v>
      </c>
      <c r="L828" s="517">
        <f t="shared" si="1561"/>
        <v>701208.938899085</v>
      </c>
      <c r="M828" s="4">
        <v>68.239</v>
      </c>
      <c r="N828" s="4">
        <f t="shared" si="1542"/>
        <v>9490</v>
      </c>
      <c r="O828" s="4">
        <f>(+O829)</f>
        <v>647588.11</v>
      </c>
      <c r="P828" s="4"/>
      <c r="Q828" s="4"/>
      <c r="R828" s="4">
        <f t="shared" si="1543"/>
        <v>68.239</v>
      </c>
      <c r="S828" s="4">
        <f t="shared" si="1544"/>
        <v>701208.938899085</v>
      </c>
      <c r="T828" s="4">
        <f>IFERROR(VLOOKUP(A828,产值统计中间表!A:F,7,FALSE),0)</f>
        <v>0</v>
      </c>
      <c r="U828" s="4">
        <f t="shared" si="1545"/>
        <v>0</v>
      </c>
      <c r="V828" s="4">
        <f>IFERROR(VLOOKUP(A828,产值统计中间表!A:D,4,FALSE),0)</f>
        <v>0</v>
      </c>
      <c r="W828" s="4">
        <f t="shared" si="1546"/>
        <v>0</v>
      </c>
      <c r="X828" s="4">
        <f t="shared" si="1547"/>
        <v>68.239</v>
      </c>
      <c r="Y828" s="4">
        <f t="shared" si="1548"/>
        <v>701208.938899085</v>
      </c>
      <c r="Z828" s="4">
        <f>IFERROR(VLOOKUP(A828,业主统计中间表!A:D,4,FALSE),0)</f>
        <v>0</v>
      </c>
      <c r="AA828" s="4">
        <f t="shared" si="1549"/>
        <v>0</v>
      </c>
      <c r="AB828" s="4"/>
    </row>
    <row r="829" customHeight="1" outlineLevel="3" spans="1:28">
      <c r="A829" s="514" t="s">
        <v>3393</v>
      </c>
      <c r="B829" s="4"/>
      <c r="C829" s="510" t="s">
        <v>65</v>
      </c>
      <c r="D829" s="4" t="s">
        <v>753</v>
      </c>
      <c r="E829" s="4" t="s">
        <v>3364</v>
      </c>
      <c r="F829" s="4" t="str">
        <f ca="1" t="shared" si="1551"/>
        <v>t</v>
      </c>
      <c r="G829" s="4"/>
      <c r="H829" s="4"/>
      <c r="I829" s="4"/>
      <c r="J829" s="4"/>
      <c r="K829" s="4"/>
      <c r="L829" s="517"/>
      <c r="M829" s="4">
        <f t="shared" si="1552"/>
        <v>68.239</v>
      </c>
      <c r="N829" s="4">
        <v>9490</v>
      </c>
      <c r="O829" s="4">
        <f>M829*N829</f>
        <v>647588.11</v>
      </c>
      <c r="P829" s="4"/>
      <c r="Q829" s="4"/>
      <c r="R829" s="4"/>
      <c r="S829" s="4"/>
      <c r="T829" s="4">
        <f ca="1" t="shared" si="1553"/>
        <v>0</v>
      </c>
      <c r="U829" s="4">
        <f ca="1" t="shared" si="1554"/>
        <v>0</v>
      </c>
      <c r="V829" s="4">
        <f ca="1" t="shared" si="1555"/>
        <v>0</v>
      </c>
      <c r="W829" s="4">
        <f ca="1" t="shared" si="1556"/>
        <v>0</v>
      </c>
      <c r="X829" s="4">
        <f ca="1" t="shared" si="1557"/>
        <v>68.239</v>
      </c>
      <c r="Y829" s="4">
        <f ca="1" t="shared" si="1558"/>
        <v>647588.11</v>
      </c>
      <c r="Z829" s="4">
        <f ca="1" t="shared" si="1559"/>
        <v>0</v>
      </c>
      <c r="AA829" s="4">
        <f ca="1" t="shared" si="1560"/>
        <v>0</v>
      </c>
      <c r="AB829" s="4"/>
    </row>
    <row r="830" customHeight="1" outlineLevel="2" spans="1:28">
      <c r="A830" s="515" t="s">
        <v>3394</v>
      </c>
      <c r="B830" s="4"/>
      <c r="C830" s="510" t="s">
        <v>1309</v>
      </c>
      <c r="D830" s="4" t="s">
        <v>757</v>
      </c>
      <c r="E830" s="4" t="s">
        <v>3358</v>
      </c>
      <c r="F830" s="4" t="s">
        <v>82</v>
      </c>
      <c r="G830" s="4">
        <v>81.397</v>
      </c>
      <c r="H830" s="4">
        <v>8648.10091743119</v>
      </c>
      <c r="I830" s="4">
        <f>G830*H830</f>
        <v>703929.470376147</v>
      </c>
      <c r="J830" s="4">
        <f t="shared" ref="J830:L830" si="1562">+G830</f>
        <v>81.397</v>
      </c>
      <c r="K830" s="4">
        <f t="shared" si="1562"/>
        <v>8648.10091743119</v>
      </c>
      <c r="L830" s="517">
        <f t="shared" si="1562"/>
        <v>703929.470376147</v>
      </c>
      <c r="M830" s="4">
        <v>81.397</v>
      </c>
      <c r="N830" s="4">
        <f ca="1" t="shared" ref="N830:N834" si="1563">O830/M830</f>
        <v>8800</v>
      </c>
      <c r="O830" s="4">
        <f ca="1">(+O831)</f>
        <v>716293.6</v>
      </c>
      <c r="P830" s="4"/>
      <c r="Q830" s="4"/>
      <c r="R830" s="4">
        <f t="shared" ref="R830:R834" si="1564">+P830+J830</f>
        <v>81.397</v>
      </c>
      <c r="S830" s="4">
        <f t="shared" ref="S830:S834" si="1565">+Q830+L830</f>
        <v>703929.470376147</v>
      </c>
      <c r="T830" s="4">
        <f>IFERROR(VLOOKUP(A830,产值统计中间表!A:F,7,FALSE),0)</f>
        <v>0</v>
      </c>
      <c r="U830" s="4">
        <f t="shared" ref="U830:U834" si="1566">+T830*H830</f>
        <v>0</v>
      </c>
      <c r="V830" s="4">
        <f>IFERROR(VLOOKUP(A830,产值统计中间表!A:D,4,FALSE),0)</f>
        <v>0</v>
      </c>
      <c r="W830" s="4">
        <f t="shared" ref="W830:W834" si="1567">+V830*H830</f>
        <v>0</v>
      </c>
      <c r="X830" s="4">
        <f t="shared" ref="X830:X834" si="1568">+R830-V830</f>
        <v>81.397</v>
      </c>
      <c r="Y830" s="4">
        <f t="shared" ref="Y830:Y834" si="1569">+S830-W830</f>
        <v>703929.470376147</v>
      </c>
      <c r="Z830" s="4">
        <f>IFERROR(VLOOKUP(A830,业主统计中间表!A:D,4,FALSE),0)</f>
        <v>0</v>
      </c>
      <c r="AA830" s="4">
        <f t="shared" ref="AA830:AA834" si="1570">+Z830*H830</f>
        <v>0</v>
      </c>
      <c r="AB830" s="4"/>
    </row>
    <row r="831" customHeight="1" outlineLevel="3" spans="1:28">
      <c r="A831" s="514" t="s">
        <v>3395</v>
      </c>
      <c r="B831" s="4"/>
      <c r="C831" s="510" t="s">
        <v>65</v>
      </c>
      <c r="D831" s="4" t="s">
        <v>757</v>
      </c>
      <c r="E831" s="4" t="s">
        <v>3364</v>
      </c>
      <c r="F831" s="4" t="str">
        <f ca="1" t="shared" si="1551"/>
        <v>t</v>
      </c>
      <c r="G831" s="4"/>
      <c r="H831" s="4"/>
      <c r="I831" s="4"/>
      <c r="J831" s="4"/>
      <c r="K831" s="4"/>
      <c r="L831" s="517"/>
      <c r="M831" s="4">
        <f t="shared" si="1552"/>
        <v>81.397</v>
      </c>
      <c r="N831" s="4">
        <f ca="1" t="shared" ref="N831:N835" si="1571">VLOOKUP($D831,INDIRECT($C831),3,0)</f>
        <v>8800</v>
      </c>
      <c r="O831" s="4">
        <f ca="1">M831*N831</f>
        <v>716293.6</v>
      </c>
      <c r="P831" s="4"/>
      <c r="Q831" s="4"/>
      <c r="R831" s="4"/>
      <c r="S831" s="4"/>
      <c r="T831" s="4">
        <f ca="1" t="shared" si="1553"/>
        <v>0</v>
      </c>
      <c r="U831" s="4">
        <f ca="1" t="shared" si="1554"/>
        <v>0</v>
      </c>
      <c r="V831" s="4">
        <f ca="1" t="shared" si="1555"/>
        <v>0</v>
      </c>
      <c r="W831" s="4">
        <f ca="1" t="shared" si="1556"/>
        <v>0</v>
      </c>
      <c r="X831" s="4">
        <f ca="1" t="shared" si="1557"/>
        <v>81.397</v>
      </c>
      <c r="Y831" s="4">
        <f ca="1" t="shared" si="1558"/>
        <v>716293.6</v>
      </c>
      <c r="Z831" s="4">
        <f ca="1" t="shared" si="1559"/>
        <v>0</v>
      </c>
      <c r="AA831" s="4">
        <f ca="1" t="shared" si="1560"/>
        <v>0</v>
      </c>
      <c r="AB831" s="4"/>
    </row>
    <row r="832" customHeight="1" outlineLevel="2" spans="1:28">
      <c r="A832" s="515" t="s">
        <v>3396</v>
      </c>
      <c r="B832" s="4"/>
      <c r="C832" s="510" t="s">
        <v>1309</v>
      </c>
      <c r="D832" s="4" t="s">
        <v>761</v>
      </c>
      <c r="E832" s="4" t="s">
        <v>3358</v>
      </c>
      <c r="F832" s="4" t="s">
        <v>82</v>
      </c>
      <c r="G832" s="4">
        <v>22.78</v>
      </c>
      <c r="H832" s="4">
        <v>9058.76146788991</v>
      </c>
      <c r="I832" s="4">
        <f>G832*H832</f>
        <v>206358.586238532</v>
      </c>
      <c r="J832" s="4">
        <f t="shared" ref="J832:L832" si="1572">+G832</f>
        <v>22.78</v>
      </c>
      <c r="K832" s="4">
        <f t="shared" si="1572"/>
        <v>9058.76146788991</v>
      </c>
      <c r="L832" s="517">
        <f t="shared" si="1572"/>
        <v>206358.586238532</v>
      </c>
      <c r="M832" s="4">
        <v>22.78</v>
      </c>
      <c r="N832" s="4">
        <f ca="1" t="shared" si="1563"/>
        <v>8800</v>
      </c>
      <c r="O832" s="4">
        <f ca="1">(+O833)</f>
        <v>200464</v>
      </c>
      <c r="P832" s="4"/>
      <c r="Q832" s="4"/>
      <c r="R832" s="4">
        <f t="shared" si="1564"/>
        <v>22.78</v>
      </c>
      <c r="S832" s="4">
        <f t="shared" si="1565"/>
        <v>206358.586238532</v>
      </c>
      <c r="T832" s="4">
        <f>IFERROR(VLOOKUP(A832,产值统计中间表!A:F,7,FALSE),0)</f>
        <v>0</v>
      </c>
      <c r="U832" s="4">
        <f t="shared" si="1566"/>
        <v>0</v>
      </c>
      <c r="V832" s="4">
        <f>IFERROR(VLOOKUP(A832,产值统计中间表!A:D,4,FALSE),0)</f>
        <v>0</v>
      </c>
      <c r="W832" s="4">
        <f t="shared" si="1567"/>
        <v>0</v>
      </c>
      <c r="X832" s="4">
        <f t="shared" si="1568"/>
        <v>22.78</v>
      </c>
      <c r="Y832" s="4">
        <f t="shared" si="1569"/>
        <v>206358.586238532</v>
      </c>
      <c r="Z832" s="4">
        <f>IFERROR(VLOOKUP(A832,业主统计中间表!A:D,4,FALSE),0)</f>
        <v>0</v>
      </c>
      <c r="AA832" s="4">
        <f t="shared" si="1570"/>
        <v>0</v>
      </c>
      <c r="AB832" s="4"/>
    </row>
    <row r="833" customHeight="1" outlineLevel="3" spans="1:28">
      <c r="A833" s="514" t="s">
        <v>3397</v>
      </c>
      <c r="B833" s="4"/>
      <c r="C833" s="510" t="s">
        <v>65</v>
      </c>
      <c r="D833" s="4" t="s">
        <v>761</v>
      </c>
      <c r="E833" s="4" t="s">
        <v>3364</v>
      </c>
      <c r="F833" s="4" t="str">
        <f ca="1" t="shared" ref="F833:F837" si="1573">VLOOKUP($D833,INDIRECT($C833),2,0)</f>
        <v>t</v>
      </c>
      <c r="G833" s="4"/>
      <c r="H833" s="4"/>
      <c r="I833" s="4"/>
      <c r="J833" s="4"/>
      <c r="K833" s="4"/>
      <c r="L833" s="517"/>
      <c r="M833" s="4">
        <f>+G832</f>
        <v>22.78</v>
      </c>
      <c r="N833" s="4">
        <f ca="1" t="shared" si="1571"/>
        <v>8800</v>
      </c>
      <c r="O833" s="4">
        <f ca="1">M833*N833</f>
        <v>200464</v>
      </c>
      <c r="P833" s="4"/>
      <c r="Q833" s="4"/>
      <c r="R833" s="4"/>
      <c r="S833" s="4"/>
      <c r="T833" s="4">
        <f ca="1" t="shared" ref="T833:T837" si="1574">OFFSET(T833,-RIGHT($A833,LEN($A$6)),,1,1)/OFFSET(T833,-RIGHT($A833,LEN($A$6)),-13,1,1)*$M833</f>
        <v>0</v>
      </c>
      <c r="U833" s="4">
        <f ca="1" t="shared" ref="U833:U837" si="1575">+$N833*T833</f>
        <v>0</v>
      </c>
      <c r="V833" s="4">
        <f ca="1" t="shared" ref="V833:V837" si="1576">OFFSET(V833,-RIGHT($A833,LEN($A$6)),,1,1)/OFFSET(V833,-RIGHT($A833,LEN($A$6)),-15,1,1)*$M833</f>
        <v>0</v>
      </c>
      <c r="W833" s="4">
        <f ca="1" t="shared" ref="W833:W837" si="1577">+$N833*V833</f>
        <v>0</v>
      </c>
      <c r="X833" s="4">
        <f ca="1" t="shared" ref="X833:X837" si="1578">+M833-V833</f>
        <v>22.78</v>
      </c>
      <c r="Y833" s="4">
        <f ca="1" t="shared" ref="Y833:Y837" si="1579">+O833-W833</f>
        <v>200464</v>
      </c>
      <c r="Z833" s="4">
        <f ca="1" t="shared" ref="Z833:Z837" si="1580">OFFSET(Z833,-RIGHT($A833,LEN($A$6)),,1,1)/OFFSET(Z833,-RIGHT($A833,LEN($A$6)),-19,1,1)*$M833</f>
        <v>0</v>
      </c>
      <c r="AA833" s="4">
        <f ca="1" t="shared" ref="AA833:AA837" si="1581">+$N833*Z833</f>
        <v>0</v>
      </c>
      <c r="AB833" s="4"/>
    </row>
    <row r="834" customHeight="1" outlineLevel="2" spans="1:28">
      <c r="A834" s="515" t="s">
        <v>3398</v>
      </c>
      <c r="B834" s="4"/>
      <c r="C834" s="510" t="s">
        <v>1309</v>
      </c>
      <c r="D834" s="4" t="s">
        <v>765</v>
      </c>
      <c r="E834" s="4" t="s">
        <v>3399</v>
      </c>
      <c r="F834" s="4" t="s">
        <v>82</v>
      </c>
      <c r="G834" s="4">
        <v>234.797</v>
      </c>
      <c r="H834" s="4">
        <v>9518.66055045872</v>
      </c>
      <c r="I834" s="4">
        <f>G834*H834</f>
        <v>2234952.94126606</v>
      </c>
      <c r="J834" s="4">
        <f t="shared" ref="J834:L834" si="1582">+G834</f>
        <v>234.797</v>
      </c>
      <c r="K834" s="4">
        <f t="shared" si="1582"/>
        <v>9518.66055045872</v>
      </c>
      <c r="L834" s="517">
        <f t="shared" si="1582"/>
        <v>2234952.94126606</v>
      </c>
      <c r="M834" s="4">
        <v>234.797</v>
      </c>
      <c r="N834" s="4">
        <f ca="1" t="shared" si="1563"/>
        <v>8800</v>
      </c>
      <c r="O834" s="4">
        <f ca="1">(+O835)</f>
        <v>2066213.6</v>
      </c>
      <c r="P834" s="4"/>
      <c r="Q834" s="4"/>
      <c r="R834" s="4">
        <f t="shared" si="1564"/>
        <v>234.797</v>
      </c>
      <c r="S834" s="4">
        <f t="shared" si="1565"/>
        <v>2234952.94126606</v>
      </c>
      <c r="T834" s="4">
        <f>IFERROR(VLOOKUP(A834,产值统计中间表!A:F,7,FALSE),0)</f>
        <v>0</v>
      </c>
      <c r="U834" s="4">
        <f t="shared" si="1566"/>
        <v>0</v>
      </c>
      <c r="V834" s="4">
        <f>IFERROR(VLOOKUP(A834,产值统计中间表!A:D,4,FALSE),0)</f>
        <v>0</v>
      </c>
      <c r="W834" s="4">
        <f t="shared" si="1567"/>
        <v>0</v>
      </c>
      <c r="X834" s="4">
        <f t="shared" si="1568"/>
        <v>234.797</v>
      </c>
      <c r="Y834" s="4">
        <f t="shared" si="1569"/>
        <v>2234952.94126606</v>
      </c>
      <c r="Z834" s="4">
        <f>IFERROR(VLOOKUP(A834,业主统计中间表!A:D,4,FALSE),0)</f>
        <v>0</v>
      </c>
      <c r="AA834" s="4">
        <f t="shared" si="1570"/>
        <v>0</v>
      </c>
      <c r="AB834" s="4"/>
    </row>
    <row r="835" customHeight="1" outlineLevel="3" spans="1:28">
      <c r="A835" s="514" t="s">
        <v>3400</v>
      </c>
      <c r="B835" s="4"/>
      <c r="C835" s="510" t="s">
        <v>65</v>
      </c>
      <c r="D835" s="4" t="s">
        <v>765</v>
      </c>
      <c r="E835" s="4" t="s">
        <v>3364</v>
      </c>
      <c r="F835" s="4" t="str">
        <f ca="1" t="shared" si="1573"/>
        <v>t</v>
      </c>
      <c r="G835" s="4"/>
      <c r="H835" s="4"/>
      <c r="I835" s="4"/>
      <c r="J835" s="4"/>
      <c r="K835" s="4"/>
      <c r="L835" s="517"/>
      <c r="M835" s="4">
        <f>+G834</f>
        <v>234.797</v>
      </c>
      <c r="N835" s="4">
        <f ca="1" t="shared" si="1571"/>
        <v>8800</v>
      </c>
      <c r="O835" s="4">
        <f ca="1">M835*N835</f>
        <v>2066213.6</v>
      </c>
      <c r="P835" s="4"/>
      <c r="Q835" s="4"/>
      <c r="R835" s="4"/>
      <c r="S835" s="4"/>
      <c r="T835" s="4">
        <f ca="1" t="shared" si="1574"/>
        <v>0</v>
      </c>
      <c r="U835" s="4">
        <f ca="1" t="shared" si="1575"/>
        <v>0</v>
      </c>
      <c r="V835" s="4">
        <f ca="1" t="shared" si="1576"/>
        <v>0</v>
      </c>
      <c r="W835" s="4">
        <f ca="1" t="shared" si="1577"/>
        <v>0</v>
      </c>
      <c r="X835" s="4">
        <f ca="1" t="shared" si="1578"/>
        <v>234.797</v>
      </c>
      <c r="Y835" s="4">
        <f ca="1" t="shared" si="1579"/>
        <v>2066213.6</v>
      </c>
      <c r="Z835" s="4">
        <f ca="1" t="shared" si="1580"/>
        <v>0</v>
      </c>
      <c r="AA835" s="4">
        <f ca="1" t="shared" si="1581"/>
        <v>0</v>
      </c>
      <c r="AB835" s="4"/>
    </row>
    <row r="836" customHeight="1" outlineLevel="2" spans="1:28">
      <c r="A836" s="515" t="s">
        <v>3401</v>
      </c>
      <c r="B836" s="4"/>
      <c r="C836" s="510" t="s">
        <v>1309</v>
      </c>
      <c r="D836" s="4" t="s">
        <v>2607</v>
      </c>
      <c r="E836" s="4" t="s">
        <v>2604</v>
      </c>
      <c r="F836" s="4" t="s">
        <v>76</v>
      </c>
      <c r="G836" s="4">
        <v>356.8</v>
      </c>
      <c r="H836" s="4">
        <v>655.238532110092</v>
      </c>
      <c r="I836" s="4">
        <f>G836*H836</f>
        <v>233789.108256881</v>
      </c>
      <c r="J836" s="4">
        <f t="shared" ref="J836:L836" si="1583">+G836</f>
        <v>356.8</v>
      </c>
      <c r="K836" s="4">
        <f t="shared" si="1583"/>
        <v>655.238532110092</v>
      </c>
      <c r="L836" s="517">
        <f t="shared" si="1583"/>
        <v>233789.108256881</v>
      </c>
      <c r="M836" s="4">
        <v>356.8</v>
      </c>
      <c r="N836" s="4">
        <f ca="1" t="shared" ref="N836:N840" si="1584">O836/M836</f>
        <v>500</v>
      </c>
      <c r="O836" s="4">
        <f ca="1">(+O837)</f>
        <v>178400</v>
      </c>
      <c r="P836" s="4"/>
      <c r="Q836" s="4"/>
      <c r="R836" s="4">
        <f t="shared" ref="R836:R840" si="1585">+P836+J836</f>
        <v>356.8</v>
      </c>
      <c r="S836" s="4">
        <f t="shared" ref="S836:S840" si="1586">+Q836+L836</f>
        <v>233789.108256881</v>
      </c>
      <c r="T836" s="4">
        <f>IFERROR(VLOOKUP(A836,产值统计中间表!A:F,7,FALSE),0)</f>
        <v>0</v>
      </c>
      <c r="U836" s="4">
        <f t="shared" ref="U836:U840" si="1587">+T836*H836</f>
        <v>0</v>
      </c>
      <c r="V836" s="4">
        <f>IFERROR(VLOOKUP(A836,产值统计中间表!A:D,4,FALSE),0)</f>
        <v>0</v>
      </c>
      <c r="W836" s="4">
        <f t="shared" ref="W836:W840" si="1588">+V836*H836</f>
        <v>0</v>
      </c>
      <c r="X836" s="4">
        <f t="shared" ref="X836:X840" si="1589">+R836-V836</f>
        <v>356.8</v>
      </c>
      <c r="Y836" s="4">
        <f t="shared" ref="Y836:Y840" si="1590">+S836-W836</f>
        <v>233789.108256881</v>
      </c>
      <c r="Z836" s="4">
        <f>IFERROR(VLOOKUP(A836,业主统计中间表!A:D,4,FALSE),0)</f>
        <v>0</v>
      </c>
      <c r="AA836" s="4">
        <f t="shared" ref="AA836:AA840" si="1591">+Z836*H836</f>
        <v>0</v>
      </c>
      <c r="AB836" s="4"/>
    </row>
    <row r="837" customHeight="1" outlineLevel="3" spans="1:28">
      <c r="A837" s="514" t="s">
        <v>3402</v>
      </c>
      <c r="B837" s="4"/>
      <c r="C837" s="510" t="s">
        <v>65</v>
      </c>
      <c r="D837" s="4" t="s">
        <v>622</v>
      </c>
      <c r="E837" s="4"/>
      <c r="F837" s="4" t="str">
        <f ca="1" t="shared" si="1573"/>
        <v>m</v>
      </c>
      <c r="G837" s="4"/>
      <c r="H837" s="4"/>
      <c r="I837" s="4"/>
      <c r="J837" s="4"/>
      <c r="K837" s="4"/>
      <c r="L837" s="517"/>
      <c r="M837" s="4">
        <v>356.8</v>
      </c>
      <c r="N837" s="4">
        <f ca="1" t="shared" ref="N837:N841" si="1592">VLOOKUP($D837,INDIRECT($C837),3,0)</f>
        <v>500</v>
      </c>
      <c r="O837" s="4">
        <f ca="1">M837*N837</f>
        <v>178400</v>
      </c>
      <c r="P837" s="4"/>
      <c r="Q837" s="4"/>
      <c r="R837" s="4"/>
      <c r="S837" s="4"/>
      <c r="T837" s="4">
        <f ca="1" t="shared" si="1574"/>
        <v>0</v>
      </c>
      <c r="U837" s="4">
        <f ca="1" t="shared" si="1575"/>
        <v>0</v>
      </c>
      <c r="V837" s="4">
        <f ca="1" t="shared" si="1576"/>
        <v>0</v>
      </c>
      <c r="W837" s="4">
        <f ca="1" t="shared" si="1577"/>
        <v>0</v>
      </c>
      <c r="X837" s="4">
        <f ca="1" t="shared" si="1578"/>
        <v>356.8</v>
      </c>
      <c r="Y837" s="4">
        <f ca="1" t="shared" si="1579"/>
        <v>178400</v>
      </c>
      <c r="Z837" s="4">
        <f ca="1" t="shared" si="1580"/>
        <v>0</v>
      </c>
      <c r="AA837" s="4">
        <f ca="1" t="shared" si="1581"/>
        <v>0</v>
      </c>
      <c r="AB837" s="4"/>
    </row>
    <row r="838" customHeight="1" outlineLevel="2" spans="1:28">
      <c r="A838" s="515" t="s">
        <v>3403</v>
      </c>
      <c r="B838" s="4"/>
      <c r="C838" s="510" t="s">
        <v>1309</v>
      </c>
      <c r="D838" s="4" t="s">
        <v>769</v>
      </c>
      <c r="E838" s="4" t="s">
        <v>2604</v>
      </c>
      <c r="F838" s="4" t="s">
        <v>76</v>
      </c>
      <c r="G838" s="4">
        <v>216</v>
      </c>
      <c r="H838" s="4">
        <v>830.018348623853</v>
      </c>
      <c r="I838" s="4">
        <f>G838*H838</f>
        <v>179283.963302752</v>
      </c>
      <c r="J838" s="4">
        <f t="shared" ref="J838:L838" si="1593">+G838</f>
        <v>216</v>
      </c>
      <c r="K838" s="4">
        <f t="shared" si="1593"/>
        <v>830.018348623853</v>
      </c>
      <c r="L838" s="517">
        <f t="shared" si="1593"/>
        <v>179283.963302752</v>
      </c>
      <c r="M838" s="4">
        <v>216</v>
      </c>
      <c r="N838" s="4">
        <f ca="1" t="shared" si="1584"/>
        <v>500</v>
      </c>
      <c r="O838" s="4">
        <f ca="1">(+O839)</f>
        <v>108000</v>
      </c>
      <c r="P838" s="4"/>
      <c r="Q838" s="4"/>
      <c r="R838" s="4">
        <f t="shared" si="1585"/>
        <v>216</v>
      </c>
      <c r="S838" s="4">
        <f t="shared" si="1586"/>
        <v>179283.963302752</v>
      </c>
      <c r="T838" s="4">
        <f>IFERROR(VLOOKUP(A838,产值统计中间表!A:F,7,FALSE),0)</f>
        <v>0</v>
      </c>
      <c r="U838" s="4">
        <f t="shared" si="1587"/>
        <v>0</v>
      </c>
      <c r="V838" s="4">
        <f>IFERROR(VLOOKUP(A838,产值统计中间表!A:D,4,FALSE),0)</f>
        <v>0</v>
      </c>
      <c r="W838" s="4">
        <f t="shared" si="1588"/>
        <v>0</v>
      </c>
      <c r="X838" s="4">
        <f t="shared" si="1589"/>
        <v>216</v>
      </c>
      <c r="Y838" s="4">
        <f t="shared" si="1590"/>
        <v>179283.963302752</v>
      </c>
      <c r="Z838" s="4">
        <f>IFERROR(VLOOKUP(A838,业主统计中间表!A:D,4,FALSE),0)</f>
        <v>0</v>
      </c>
      <c r="AA838" s="4">
        <f t="shared" si="1591"/>
        <v>0</v>
      </c>
      <c r="AB838" s="4"/>
    </row>
    <row r="839" customHeight="1" outlineLevel="3" spans="1:28">
      <c r="A839" s="514" t="s">
        <v>3404</v>
      </c>
      <c r="B839" s="4"/>
      <c r="C839" s="510" t="s">
        <v>65</v>
      </c>
      <c r="D839" s="4" t="s">
        <v>769</v>
      </c>
      <c r="E839" s="4"/>
      <c r="F839" s="4" t="str">
        <f ca="1" t="shared" ref="F839:F843" si="1594">VLOOKUP($D839,INDIRECT($C839),2,0)</f>
        <v>m</v>
      </c>
      <c r="G839" s="4"/>
      <c r="H839" s="4"/>
      <c r="I839" s="4"/>
      <c r="J839" s="4"/>
      <c r="K839" s="4"/>
      <c r="L839" s="517"/>
      <c r="M839" s="4">
        <v>216</v>
      </c>
      <c r="N839" s="4">
        <f ca="1" t="shared" si="1592"/>
        <v>500</v>
      </c>
      <c r="O839" s="4">
        <f ca="1">M839*N839</f>
        <v>108000</v>
      </c>
      <c r="P839" s="4"/>
      <c r="Q839" s="4"/>
      <c r="R839" s="4"/>
      <c r="S839" s="4"/>
      <c r="T839" s="4">
        <f ca="1" t="shared" ref="T839:T843" si="1595">OFFSET(T839,-RIGHT($A839,LEN($A$6)),,1,1)/OFFSET(T839,-RIGHT($A839,LEN($A$6)),-13,1,1)*$M839</f>
        <v>0</v>
      </c>
      <c r="U839" s="4">
        <f ca="1" t="shared" ref="U839:U843" si="1596">+$N839*T839</f>
        <v>0</v>
      </c>
      <c r="V839" s="4">
        <f ca="1" t="shared" ref="V839:V843" si="1597">OFFSET(V839,-RIGHT($A839,LEN($A$6)),,1,1)/OFFSET(V839,-RIGHT($A839,LEN($A$6)),-15,1,1)*$M839</f>
        <v>0</v>
      </c>
      <c r="W839" s="4">
        <f ca="1" t="shared" ref="W839:W843" si="1598">+$N839*V839</f>
        <v>0</v>
      </c>
      <c r="X839" s="4">
        <f ca="1" t="shared" ref="X839:X843" si="1599">+M839-V839</f>
        <v>216</v>
      </c>
      <c r="Y839" s="4">
        <f ca="1" t="shared" ref="Y839:Y843" si="1600">+O839-W839</f>
        <v>108000</v>
      </c>
      <c r="Z839" s="4">
        <f ca="1" t="shared" ref="Z839:Z843" si="1601">OFFSET(Z839,-RIGHT($A839,LEN($A$6)),,1,1)/OFFSET(Z839,-RIGHT($A839,LEN($A$6)),-19,1,1)*$M839</f>
        <v>0</v>
      </c>
      <c r="AA839" s="4">
        <f ca="1" t="shared" ref="AA839:AA843" si="1602">+$N839*Z839</f>
        <v>0</v>
      </c>
      <c r="AB839" s="4"/>
    </row>
    <row r="840" customHeight="1" outlineLevel="2" spans="1:28">
      <c r="A840" s="515" t="s">
        <v>3405</v>
      </c>
      <c r="B840" s="4"/>
      <c r="C840" s="510" t="s">
        <v>1309</v>
      </c>
      <c r="D840" s="4" t="s">
        <v>3406</v>
      </c>
      <c r="E840" s="4" t="s">
        <v>3358</v>
      </c>
      <c r="F840" s="4" t="s">
        <v>82</v>
      </c>
      <c r="G840" s="4">
        <v>1.198</v>
      </c>
      <c r="H840" s="4">
        <v>6273.54128440367</v>
      </c>
      <c r="I840" s="4">
        <f>G840*H840</f>
        <v>7515.7024587156</v>
      </c>
      <c r="J840" s="4">
        <f t="shared" ref="J840:L840" si="1603">+G840</f>
        <v>1.198</v>
      </c>
      <c r="K840" s="4">
        <f t="shared" si="1603"/>
        <v>6273.54128440367</v>
      </c>
      <c r="L840" s="517">
        <f t="shared" si="1603"/>
        <v>7515.7024587156</v>
      </c>
      <c r="M840" s="4">
        <v>1.198</v>
      </c>
      <c r="N840" s="4">
        <f ca="1" t="shared" si="1584"/>
        <v>6000</v>
      </c>
      <c r="O840" s="4">
        <f ca="1">(+O841)</f>
        <v>7188</v>
      </c>
      <c r="P840" s="4"/>
      <c r="Q840" s="4"/>
      <c r="R840" s="4">
        <f t="shared" si="1585"/>
        <v>1.198</v>
      </c>
      <c r="S840" s="4">
        <f t="shared" si="1586"/>
        <v>7515.7024587156</v>
      </c>
      <c r="T840" s="4">
        <f>IFERROR(VLOOKUP(A840,产值统计中间表!A:F,7,FALSE),0)</f>
        <v>0</v>
      </c>
      <c r="U840" s="4">
        <f t="shared" si="1587"/>
        <v>0</v>
      </c>
      <c r="V840" s="4">
        <f>IFERROR(VLOOKUP(A840,产值统计中间表!A:D,4,FALSE),0)</f>
        <v>0</v>
      </c>
      <c r="W840" s="4">
        <f t="shared" si="1588"/>
        <v>0</v>
      </c>
      <c r="X840" s="4">
        <f t="shared" si="1589"/>
        <v>1.198</v>
      </c>
      <c r="Y840" s="4">
        <f t="shared" si="1590"/>
        <v>7515.7024587156</v>
      </c>
      <c r="Z840" s="4">
        <f>IFERROR(VLOOKUP(A840,业主统计中间表!A:D,4,FALSE),0)</f>
        <v>0</v>
      </c>
      <c r="AA840" s="4">
        <f t="shared" si="1591"/>
        <v>0</v>
      </c>
      <c r="AB840" s="4"/>
    </row>
    <row r="841" customHeight="1" outlineLevel="3" spans="1:28">
      <c r="A841" s="514" t="s">
        <v>3407</v>
      </c>
      <c r="B841" s="4"/>
      <c r="C841" s="510" t="s">
        <v>65</v>
      </c>
      <c r="D841" s="4" t="s">
        <v>803</v>
      </c>
      <c r="E841" s="4" t="s">
        <v>2634</v>
      </c>
      <c r="F841" s="4" t="str">
        <f ca="1" t="shared" si="1594"/>
        <v>t</v>
      </c>
      <c r="G841" s="4"/>
      <c r="H841" s="4"/>
      <c r="I841" s="4"/>
      <c r="J841" s="4"/>
      <c r="K841" s="4"/>
      <c r="L841" s="517"/>
      <c r="M841" s="4">
        <v>1.198</v>
      </c>
      <c r="N841" s="4">
        <f ca="1" t="shared" si="1592"/>
        <v>6000</v>
      </c>
      <c r="O841" s="4">
        <f ca="1">M841*N841</f>
        <v>7188</v>
      </c>
      <c r="P841" s="4"/>
      <c r="Q841" s="4"/>
      <c r="R841" s="4"/>
      <c r="S841" s="4"/>
      <c r="T841" s="4">
        <f ca="1" t="shared" si="1595"/>
        <v>0</v>
      </c>
      <c r="U841" s="4">
        <f ca="1" t="shared" si="1596"/>
        <v>0</v>
      </c>
      <c r="V841" s="4">
        <f ca="1" t="shared" si="1597"/>
        <v>0</v>
      </c>
      <c r="W841" s="4">
        <f ca="1" t="shared" si="1598"/>
        <v>0</v>
      </c>
      <c r="X841" s="4">
        <f ca="1" t="shared" si="1599"/>
        <v>1.198</v>
      </c>
      <c r="Y841" s="4">
        <f ca="1" t="shared" si="1600"/>
        <v>7188</v>
      </c>
      <c r="Z841" s="4">
        <f ca="1" t="shared" si="1601"/>
        <v>0</v>
      </c>
      <c r="AA841" s="4">
        <f ca="1" t="shared" si="1602"/>
        <v>0</v>
      </c>
      <c r="AB841" s="4"/>
    </row>
    <row r="842" customHeight="1" outlineLevel="2" spans="1:28">
      <c r="A842" s="515" t="s">
        <v>3408</v>
      </c>
      <c r="B842" s="4"/>
      <c r="C842" s="510" t="s">
        <v>1309</v>
      </c>
      <c r="D842" s="4" t="s">
        <v>2643</v>
      </c>
      <c r="E842" s="4" t="s">
        <v>2644</v>
      </c>
      <c r="F842" s="4" t="s">
        <v>195</v>
      </c>
      <c r="G842" s="4">
        <v>1</v>
      </c>
      <c r="H842" s="4">
        <v>109749.394495413</v>
      </c>
      <c r="I842" s="4">
        <f>G842*H842</f>
        <v>109749.394495413</v>
      </c>
      <c r="J842" s="4">
        <f t="shared" ref="J842:L842" si="1604">+G842</f>
        <v>1</v>
      </c>
      <c r="K842" s="4">
        <f t="shared" si="1604"/>
        <v>109749.394495413</v>
      </c>
      <c r="L842" s="517">
        <f t="shared" si="1604"/>
        <v>109749.394495413</v>
      </c>
      <c r="M842" s="4">
        <v>1</v>
      </c>
      <c r="N842" s="4">
        <f t="shared" ref="N842:N846" si="1605">O842/M842</f>
        <v>106832</v>
      </c>
      <c r="O842" s="4">
        <f>(+O843)</f>
        <v>106832</v>
      </c>
      <c r="P842" s="4"/>
      <c r="Q842" s="4"/>
      <c r="R842" s="4">
        <f t="shared" ref="R842:R846" si="1606">+P842+J842</f>
        <v>1</v>
      </c>
      <c r="S842" s="4">
        <f t="shared" ref="S842:S846" si="1607">+Q842+L842</f>
        <v>109749.394495413</v>
      </c>
      <c r="T842" s="4">
        <f>IFERROR(VLOOKUP(A842,产值统计中间表!A:F,7,FALSE),0)</f>
        <v>0</v>
      </c>
      <c r="U842" s="4">
        <f t="shared" ref="U842:U846" si="1608">+T842*H842</f>
        <v>0</v>
      </c>
      <c r="V842" s="4">
        <f>IFERROR(VLOOKUP(A842,产值统计中间表!A:D,4,FALSE),0)</f>
        <v>0</v>
      </c>
      <c r="W842" s="4">
        <f t="shared" ref="W842:W846" si="1609">+V842*H842</f>
        <v>0</v>
      </c>
      <c r="X842" s="4">
        <f t="shared" ref="X842:X846" si="1610">+R842-V842</f>
        <v>1</v>
      </c>
      <c r="Y842" s="4">
        <f t="shared" ref="Y842:Y846" si="1611">+S842-W842</f>
        <v>109749.394495413</v>
      </c>
      <c r="Z842" s="4">
        <f>IFERROR(VLOOKUP(A842,业主统计中间表!A:D,4,FALSE),0)</f>
        <v>0</v>
      </c>
      <c r="AA842" s="4">
        <f t="shared" ref="AA842:AA846" si="1612">+Z842*H842</f>
        <v>0</v>
      </c>
      <c r="AB842" s="4"/>
    </row>
    <row r="843" customHeight="1" outlineLevel="3" spans="1:28">
      <c r="A843" s="514" t="s">
        <v>3409</v>
      </c>
      <c r="B843" s="4"/>
      <c r="C843" s="510" t="s">
        <v>65</v>
      </c>
      <c r="D843" s="4" t="s">
        <v>814</v>
      </c>
      <c r="E843" s="4" t="s">
        <v>3410</v>
      </c>
      <c r="F843" s="4" t="str">
        <f ca="1" t="shared" si="1594"/>
        <v>t</v>
      </c>
      <c r="G843" s="4"/>
      <c r="H843" s="4"/>
      <c r="I843" s="4"/>
      <c r="J843" s="4"/>
      <c r="K843" s="4"/>
      <c r="L843" s="517"/>
      <c r="M843" s="4">
        <v>12.14</v>
      </c>
      <c r="N843" s="4">
        <v>8800</v>
      </c>
      <c r="O843" s="4">
        <f>M843*N843</f>
        <v>106832</v>
      </c>
      <c r="P843" s="4"/>
      <c r="Q843" s="4"/>
      <c r="R843" s="4"/>
      <c r="S843" s="4"/>
      <c r="T843" s="4">
        <f ca="1" t="shared" si="1595"/>
        <v>0</v>
      </c>
      <c r="U843" s="4">
        <f ca="1" t="shared" si="1596"/>
        <v>0</v>
      </c>
      <c r="V843" s="4">
        <f ca="1" t="shared" si="1597"/>
        <v>0</v>
      </c>
      <c r="W843" s="4">
        <f ca="1" t="shared" si="1598"/>
        <v>0</v>
      </c>
      <c r="X843" s="4">
        <f ca="1" t="shared" si="1599"/>
        <v>12.14</v>
      </c>
      <c r="Y843" s="4">
        <f ca="1" t="shared" si="1600"/>
        <v>106832</v>
      </c>
      <c r="Z843" s="4">
        <f ca="1" t="shared" si="1601"/>
        <v>0</v>
      </c>
      <c r="AA843" s="4">
        <f ca="1" t="shared" si="1602"/>
        <v>0</v>
      </c>
      <c r="AB843" s="4"/>
    </row>
    <row r="844" customHeight="1" outlineLevel="2" spans="1:28">
      <c r="A844" s="515" t="s">
        <v>3411</v>
      </c>
      <c r="B844" s="4"/>
      <c r="C844" s="510" t="s">
        <v>1309</v>
      </c>
      <c r="D844" s="4" t="s">
        <v>783</v>
      </c>
      <c r="E844" s="4" t="s">
        <v>3314</v>
      </c>
      <c r="F844" s="4" t="s">
        <v>76</v>
      </c>
      <c r="G844" s="4">
        <v>170</v>
      </c>
      <c r="H844" s="4">
        <v>714.165137614679</v>
      </c>
      <c r="I844" s="4">
        <f>G844*H844</f>
        <v>121408.073394495</v>
      </c>
      <c r="J844" s="4">
        <f t="shared" ref="J844:L844" si="1613">+G844</f>
        <v>170</v>
      </c>
      <c r="K844" s="4">
        <f t="shared" si="1613"/>
        <v>714.165137614679</v>
      </c>
      <c r="L844" s="517">
        <f t="shared" si="1613"/>
        <v>121408.073394495</v>
      </c>
      <c r="M844" s="4">
        <v>170</v>
      </c>
      <c r="N844" s="4">
        <f ca="1" t="shared" si="1605"/>
        <v>706.194690265487</v>
      </c>
      <c r="O844" s="4">
        <f ca="1">(+O845)</f>
        <v>120053.097345133</v>
      </c>
      <c r="P844" s="4"/>
      <c r="Q844" s="4"/>
      <c r="R844" s="4">
        <f t="shared" si="1606"/>
        <v>170</v>
      </c>
      <c r="S844" s="4">
        <f t="shared" si="1607"/>
        <v>121408.073394495</v>
      </c>
      <c r="T844" s="4">
        <f>IFERROR(VLOOKUP(A844,产值统计中间表!A:F,7,FALSE),0)</f>
        <v>0</v>
      </c>
      <c r="U844" s="4">
        <f t="shared" si="1608"/>
        <v>0</v>
      </c>
      <c r="V844" s="4">
        <f>IFERROR(VLOOKUP(A844,产值统计中间表!A:D,4,FALSE),0)</f>
        <v>0</v>
      </c>
      <c r="W844" s="4">
        <f t="shared" si="1609"/>
        <v>0</v>
      </c>
      <c r="X844" s="4">
        <f t="shared" si="1610"/>
        <v>170</v>
      </c>
      <c r="Y844" s="4">
        <f t="shared" si="1611"/>
        <v>121408.073394495</v>
      </c>
      <c r="Z844" s="4">
        <f>IFERROR(VLOOKUP(A844,业主统计中间表!A:D,4,FALSE),0)</f>
        <v>0</v>
      </c>
      <c r="AA844" s="4">
        <f t="shared" si="1612"/>
        <v>0</v>
      </c>
      <c r="AB844" s="4"/>
    </row>
    <row r="845" customHeight="1" outlineLevel="3" spans="1:28">
      <c r="A845" s="514" t="s">
        <v>3412</v>
      </c>
      <c r="B845" s="4"/>
      <c r="C845" s="510" t="s">
        <v>65</v>
      </c>
      <c r="D845" s="4" t="s">
        <v>783</v>
      </c>
      <c r="E845" s="4"/>
      <c r="F845" s="4" t="str">
        <f ca="1" t="shared" ref="F845:F848" si="1614">VLOOKUP($D845,INDIRECT($C845),2,0)</f>
        <v>m</v>
      </c>
      <c r="G845" s="4"/>
      <c r="H845" s="4"/>
      <c r="I845" s="4"/>
      <c r="J845" s="4"/>
      <c r="K845" s="4"/>
      <c r="L845" s="517"/>
      <c r="M845" s="4">
        <v>170</v>
      </c>
      <c r="N845" s="4">
        <f ca="1" t="shared" ref="N845:N848" si="1615">VLOOKUP($D845,INDIRECT($C845),3,0)</f>
        <v>706.194690265487</v>
      </c>
      <c r="O845" s="4">
        <f ca="1">M845*N845</f>
        <v>120053.097345133</v>
      </c>
      <c r="P845" s="4"/>
      <c r="Q845" s="4"/>
      <c r="R845" s="4"/>
      <c r="S845" s="4"/>
      <c r="T845" s="4">
        <f ca="1" t="shared" ref="T845:T848" si="1616">OFFSET(T845,-RIGHT($A845,LEN($A$6)),,1,1)/OFFSET(T845,-RIGHT($A845,LEN($A$6)),-13,1,1)*$M845</f>
        <v>0</v>
      </c>
      <c r="U845" s="4">
        <f ca="1" t="shared" ref="U845:U848" si="1617">+$N845*T845</f>
        <v>0</v>
      </c>
      <c r="V845" s="4">
        <f ca="1" t="shared" ref="V845:V848" si="1618">OFFSET(V845,-RIGHT($A845,LEN($A$6)),,1,1)/OFFSET(V845,-RIGHT($A845,LEN($A$6)),-15,1,1)*$M845</f>
        <v>0</v>
      </c>
      <c r="W845" s="4">
        <f ca="1" t="shared" ref="W845:W848" si="1619">+$N845*V845</f>
        <v>0</v>
      </c>
      <c r="X845" s="4">
        <f ca="1" t="shared" ref="X845:X848" si="1620">+M845-V845</f>
        <v>170</v>
      </c>
      <c r="Y845" s="4">
        <f ca="1" t="shared" ref="Y845:Y848" si="1621">+O845-W845</f>
        <v>120053.097345133</v>
      </c>
      <c r="Z845" s="4">
        <f ca="1" t="shared" ref="Z845:Z848" si="1622">OFFSET(Z845,-RIGHT($A845,LEN($A$6)),,1,1)/OFFSET(Z845,-RIGHT($A845,LEN($A$6)),-19,1,1)*$M845</f>
        <v>0</v>
      </c>
      <c r="AA845" s="4">
        <f ca="1" t="shared" ref="AA845:AA848" si="1623">+$N845*Z845</f>
        <v>0</v>
      </c>
      <c r="AB845" s="4"/>
    </row>
    <row r="846" customHeight="1" outlineLevel="2" spans="1:28">
      <c r="A846" s="515" t="s">
        <v>3413</v>
      </c>
      <c r="B846" s="4"/>
      <c r="C846" s="510" t="s">
        <v>1309</v>
      </c>
      <c r="D846" s="4" t="s">
        <v>961</v>
      </c>
      <c r="E846" s="4" t="s">
        <v>2626</v>
      </c>
      <c r="F846" s="4" t="s">
        <v>76</v>
      </c>
      <c r="G846" s="4">
        <v>31</v>
      </c>
      <c r="H846" s="4">
        <v>2509.43119266055</v>
      </c>
      <c r="I846" s="4">
        <f>G846*H846</f>
        <v>77792.3669724771</v>
      </c>
      <c r="J846" s="4">
        <f t="shared" ref="J846:L846" si="1624">+G846</f>
        <v>31</v>
      </c>
      <c r="K846" s="4">
        <f t="shared" si="1624"/>
        <v>2509.43119266055</v>
      </c>
      <c r="L846" s="517">
        <f t="shared" si="1624"/>
        <v>77792.3669724771</v>
      </c>
      <c r="M846" s="4">
        <v>31</v>
      </c>
      <c r="N846" s="4">
        <f ca="1" t="shared" si="1605"/>
        <v>30</v>
      </c>
      <c r="O846" s="4">
        <f ca="1">(+O847+O848)</f>
        <v>930</v>
      </c>
      <c r="P846" s="4"/>
      <c r="Q846" s="4"/>
      <c r="R846" s="4">
        <f t="shared" si="1606"/>
        <v>31</v>
      </c>
      <c r="S846" s="4">
        <f t="shared" si="1607"/>
        <v>77792.3669724771</v>
      </c>
      <c r="T846" s="4">
        <f>IFERROR(VLOOKUP(A846,产值统计中间表!A:F,7,FALSE),0)</f>
        <v>0</v>
      </c>
      <c r="U846" s="4">
        <f t="shared" si="1608"/>
        <v>0</v>
      </c>
      <c r="V846" s="4">
        <f>IFERROR(VLOOKUP(A846,产值统计中间表!A:D,4,FALSE),0)</f>
        <v>0</v>
      </c>
      <c r="W846" s="4">
        <f t="shared" si="1609"/>
        <v>0</v>
      </c>
      <c r="X846" s="4">
        <f t="shared" si="1610"/>
        <v>31</v>
      </c>
      <c r="Y846" s="4">
        <f t="shared" si="1611"/>
        <v>77792.3669724771</v>
      </c>
      <c r="Z846" s="4">
        <f>IFERROR(VLOOKUP(A846,业主统计中间表!A:D,4,FALSE),0)</f>
        <v>0</v>
      </c>
      <c r="AA846" s="4">
        <f t="shared" si="1612"/>
        <v>0</v>
      </c>
      <c r="AB846" s="4"/>
    </row>
    <row r="847" customHeight="1" outlineLevel="3" spans="1:28">
      <c r="A847" s="514" t="s">
        <v>3414</v>
      </c>
      <c r="B847" s="4"/>
      <c r="C847" s="510" t="s">
        <v>64</v>
      </c>
      <c r="D847" s="4" t="s">
        <v>1046</v>
      </c>
      <c r="E847" s="4"/>
      <c r="F847" s="4" t="str">
        <f ca="1" t="shared" si="1614"/>
        <v>m</v>
      </c>
      <c r="G847" s="4"/>
      <c r="H847" s="4"/>
      <c r="I847" s="4"/>
      <c r="J847" s="4"/>
      <c r="K847" s="4"/>
      <c r="L847" s="517"/>
      <c r="M847" s="4">
        <v>31</v>
      </c>
      <c r="N847" s="4">
        <f ca="1" t="shared" si="1615"/>
        <v>30</v>
      </c>
      <c r="O847" s="4">
        <f ca="1">M847*N847</f>
        <v>930</v>
      </c>
      <c r="P847" s="4"/>
      <c r="Q847" s="4"/>
      <c r="R847" s="4"/>
      <c r="S847" s="4"/>
      <c r="T847" s="4">
        <f ca="1" t="shared" si="1616"/>
        <v>0</v>
      </c>
      <c r="U847" s="4">
        <f ca="1" t="shared" si="1617"/>
        <v>0</v>
      </c>
      <c r="V847" s="4">
        <f ca="1" t="shared" si="1618"/>
        <v>0</v>
      </c>
      <c r="W847" s="4">
        <f ca="1" t="shared" si="1619"/>
        <v>0</v>
      </c>
      <c r="X847" s="4">
        <f ca="1" t="shared" si="1620"/>
        <v>31</v>
      </c>
      <c r="Y847" s="4">
        <f ca="1" t="shared" si="1621"/>
        <v>930</v>
      </c>
      <c r="Z847" s="4">
        <f ca="1" t="shared" si="1622"/>
        <v>0</v>
      </c>
      <c r="AA847" s="4">
        <f ca="1" t="shared" si="1623"/>
        <v>0</v>
      </c>
      <c r="AB847" s="4"/>
    </row>
    <row r="848" customHeight="1" outlineLevel="3" spans="1:28">
      <c r="A848" s="514" t="s">
        <v>3415</v>
      </c>
      <c r="B848" s="4"/>
      <c r="C848" s="510" t="s">
        <v>59</v>
      </c>
      <c r="D848" s="4" t="s">
        <v>1155</v>
      </c>
      <c r="E848" s="4"/>
      <c r="F848" s="4" t="str">
        <f ca="1" t="shared" si="1614"/>
        <v>m</v>
      </c>
      <c r="G848" s="4"/>
      <c r="H848" s="4"/>
      <c r="I848" s="4"/>
      <c r="J848" s="4"/>
      <c r="K848" s="4"/>
      <c r="L848" s="517"/>
      <c r="M848" s="4">
        <v>31</v>
      </c>
      <c r="N848" s="4">
        <f ca="1" t="shared" si="1615"/>
        <v>0</v>
      </c>
      <c r="O848" s="4">
        <f ca="1">M848*N848</f>
        <v>0</v>
      </c>
      <c r="P848" s="4"/>
      <c r="Q848" s="4"/>
      <c r="R848" s="4"/>
      <c r="S848" s="4"/>
      <c r="T848" s="4">
        <f ca="1" t="shared" si="1616"/>
        <v>0</v>
      </c>
      <c r="U848" s="4">
        <f ca="1" t="shared" si="1617"/>
        <v>0</v>
      </c>
      <c r="V848" s="4">
        <f ca="1" t="shared" si="1618"/>
        <v>0</v>
      </c>
      <c r="W848" s="4">
        <f ca="1" t="shared" si="1619"/>
        <v>0</v>
      </c>
      <c r="X848" s="4">
        <f ca="1" t="shared" si="1620"/>
        <v>31</v>
      </c>
      <c r="Y848" s="4">
        <f ca="1" t="shared" si="1621"/>
        <v>0</v>
      </c>
      <c r="Z848" s="4">
        <f ca="1" t="shared" si="1622"/>
        <v>0</v>
      </c>
      <c r="AA848" s="4">
        <f ca="1" t="shared" si="1623"/>
        <v>0</v>
      </c>
      <c r="AB848" s="4"/>
    </row>
    <row r="849" customHeight="1" outlineLevel="2" spans="1:28">
      <c r="A849" s="515" t="s">
        <v>3416</v>
      </c>
      <c r="B849" s="4"/>
      <c r="C849" s="510" t="s">
        <v>1309</v>
      </c>
      <c r="D849" s="4" t="s">
        <v>3417</v>
      </c>
      <c r="E849" s="4" t="s">
        <v>2576</v>
      </c>
      <c r="F849" s="4" t="s">
        <v>69</v>
      </c>
      <c r="G849" s="4">
        <v>4000</v>
      </c>
      <c r="H849" s="4">
        <v>198.376146788991</v>
      </c>
      <c r="I849" s="4">
        <f>G849*H849</f>
        <v>793504.587155964</v>
      </c>
      <c r="J849" s="4">
        <f t="shared" ref="J849:L849" si="1625">+G849</f>
        <v>4000</v>
      </c>
      <c r="K849" s="4">
        <f t="shared" si="1625"/>
        <v>198.376146788991</v>
      </c>
      <c r="L849" s="517">
        <f t="shared" si="1625"/>
        <v>793504.587155964</v>
      </c>
      <c r="M849" s="4">
        <v>4000</v>
      </c>
      <c r="N849" s="4">
        <f ca="1">O849/M849</f>
        <v>61</v>
      </c>
      <c r="O849" s="4">
        <f ca="1">(+O850+O851+O852+O853+O854+O855)</f>
        <v>244000</v>
      </c>
      <c r="P849" s="4"/>
      <c r="Q849" s="4"/>
      <c r="R849" s="4">
        <f>+P849+J849</f>
        <v>4000</v>
      </c>
      <c r="S849" s="4">
        <f>+Q849+L849</f>
        <v>793504.587155964</v>
      </c>
      <c r="T849" s="4">
        <f>IFERROR(VLOOKUP(A849,产值统计中间表!A:F,7,FALSE),0)</f>
        <v>0</v>
      </c>
      <c r="U849" s="4">
        <f>+T849*H849</f>
        <v>0</v>
      </c>
      <c r="V849" s="4">
        <f>IFERROR(VLOOKUP(A849,产值统计中间表!A:D,4,FALSE),0)</f>
        <v>0</v>
      </c>
      <c r="W849" s="4">
        <f>+V849*H849</f>
        <v>0</v>
      </c>
      <c r="X849" s="4">
        <f>+R849-V849</f>
        <v>4000</v>
      </c>
      <c r="Y849" s="4">
        <f>+S849-W849</f>
        <v>793504.587155964</v>
      </c>
      <c r="Z849" s="4">
        <f>IFERROR(VLOOKUP(A849,业主统计中间表!A:D,4,FALSE),0)</f>
        <v>0</v>
      </c>
      <c r="AA849" s="4">
        <f>+Z849*H849</f>
        <v>0</v>
      </c>
      <c r="AB849" s="4"/>
    </row>
    <row r="850" customHeight="1" outlineLevel="3" spans="1:28">
      <c r="A850" s="514" t="s">
        <v>3418</v>
      </c>
      <c r="B850" s="4"/>
      <c r="C850" s="510" t="s">
        <v>59</v>
      </c>
      <c r="D850" s="4" t="s">
        <v>981</v>
      </c>
      <c r="E850" s="4"/>
      <c r="F850" s="4" t="str">
        <f ca="1" t="shared" ref="F850:F855" si="1626">VLOOKUP($D850,INDIRECT($C850),2,0)</f>
        <v>m3</v>
      </c>
      <c r="G850" s="4"/>
      <c r="H850" s="4"/>
      <c r="I850" s="4"/>
      <c r="J850" s="4"/>
      <c r="K850" s="4"/>
      <c r="L850" s="517"/>
      <c r="M850" s="4">
        <v>121.2</v>
      </c>
      <c r="N850" s="4">
        <f ca="1" t="shared" ref="N850:N855" si="1627">VLOOKUP($D850,INDIRECT($C850),3,0)</f>
        <v>0</v>
      </c>
      <c r="O850" s="4">
        <f ca="1" t="shared" ref="O850:O855" si="1628">M850*N850</f>
        <v>0</v>
      </c>
      <c r="P850" s="4"/>
      <c r="Q850" s="4"/>
      <c r="R850" s="4"/>
      <c r="S850" s="4"/>
      <c r="T850" s="4">
        <f ca="1" t="shared" ref="T850:T855" si="1629">OFFSET(T850,-RIGHT($A850,LEN($A$6)),,1,1)/OFFSET(T850,-RIGHT($A850,LEN($A$6)),-13,1,1)*$M850</f>
        <v>0</v>
      </c>
      <c r="U850" s="4">
        <f ca="1" t="shared" ref="U850:U855" si="1630">+$N850*T850</f>
        <v>0</v>
      </c>
      <c r="V850" s="4">
        <f ca="1" t="shared" ref="V850:V855" si="1631">OFFSET(V850,-RIGHT($A850,LEN($A$6)),,1,1)/OFFSET(V850,-RIGHT($A850,LEN($A$6)),-15,1,1)*$M850</f>
        <v>0</v>
      </c>
      <c r="W850" s="4">
        <f ca="1" t="shared" ref="W850:W855" si="1632">+$N850*V850</f>
        <v>0</v>
      </c>
      <c r="X850" s="4">
        <f ca="1" t="shared" ref="X850:X855" si="1633">+M850-V850</f>
        <v>121.2</v>
      </c>
      <c r="Y850" s="4">
        <f ca="1" t="shared" ref="Y850:Y855" si="1634">+O850-W850</f>
        <v>0</v>
      </c>
      <c r="Z850" s="4">
        <f ca="1" t="shared" ref="Z850:Z855" si="1635">OFFSET(Z850,-RIGHT($A850,LEN($A$6)),,1,1)/OFFSET(Z850,-RIGHT($A850,LEN($A$6)),-19,1,1)*$M850</f>
        <v>0</v>
      </c>
      <c r="AA850" s="4">
        <f ca="1" t="shared" ref="AA850:AA855" si="1636">+$N850*Z850</f>
        <v>0</v>
      </c>
      <c r="AB850" s="4"/>
    </row>
    <row r="851" customHeight="1" outlineLevel="3" spans="1:28">
      <c r="A851" s="514" t="s">
        <v>3419</v>
      </c>
      <c r="B851" s="4"/>
      <c r="C851" s="510" t="s">
        <v>59</v>
      </c>
      <c r="D851" s="4" t="s">
        <v>264</v>
      </c>
      <c r="E851" s="4"/>
      <c r="F851" s="4" t="str">
        <f ca="1" t="shared" si="1626"/>
        <v>m3</v>
      </c>
      <c r="G851" s="4"/>
      <c r="H851" s="4"/>
      <c r="I851" s="4"/>
      <c r="J851" s="4"/>
      <c r="K851" s="4"/>
      <c r="L851" s="517"/>
      <c r="M851" s="4">
        <v>121.2</v>
      </c>
      <c r="N851" s="4">
        <f ca="1" t="shared" si="1627"/>
        <v>0</v>
      </c>
      <c r="O851" s="4">
        <f ca="1" t="shared" si="1628"/>
        <v>0</v>
      </c>
      <c r="P851" s="4"/>
      <c r="Q851" s="4"/>
      <c r="R851" s="4"/>
      <c r="S851" s="4"/>
      <c r="T851" s="4">
        <f ca="1" t="shared" si="1629"/>
        <v>0</v>
      </c>
      <c r="U851" s="4">
        <f ca="1" t="shared" si="1630"/>
        <v>0</v>
      </c>
      <c r="V851" s="4">
        <f ca="1" t="shared" si="1631"/>
        <v>0</v>
      </c>
      <c r="W851" s="4">
        <f ca="1" t="shared" si="1632"/>
        <v>0</v>
      </c>
      <c r="X851" s="4">
        <f ca="1" t="shared" si="1633"/>
        <v>121.2</v>
      </c>
      <c r="Y851" s="4">
        <f ca="1" t="shared" si="1634"/>
        <v>0</v>
      </c>
      <c r="Z851" s="4">
        <f ca="1" t="shared" si="1635"/>
        <v>0</v>
      </c>
      <c r="AA851" s="4">
        <f ca="1" t="shared" si="1636"/>
        <v>0</v>
      </c>
      <c r="AB851" s="4"/>
    </row>
    <row r="852" customHeight="1" outlineLevel="3" spans="1:28">
      <c r="A852" s="514" t="s">
        <v>3420</v>
      </c>
      <c r="B852" s="4"/>
      <c r="C852" s="510" t="s">
        <v>59</v>
      </c>
      <c r="D852" s="4" t="s">
        <v>1065</v>
      </c>
      <c r="E852" s="4"/>
      <c r="F852" s="4" t="str">
        <f ca="1" t="shared" si="1626"/>
        <v>t</v>
      </c>
      <c r="G852" s="4"/>
      <c r="H852" s="4"/>
      <c r="I852" s="4"/>
      <c r="J852" s="4"/>
      <c r="K852" s="4"/>
      <c r="L852" s="517"/>
      <c r="M852" s="4">
        <v>1.64</v>
      </c>
      <c r="N852" s="4">
        <f ca="1" t="shared" si="1627"/>
        <v>0</v>
      </c>
      <c r="O852" s="4">
        <f ca="1" t="shared" si="1628"/>
        <v>0</v>
      </c>
      <c r="P852" s="4"/>
      <c r="Q852" s="4"/>
      <c r="R852" s="4"/>
      <c r="S852" s="4"/>
      <c r="T852" s="4">
        <f ca="1" t="shared" si="1629"/>
        <v>0</v>
      </c>
      <c r="U852" s="4">
        <f ca="1" t="shared" si="1630"/>
        <v>0</v>
      </c>
      <c r="V852" s="4">
        <f ca="1" t="shared" si="1631"/>
        <v>0</v>
      </c>
      <c r="W852" s="4">
        <f ca="1" t="shared" si="1632"/>
        <v>0</v>
      </c>
      <c r="X852" s="4">
        <f ca="1" t="shared" si="1633"/>
        <v>1.64</v>
      </c>
      <c r="Y852" s="4">
        <f ca="1" t="shared" si="1634"/>
        <v>0</v>
      </c>
      <c r="Z852" s="4">
        <f ca="1" t="shared" si="1635"/>
        <v>0</v>
      </c>
      <c r="AA852" s="4">
        <f ca="1" t="shared" si="1636"/>
        <v>0</v>
      </c>
      <c r="AB852" s="4"/>
    </row>
    <row r="853" customHeight="1" outlineLevel="3" spans="1:28">
      <c r="A853" s="514" t="s">
        <v>3421</v>
      </c>
      <c r="B853" s="4"/>
      <c r="C853" s="510" t="s">
        <v>65</v>
      </c>
      <c r="D853" s="4" t="s">
        <v>818</v>
      </c>
      <c r="E853" s="4" t="s">
        <v>65</v>
      </c>
      <c r="F853" s="4" t="str">
        <f ca="1" t="shared" si="1626"/>
        <v>㎡</v>
      </c>
      <c r="G853" s="4"/>
      <c r="H853" s="4"/>
      <c r="I853" s="4"/>
      <c r="J853" s="4"/>
      <c r="K853" s="4"/>
      <c r="L853" s="517"/>
      <c r="M853" s="4">
        <v>4000</v>
      </c>
      <c r="N853" s="4">
        <f ca="1" t="shared" si="1627"/>
        <v>43</v>
      </c>
      <c r="O853" s="4">
        <f ca="1" t="shared" si="1628"/>
        <v>172000</v>
      </c>
      <c r="P853" s="4"/>
      <c r="Q853" s="4"/>
      <c r="R853" s="4"/>
      <c r="S853" s="4"/>
      <c r="T853" s="4">
        <f ca="1" t="shared" si="1629"/>
        <v>0</v>
      </c>
      <c r="U853" s="4">
        <f ca="1" t="shared" si="1630"/>
        <v>0</v>
      </c>
      <c r="V853" s="4">
        <f ca="1" t="shared" si="1631"/>
        <v>0</v>
      </c>
      <c r="W853" s="4">
        <f ca="1" t="shared" si="1632"/>
        <v>0</v>
      </c>
      <c r="X853" s="4">
        <f ca="1" t="shared" si="1633"/>
        <v>4000</v>
      </c>
      <c r="Y853" s="4">
        <f ca="1" t="shared" si="1634"/>
        <v>172000</v>
      </c>
      <c r="Z853" s="4">
        <f ca="1" t="shared" si="1635"/>
        <v>0</v>
      </c>
      <c r="AA853" s="4">
        <f ca="1" t="shared" si="1636"/>
        <v>0</v>
      </c>
      <c r="AB853" s="4"/>
    </row>
    <row r="854" customHeight="1" outlineLevel="3" spans="1:28">
      <c r="A854" s="514" t="s">
        <v>3422</v>
      </c>
      <c r="B854" s="4"/>
      <c r="C854" s="510" t="s">
        <v>63</v>
      </c>
      <c r="D854" s="4" t="s">
        <v>1182</v>
      </c>
      <c r="E854" s="4"/>
      <c r="F854" s="4" t="str">
        <f ca="1" t="shared" si="1626"/>
        <v>m2</v>
      </c>
      <c r="G854" s="4"/>
      <c r="H854" s="4"/>
      <c r="I854" s="4"/>
      <c r="J854" s="4"/>
      <c r="K854" s="4"/>
      <c r="L854" s="517"/>
      <c r="M854" s="4">
        <f>4000*2</f>
        <v>8000</v>
      </c>
      <c r="N854" s="4">
        <f ca="1" t="shared" si="1627"/>
        <v>8</v>
      </c>
      <c r="O854" s="4">
        <f ca="1" t="shared" si="1628"/>
        <v>64000</v>
      </c>
      <c r="P854" s="4"/>
      <c r="Q854" s="4"/>
      <c r="R854" s="4"/>
      <c r="S854" s="4"/>
      <c r="T854" s="4">
        <f ca="1" t="shared" si="1629"/>
        <v>0</v>
      </c>
      <c r="U854" s="4">
        <f ca="1" t="shared" si="1630"/>
        <v>0</v>
      </c>
      <c r="V854" s="4">
        <f ca="1" t="shared" si="1631"/>
        <v>0</v>
      </c>
      <c r="W854" s="4">
        <f ca="1" t="shared" si="1632"/>
        <v>0</v>
      </c>
      <c r="X854" s="4">
        <f ca="1" t="shared" si="1633"/>
        <v>8000</v>
      </c>
      <c r="Y854" s="4">
        <f ca="1" t="shared" si="1634"/>
        <v>64000</v>
      </c>
      <c r="Z854" s="4">
        <f ca="1" t="shared" si="1635"/>
        <v>0</v>
      </c>
      <c r="AA854" s="4">
        <f ca="1" t="shared" si="1636"/>
        <v>0</v>
      </c>
      <c r="AB854" s="4"/>
    </row>
    <row r="855" customHeight="1" outlineLevel="3" spans="1:28">
      <c r="A855" s="514" t="s">
        <v>3423</v>
      </c>
      <c r="B855" s="4"/>
      <c r="C855" s="510" t="s">
        <v>63</v>
      </c>
      <c r="D855" s="4" t="s">
        <v>1186</v>
      </c>
      <c r="E855" s="4"/>
      <c r="F855" s="4" t="str">
        <f ca="1" t="shared" si="1626"/>
        <v>m2</v>
      </c>
      <c r="G855" s="4"/>
      <c r="H855" s="4"/>
      <c r="I855" s="4"/>
      <c r="J855" s="4"/>
      <c r="K855" s="4"/>
      <c r="L855" s="517"/>
      <c r="M855" s="4">
        <v>4000</v>
      </c>
      <c r="N855" s="4">
        <f ca="1" t="shared" si="1627"/>
        <v>2</v>
      </c>
      <c r="O855" s="4">
        <f ca="1" t="shared" si="1628"/>
        <v>8000</v>
      </c>
      <c r="P855" s="4"/>
      <c r="Q855" s="4"/>
      <c r="R855" s="4"/>
      <c r="S855" s="4"/>
      <c r="T855" s="4">
        <f ca="1" t="shared" si="1629"/>
        <v>0</v>
      </c>
      <c r="U855" s="4">
        <f ca="1" t="shared" si="1630"/>
        <v>0</v>
      </c>
      <c r="V855" s="4">
        <f ca="1" t="shared" si="1631"/>
        <v>0</v>
      </c>
      <c r="W855" s="4">
        <f ca="1" t="shared" si="1632"/>
        <v>0</v>
      </c>
      <c r="X855" s="4">
        <f ca="1" t="shared" si="1633"/>
        <v>4000</v>
      </c>
      <c r="Y855" s="4">
        <f ca="1" t="shared" si="1634"/>
        <v>8000</v>
      </c>
      <c r="Z855" s="4">
        <f ca="1" t="shared" si="1635"/>
        <v>0</v>
      </c>
      <c r="AA855" s="4">
        <f ca="1" t="shared" si="1636"/>
        <v>0</v>
      </c>
      <c r="AB855" s="4"/>
    </row>
    <row r="856" customHeight="1" outlineLevel="2" spans="1:28">
      <c r="A856" s="515" t="s">
        <v>3424</v>
      </c>
      <c r="B856" s="4"/>
      <c r="C856" s="510" t="s">
        <v>1309</v>
      </c>
      <c r="D856" s="4" t="s">
        <v>3425</v>
      </c>
      <c r="E856" s="4" t="s">
        <v>2576</v>
      </c>
      <c r="F856" s="4" t="s">
        <v>69</v>
      </c>
      <c r="G856" s="4">
        <v>1978.1</v>
      </c>
      <c r="H856" s="4">
        <v>219.97247706422</v>
      </c>
      <c r="I856" s="4">
        <f>G856*H856</f>
        <v>435127.556880734</v>
      </c>
      <c r="J856" s="4">
        <f t="shared" ref="J856:L856" si="1637">+G856</f>
        <v>1978.1</v>
      </c>
      <c r="K856" s="4">
        <f t="shared" si="1637"/>
        <v>219.97247706422</v>
      </c>
      <c r="L856" s="517">
        <f t="shared" si="1637"/>
        <v>435127.556880734</v>
      </c>
      <c r="M856" s="4">
        <v>1978.1</v>
      </c>
      <c r="N856" s="4">
        <f ca="1">O856/M856</f>
        <v>70</v>
      </c>
      <c r="O856" s="4">
        <f ca="1">(+O857)</f>
        <v>138467</v>
      </c>
      <c r="P856" s="4"/>
      <c r="Q856" s="4"/>
      <c r="R856" s="4">
        <f>+P856+J856</f>
        <v>1978.1</v>
      </c>
      <c r="S856" s="4">
        <f>+Q856+L856</f>
        <v>435127.556880734</v>
      </c>
      <c r="T856" s="4">
        <f>IFERROR(VLOOKUP(A856,产值统计中间表!A:F,7,FALSE),0)</f>
        <v>0</v>
      </c>
      <c r="U856" s="4">
        <f>+T856*H856</f>
        <v>0</v>
      </c>
      <c r="V856" s="4">
        <f>IFERROR(VLOOKUP(A856,产值统计中间表!A:D,4,FALSE),0)</f>
        <v>0</v>
      </c>
      <c r="W856" s="4">
        <f>+V856*H856</f>
        <v>0</v>
      </c>
      <c r="X856" s="4">
        <f>+R856-V856</f>
        <v>1978.1</v>
      </c>
      <c r="Y856" s="4">
        <f>+S856-W856</f>
        <v>435127.556880734</v>
      </c>
      <c r="Z856" s="4">
        <f>IFERROR(VLOOKUP(A856,业主统计中间表!A:D,4,FALSE),0)</f>
        <v>0</v>
      </c>
      <c r="AA856" s="4">
        <f>+Z856*H856</f>
        <v>0</v>
      </c>
      <c r="AB856" s="4"/>
    </row>
    <row r="857" customHeight="1" outlineLevel="3" spans="1:28">
      <c r="A857" s="514" t="s">
        <v>3426</v>
      </c>
      <c r="B857" s="4"/>
      <c r="C857" s="510" t="s">
        <v>65</v>
      </c>
      <c r="D857" s="4" t="s">
        <v>787</v>
      </c>
      <c r="E857" s="4" t="s">
        <v>65</v>
      </c>
      <c r="F857" s="4" t="str">
        <f ca="1" t="shared" ref="F857:F868" si="1638">VLOOKUP($D857,INDIRECT($C857),2,0)</f>
        <v>m2</v>
      </c>
      <c r="G857" s="4"/>
      <c r="H857" s="4"/>
      <c r="I857" s="4"/>
      <c r="J857" s="4"/>
      <c r="K857" s="4"/>
      <c r="L857" s="517"/>
      <c r="M857" s="4">
        <v>1978.1</v>
      </c>
      <c r="N857" s="4">
        <f ca="1" t="shared" ref="N857:N868" si="1639">VLOOKUP($D857,INDIRECT($C857),3,0)</f>
        <v>70</v>
      </c>
      <c r="O857" s="4">
        <f ca="1">M857*N857</f>
        <v>138467</v>
      </c>
      <c r="P857" s="4"/>
      <c r="Q857" s="4"/>
      <c r="R857" s="4"/>
      <c r="S857" s="4"/>
      <c r="T857" s="4">
        <f ca="1" t="shared" ref="T857:T868" si="1640">OFFSET(T857,-RIGHT($A857,LEN($A$6)),,1,1)/OFFSET(T857,-RIGHT($A857,LEN($A$6)),-13,1,1)*$M857</f>
        <v>0</v>
      </c>
      <c r="U857" s="4">
        <f ca="1" t="shared" ref="U857:U868" si="1641">+$N857*T857</f>
        <v>0</v>
      </c>
      <c r="V857" s="4">
        <f ca="1" t="shared" ref="V857:V868" si="1642">OFFSET(V857,-RIGHT($A857,LEN($A$6)),,1,1)/OFFSET(V857,-RIGHT($A857,LEN($A$6)),-15,1,1)*$M857</f>
        <v>0</v>
      </c>
      <c r="W857" s="4">
        <f ca="1" t="shared" ref="W857:W868" si="1643">+$N857*V857</f>
        <v>0</v>
      </c>
      <c r="X857" s="4">
        <f ca="1" t="shared" ref="X857:X868" si="1644">+M857-V857</f>
        <v>1978.1</v>
      </c>
      <c r="Y857" s="4">
        <f ca="1" t="shared" ref="Y857:Y868" si="1645">+O857-W857</f>
        <v>138467</v>
      </c>
      <c r="Z857" s="4">
        <f ca="1" t="shared" ref="Z857:Z868" si="1646">OFFSET(Z857,-RIGHT($A857,LEN($A$6)),,1,1)/OFFSET(Z857,-RIGHT($A857,LEN($A$6)),-19,1,1)*$M857</f>
        <v>0</v>
      </c>
      <c r="AA857" s="4">
        <f ca="1" t="shared" ref="AA857:AA868" si="1647">+$N857*Z857</f>
        <v>0</v>
      </c>
      <c r="AB857" s="4"/>
    </row>
    <row r="858" customHeight="1" outlineLevel="1" spans="1:28">
      <c r="A858" s="518" t="s">
        <v>3427</v>
      </c>
      <c r="B858" s="4"/>
      <c r="C858" s="510" t="s">
        <v>60</v>
      </c>
      <c r="D858" s="4" t="s">
        <v>3428</v>
      </c>
      <c r="E858" s="4"/>
      <c r="F858" s="4"/>
      <c r="G858" s="4"/>
      <c r="H858" s="4"/>
      <c r="I858" s="4">
        <f>(+I859+I869+I876+I882+I888+I890+I892+I894)</f>
        <v>703872.65933945</v>
      </c>
      <c r="J858" s="4"/>
      <c r="K858" s="4"/>
      <c r="L858" s="517">
        <f>(+L859+L869+L876+L882+L888+L890+L892+L894)</f>
        <v>703872.65933945</v>
      </c>
      <c r="M858" s="4"/>
      <c r="N858" s="4"/>
      <c r="O858" s="4">
        <f ca="1">(+O859+O869+O876+O882+O888+O890+O892+O894)</f>
        <v>639934.256758363</v>
      </c>
      <c r="P858" s="4"/>
      <c r="Q858" s="4"/>
      <c r="R858" s="4"/>
      <c r="S858" s="4"/>
      <c r="T858" s="4"/>
      <c r="U858" s="4"/>
      <c r="V858" s="4"/>
      <c r="W858" s="4"/>
      <c r="X858" s="4"/>
      <c r="Y858" s="4"/>
      <c r="Z858" s="4"/>
      <c r="AA858" s="4"/>
      <c r="AB858" s="4"/>
    </row>
    <row r="859" customHeight="1" outlineLevel="2" spans="1:28">
      <c r="A859" s="515" t="s">
        <v>3429</v>
      </c>
      <c r="B859" s="4"/>
      <c r="C859" s="510" t="s">
        <v>1309</v>
      </c>
      <c r="D859" s="4" t="s">
        <v>3168</v>
      </c>
      <c r="E859" s="4" t="s">
        <v>1365</v>
      </c>
      <c r="F859" s="4" t="s">
        <v>72</v>
      </c>
      <c r="G859" s="4">
        <v>44.16</v>
      </c>
      <c r="H859" s="4">
        <v>1447.55963302752</v>
      </c>
      <c r="I859" s="4">
        <f>G859*H859</f>
        <v>63924.2333944953</v>
      </c>
      <c r="J859" s="4">
        <f t="shared" ref="J859:L859" si="1648">+G859</f>
        <v>44.16</v>
      </c>
      <c r="K859" s="4">
        <f t="shared" si="1648"/>
        <v>1447.55963302752</v>
      </c>
      <c r="L859" s="517">
        <f t="shared" si="1648"/>
        <v>63924.2333944953</v>
      </c>
      <c r="M859" s="4">
        <v>44.16</v>
      </c>
      <c r="N859" s="4">
        <f ca="1">O859/M859</f>
        <v>1763.05688858696</v>
      </c>
      <c r="O859" s="4">
        <f ca="1">(+O860+O861+O862+O863+O864+O865+O866+O867+O868)</f>
        <v>77856.5922</v>
      </c>
      <c r="P859" s="4"/>
      <c r="Q859" s="4"/>
      <c r="R859" s="4">
        <f>+P859+J859</f>
        <v>44.16</v>
      </c>
      <c r="S859" s="4">
        <f>+Q859+L859</f>
        <v>63924.2333944953</v>
      </c>
      <c r="T859" s="4">
        <f>IFERROR(VLOOKUP(A859,产值统计中间表!A:F,7,FALSE),0)</f>
        <v>0</v>
      </c>
      <c r="U859" s="4">
        <f>+T859*H859</f>
        <v>0</v>
      </c>
      <c r="V859" s="4">
        <f>IFERROR(VLOOKUP(A859,产值统计中间表!A:D,4,FALSE),0)</f>
        <v>0</v>
      </c>
      <c r="W859" s="4">
        <f>+V859*H859</f>
        <v>0</v>
      </c>
      <c r="X859" s="4">
        <f>+R859-V859</f>
        <v>44.16</v>
      </c>
      <c r="Y859" s="4">
        <f>+S859-W859</f>
        <v>63924.2333944953</v>
      </c>
      <c r="Z859" s="4">
        <f>IFERROR(VLOOKUP(A859,业主统计中间表!A:D,4,FALSE),0)</f>
        <v>0</v>
      </c>
      <c r="AA859" s="4">
        <f>+Z859*H859</f>
        <v>0</v>
      </c>
      <c r="AB859" s="4"/>
    </row>
    <row r="860" customHeight="1" outlineLevel="3" spans="1:28">
      <c r="A860" s="514" t="s">
        <v>3430</v>
      </c>
      <c r="B860" s="4"/>
      <c r="C860" s="510" t="s">
        <v>65</v>
      </c>
      <c r="D860" s="4" t="s">
        <v>687</v>
      </c>
      <c r="E860" s="4" t="s">
        <v>3174</v>
      </c>
      <c r="F860" s="4" t="str">
        <f ca="1" t="shared" si="1638"/>
        <v>m³</v>
      </c>
      <c r="G860" s="4"/>
      <c r="H860" s="4"/>
      <c r="I860" s="4"/>
      <c r="J860" s="4"/>
      <c r="K860" s="4"/>
      <c r="L860" s="517"/>
      <c r="M860" s="4">
        <v>88.32</v>
      </c>
      <c r="N860" s="4">
        <f ca="1" t="shared" si="1639"/>
        <v>390</v>
      </c>
      <c r="O860" s="4">
        <f ca="1" t="shared" ref="O860:O868" si="1649">M860*N860</f>
        <v>34444.8</v>
      </c>
      <c r="P860" s="4"/>
      <c r="Q860" s="4"/>
      <c r="R860" s="4"/>
      <c r="S860" s="4"/>
      <c r="T860" s="4">
        <f ca="1" t="shared" si="1640"/>
        <v>0</v>
      </c>
      <c r="U860" s="4">
        <f ca="1" t="shared" si="1641"/>
        <v>0</v>
      </c>
      <c r="V860" s="4">
        <f ca="1" t="shared" si="1642"/>
        <v>0</v>
      </c>
      <c r="W860" s="4">
        <f ca="1" t="shared" si="1643"/>
        <v>0</v>
      </c>
      <c r="X860" s="4">
        <f ca="1" t="shared" si="1644"/>
        <v>88.32</v>
      </c>
      <c r="Y860" s="4">
        <f ca="1" t="shared" si="1645"/>
        <v>34444.8</v>
      </c>
      <c r="Z860" s="4">
        <f ca="1" t="shared" si="1646"/>
        <v>0</v>
      </c>
      <c r="AA860" s="4">
        <f ca="1" t="shared" si="1647"/>
        <v>0</v>
      </c>
      <c r="AB860" s="4"/>
    </row>
    <row r="861" customHeight="1" outlineLevel="3" spans="1:28">
      <c r="A861" s="514" t="s">
        <v>3431</v>
      </c>
      <c r="B861" s="4"/>
      <c r="C861" s="510" t="s">
        <v>59</v>
      </c>
      <c r="D861" s="4" t="s">
        <v>784</v>
      </c>
      <c r="E861" s="4"/>
      <c r="F861" s="4" t="str">
        <f ca="1" t="shared" si="1638"/>
        <v>m³</v>
      </c>
      <c r="G861" s="4"/>
      <c r="H861" s="4"/>
      <c r="I861" s="4"/>
      <c r="J861" s="4"/>
      <c r="K861" s="4"/>
      <c r="L861" s="517"/>
      <c r="M861" s="4">
        <v>51.040128</v>
      </c>
      <c r="N861" s="4">
        <f ca="1" t="shared" si="1639"/>
        <v>400</v>
      </c>
      <c r="O861" s="4">
        <f ca="1" t="shared" si="1649"/>
        <v>20416.0512</v>
      </c>
      <c r="P861" s="4"/>
      <c r="Q861" s="4"/>
      <c r="R861" s="4"/>
      <c r="S861" s="4"/>
      <c r="T861" s="4">
        <f ca="1" t="shared" si="1640"/>
        <v>0</v>
      </c>
      <c r="U861" s="4">
        <f ca="1" t="shared" si="1641"/>
        <v>0</v>
      </c>
      <c r="V861" s="4">
        <f ca="1" t="shared" si="1642"/>
        <v>0</v>
      </c>
      <c r="W861" s="4">
        <f ca="1" t="shared" si="1643"/>
        <v>0</v>
      </c>
      <c r="X861" s="4">
        <f ca="1" t="shared" si="1644"/>
        <v>51.040128</v>
      </c>
      <c r="Y861" s="4">
        <f ca="1" t="shared" si="1645"/>
        <v>20416.0512</v>
      </c>
      <c r="Z861" s="4">
        <f ca="1" t="shared" si="1646"/>
        <v>0</v>
      </c>
      <c r="AA861" s="4">
        <f ca="1" t="shared" si="1647"/>
        <v>0</v>
      </c>
      <c r="AB861" s="4"/>
    </row>
    <row r="862" customHeight="1" outlineLevel="3" spans="1:28">
      <c r="A862" s="514" t="s">
        <v>3432</v>
      </c>
      <c r="B862" s="4"/>
      <c r="C862" s="510" t="s">
        <v>59</v>
      </c>
      <c r="D862" s="4" t="s">
        <v>788</v>
      </c>
      <c r="E862" s="4" t="str">
        <f ca="1">"含钢量："&amp;ROUND($M$862/$G$859,3)&amp;$F$862&amp;"/"&amp;$F$859</f>
        <v>含钢量：0.014t/m3</v>
      </c>
      <c r="F862" s="4" t="str">
        <f ca="1" t="shared" si="1638"/>
        <v>t</v>
      </c>
      <c r="G862" s="4"/>
      <c r="H862" s="4"/>
      <c r="I862" s="4"/>
      <c r="J862" s="4"/>
      <c r="K862" s="4"/>
      <c r="L862" s="517"/>
      <c r="M862" s="4">
        <v>0.62274</v>
      </c>
      <c r="N862" s="4">
        <f ca="1" t="shared" si="1639"/>
        <v>4000</v>
      </c>
      <c r="O862" s="4">
        <f ca="1" t="shared" si="1649"/>
        <v>2490.96</v>
      </c>
      <c r="P862" s="4"/>
      <c r="Q862" s="4"/>
      <c r="R862" s="4"/>
      <c r="S862" s="4"/>
      <c r="T862" s="4">
        <f ca="1" t="shared" si="1640"/>
        <v>0</v>
      </c>
      <c r="U862" s="4">
        <f ca="1" t="shared" si="1641"/>
        <v>0</v>
      </c>
      <c r="V862" s="4">
        <f ca="1" t="shared" si="1642"/>
        <v>0</v>
      </c>
      <c r="W862" s="4">
        <f ca="1" t="shared" si="1643"/>
        <v>0</v>
      </c>
      <c r="X862" s="4">
        <f ca="1" t="shared" si="1644"/>
        <v>0.62274</v>
      </c>
      <c r="Y862" s="4">
        <f ca="1" t="shared" si="1645"/>
        <v>2490.96</v>
      </c>
      <c r="Z862" s="4">
        <f ca="1" t="shared" si="1646"/>
        <v>0</v>
      </c>
      <c r="AA862" s="4">
        <f ca="1" t="shared" si="1647"/>
        <v>0</v>
      </c>
      <c r="AB862" s="4"/>
    </row>
    <row r="863" customHeight="1" outlineLevel="3" spans="1:28">
      <c r="A863" s="514" t="s">
        <v>3433</v>
      </c>
      <c r="B863" s="4"/>
      <c r="C863" s="510" t="s">
        <v>64</v>
      </c>
      <c r="D863" s="4" t="s">
        <v>1055</v>
      </c>
      <c r="E863" s="4" t="s">
        <v>2467</v>
      </c>
      <c r="F863" s="4" t="str">
        <f ca="1" t="shared" si="1638"/>
        <v>根</v>
      </c>
      <c r="G863" s="4"/>
      <c r="H863" s="4"/>
      <c r="I863" s="4"/>
      <c r="J863" s="4"/>
      <c r="K863" s="4"/>
      <c r="L863" s="517"/>
      <c r="M863" s="4">
        <v>10</v>
      </c>
      <c r="N863" s="4">
        <f ca="1" t="shared" si="1639"/>
        <v>180</v>
      </c>
      <c r="O863" s="4">
        <f ca="1" t="shared" si="1649"/>
        <v>1800</v>
      </c>
      <c r="P863" s="4"/>
      <c r="Q863" s="4"/>
      <c r="R863" s="4"/>
      <c r="S863" s="4"/>
      <c r="T863" s="4">
        <f ca="1" t="shared" si="1640"/>
        <v>0</v>
      </c>
      <c r="U863" s="4">
        <f ca="1" t="shared" si="1641"/>
        <v>0</v>
      </c>
      <c r="V863" s="4">
        <f ca="1" t="shared" si="1642"/>
        <v>0</v>
      </c>
      <c r="W863" s="4">
        <f ca="1" t="shared" si="1643"/>
        <v>0</v>
      </c>
      <c r="X863" s="4">
        <f ca="1" t="shared" si="1644"/>
        <v>10</v>
      </c>
      <c r="Y863" s="4">
        <f ca="1" t="shared" si="1645"/>
        <v>1800</v>
      </c>
      <c r="Z863" s="4">
        <f ca="1" t="shared" si="1646"/>
        <v>0</v>
      </c>
      <c r="AA863" s="4">
        <f ca="1" t="shared" si="1647"/>
        <v>0</v>
      </c>
      <c r="AB863" s="4"/>
    </row>
    <row r="864" customHeight="1" outlineLevel="3" spans="1:28">
      <c r="A864" s="514" t="s">
        <v>3434</v>
      </c>
      <c r="B864" s="4"/>
      <c r="C864" s="510" t="s">
        <v>64</v>
      </c>
      <c r="D864" s="4" t="s">
        <v>1061</v>
      </c>
      <c r="E864" s="4" t="s">
        <v>2467</v>
      </c>
      <c r="F864" s="4" t="str">
        <f ca="1" t="shared" si="1638"/>
        <v>根</v>
      </c>
      <c r="G864" s="4"/>
      <c r="H864" s="4"/>
      <c r="I864" s="4"/>
      <c r="J864" s="4"/>
      <c r="K864" s="4"/>
      <c r="L864" s="517"/>
      <c r="M864" s="4">
        <v>10</v>
      </c>
      <c r="N864" s="4">
        <f ca="1" t="shared" si="1639"/>
        <v>200</v>
      </c>
      <c r="O864" s="4">
        <f ca="1" t="shared" si="1649"/>
        <v>2000</v>
      </c>
      <c r="P864" s="4"/>
      <c r="Q864" s="4"/>
      <c r="R864" s="4"/>
      <c r="S864" s="4"/>
      <c r="T864" s="4">
        <f ca="1" t="shared" si="1640"/>
        <v>0</v>
      </c>
      <c r="U864" s="4">
        <f ca="1" t="shared" si="1641"/>
        <v>0</v>
      </c>
      <c r="V864" s="4">
        <f ca="1" t="shared" si="1642"/>
        <v>0</v>
      </c>
      <c r="W864" s="4">
        <f ca="1" t="shared" si="1643"/>
        <v>0</v>
      </c>
      <c r="X864" s="4">
        <f ca="1" t="shared" si="1644"/>
        <v>10</v>
      </c>
      <c r="Y864" s="4">
        <f ca="1" t="shared" si="1645"/>
        <v>2000</v>
      </c>
      <c r="Z864" s="4">
        <f ca="1" t="shared" si="1646"/>
        <v>0</v>
      </c>
      <c r="AA864" s="4">
        <f ca="1" t="shared" si="1647"/>
        <v>0</v>
      </c>
      <c r="AB864" s="4"/>
    </row>
    <row r="865" customHeight="1" outlineLevel="3" spans="1:28">
      <c r="A865" s="514" t="s">
        <v>3435</v>
      </c>
      <c r="B865" s="4"/>
      <c r="C865" s="510" t="s">
        <v>65</v>
      </c>
      <c r="D865" s="4" t="s">
        <v>651</v>
      </c>
      <c r="E865" s="4"/>
      <c r="F865" s="4" t="str">
        <f ca="1" t="shared" si="1638"/>
        <v>根</v>
      </c>
      <c r="G865" s="4"/>
      <c r="H865" s="4"/>
      <c r="I865" s="4"/>
      <c r="J865" s="4"/>
      <c r="K865" s="4"/>
      <c r="L865" s="517"/>
      <c r="M865" s="4">
        <v>20</v>
      </c>
      <c r="N865" s="4">
        <f ca="1" t="shared" si="1639"/>
        <v>65</v>
      </c>
      <c r="O865" s="4">
        <f ca="1" t="shared" si="1649"/>
        <v>1300</v>
      </c>
      <c r="P865" s="4"/>
      <c r="Q865" s="4"/>
      <c r="R865" s="4"/>
      <c r="S865" s="4"/>
      <c r="T865" s="4">
        <f ca="1" t="shared" si="1640"/>
        <v>0</v>
      </c>
      <c r="U865" s="4">
        <f ca="1" t="shared" si="1641"/>
        <v>0</v>
      </c>
      <c r="V865" s="4">
        <f ca="1" t="shared" si="1642"/>
        <v>0</v>
      </c>
      <c r="W865" s="4">
        <f ca="1" t="shared" si="1643"/>
        <v>0</v>
      </c>
      <c r="X865" s="4">
        <f ca="1" t="shared" si="1644"/>
        <v>20</v>
      </c>
      <c r="Y865" s="4">
        <f ca="1" t="shared" si="1645"/>
        <v>1300</v>
      </c>
      <c r="Z865" s="4">
        <f ca="1" t="shared" si="1646"/>
        <v>0</v>
      </c>
      <c r="AA865" s="4">
        <f ca="1" t="shared" si="1647"/>
        <v>0</v>
      </c>
      <c r="AB865" s="4"/>
    </row>
    <row r="866" customHeight="1" outlineLevel="3" spans="1:28">
      <c r="A866" s="514" t="s">
        <v>3436</v>
      </c>
      <c r="B866" s="4"/>
      <c r="C866" s="510" t="s">
        <v>65</v>
      </c>
      <c r="D866" s="4" t="s">
        <v>655</v>
      </c>
      <c r="E866" s="4"/>
      <c r="F866" s="4" t="str">
        <f ca="1" t="shared" si="1638"/>
        <v>根</v>
      </c>
      <c r="G866" s="4"/>
      <c r="H866" s="4"/>
      <c r="I866" s="4"/>
      <c r="J866" s="4"/>
      <c r="K866" s="4"/>
      <c r="L866" s="517"/>
      <c r="M866" s="4">
        <v>20</v>
      </c>
      <c r="N866" s="4">
        <f ca="1" t="shared" si="1639"/>
        <v>750</v>
      </c>
      <c r="O866" s="4">
        <f ca="1" t="shared" si="1649"/>
        <v>15000</v>
      </c>
      <c r="P866" s="4"/>
      <c r="Q866" s="4"/>
      <c r="R866" s="4"/>
      <c r="S866" s="4"/>
      <c r="T866" s="4">
        <f ca="1" t="shared" si="1640"/>
        <v>0</v>
      </c>
      <c r="U866" s="4">
        <f ca="1" t="shared" si="1641"/>
        <v>0</v>
      </c>
      <c r="V866" s="4">
        <f ca="1" t="shared" si="1642"/>
        <v>0</v>
      </c>
      <c r="W866" s="4">
        <f ca="1" t="shared" si="1643"/>
        <v>0</v>
      </c>
      <c r="X866" s="4">
        <f ca="1" t="shared" si="1644"/>
        <v>20</v>
      </c>
      <c r="Y866" s="4">
        <f ca="1" t="shared" si="1645"/>
        <v>15000</v>
      </c>
      <c r="Z866" s="4">
        <f ca="1" t="shared" si="1646"/>
        <v>0</v>
      </c>
      <c r="AA866" s="4">
        <f ca="1" t="shared" si="1647"/>
        <v>0</v>
      </c>
      <c r="AB866" s="4"/>
    </row>
    <row r="867" customHeight="1" outlineLevel="3" spans="1:28">
      <c r="A867" s="514" t="s">
        <v>3437</v>
      </c>
      <c r="B867" s="4"/>
      <c r="C867" s="510" t="s">
        <v>59</v>
      </c>
      <c r="D867" s="4" t="s">
        <v>1131</v>
      </c>
      <c r="E867" s="4"/>
      <c r="F867" s="4" t="str">
        <f ca="1" t="shared" si="1638"/>
        <v>m</v>
      </c>
      <c r="G867" s="4"/>
      <c r="H867" s="4"/>
      <c r="I867" s="4"/>
      <c r="J867" s="4"/>
      <c r="K867" s="4"/>
      <c r="L867" s="517"/>
      <c r="M867" s="4">
        <v>83.316</v>
      </c>
      <c r="N867" s="4">
        <f ca="1" t="shared" si="1639"/>
        <v>0</v>
      </c>
      <c r="O867" s="4">
        <f ca="1" t="shared" si="1649"/>
        <v>0</v>
      </c>
      <c r="P867" s="4"/>
      <c r="Q867" s="4"/>
      <c r="R867" s="4"/>
      <c r="S867" s="4"/>
      <c r="T867" s="4">
        <f ca="1" t="shared" si="1640"/>
        <v>0</v>
      </c>
      <c r="U867" s="4">
        <f ca="1" t="shared" si="1641"/>
        <v>0</v>
      </c>
      <c r="V867" s="4">
        <f ca="1" t="shared" si="1642"/>
        <v>0</v>
      </c>
      <c r="W867" s="4">
        <f ca="1" t="shared" si="1643"/>
        <v>0</v>
      </c>
      <c r="X867" s="4">
        <f ca="1" t="shared" si="1644"/>
        <v>83.316</v>
      </c>
      <c r="Y867" s="4">
        <f ca="1" t="shared" si="1645"/>
        <v>0</v>
      </c>
      <c r="Z867" s="4">
        <f ca="1" t="shared" si="1646"/>
        <v>0</v>
      </c>
      <c r="AA867" s="4">
        <f ca="1" t="shared" si="1647"/>
        <v>0</v>
      </c>
      <c r="AB867" s="4"/>
    </row>
    <row r="868" customHeight="1" outlineLevel="3" spans="1:28">
      <c r="A868" s="514" t="s">
        <v>3438</v>
      </c>
      <c r="B868" s="4"/>
      <c r="C868" s="510" t="s">
        <v>64</v>
      </c>
      <c r="D868" s="4" t="s">
        <v>1040</v>
      </c>
      <c r="E868" s="4"/>
      <c r="F868" s="4" t="str">
        <f ca="1" t="shared" si="1638"/>
        <v>t</v>
      </c>
      <c r="G868" s="4"/>
      <c r="H868" s="4"/>
      <c r="I868" s="4"/>
      <c r="J868" s="4"/>
      <c r="K868" s="4"/>
      <c r="L868" s="517"/>
      <c r="M868" s="4">
        <v>0.62274</v>
      </c>
      <c r="N868" s="4">
        <f ca="1" t="shared" si="1639"/>
        <v>650</v>
      </c>
      <c r="O868" s="4">
        <f ca="1" t="shared" si="1649"/>
        <v>404.781</v>
      </c>
      <c r="P868" s="4"/>
      <c r="Q868" s="4"/>
      <c r="R868" s="4"/>
      <c r="S868" s="4"/>
      <c r="T868" s="4">
        <f ca="1" t="shared" si="1640"/>
        <v>0</v>
      </c>
      <c r="U868" s="4">
        <f ca="1" t="shared" si="1641"/>
        <v>0</v>
      </c>
      <c r="V868" s="4">
        <f ca="1" t="shared" si="1642"/>
        <v>0</v>
      </c>
      <c r="W868" s="4">
        <f ca="1" t="shared" si="1643"/>
        <v>0</v>
      </c>
      <c r="X868" s="4">
        <f ca="1" t="shared" si="1644"/>
        <v>0.62274</v>
      </c>
      <c r="Y868" s="4">
        <f ca="1" t="shared" si="1645"/>
        <v>404.781</v>
      </c>
      <c r="Z868" s="4">
        <f ca="1" t="shared" si="1646"/>
        <v>0</v>
      </c>
      <c r="AA868" s="4">
        <f ca="1" t="shared" si="1647"/>
        <v>0</v>
      </c>
      <c r="AB868" s="4"/>
    </row>
    <row r="869" customHeight="1" outlineLevel="2" spans="1:28">
      <c r="A869" s="515" t="s">
        <v>3439</v>
      </c>
      <c r="B869" s="4"/>
      <c r="C869" s="510" t="s">
        <v>1309</v>
      </c>
      <c r="D869" s="4" t="s">
        <v>3178</v>
      </c>
      <c r="E869" s="4" t="s">
        <v>2472</v>
      </c>
      <c r="F869" s="4" t="s">
        <v>72</v>
      </c>
      <c r="G869" s="4">
        <v>44.5</v>
      </c>
      <c r="H869" s="4">
        <v>1315.99082568807</v>
      </c>
      <c r="I869" s="4">
        <f>G869*H869</f>
        <v>58561.5917431191</v>
      </c>
      <c r="J869" s="4">
        <f t="shared" ref="J869:L869" si="1650">+G869</f>
        <v>44.5</v>
      </c>
      <c r="K869" s="4">
        <f t="shared" si="1650"/>
        <v>1315.99082568807</v>
      </c>
      <c r="L869" s="517">
        <f t="shared" si="1650"/>
        <v>58561.5917431191</v>
      </c>
      <c r="M869" s="4">
        <v>44.5</v>
      </c>
      <c r="N869" s="4">
        <f ca="1">O869/M869</f>
        <v>1361.46717734712</v>
      </c>
      <c r="O869" s="4">
        <f ca="1">(+O870+O871+O872+O873+O874+O875)</f>
        <v>60585.2893919469</v>
      </c>
      <c r="P869" s="4"/>
      <c r="Q869" s="4"/>
      <c r="R869" s="4">
        <f>+P869+J869</f>
        <v>44.5</v>
      </c>
      <c r="S869" s="4">
        <f>+Q869+L869</f>
        <v>58561.5917431191</v>
      </c>
      <c r="T869" s="4">
        <f>IFERROR(VLOOKUP(A869,产值统计中间表!A:F,7,FALSE),0)</f>
        <v>0</v>
      </c>
      <c r="U869" s="4">
        <f>+T869*H869</f>
        <v>0</v>
      </c>
      <c r="V869" s="4">
        <f>IFERROR(VLOOKUP(A869,产值统计中间表!A:D,4,FALSE),0)</f>
        <v>0</v>
      </c>
      <c r="W869" s="4">
        <f>+V869*H869</f>
        <v>0</v>
      </c>
      <c r="X869" s="4">
        <f>+R869-V869</f>
        <v>44.5</v>
      </c>
      <c r="Y869" s="4">
        <f>+S869-W869</f>
        <v>58561.5917431191</v>
      </c>
      <c r="Z869" s="4">
        <f>IFERROR(VLOOKUP(A869,业主统计中间表!A:D,4,FALSE),0)</f>
        <v>0</v>
      </c>
      <c r="AA869" s="4">
        <f>+Z869*H869</f>
        <v>0</v>
      </c>
      <c r="AB869" s="4"/>
    </row>
    <row r="870" customHeight="1" outlineLevel="3" spans="1:28">
      <c r="A870" s="514" t="s">
        <v>3440</v>
      </c>
      <c r="B870" s="4"/>
      <c r="C870" s="510" t="s">
        <v>64</v>
      </c>
      <c r="D870" s="4" t="s">
        <v>752</v>
      </c>
      <c r="E870" s="4"/>
      <c r="F870" s="4" t="str">
        <f ca="1" t="shared" ref="F870:F875" si="1651">VLOOKUP($D870,INDIRECT($C870),2,0)</f>
        <v>m3</v>
      </c>
      <c r="G870" s="4"/>
      <c r="H870" s="4"/>
      <c r="I870" s="4"/>
      <c r="J870" s="4"/>
      <c r="K870" s="4"/>
      <c r="L870" s="517"/>
      <c r="M870" s="4">
        <f>M873+M875</f>
        <v>47.1948</v>
      </c>
      <c r="N870" s="4">
        <f ca="1" t="shared" ref="N870:N875" si="1652">VLOOKUP($D870,INDIRECT($C870),3,0)</f>
        <v>30</v>
      </c>
      <c r="O870" s="4">
        <f ca="1" t="shared" ref="O870:O875" si="1653">M870*N870</f>
        <v>1415.844</v>
      </c>
      <c r="P870" s="4"/>
      <c r="Q870" s="4"/>
      <c r="R870" s="4"/>
      <c r="S870" s="4"/>
      <c r="T870" s="4">
        <f ca="1" t="shared" ref="T870:T875" si="1654">OFFSET(T870,-RIGHT($A870,LEN($A$6)),,1,1)/OFFSET(T870,-RIGHT($A870,LEN($A$6)),-13,1,1)*$M870</f>
        <v>0</v>
      </c>
      <c r="U870" s="4">
        <f ca="1" t="shared" ref="U870:U875" si="1655">+$N870*T870</f>
        <v>0</v>
      </c>
      <c r="V870" s="4">
        <f ca="1" t="shared" ref="V870:V875" si="1656">OFFSET(V870,-RIGHT($A870,LEN($A$6)),,1,1)/OFFSET(V870,-RIGHT($A870,LEN($A$6)),-15,1,1)*$M870</f>
        <v>0</v>
      </c>
      <c r="W870" s="4">
        <f ca="1" t="shared" ref="W870:W875" si="1657">+$N870*V870</f>
        <v>0</v>
      </c>
      <c r="X870" s="4">
        <f ca="1" t="shared" ref="X870:X875" si="1658">+M870-V870</f>
        <v>47.1948</v>
      </c>
      <c r="Y870" s="4">
        <f ca="1" t="shared" ref="Y870:Y875" si="1659">+O870-W870</f>
        <v>1415.844</v>
      </c>
      <c r="Z870" s="4">
        <f ca="1" t="shared" ref="Z870:Z875" si="1660">OFFSET(Z870,-RIGHT($A870,LEN($A$6)),,1,1)/OFFSET(Z870,-RIGHT($A870,LEN($A$6)),-19,1,1)*$M870</f>
        <v>0</v>
      </c>
      <c r="AA870" s="4">
        <f ca="1" t="shared" ref="AA870:AA875" si="1661">+$N870*Z870</f>
        <v>0</v>
      </c>
      <c r="AB870" s="4"/>
    </row>
    <row r="871" customHeight="1" outlineLevel="3" spans="1:28">
      <c r="A871" s="514" t="s">
        <v>3441</v>
      </c>
      <c r="B871" s="4"/>
      <c r="C871" s="510" t="s">
        <v>64</v>
      </c>
      <c r="D871" s="4" t="s">
        <v>262</v>
      </c>
      <c r="E871" s="4" t="s">
        <v>2473</v>
      </c>
      <c r="F871" s="4" t="str">
        <f ca="1" t="shared" si="1651"/>
        <v>m2</v>
      </c>
      <c r="G871" s="4"/>
      <c r="H871" s="4"/>
      <c r="I871" s="4"/>
      <c r="J871" s="4"/>
      <c r="K871" s="4"/>
      <c r="L871" s="517"/>
      <c r="M871" s="4">
        <v>11.84</v>
      </c>
      <c r="N871" s="4">
        <f ca="1" t="shared" si="1652"/>
        <v>55</v>
      </c>
      <c r="O871" s="4">
        <f ca="1" t="shared" si="1653"/>
        <v>651.2</v>
      </c>
      <c r="P871" s="4"/>
      <c r="Q871" s="4"/>
      <c r="R871" s="4"/>
      <c r="S871" s="4"/>
      <c r="T871" s="4">
        <f ca="1" t="shared" si="1654"/>
        <v>0</v>
      </c>
      <c r="U871" s="4">
        <f ca="1" t="shared" si="1655"/>
        <v>0</v>
      </c>
      <c r="V871" s="4">
        <f ca="1" t="shared" si="1656"/>
        <v>0</v>
      </c>
      <c r="W871" s="4">
        <f ca="1" t="shared" si="1657"/>
        <v>0</v>
      </c>
      <c r="X871" s="4">
        <f ca="1" t="shared" si="1658"/>
        <v>11.84</v>
      </c>
      <c r="Y871" s="4">
        <f ca="1" t="shared" si="1659"/>
        <v>651.2</v>
      </c>
      <c r="Z871" s="4">
        <f ca="1" t="shared" si="1660"/>
        <v>0</v>
      </c>
      <c r="AA871" s="4">
        <f ca="1" t="shared" si="1661"/>
        <v>0</v>
      </c>
      <c r="AB871" s="4"/>
    </row>
    <row r="872" customHeight="1" outlineLevel="3" spans="1:28">
      <c r="A872" s="514" t="s">
        <v>3442</v>
      </c>
      <c r="B872" s="4"/>
      <c r="C872" s="510" t="s">
        <v>64</v>
      </c>
      <c r="D872" s="4" t="s">
        <v>296</v>
      </c>
      <c r="E872" s="4"/>
      <c r="F872" s="4" t="str">
        <f ca="1" t="shared" si="1651"/>
        <v>t</v>
      </c>
      <c r="G872" s="4"/>
      <c r="H872" s="4"/>
      <c r="I872" s="4"/>
      <c r="J872" s="4"/>
      <c r="K872" s="4"/>
      <c r="L872" s="517"/>
      <c r="M872" s="4">
        <v>6.283</v>
      </c>
      <c r="N872" s="4">
        <f ca="1" t="shared" si="1652"/>
        <v>700</v>
      </c>
      <c r="O872" s="4">
        <f ca="1" t="shared" si="1653"/>
        <v>4398.1</v>
      </c>
      <c r="P872" s="4"/>
      <c r="Q872" s="4"/>
      <c r="R872" s="4"/>
      <c r="S872" s="4"/>
      <c r="T872" s="4">
        <f ca="1" t="shared" si="1654"/>
        <v>0</v>
      </c>
      <c r="U872" s="4">
        <f ca="1" t="shared" si="1655"/>
        <v>0</v>
      </c>
      <c r="V872" s="4">
        <f ca="1" t="shared" si="1656"/>
        <v>0</v>
      </c>
      <c r="W872" s="4">
        <f ca="1" t="shared" si="1657"/>
        <v>0</v>
      </c>
      <c r="X872" s="4">
        <f ca="1" t="shared" si="1658"/>
        <v>6.283</v>
      </c>
      <c r="Y872" s="4">
        <f ca="1" t="shared" si="1659"/>
        <v>4398.1</v>
      </c>
      <c r="Z872" s="4">
        <f ca="1" t="shared" si="1660"/>
        <v>0</v>
      </c>
      <c r="AA872" s="4">
        <f ca="1" t="shared" si="1661"/>
        <v>0</v>
      </c>
      <c r="AB872" s="4"/>
    </row>
    <row r="873" customHeight="1" outlineLevel="3" spans="1:28">
      <c r="A873" s="514" t="s">
        <v>3443</v>
      </c>
      <c r="B873" s="4"/>
      <c r="C873" s="510" t="s">
        <v>59</v>
      </c>
      <c r="D873" s="4" t="s">
        <v>792</v>
      </c>
      <c r="E873" s="4"/>
      <c r="F873" s="4" t="str">
        <f ca="1" t="shared" si="1651"/>
        <v>m³</v>
      </c>
      <c r="G873" s="4"/>
      <c r="H873" s="4"/>
      <c r="I873" s="4"/>
      <c r="J873" s="4"/>
      <c r="K873" s="4"/>
      <c r="L873" s="517"/>
      <c r="M873" s="4">
        <v>44.7225</v>
      </c>
      <c r="N873" s="4">
        <f ca="1" t="shared" si="1652"/>
        <v>450</v>
      </c>
      <c r="O873" s="4">
        <f ca="1" t="shared" si="1653"/>
        <v>20125.125</v>
      </c>
      <c r="P873" s="4"/>
      <c r="Q873" s="4"/>
      <c r="R873" s="4"/>
      <c r="S873" s="4"/>
      <c r="T873" s="4">
        <f ca="1" t="shared" si="1654"/>
        <v>0</v>
      </c>
      <c r="U873" s="4">
        <f ca="1" t="shared" si="1655"/>
        <v>0</v>
      </c>
      <c r="V873" s="4">
        <f ca="1" t="shared" si="1656"/>
        <v>0</v>
      </c>
      <c r="W873" s="4">
        <f ca="1" t="shared" si="1657"/>
        <v>0</v>
      </c>
      <c r="X873" s="4">
        <f ca="1" t="shared" si="1658"/>
        <v>44.7225</v>
      </c>
      <c r="Y873" s="4">
        <f ca="1" t="shared" si="1659"/>
        <v>20125.125</v>
      </c>
      <c r="Z873" s="4">
        <f ca="1" t="shared" si="1660"/>
        <v>0</v>
      </c>
      <c r="AA873" s="4">
        <f ca="1" t="shared" si="1661"/>
        <v>0</v>
      </c>
      <c r="AB873" s="4"/>
    </row>
    <row r="874" customHeight="1" outlineLevel="3" spans="1:28">
      <c r="A874" s="514" t="s">
        <v>3444</v>
      </c>
      <c r="B874" s="4"/>
      <c r="C874" s="510" t="s">
        <v>59</v>
      </c>
      <c r="D874" s="4" t="s">
        <v>480</v>
      </c>
      <c r="E874" s="4" t="str">
        <f ca="1">"含钢量："&amp;ROUND($M$874/$G$869,3)&amp;$F$874&amp;"/"&amp;$F$869</f>
        <v>含钢量：0.141t/m3</v>
      </c>
      <c r="F874" s="4" t="str">
        <f ca="1" t="shared" si="1651"/>
        <v>t</v>
      </c>
      <c r="G874" s="4"/>
      <c r="H874" s="4"/>
      <c r="I874" s="4"/>
      <c r="J874" s="4"/>
      <c r="K874" s="4"/>
      <c r="L874" s="517"/>
      <c r="M874" s="4">
        <v>6.283</v>
      </c>
      <c r="N874" s="4">
        <f ca="1" t="shared" si="1652"/>
        <v>4200</v>
      </c>
      <c r="O874" s="4">
        <f ca="1" t="shared" si="1653"/>
        <v>26388.6</v>
      </c>
      <c r="P874" s="4"/>
      <c r="Q874" s="4"/>
      <c r="R874" s="4"/>
      <c r="S874" s="4"/>
      <c r="T874" s="4">
        <f ca="1" t="shared" si="1654"/>
        <v>0</v>
      </c>
      <c r="U874" s="4">
        <f ca="1" t="shared" si="1655"/>
        <v>0</v>
      </c>
      <c r="V874" s="4">
        <f ca="1" t="shared" si="1656"/>
        <v>0</v>
      </c>
      <c r="W874" s="4">
        <f ca="1" t="shared" si="1657"/>
        <v>0</v>
      </c>
      <c r="X874" s="4">
        <f ca="1" t="shared" si="1658"/>
        <v>6.283</v>
      </c>
      <c r="Y874" s="4">
        <f ca="1" t="shared" si="1659"/>
        <v>26388.6</v>
      </c>
      <c r="Z874" s="4">
        <f ca="1" t="shared" si="1660"/>
        <v>0</v>
      </c>
      <c r="AA874" s="4">
        <f ca="1" t="shared" si="1661"/>
        <v>0</v>
      </c>
      <c r="AB874" s="4"/>
    </row>
    <row r="875" customHeight="1" outlineLevel="3" spans="1:28">
      <c r="A875" s="514" t="s">
        <v>3445</v>
      </c>
      <c r="B875" s="4"/>
      <c r="C875" s="510" t="s">
        <v>59</v>
      </c>
      <c r="D875" s="4" t="s">
        <v>191</v>
      </c>
      <c r="E875" s="4"/>
      <c r="F875" s="4" t="str">
        <f ca="1" t="shared" si="1651"/>
        <v>m3</v>
      </c>
      <c r="G875" s="4"/>
      <c r="H875" s="4"/>
      <c r="I875" s="4"/>
      <c r="J875" s="4"/>
      <c r="K875" s="4"/>
      <c r="L875" s="517"/>
      <c r="M875" s="4">
        <v>2.4723</v>
      </c>
      <c r="N875" s="4">
        <f ca="1" t="shared" si="1652"/>
        <v>3076.65752212389</v>
      </c>
      <c r="O875" s="4">
        <f ca="1" t="shared" si="1653"/>
        <v>7606.42039194689</v>
      </c>
      <c r="P875" s="4"/>
      <c r="Q875" s="4"/>
      <c r="R875" s="4"/>
      <c r="S875" s="4"/>
      <c r="T875" s="4">
        <f ca="1" t="shared" si="1654"/>
        <v>0</v>
      </c>
      <c r="U875" s="4">
        <f ca="1" t="shared" si="1655"/>
        <v>0</v>
      </c>
      <c r="V875" s="4">
        <f ca="1" t="shared" si="1656"/>
        <v>0</v>
      </c>
      <c r="W875" s="4">
        <f ca="1" t="shared" si="1657"/>
        <v>0</v>
      </c>
      <c r="X875" s="4">
        <f ca="1" t="shared" si="1658"/>
        <v>2.4723</v>
      </c>
      <c r="Y875" s="4">
        <f ca="1" t="shared" si="1659"/>
        <v>7606.42039194689</v>
      </c>
      <c r="Z875" s="4">
        <f ca="1" t="shared" si="1660"/>
        <v>0</v>
      </c>
      <c r="AA875" s="4">
        <f ca="1" t="shared" si="1661"/>
        <v>0</v>
      </c>
      <c r="AB875" s="4"/>
    </row>
    <row r="876" customHeight="1" outlineLevel="2" spans="1:28">
      <c r="A876" s="515" t="s">
        <v>3446</v>
      </c>
      <c r="B876" s="4"/>
      <c r="C876" s="510" t="s">
        <v>1309</v>
      </c>
      <c r="D876" s="4" t="s">
        <v>3447</v>
      </c>
      <c r="E876" s="4" t="s">
        <v>2472</v>
      </c>
      <c r="F876" s="4" t="s">
        <v>72</v>
      </c>
      <c r="G876" s="4">
        <v>3.6</v>
      </c>
      <c r="H876" s="4">
        <v>2414.34862385321</v>
      </c>
      <c r="I876" s="4">
        <f>G876*H876</f>
        <v>8691.65504587156</v>
      </c>
      <c r="J876" s="4">
        <f t="shared" ref="J876:L876" si="1662">+G876</f>
        <v>3.6</v>
      </c>
      <c r="K876" s="4">
        <f t="shared" si="1662"/>
        <v>2414.34862385321</v>
      </c>
      <c r="L876" s="517">
        <f t="shared" si="1662"/>
        <v>8691.65504587156</v>
      </c>
      <c r="M876" s="4">
        <v>3.6</v>
      </c>
      <c r="N876" s="4">
        <f ca="1">O876/M876</f>
        <v>2375.26111111111</v>
      </c>
      <c r="O876" s="4">
        <f ca="1">(+O877+O878+O879+O880+O881)</f>
        <v>8550.94</v>
      </c>
      <c r="P876" s="4"/>
      <c r="Q876" s="4"/>
      <c r="R876" s="4">
        <f>+P876+J876</f>
        <v>3.6</v>
      </c>
      <c r="S876" s="4">
        <f>+Q876+L876</f>
        <v>8691.65504587156</v>
      </c>
      <c r="T876" s="4">
        <f>IFERROR(VLOOKUP(A876,产值统计中间表!A:F,7,FALSE),0)</f>
        <v>0</v>
      </c>
      <c r="U876" s="4">
        <f>+T876*H876</f>
        <v>0</v>
      </c>
      <c r="V876" s="4">
        <f>IFERROR(VLOOKUP(A876,产值统计中间表!A:D,4,FALSE),0)</f>
        <v>0</v>
      </c>
      <c r="W876" s="4">
        <f>+V876*H876</f>
        <v>0</v>
      </c>
      <c r="X876" s="4">
        <f>+R876-V876</f>
        <v>3.6</v>
      </c>
      <c r="Y876" s="4">
        <f>+S876-W876</f>
        <v>8691.65504587156</v>
      </c>
      <c r="Z876" s="4">
        <f>IFERROR(VLOOKUP(A876,业主统计中间表!A:D,4,FALSE),0)</f>
        <v>0</v>
      </c>
      <c r="AA876" s="4">
        <f>+Z876*H876</f>
        <v>0</v>
      </c>
      <c r="AB876" s="4"/>
    </row>
    <row r="877" customHeight="1" outlineLevel="3" spans="1:28">
      <c r="A877" s="514" t="s">
        <v>3448</v>
      </c>
      <c r="B877" s="4"/>
      <c r="C877" s="510" t="s">
        <v>64</v>
      </c>
      <c r="D877" s="4" t="s">
        <v>752</v>
      </c>
      <c r="E877" s="4"/>
      <c r="F877" s="4" t="str">
        <f ca="1" t="shared" ref="F877:F881" si="1663">VLOOKUP($D877,INDIRECT($C877),2,0)</f>
        <v>m3</v>
      </c>
      <c r="G877" s="4"/>
      <c r="H877" s="4"/>
      <c r="I877" s="4"/>
      <c r="J877" s="4"/>
      <c r="K877" s="4"/>
      <c r="L877" s="517"/>
      <c r="M877" s="4">
        <v>3.618</v>
      </c>
      <c r="N877" s="4">
        <f ca="1" t="shared" ref="N877:N881" si="1664">VLOOKUP($D877,INDIRECT($C877),3,0)</f>
        <v>30</v>
      </c>
      <c r="O877" s="4">
        <f ca="1">M877*N877</f>
        <v>108.54</v>
      </c>
      <c r="P877" s="4"/>
      <c r="Q877" s="4"/>
      <c r="R877" s="4"/>
      <c r="S877" s="4"/>
      <c r="T877" s="4">
        <f ca="1" t="shared" ref="T877:T881" si="1665">OFFSET(T877,-RIGHT($A877,LEN($A$6)),,1,1)/OFFSET(T877,-RIGHT($A877,LEN($A$6)),-13,1,1)*$M877</f>
        <v>0</v>
      </c>
      <c r="U877" s="4">
        <f ca="1" t="shared" ref="U877:U881" si="1666">+$N877*T877</f>
        <v>0</v>
      </c>
      <c r="V877" s="4">
        <f ca="1" t="shared" ref="V877:V881" si="1667">OFFSET(V877,-RIGHT($A877,LEN($A$6)),,1,1)/OFFSET(V877,-RIGHT($A877,LEN($A$6)),-15,1,1)*$M877</f>
        <v>0</v>
      </c>
      <c r="W877" s="4">
        <f ca="1" t="shared" ref="W877:W881" si="1668">+$N877*V877</f>
        <v>0</v>
      </c>
      <c r="X877" s="4">
        <f ca="1" t="shared" ref="X877:X881" si="1669">+M877-V877</f>
        <v>3.618</v>
      </c>
      <c r="Y877" s="4">
        <f ca="1" t="shared" ref="Y877:Y881" si="1670">+O877-W877</f>
        <v>108.54</v>
      </c>
      <c r="Z877" s="4">
        <f ca="1" t="shared" ref="Z877:Z881" si="1671">OFFSET(Z877,-RIGHT($A877,LEN($A$6)),,1,1)/OFFSET(Z877,-RIGHT($A877,LEN($A$6)),-19,1,1)*$M877</f>
        <v>0</v>
      </c>
      <c r="AA877" s="4">
        <f ca="1" t="shared" ref="AA877:AA881" si="1672">+$N877*Z877</f>
        <v>0</v>
      </c>
      <c r="AB877" s="4"/>
    </row>
    <row r="878" customHeight="1" outlineLevel="3" spans="1:28">
      <c r="A878" s="514" t="s">
        <v>3449</v>
      </c>
      <c r="B878" s="4"/>
      <c r="C878" s="510" t="s">
        <v>64</v>
      </c>
      <c r="D878" s="4" t="s">
        <v>262</v>
      </c>
      <c r="E878" s="4" t="s">
        <v>2473</v>
      </c>
      <c r="F878" s="4" t="str">
        <f ca="1" t="shared" si="1663"/>
        <v>m2</v>
      </c>
      <c r="G878" s="4"/>
      <c r="H878" s="4"/>
      <c r="I878" s="4"/>
      <c r="J878" s="4"/>
      <c r="K878" s="4"/>
      <c r="L878" s="517"/>
      <c r="M878" s="4">
        <v>12.8</v>
      </c>
      <c r="N878" s="4">
        <f ca="1" t="shared" si="1664"/>
        <v>55</v>
      </c>
      <c r="O878" s="4">
        <f ca="1">M878*N878</f>
        <v>704</v>
      </c>
      <c r="P878" s="4"/>
      <c r="Q878" s="4"/>
      <c r="R878" s="4"/>
      <c r="S878" s="4"/>
      <c r="T878" s="4">
        <f ca="1" t="shared" si="1665"/>
        <v>0</v>
      </c>
      <c r="U878" s="4">
        <f ca="1" t="shared" si="1666"/>
        <v>0</v>
      </c>
      <c r="V878" s="4">
        <f ca="1" t="shared" si="1667"/>
        <v>0</v>
      </c>
      <c r="W878" s="4">
        <f ca="1" t="shared" si="1668"/>
        <v>0</v>
      </c>
      <c r="X878" s="4">
        <f ca="1" t="shared" si="1669"/>
        <v>12.8</v>
      </c>
      <c r="Y878" s="4">
        <f ca="1" t="shared" si="1670"/>
        <v>704</v>
      </c>
      <c r="Z878" s="4">
        <f ca="1" t="shared" si="1671"/>
        <v>0</v>
      </c>
      <c r="AA878" s="4">
        <f ca="1" t="shared" si="1672"/>
        <v>0</v>
      </c>
      <c r="AB878" s="4"/>
    </row>
    <row r="879" customHeight="1" outlineLevel="3" spans="1:28">
      <c r="A879" s="514" t="s">
        <v>3450</v>
      </c>
      <c r="B879" s="4"/>
      <c r="C879" s="510" t="s">
        <v>64</v>
      </c>
      <c r="D879" s="4" t="s">
        <v>296</v>
      </c>
      <c r="E879" s="4"/>
      <c r="F879" s="4" t="str">
        <f ca="1" t="shared" si="1663"/>
        <v>t</v>
      </c>
      <c r="G879" s="4"/>
      <c r="H879" s="4"/>
      <c r="I879" s="4"/>
      <c r="J879" s="4"/>
      <c r="K879" s="4"/>
      <c r="L879" s="517"/>
      <c r="M879" s="4">
        <v>1.247</v>
      </c>
      <c r="N879" s="4">
        <f ca="1" t="shared" si="1664"/>
        <v>700</v>
      </c>
      <c r="O879" s="4">
        <f ca="1">M879*N879</f>
        <v>872.9</v>
      </c>
      <c r="P879" s="4"/>
      <c r="Q879" s="4"/>
      <c r="R879" s="4"/>
      <c r="S879" s="4"/>
      <c r="T879" s="4">
        <f ca="1" t="shared" si="1665"/>
        <v>0</v>
      </c>
      <c r="U879" s="4">
        <f ca="1" t="shared" si="1666"/>
        <v>0</v>
      </c>
      <c r="V879" s="4">
        <f ca="1" t="shared" si="1667"/>
        <v>0</v>
      </c>
      <c r="W879" s="4">
        <f ca="1" t="shared" si="1668"/>
        <v>0</v>
      </c>
      <c r="X879" s="4">
        <f ca="1" t="shared" si="1669"/>
        <v>1.247</v>
      </c>
      <c r="Y879" s="4">
        <f ca="1" t="shared" si="1670"/>
        <v>872.9</v>
      </c>
      <c r="Z879" s="4">
        <f ca="1" t="shared" si="1671"/>
        <v>0</v>
      </c>
      <c r="AA879" s="4">
        <f ca="1" t="shared" si="1672"/>
        <v>0</v>
      </c>
      <c r="AB879" s="4"/>
    </row>
    <row r="880" customHeight="1" outlineLevel="3" spans="1:28">
      <c r="A880" s="514" t="s">
        <v>3451</v>
      </c>
      <c r="B880" s="4"/>
      <c r="C880" s="510" t="s">
        <v>59</v>
      </c>
      <c r="D880" s="4" t="s">
        <v>480</v>
      </c>
      <c r="E880" s="4" t="str">
        <f ca="1">"含钢量："&amp;ROUND($M$880/$G$876,3)&amp;$F$880&amp;"/"&amp;$F$876</f>
        <v>含钢量：0.346t/m3</v>
      </c>
      <c r="F880" s="4" t="str">
        <f ca="1" t="shared" si="1663"/>
        <v>t</v>
      </c>
      <c r="G880" s="4"/>
      <c r="H880" s="4"/>
      <c r="I880" s="4"/>
      <c r="J880" s="4"/>
      <c r="K880" s="4"/>
      <c r="L880" s="517"/>
      <c r="M880" s="4">
        <v>1.247</v>
      </c>
      <c r="N880" s="4">
        <f ca="1" t="shared" si="1664"/>
        <v>4200</v>
      </c>
      <c r="O880" s="4">
        <f ca="1">M880*N880</f>
        <v>5237.4</v>
      </c>
      <c r="P880" s="4"/>
      <c r="Q880" s="4"/>
      <c r="R880" s="4"/>
      <c r="S880" s="4"/>
      <c r="T880" s="4">
        <f ca="1" t="shared" si="1665"/>
        <v>0</v>
      </c>
      <c r="U880" s="4">
        <f ca="1" t="shared" si="1666"/>
        <v>0</v>
      </c>
      <c r="V880" s="4">
        <f ca="1" t="shared" si="1667"/>
        <v>0</v>
      </c>
      <c r="W880" s="4">
        <f ca="1" t="shared" si="1668"/>
        <v>0</v>
      </c>
      <c r="X880" s="4">
        <f ca="1" t="shared" si="1669"/>
        <v>1.247</v>
      </c>
      <c r="Y880" s="4">
        <f ca="1" t="shared" si="1670"/>
        <v>5237.4</v>
      </c>
      <c r="Z880" s="4">
        <f ca="1" t="shared" si="1671"/>
        <v>0</v>
      </c>
      <c r="AA880" s="4">
        <f ca="1" t="shared" si="1672"/>
        <v>0</v>
      </c>
      <c r="AB880" s="4"/>
    </row>
    <row r="881" customHeight="1" outlineLevel="3" spans="1:28">
      <c r="A881" s="514" t="s">
        <v>3452</v>
      </c>
      <c r="B881" s="4"/>
      <c r="C881" s="510" t="s">
        <v>59</v>
      </c>
      <c r="D881" s="4" t="s">
        <v>792</v>
      </c>
      <c r="E881" s="4"/>
      <c r="F881" s="4" t="str">
        <f ca="1" t="shared" si="1663"/>
        <v>m³</v>
      </c>
      <c r="G881" s="4"/>
      <c r="H881" s="4"/>
      <c r="I881" s="4"/>
      <c r="J881" s="4"/>
      <c r="K881" s="4"/>
      <c r="L881" s="517"/>
      <c r="M881" s="4">
        <v>3.618</v>
      </c>
      <c r="N881" s="4">
        <f ca="1" t="shared" si="1664"/>
        <v>450</v>
      </c>
      <c r="O881" s="4">
        <f ca="1">M881*N881</f>
        <v>1628.1</v>
      </c>
      <c r="P881" s="4"/>
      <c r="Q881" s="4"/>
      <c r="R881" s="4"/>
      <c r="S881" s="4"/>
      <c r="T881" s="4">
        <f ca="1" t="shared" si="1665"/>
        <v>0</v>
      </c>
      <c r="U881" s="4">
        <f ca="1" t="shared" si="1666"/>
        <v>0</v>
      </c>
      <c r="V881" s="4">
        <f ca="1" t="shared" si="1667"/>
        <v>0</v>
      </c>
      <c r="W881" s="4">
        <f ca="1" t="shared" si="1668"/>
        <v>0</v>
      </c>
      <c r="X881" s="4">
        <f ca="1" t="shared" si="1669"/>
        <v>3.618</v>
      </c>
      <c r="Y881" s="4">
        <f ca="1" t="shared" si="1670"/>
        <v>1628.1</v>
      </c>
      <c r="Z881" s="4">
        <f ca="1" t="shared" si="1671"/>
        <v>0</v>
      </c>
      <c r="AA881" s="4">
        <f ca="1" t="shared" si="1672"/>
        <v>0</v>
      </c>
      <c r="AB881" s="4"/>
    </row>
    <row r="882" customHeight="1" outlineLevel="2" spans="1:28">
      <c r="A882" s="515" t="s">
        <v>3453</v>
      </c>
      <c r="B882" s="4"/>
      <c r="C882" s="510" t="s">
        <v>1309</v>
      </c>
      <c r="D882" s="4" t="s">
        <v>3454</v>
      </c>
      <c r="E882" s="4" t="s">
        <v>2472</v>
      </c>
      <c r="F882" s="4" t="s">
        <v>72</v>
      </c>
      <c r="G882" s="4">
        <v>9.4</v>
      </c>
      <c r="H882" s="4">
        <v>986.293577981651</v>
      </c>
      <c r="I882" s="4">
        <f>G882*H882</f>
        <v>9271.15963302752</v>
      </c>
      <c r="J882" s="4">
        <f t="shared" ref="J882:L882" si="1673">+G882</f>
        <v>9.4</v>
      </c>
      <c r="K882" s="4">
        <f t="shared" si="1673"/>
        <v>986.293577981651</v>
      </c>
      <c r="L882" s="517">
        <f t="shared" si="1673"/>
        <v>9271.15963302752</v>
      </c>
      <c r="M882" s="4">
        <v>9.4</v>
      </c>
      <c r="N882" s="4">
        <f ca="1">O882/M882</f>
        <v>743.15267727829</v>
      </c>
      <c r="O882" s="4">
        <f ca="1">(+O883+O884+O885+O886+O887)</f>
        <v>6985.63516641593</v>
      </c>
      <c r="P882" s="4"/>
      <c r="Q882" s="4"/>
      <c r="R882" s="4">
        <f>+P882+J882</f>
        <v>9.4</v>
      </c>
      <c r="S882" s="4">
        <f>+Q882+L882</f>
        <v>9271.15963302752</v>
      </c>
      <c r="T882" s="4">
        <f>IFERROR(VLOOKUP(A882,产值统计中间表!A:F,7,FALSE),0)</f>
        <v>0</v>
      </c>
      <c r="U882" s="4">
        <f>+T882*H882</f>
        <v>0</v>
      </c>
      <c r="V882" s="4">
        <f>IFERROR(VLOOKUP(A882,产值统计中间表!A:D,4,FALSE),0)</f>
        <v>0</v>
      </c>
      <c r="W882" s="4">
        <f>+V882*H882</f>
        <v>0</v>
      </c>
      <c r="X882" s="4">
        <f>+R882-V882</f>
        <v>9.4</v>
      </c>
      <c r="Y882" s="4">
        <f>+S882-W882</f>
        <v>9271.15963302752</v>
      </c>
      <c r="Z882" s="4">
        <f>IFERROR(VLOOKUP(A882,业主统计中间表!A:D,4,FALSE),0)</f>
        <v>0</v>
      </c>
      <c r="AA882" s="4">
        <f>+Z882*H882</f>
        <v>0</v>
      </c>
      <c r="AB882" s="4"/>
    </row>
    <row r="883" customHeight="1" outlineLevel="3" spans="1:28">
      <c r="A883" s="514" t="s">
        <v>3455</v>
      </c>
      <c r="B883" s="4"/>
      <c r="C883" s="510" t="s">
        <v>64</v>
      </c>
      <c r="D883" s="4" t="s">
        <v>752</v>
      </c>
      <c r="E883" s="4"/>
      <c r="F883" s="4" t="str">
        <f ca="1" t="shared" ref="F883:F887" si="1674">VLOOKUP($D883,INDIRECT($C883),2,0)</f>
        <v>m3</v>
      </c>
      <c r="G883" s="4"/>
      <c r="H883" s="4"/>
      <c r="I883" s="4"/>
      <c r="J883" s="4"/>
      <c r="K883" s="4"/>
      <c r="L883" s="517"/>
      <c r="M883" s="4">
        <v>1.07535</v>
      </c>
      <c r="N883" s="4">
        <f ca="1" t="shared" ref="N883:N887" si="1675">VLOOKUP($D883,INDIRECT($C883),3,0)</f>
        <v>30</v>
      </c>
      <c r="O883" s="4">
        <f ca="1">M883*N883</f>
        <v>32.2605</v>
      </c>
      <c r="P883" s="4"/>
      <c r="Q883" s="4"/>
      <c r="R883" s="4"/>
      <c r="S883" s="4"/>
      <c r="T883" s="4">
        <f ca="1" t="shared" ref="T883:T887" si="1676">OFFSET(T883,-RIGHT($A883,LEN($A$6)),,1,1)/OFFSET(T883,-RIGHT($A883,LEN($A$6)),-13,1,1)*$M883</f>
        <v>0</v>
      </c>
      <c r="U883" s="4">
        <f ca="1" t="shared" ref="U883:U887" si="1677">+$N883*T883</f>
        <v>0</v>
      </c>
      <c r="V883" s="4">
        <f ca="1" t="shared" ref="V883:V887" si="1678">OFFSET(V883,-RIGHT($A883,LEN($A$6)),,1,1)/OFFSET(V883,-RIGHT($A883,LEN($A$6)),-15,1,1)*$M883</f>
        <v>0</v>
      </c>
      <c r="W883" s="4">
        <f ca="1" t="shared" ref="W883:W887" si="1679">+$N883*V883</f>
        <v>0</v>
      </c>
      <c r="X883" s="4">
        <f ca="1" t="shared" ref="X883:X887" si="1680">+M883-V883</f>
        <v>1.07535</v>
      </c>
      <c r="Y883" s="4">
        <f ca="1" t="shared" ref="Y883:Y887" si="1681">+O883-W883</f>
        <v>32.2605</v>
      </c>
      <c r="Z883" s="4">
        <f ca="1" t="shared" ref="Z883:Z887" si="1682">OFFSET(Z883,-RIGHT($A883,LEN($A$6)),,1,1)/OFFSET(Z883,-RIGHT($A883,LEN($A$6)),-19,1,1)*$M883</f>
        <v>0</v>
      </c>
      <c r="AA883" s="4">
        <f ca="1" t="shared" ref="AA883:AA887" si="1683">+$N883*Z883</f>
        <v>0</v>
      </c>
      <c r="AB883" s="4"/>
    </row>
    <row r="884" customHeight="1" outlineLevel="3" spans="1:28">
      <c r="A884" s="514" t="s">
        <v>3456</v>
      </c>
      <c r="B884" s="4"/>
      <c r="C884" s="510" t="s">
        <v>64</v>
      </c>
      <c r="D884" s="4" t="s">
        <v>262</v>
      </c>
      <c r="E884" s="4"/>
      <c r="F884" s="4" t="str">
        <f ca="1" t="shared" si="1674"/>
        <v>m2</v>
      </c>
      <c r="G884" s="4"/>
      <c r="H884" s="4"/>
      <c r="I884" s="4"/>
      <c r="J884" s="4"/>
      <c r="K884" s="4"/>
      <c r="L884" s="517"/>
      <c r="M884" s="4">
        <v>10.67</v>
      </c>
      <c r="N884" s="4">
        <f ca="1" t="shared" si="1675"/>
        <v>55</v>
      </c>
      <c r="O884" s="4">
        <f ca="1">M884*N884</f>
        <v>586.85</v>
      </c>
      <c r="P884" s="4"/>
      <c r="Q884" s="4"/>
      <c r="R884" s="4"/>
      <c r="S884" s="4"/>
      <c r="T884" s="4">
        <f ca="1" t="shared" si="1676"/>
        <v>0</v>
      </c>
      <c r="U884" s="4">
        <f ca="1" t="shared" si="1677"/>
        <v>0</v>
      </c>
      <c r="V884" s="4">
        <f ca="1" t="shared" si="1678"/>
        <v>0</v>
      </c>
      <c r="W884" s="4">
        <f ca="1" t="shared" si="1679"/>
        <v>0</v>
      </c>
      <c r="X884" s="4">
        <f ca="1" t="shared" si="1680"/>
        <v>10.67</v>
      </c>
      <c r="Y884" s="4">
        <f ca="1" t="shared" si="1681"/>
        <v>586.85</v>
      </c>
      <c r="Z884" s="4">
        <f ca="1" t="shared" si="1682"/>
        <v>0</v>
      </c>
      <c r="AA884" s="4">
        <f ca="1" t="shared" si="1683"/>
        <v>0</v>
      </c>
      <c r="AB884" s="4"/>
    </row>
    <row r="885" customHeight="1" outlineLevel="3" spans="1:28">
      <c r="A885" s="514" t="s">
        <v>3457</v>
      </c>
      <c r="B885" s="4"/>
      <c r="C885" s="510" t="s">
        <v>64</v>
      </c>
      <c r="D885" s="4" t="s">
        <v>296</v>
      </c>
      <c r="E885" s="4"/>
      <c r="F885" s="4" t="str">
        <f ca="1" t="shared" si="1674"/>
        <v>t</v>
      </c>
      <c r="G885" s="4"/>
      <c r="H885" s="4"/>
      <c r="I885" s="4"/>
      <c r="J885" s="4"/>
      <c r="K885" s="4"/>
      <c r="L885" s="517"/>
      <c r="M885" s="4">
        <v>0.62409</v>
      </c>
      <c r="N885" s="4">
        <f ca="1" t="shared" si="1675"/>
        <v>700</v>
      </c>
      <c r="O885" s="4">
        <f ca="1">M885*N885</f>
        <v>436.863</v>
      </c>
      <c r="P885" s="4"/>
      <c r="Q885" s="4"/>
      <c r="R885" s="4"/>
      <c r="S885" s="4"/>
      <c r="T885" s="4">
        <f ca="1" t="shared" si="1676"/>
        <v>0</v>
      </c>
      <c r="U885" s="4">
        <f ca="1" t="shared" si="1677"/>
        <v>0</v>
      </c>
      <c r="V885" s="4">
        <f ca="1" t="shared" si="1678"/>
        <v>0</v>
      </c>
      <c r="W885" s="4">
        <f ca="1" t="shared" si="1679"/>
        <v>0</v>
      </c>
      <c r="X885" s="4">
        <f ca="1" t="shared" si="1680"/>
        <v>0.62409</v>
      </c>
      <c r="Y885" s="4">
        <f ca="1" t="shared" si="1681"/>
        <v>436.863</v>
      </c>
      <c r="Z885" s="4">
        <f ca="1" t="shared" si="1682"/>
        <v>0</v>
      </c>
      <c r="AA885" s="4">
        <f ca="1" t="shared" si="1683"/>
        <v>0</v>
      </c>
      <c r="AB885" s="4"/>
    </row>
    <row r="886" customHeight="1" outlineLevel="3" spans="1:28">
      <c r="A886" s="514" t="s">
        <v>3458</v>
      </c>
      <c r="B886" s="4"/>
      <c r="C886" s="510" t="s">
        <v>59</v>
      </c>
      <c r="D886" s="4" t="s">
        <v>480</v>
      </c>
      <c r="E886" s="4" t="str">
        <f ca="1">"含钢量："&amp;ROUND($M$886/$G$882,3)&amp;$F$886&amp;"/"&amp;$F$882</f>
        <v>含钢量：0.066t/m3</v>
      </c>
      <c r="F886" s="4" t="str">
        <f ca="1" t="shared" si="1674"/>
        <v>t</v>
      </c>
      <c r="G886" s="4"/>
      <c r="H886" s="4"/>
      <c r="I886" s="4"/>
      <c r="J886" s="4"/>
      <c r="K886" s="4"/>
      <c r="L886" s="517"/>
      <c r="M886" s="4">
        <v>0.62409</v>
      </c>
      <c r="N886" s="4">
        <f ca="1" t="shared" si="1675"/>
        <v>4200</v>
      </c>
      <c r="O886" s="4">
        <f ca="1">M886*N886</f>
        <v>2621.178</v>
      </c>
      <c r="P886" s="4"/>
      <c r="Q886" s="4"/>
      <c r="R886" s="4"/>
      <c r="S886" s="4"/>
      <c r="T886" s="4">
        <f ca="1" t="shared" si="1676"/>
        <v>0</v>
      </c>
      <c r="U886" s="4">
        <f ca="1" t="shared" si="1677"/>
        <v>0</v>
      </c>
      <c r="V886" s="4">
        <f ca="1" t="shared" si="1678"/>
        <v>0</v>
      </c>
      <c r="W886" s="4">
        <f ca="1" t="shared" si="1679"/>
        <v>0</v>
      </c>
      <c r="X886" s="4">
        <f ca="1" t="shared" si="1680"/>
        <v>0.62409</v>
      </c>
      <c r="Y886" s="4">
        <f ca="1" t="shared" si="1681"/>
        <v>2621.178</v>
      </c>
      <c r="Z886" s="4">
        <f ca="1" t="shared" si="1682"/>
        <v>0</v>
      </c>
      <c r="AA886" s="4">
        <f ca="1" t="shared" si="1683"/>
        <v>0</v>
      </c>
      <c r="AB886" s="4"/>
    </row>
    <row r="887" customHeight="1" outlineLevel="3" spans="1:28">
      <c r="A887" s="514" t="s">
        <v>3459</v>
      </c>
      <c r="B887" s="4"/>
      <c r="C887" s="510" t="s">
        <v>59</v>
      </c>
      <c r="D887" s="4" t="s">
        <v>191</v>
      </c>
      <c r="E887" s="4"/>
      <c r="F887" s="4" t="str">
        <f ca="1" t="shared" si="1674"/>
        <v>m3</v>
      </c>
      <c r="G887" s="4"/>
      <c r="H887" s="4"/>
      <c r="I887" s="4"/>
      <c r="J887" s="4"/>
      <c r="K887" s="4"/>
      <c r="L887" s="517"/>
      <c r="M887" s="4">
        <v>1.07535</v>
      </c>
      <c r="N887" s="4">
        <f ca="1" t="shared" si="1675"/>
        <v>3076.65752212389</v>
      </c>
      <c r="O887" s="4">
        <f ca="1">M887*N887</f>
        <v>3308.48366641593</v>
      </c>
      <c r="P887" s="4"/>
      <c r="Q887" s="4"/>
      <c r="R887" s="4"/>
      <c r="S887" s="4"/>
      <c r="T887" s="4">
        <f ca="1" t="shared" si="1676"/>
        <v>0</v>
      </c>
      <c r="U887" s="4">
        <f ca="1" t="shared" si="1677"/>
        <v>0</v>
      </c>
      <c r="V887" s="4">
        <f ca="1" t="shared" si="1678"/>
        <v>0</v>
      </c>
      <c r="W887" s="4">
        <f ca="1" t="shared" si="1679"/>
        <v>0</v>
      </c>
      <c r="X887" s="4">
        <f ca="1" t="shared" si="1680"/>
        <v>1.07535</v>
      </c>
      <c r="Y887" s="4">
        <f ca="1" t="shared" si="1681"/>
        <v>3308.48366641593</v>
      </c>
      <c r="Z887" s="4">
        <f ca="1" t="shared" si="1682"/>
        <v>0</v>
      </c>
      <c r="AA887" s="4">
        <f ca="1" t="shared" si="1683"/>
        <v>0</v>
      </c>
      <c r="AB887" s="4"/>
    </row>
    <row r="888" customHeight="1" outlineLevel="2" spans="1:28">
      <c r="A888" s="515" t="s">
        <v>3460</v>
      </c>
      <c r="B888" s="4"/>
      <c r="C888" s="510" t="s">
        <v>1309</v>
      </c>
      <c r="D888" s="4" t="s">
        <v>774</v>
      </c>
      <c r="E888" s="4" t="s">
        <v>3358</v>
      </c>
      <c r="F888" s="4" t="s">
        <v>82</v>
      </c>
      <c r="G888" s="4">
        <v>15.732</v>
      </c>
      <c r="H888" s="4">
        <v>10078.3119266055</v>
      </c>
      <c r="I888" s="4">
        <f>G888*H888</f>
        <v>158552.003229358</v>
      </c>
      <c r="J888" s="4">
        <f t="shared" ref="J888:L888" si="1684">+G888</f>
        <v>15.732</v>
      </c>
      <c r="K888" s="4">
        <f t="shared" si="1684"/>
        <v>10078.3119266055</v>
      </c>
      <c r="L888" s="517">
        <f t="shared" si="1684"/>
        <v>158552.003229358</v>
      </c>
      <c r="M888" s="4">
        <v>15.732</v>
      </c>
      <c r="N888" s="4">
        <f t="shared" ref="N888:N892" si="1685">O888/M888</f>
        <v>9005</v>
      </c>
      <c r="O888" s="4">
        <f>(+O889)</f>
        <v>141666.66</v>
      </c>
      <c r="P888" s="4"/>
      <c r="Q888" s="4"/>
      <c r="R888" s="4">
        <f t="shared" ref="R888:R892" si="1686">+P888+J888</f>
        <v>15.732</v>
      </c>
      <c r="S888" s="4">
        <f t="shared" ref="S888:S892" si="1687">+Q888+L888</f>
        <v>158552.003229358</v>
      </c>
      <c r="T888" s="4">
        <f>IFERROR(VLOOKUP(A888,产值统计中间表!A:F,7,FALSE),0)</f>
        <v>0</v>
      </c>
      <c r="U888" s="4">
        <f t="shared" ref="U888:U892" si="1688">+T888*H888</f>
        <v>0</v>
      </c>
      <c r="V888" s="4">
        <f>IFERROR(VLOOKUP(A888,产值统计中间表!A:D,4,FALSE),0)</f>
        <v>0</v>
      </c>
      <c r="W888" s="4">
        <f t="shared" ref="W888:W892" si="1689">+V888*H888</f>
        <v>0</v>
      </c>
      <c r="X888" s="4">
        <f t="shared" ref="X888:X892" si="1690">+R888-V888</f>
        <v>15.732</v>
      </c>
      <c r="Y888" s="4">
        <f t="shared" ref="Y888:Y892" si="1691">+S888-W888</f>
        <v>158552.003229358</v>
      </c>
      <c r="Z888" s="4">
        <f>IFERROR(VLOOKUP(A888,业主统计中间表!A:D,4,FALSE),0)</f>
        <v>0</v>
      </c>
      <c r="AA888" s="4">
        <f t="shared" ref="AA888:AA892" si="1692">+Z888*H888</f>
        <v>0</v>
      </c>
      <c r="AB888" s="4"/>
    </row>
    <row r="889" customHeight="1" outlineLevel="3" spans="1:28">
      <c r="A889" s="514" t="s">
        <v>3461</v>
      </c>
      <c r="B889" s="4"/>
      <c r="C889" s="510" t="s">
        <v>65</v>
      </c>
      <c r="D889" s="4" t="s">
        <v>774</v>
      </c>
      <c r="E889" s="4"/>
      <c r="F889" s="4" t="str">
        <f ca="1" t="shared" ref="F889:F893" si="1693">VLOOKUP($D889,INDIRECT($C889),2,0)</f>
        <v>t</v>
      </c>
      <c r="G889" s="4"/>
      <c r="H889" s="4"/>
      <c r="I889" s="4"/>
      <c r="J889" s="4"/>
      <c r="K889" s="4"/>
      <c r="L889" s="517"/>
      <c r="M889" s="4">
        <f>+G888</f>
        <v>15.732</v>
      </c>
      <c r="N889" s="4">
        <f>7260+200+1545</f>
        <v>9005</v>
      </c>
      <c r="O889" s="4">
        <f>M889*N889</f>
        <v>141666.66</v>
      </c>
      <c r="P889" s="4"/>
      <c r="Q889" s="4"/>
      <c r="R889" s="4"/>
      <c r="S889" s="4"/>
      <c r="T889" s="4">
        <f ca="1" t="shared" ref="T889:T893" si="1694">OFFSET(T889,-RIGHT($A889,LEN($A$6)),,1,1)/OFFSET(T889,-RIGHT($A889,LEN($A$6)),-13,1,1)*$M889</f>
        <v>0</v>
      </c>
      <c r="U889" s="4">
        <f ca="1" t="shared" ref="U889:U893" si="1695">+$N889*T889</f>
        <v>0</v>
      </c>
      <c r="V889" s="4">
        <f ca="1" t="shared" ref="V889:V893" si="1696">OFFSET(V889,-RIGHT($A889,LEN($A$6)),,1,1)/OFFSET(V889,-RIGHT($A889,LEN($A$6)),-15,1,1)*$M889</f>
        <v>0</v>
      </c>
      <c r="W889" s="4">
        <f ca="1" t="shared" ref="W889:W893" si="1697">+$N889*V889</f>
        <v>0</v>
      </c>
      <c r="X889" s="4">
        <f ca="1" t="shared" ref="X889:X893" si="1698">+M889-V889</f>
        <v>15.732</v>
      </c>
      <c r="Y889" s="4">
        <f ca="1" t="shared" ref="Y889:Y893" si="1699">+O889-W889</f>
        <v>141666.66</v>
      </c>
      <c r="Z889" s="4">
        <f ca="1" t="shared" ref="Z889:Z893" si="1700">OFFSET(Z889,-RIGHT($A889,LEN($A$6)),,1,1)/OFFSET(Z889,-RIGHT($A889,LEN($A$6)),-19,1,1)*$M889</f>
        <v>0</v>
      </c>
      <c r="AA889" s="4">
        <f ca="1" t="shared" ref="AA889:AA893" si="1701">+$N889*Z889</f>
        <v>0</v>
      </c>
      <c r="AB889" s="4"/>
    </row>
    <row r="890" customHeight="1" outlineLevel="2" spans="1:28">
      <c r="A890" s="515" t="s">
        <v>3462</v>
      </c>
      <c r="B890" s="4"/>
      <c r="C890" s="510" t="s">
        <v>1309</v>
      </c>
      <c r="D890" s="4" t="s">
        <v>778</v>
      </c>
      <c r="E890" s="4" t="s">
        <v>3358</v>
      </c>
      <c r="F890" s="4" t="s">
        <v>82</v>
      </c>
      <c r="G890" s="4">
        <v>30.636</v>
      </c>
      <c r="H890" s="4">
        <v>10829.4770642202</v>
      </c>
      <c r="I890" s="4">
        <f>G890*H890</f>
        <v>331771.85933945</v>
      </c>
      <c r="J890" s="4">
        <f t="shared" ref="J890:L890" si="1702">+G890</f>
        <v>30.636</v>
      </c>
      <c r="K890" s="4">
        <f t="shared" si="1702"/>
        <v>10829.4770642202</v>
      </c>
      <c r="L890" s="517">
        <f t="shared" si="1702"/>
        <v>331771.85933945</v>
      </c>
      <c r="M890" s="4">
        <v>30.636</v>
      </c>
      <c r="N890" s="4">
        <f t="shared" si="1685"/>
        <v>9005</v>
      </c>
      <c r="O890" s="4">
        <f>(+O891)</f>
        <v>275877.18</v>
      </c>
      <c r="P890" s="4"/>
      <c r="Q890" s="4"/>
      <c r="R890" s="4">
        <f t="shared" si="1686"/>
        <v>30.636</v>
      </c>
      <c r="S890" s="4">
        <f t="shared" si="1687"/>
        <v>331771.85933945</v>
      </c>
      <c r="T890" s="4">
        <f>IFERROR(VLOOKUP(A890,产值统计中间表!A:F,7,FALSE),0)</f>
        <v>0</v>
      </c>
      <c r="U890" s="4">
        <f t="shared" si="1688"/>
        <v>0</v>
      </c>
      <c r="V890" s="4">
        <f>IFERROR(VLOOKUP(A890,产值统计中间表!A:D,4,FALSE),0)</f>
        <v>0</v>
      </c>
      <c r="W890" s="4">
        <f t="shared" si="1689"/>
        <v>0</v>
      </c>
      <c r="X890" s="4">
        <f t="shared" si="1690"/>
        <v>30.636</v>
      </c>
      <c r="Y890" s="4">
        <f t="shared" si="1691"/>
        <v>331771.85933945</v>
      </c>
      <c r="Z890" s="4">
        <f>IFERROR(VLOOKUP(A890,业主统计中间表!A:D,4,FALSE),0)</f>
        <v>0</v>
      </c>
      <c r="AA890" s="4">
        <f t="shared" si="1692"/>
        <v>0</v>
      </c>
      <c r="AB890" s="4"/>
    </row>
    <row r="891" customHeight="1" outlineLevel="3" spans="1:28">
      <c r="A891" s="514" t="s">
        <v>3463</v>
      </c>
      <c r="B891" s="4"/>
      <c r="C891" s="510" t="s">
        <v>65</v>
      </c>
      <c r="D891" s="4" t="s">
        <v>778</v>
      </c>
      <c r="E891" s="4"/>
      <c r="F891" s="4" t="str">
        <f ca="1" t="shared" si="1693"/>
        <v>t</v>
      </c>
      <c r="G891" s="4"/>
      <c r="H891" s="4"/>
      <c r="I891" s="4"/>
      <c r="J891" s="4"/>
      <c r="K891" s="4"/>
      <c r="L891" s="517"/>
      <c r="M891" s="4">
        <f>+G890</f>
        <v>30.636</v>
      </c>
      <c r="N891" s="4">
        <f>7260+200+1545</f>
        <v>9005</v>
      </c>
      <c r="O891" s="4">
        <f>M891*N891</f>
        <v>275877.18</v>
      </c>
      <c r="P891" s="4"/>
      <c r="Q891" s="4"/>
      <c r="R891" s="4"/>
      <c r="S891" s="4"/>
      <c r="T891" s="4">
        <f ca="1" t="shared" si="1694"/>
        <v>0</v>
      </c>
      <c r="U891" s="4">
        <f ca="1" t="shared" si="1695"/>
        <v>0</v>
      </c>
      <c r="V891" s="4">
        <f ca="1" t="shared" si="1696"/>
        <v>0</v>
      </c>
      <c r="W891" s="4">
        <f ca="1" t="shared" si="1697"/>
        <v>0</v>
      </c>
      <c r="X891" s="4">
        <f ca="1" t="shared" si="1698"/>
        <v>30.636</v>
      </c>
      <c r="Y891" s="4">
        <f ca="1" t="shared" si="1699"/>
        <v>275877.18</v>
      </c>
      <c r="Z891" s="4">
        <f ca="1" t="shared" si="1700"/>
        <v>0</v>
      </c>
      <c r="AA891" s="4">
        <f ca="1" t="shared" si="1701"/>
        <v>0</v>
      </c>
      <c r="AB891" s="4"/>
    </row>
    <row r="892" customHeight="1" outlineLevel="2" spans="1:28">
      <c r="A892" s="515" t="s">
        <v>3464</v>
      </c>
      <c r="B892" s="4"/>
      <c r="C892" s="510" t="s">
        <v>1309</v>
      </c>
      <c r="D892" s="4" t="s">
        <v>1857</v>
      </c>
      <c r="E892" s="4" t="s">
        <v>3358</v>
      </c>
      <c r="F892" s="4" t="s">
        <v>82</v>
      </c>
      <c r="G892" s="4">
        <v>6.592</v>
      </c>
      <c r="H892" s="4">
        <v>6774.53211009174</v>
      </c>
      <c r="I892" s="4">
        <f>G892*H892</f>
        <v>44657.7156697247</v>
      </c>
      <c r="J892" s="4">
        <f t="shared" ref="J892:L892" si="1703">+G892</f>
        <v>6.592</v>
      </c>
      <c r="K892" s="4">
        <f t="shared" si="1703"/>
        <v>6774.53211009174</v>
      </c>
      <c r="L892" s="517">
        <f t="shared" si="1703"/>
        <v>44657.7156697247</v>
      </c>
      <c r="M892" s="4">
        <v>6.592</v>
      </c>
      <c r="N892" s="4">
        <f ca="1" t="shared" si="1685"/>
        <v>9005</v>
      </c>
      <c r="O892" s="4">
        <f ca="1">(+O893)</f>
        <v>59360.96</v>
      </c>
      <c r="P892" s="4"/>
      <c r="Q892" s="4"/>
      <c r="R892" s="4">
        <f t="shared" si="1686"/>
        <v>6.592</v>
      </c>
      <c r="S892" s="4">
        <f t="shared" si="1687"/>
        <v>44657.7156697247</v>
      </c>
      <c r="T892" s="4">
        <f>IFERROR(VLOOKUP(A892,产值统计中间表!A:F,7,FALSE),0)</f>
        <v>0</v>
      </c>
      <c r="U892" s="4">
        <f t="shared" si="1688"/>
        <v>0</v>
      </c>
      <c r="V892" s="4">
        <f>IFERROR(VLOOKUP(A892,产值统计中间表!A:D,4,FALSE),0)</f>
        <v>0</v>
      </c>
      <c r="W892" s="4">
        <f t="shared" si="1689"/>
        <v>0</v>
      </c>
      <c r="X892" s="4">
        <f t="shared" si="1690"/>
        <v>6.592</v>
      </c>
      <c r="Y892" s="4">
        <f t="shared" si="1691"/>
        <v>44657.7156697247</v>
      </c>
      <c r="Z892" s="4">
        <f>IFERROR(VLOOKUP(A892,业主统计中间表!A:D,4,FALSE),0)</f>
        <v>0</v>
      </c>
      <c r="AA892" s="4">
        <f t="shared" si="1692"/>
        <v>0</v>
      </c>
      <c r="AB892" s="4"/>
    </row>
    <row r="893" customHeight="1" outlineLevel="3" spans="1:28">
      <c r="A893" s="514" t="s">
        <v>3465</v>
      </c>
      <c r="B893" s="4"/>
      <c r="C893" s="510" t="s">
        <v>65</v>
      </c>
      <c r="D893" s="4" t="s">
        <v>826</v>
      </c>
      <c r="E893" s="4"/>
      <c r="F893" s="4" t="str">
        <f ca="1" t="shared" si="1693"/>
        <v>t</v>
      </c>
      <c r="G893" s="4"/>
      <c r="H893" s="4"/>
      <c r="I893" s="4"/>
      <c r="J893" s="4"/>
      <c r="K893" s="4"/>
      <c r="L893" s="517"/>
      <c r="M893" s="4">
        <v>6.592</v>
      </c>
      <c r="N893" s="4">
        <f ca="1" t="shared" ref="N893:N902" si="1704">VLOOKUP($D893,INDIRECT($C893),3,0)</f>
        <v>9005</v>
      </c>
      <c r="O893" s="4">
        <f ca="1">M893*N893</f>
        <v>59360.96</v>
      </c>
      <c r="P893" s="4"/>
      <c r="Q893" s="4"/>
      <c r="R893" s="4"/>
      <c r="S893" s="4"/>
      <c r="T893" s="4">
        <f ca="1" t="shared" si="1694"/>
        <v>0</v>
      </c>
      <c r="U893" s="4">
        <f ca="1" t="shared" si="1695"/>
        <v>0</v>
      </c>
      <c r="V893" s="4">
        <f ca="1" t="shared" si="1696"/>
        <v>0</v>
      </c>
      <c r="W893" s="4">
        <f ca="1" t="shared" si="1697"/>
        <v>0</v>
      </c>
      <c r="X893" s="4">
        <f ca="1" t="shared" si="1698"/>
        <v>6.592</v>
      </c>
      <c r="Y893" s="4">
        <f ca="1" t="shared" si="1699"/>
        <v>59360.96</v>
      </c>
      <c r="Z893" s="4">
        <f ca="1" t="shared" si="1700"/>
        <v>0</v>
      </c>
      <c r="AA893" s="4">
        <f ca="1" t="shared" si="1701"/>
        <v>0</v>
      </c>
      <c r="AB893" s="4"/>
    </row>
    <row r="894" customHeight="1" outlineLevel="2" spans="1:28">
      <c r="A894" s="515" t="s">
        <v>3466</v>
      </c>
      <c r="B894" s="4"/>
      <c r="C894" s="510" t="s">
        <v>1309</v>
      </c>
      <c r="D894" s="4" t="s">
        <v>3425</v>
      </c>
      <c r="E894" s="4" t="s">
        <v>2576</v>
      </c>
      <c r="F894" s="4" t="s">
        <v>69</v>
      </c>
      <c r="G894" s="4">
        <v>129.3</v>
      </c>
      <c r="H894" s="4">
        <v>219.97247706422</v>
      </c>
      <c r="I894" s="4">
        <f>G894*H894</f>
        <v>28442.4412844036</v>
      </c>
      <c r="J894" s="4">
        <f t="shared" ref="J894:L894" si="1705">+G894</f>
        <v>129.3</v>
      </c>
      <c r="K894" s="4">
        <f t="shared" si="1705"/>
        <v>219.97247706422</v>
      </c>
      <c r="L894" s="517">
        <f t="shared" si="1705"/>
        <v>28442.4412844036</v>
      </c>
      <c r="M894" s="4">
        <v>129.3</v>
      </c>
      <c r="N894" s="4">
        <f ca="1">O894/M894</f>
        <v>70</v>
      </c>
      <c r="O894" s="4">
        <f ca="1">(+O895)</f>
        <v>9051</v>
      </c>
      <c r="P894" s="4"/>
      <c r="Q894" s="4"/>
      <c r="R894" s="4">
        <f>+P894+J894</f>
        <v>129.3</v>
      </c>
      <c r="S894" s="4">
        <f>+Q894+L894</f>
        <v>28442.4412844036</v>
      </c>
      <c r="T894" s="4">
        <f>IFERROR(VLOOKUP(A894,产值统计中间表!A:F,7,FALSE),0)</f>
        <v>0</v>
      </c>
      <c r="U894" s="4">
        <f>+T894*H894</f>
        <v>0</v>
      </c>
      <c r="V894" s="4">
        <f>IFERROR(VLOOKUP(A894,产值统计中间表!A:D,4,FALSE),0)</f>
        <v>0</v>
      </c>
      <c r="W894" s="4">
        <f>+V894*H894</f>
        <v>0</v>
      </c>
      <c r="X894" s="4">
        <f>+R894-V894</f>
        <v>129.3</v>
      </c>
      <c r="Y894" s="4">
        <f>+S894-W894</f>
        <v>28442.4412844036</v>
      </c>
      <c r="Z894" s="4">
        <f>IFERROR(VLOOKUP(A894,业主统计中间表!A:D,4,FALSE),0)</f>
        <v>0</v>
      </c>
      <c r="AA894" s="4">
        <f>+Z894*H894</f>
        <v>0</v>
      </c>
      <c r="AB894" s="4"/>
    </row>
    <row r="895" customHeight="1" outlineLevel="3" spans="1:28">
      <c r="A895" s="514" t="s">
        <v>3467</v>
      </c>
      <c r="B895" s="4"/>
      <c r="C895" s="510" t="s">
        <v>65</v>
      </c>
      <c r="D895" s="4" t="s">
        <v>787</v>
      </c>
      <c r="E895" s="4"/>
      <c r="F895" s="4" t="str">
        <f ca="1" t="shared" ref="F895:F902" si="1706">VLOOKUP($D895,INDIRECT($C895),2,0)</f>
        <v>m2</v>
      </c>
      <c r="G895" s="4"/>
      <c r="H895" s="4"/>
      <c r="I895" s="4"/>
      <c r="J895" s="4"/>
      <c r="K895" s="4"/>
      <c r="L895" s="517"/>
      <c r="M895" s="4">
        <v>129.3</v>
      </c>
      <c r="N895" s="4">
        <f ca="1" t="shared" si="1704"/>
        <v>70</v>
      </c>
      <c r="O895" s="4">
        <f ca="1">M895*N895</f>
        <v>9051</v>
      </c>
      <c r="P895" s="4"/>
      <c r="Q895" s="4"/>
      <c r="R895" s="4"/>
      <c r="S895" s="4"/>
      <c r="T895" s="4">
        <f ca="1" t="shared" ref="T895:T902" si="1707">OFFSET(T895,-RIGHT($A895,LEN($A$6)),,1,1)/OFFSET(T895,-RIGHT($A895,LEN($A$6)),-13,1,1)*$M895</f>
        <v>0</v>
      </c>
      <c r="U895" s="4">
        <f ca="1" t="shared" ref="U895:U902" si="1708">+$N895*T895</f>
        <v>0</v>
      </c>
      <c r="V895" s="4">
        <f ca="1" t="shared" ref="V895:V902" si="1709">OFFSET(V895,-RIGHT($A895,LEN($A$6)),,1,1)/OFFSET(V895,-RIGHT($A895,LEN($A$6)),-15,1,1)*$M895</f>
        <v>0</v>
      </c>
      <c r="W895" s="4">
        <f ca="1" t="shared" ref="W895:W902" si="1710">+$N895*V895</f>
        <v>0</v>
      </c>
      <c r="X895" s="4">
        <f ca="1" t="shared" ref="X895:X902" si="1711">+M895-V895</f>
        <v>129.3</v>
      </c>
      <c r="Y895" s="4">
        <f ca="1" t="shared" ref="Y895:Y902" si="1712">+O895-W895</f>
        <v>9051</v>
      </c>
      <c r="Z895" s="4">
        <f ca="1" t="shared" ref="Z895:Z902" si="1713">OFFSET(Z895,-RIGHT($A895,LEN($A$6)),,1,1)/OFFSET(Z895,-RIGHT($A895,LEN($A$6)),-19,1,1)*$M895</f>
        <v>0</v>
      </c>
      <c r="AA895" s="4">
        <f ca="1" t="shared" ref="AA895:AA902" si="1714">+$N895*Z895</f>
        <v>0</v>
      </c>
      <c r="AB895" s="4"/>
    </row>
    <row r="896" customHeight="1" outlineLevel="1" spans="1:28">
      <c r="A896" s="518" t="s">
        <v>3468</v>
      </c>
      <c r="B896" s="4"/>
      <c r="C896" s="510" t="s">
        <v>60</v>
      </c>
      <c r="D896" s="4" t="s">
        <v>3469</v>
      </c>
      <c r="E896" s="4"/>
      <c r="F896" s="4"/>
      <c r="G896" s="4"/>
      <c r="H896" s="4"/>
      <c r="I896" s="4">
        <f>(+I897+I903+I905+I907+I909)</f>
        <v>485876.33704587</v>
      </c>
      <c r="J896" s="4"/>
      <c r="K896" s="4"/>
      <c r="L896" s="517">
        <f>(+L897+L903+L905+L907+L909)</f>
        <v>485876.33704587</v>
      </c>
      <c r="M896" s="4"/>
      <c r="N896" s="4"/>
      <c r="O896" s="4">
        <f ca="1">(+O897+O903+O905+O907+O909)</f>
        <v>427095.615</v>
      </c>
      <c r="P896" s="4"/>
      <c r="Q896" s="4"/>
      <c r="R896" s="4"/>
      <c r="S896" s="4"/>
      <c r="T896" s="4"/>
      <c r="U896" s="4"/>
      <c r="V896" s="4"/>
      <c r="W896" s="4"/>
      <c r="X896" s="4"/>
      <c r="Y896" s="4"/>
      <c r="Z896" s="4"/>
      <c r="AA896" s="4"/>
      <c r="AB896" s="4"/>
    </row>
    <row r="897" customHeight="1" outlineLevel="2" spans="1:28">
      <c r="A897" s="515" t="s">
        <v>3470</v>
      </c>
      <c r="B897" s="4"/>
      <c r="C897" s="510" t="s">
        <v>1309</v>
      </c>
      <c r="D897" s="4" t="s">
        <v>3178</v>
      </c>
      <c r="E897" s="4" t="s">
        <v>2472</v>
      </c>
      <c r="F897" s="4" t="s">
        <v>72</v>
      </c>
      <c r="G897" s="4">
        <v>12.7</v>
      </c>
      <c r="H897" s="4">
        <v>2016.45871559633</v>
      </c>
      <c r="I897" s="4">
        <f>G897*H897</f>
        <v>25609.0256880734</v>
      </c>
      <c r="J897" s="4">
        <f t="shared" ref="J897:L897" si="1715">+G897</f>
        <v>12.7</v>
      </c>
      <c r="K897" s="4">
        <f t="shared" si="1715"/>
        <v>2016.45871559633</v>
      </c>
      <c r="L897" s="517">
        <f t="shared" si="1715"/>
        <v>25609.0256880734</v>
      </c>
      <c r="M897" s="4">
        <v>12.7</v>
      </c>
      <c r="N897" s="4">
        <f ca="1">O897/M897</f>
        <v>1967.22283464567</v>
      </c>
      <c r="O897" s="4">
        <f ca="1">(+O898+O899+O900+O901+O902)</f>
        <v>24983.73</v>
      </c>
      <c r="P897" s="4"/>
      <c r="Q897" s="4"/>
      <c r="R897" s="4">
        <f>+P897+J897</f>
        <v>12.7</v>
      </c>
      <c r="S897" s="4">
        <f>+Q897+L897</f>
        <v>25609.0256880734</v>
      </c>
      <c r="T897" s="4">
        <f>IFERROR(VLOOKUP(A897,产值统计中间表!A:F,7,FALSE),0)</f>
        <v>0</v>
      </c>
      <c r="U897" s="4">
        <f>+T897*H897</f>
        <v>0</v>
      </c>
      <c r="V897" s="4">
        <f>IFERROR(VLOOKUP(A897,产值统计中间表!A:D,4,FALSE),0)</f>
        <v>0</v>
      </c>
      <c r="W897" s="4">
        <f>+V897*H897</f>
        <v>0</v>
      </c>
      <c r="X897" s="4">
        <f>+R897-V897</f>
        <v>12.7</v>
      </c>
      <c r="Y897" s="4">
        <f>+S897-W897</f>
        <v>25609.0256880734</v>
      </c>
      <c r="Z897" s="4">
        <f>IFERROR(VLOOKUP(A897,业主统计中间表!A:D,4,FALSE),0)</f>
        <v>0</v>
      </c>
      <c r="AA897" s="4">
        <f>+Z897*H897</f>
        <v>0</v>
      </c>
      <c r="AB897" s="4"/>
    </row>
    <row r="898" customHeight="1" outlineLevel="3" spans="1:28">
      <c r="A898" s="514" t="s">
        <v>3471</v>
      </c>
      <c r="B898" s="4"/>
      <c r="C898" s="510" t="s">
        <v>64</v>
      </c>
      <c r="D898" s="4" t="s">
        <v>752</v>
      </c>
      <c r="E898" s="4"/>
      <c r="F898" s="4" t="str">
        <f ca="1" t="shared" si="1706"/>
        <v>m3</v>
      </c>
      <c r="G898" s="4"/>
      <c r="H898" s="4"/>
      <c r="I898" s="4"/>
      <c r="J898" s="4"/>
      <c r="K898" s="4"/>
      <c r="L898" s="517"/>
      <c r="M898" s="4">
        <v>12.7635</v>
      </c>
      <c r="N898" s="4">
        <f ca="1" t="shared" si="1704"/>
        <v>30</v>
      </c>
      <c r="O898" s="4">
        <f ca="1">M898*N898</f>
        <v>382.905</v>
      </c>
      <c r="P898" s="4"/>
      <c r="Q898" s="4"/>
      <c r="R898" s="4"/>
      <c r="S898" s="4"/>
      <c r="T898" s="4">
        <f ca="1" t="shared" si="1707"/>
        <v>0</v>
      </c>
      <c r="U898" s="4">
        <f ca="1" t="shared" si="1708"/>
        <v>0</v>
      </c>
      <c r="V898" s="4">
        <f ca="1" t="shared" si="1709"/>
        <v>0</v>
      </c>
      <c r="W898" s="4">
        <f ca="1" t="shared" si="1710"/>
        <v>0</v>
      </c>
      <c r="X898" s="4">
        <f ca="1" t="shared" si="1711"/>
        <v>12.7635</v>
      </c>
      <c r="Y898" s="4">
        <f ca="1" t="shared" si="1712"/>
        <v>382.905</v>
      </c>
      <c r="Z898" s="4">
        <f ca="1" t="shared" si="1713"/>
        <v>0</v>
      </c>
      <c r="AA898" s="4">
        <f ca="1" t="shared" si="1714"/>
        <v>0</v>
      </c>
      <c r="AB898" s="4"/>
    </row>
    <row r="899" customHeight="1" outlineLevel="3" spans="1:28">
      <c r="A899" s="514" t="s">
        <v>3472</v>
      </c>
      <c r="B899" s="4"/>
      <c r="C899" s="510" t="s">
        <v>64</v>
      </c>
      <c r="D899" s="4" t="s">
        <v>262</v>
      </c>
      <c r="E899" s="4" t="s">
        <v>2473</v>
      </c>
      <c r="F899" s="4" t="str">
        <f ca="1" t="shared" si="1706"/>
        <v>m2</v>
      </c>
      <c r="G899" s="4"/>
      <c r="H899" s="4"/>
      <c r="I899" s="4"/>
      <c r="J899" s="4"/>
      <c r="K899" s="4"/>
      <c r="L899" s="517"/>
      <c r="M899" s="4">
        <v>43.87</v>
      </c>
      <c r="N899" s="4">
        <f ca="1" t="shared" si="1704"/>
        <v>55</v>
      </c>
      <c r="O899" s="4">
        <f ca="1">M899*N899</f>
        <v>2412.85</v>
      </c>
      <c r="P899" s="4"/>
      <c r="Q899" s="4"/>
      <c r="R899" s="4"/>
      <c r="S899" s="4"/>
      <c r="T899" s="4">
        <f ca="1" t="shared" si="1707"/>
        <v>0</v>
      </c>
      <c r="U899" s="4">
        <f ca="1" t="shared" si="1708"/>
        <v>0</v>
      </c>
      <c r="V899" s="4">
        <f ca="1" t="shared" si="1709"/>
        <v>0</v>
      </c>
      <c r="W899" s="4">
        <f ca="1" t="shared" si="1710"/>
        <v>0</v>
      </c>
      <c r="X899" s="4">
        <f ca="1" t="shared" si="1711"/>
        <v>43.87</v>
      </c>
      <c r="Y899" s="4">
        <f ca="1" t="shared" si="1712"/>
        <v>2412.85</v>
      </c>
      <c r="Z899" s="4">
        <f ca="1" t="shared" si="1713"/>
        <v>0</v>
      </c>
      <c r="AA899" s="4">
        <f ca="1" t="shared" si="1714"/>
        <v>0</v>
      </c>
      <c r="AB899" s="4"/>
    </row>
    <row r="900" customHeight="1" outlineLevel="3" spans="1:28">
      <c r="A900" s="514" t="s">
        <v>3473</v>
      </c>
      <c r="B900" s="4"/>
      <c r="C900" s="510" t="s">
        <v>64</v>
      </c>
      <c r="D900" s="4" t="s">
        <v>296</v>
      </c>
      <c r="E900" s="4"/>
      <c r="F900" s="4" t="str">
        <f ca="1" t="shared" si="1706"/>
        <v>t</v>
      </c>
      <c r="G900" s="4"/>
      <c r="H900" s="4"/>
      <c r="I900" s="4"/>
      <c r="J900" s="4"/>
      <c r="K900" s="4"/>
      <c r="L900" s="517"/>
      <c r="M900" s="4">
        <v>3.356</v>
      </c>
      <c r="N900" s="4">
        <f ca="1" t="shared" si="1704"/>
        <v>700</v>
      </c>
      <c r="O900" s="4">
        <f ca="1">M900*N900</f>
        <v>2349.2</v>
      </c>
      <c r="P900" s="4"/>
      <c r="Q900" s="4"/>
      <c r="R900" s="4"/>
      <c r="S900" s="4"/>
      <c r="T900" s="4">
        <f ca="1" t="shared" si="1707"/>
        <v>0</v>
      </c>
      <c r="U900" s="4">
        <f ca="1" t="shared" si="1708"/>
        <v>0</v>
      </c>
      <c r="V900" s="4">
        <f ca="1" t="shared" si="1709"/>
        <v>0</v>
      </c>
      <c r="W900" s="4">
        <f ca="1" t="shared" si="1710"/>
        <v>0</v>
      </c>
      <c r="X900" s="4">
        <f ca="1" t="shared" si="1711"/>
        <v>3.356</v>
      </c>
      <c r="Y900" s="4">
        <f ca="1" t="shared" si="1712"/>
        <v>2349.2</v>
      </c>
      <c r="Z900" s="4">
        <f ca="1" t="shared" si="1713"/>
        <v>0</v>
      </c>
      <c r="AA900" s="4">
        <f ca="1" t="shared" si="1714"/>
        <v>0</v>
      </c>
      <c r="AB900" s="4"/>
    </row>
    <row r="901" customHeight="1" outlineLevel="3" spans="1:28">
      <c r="A901" s="514" t="s">
        <v>3474</v>
      </c>
      <c r="B901" s="4"/>
      <c r="C901" s="510" t="s">
        <v>59</v>
      </c>
      <c r="D901" s="4" t="s">
        <v>792</v>
      </c>
      <c r="E901" s="4"/>
      <c r="F901" s="4" t="str">
        <f ca="1" t="shared" si="1706"/>
        <v>m³</v>
      </c>
      <c r="G901" s="4"/>
      <c r="H901" s="4"/>
      <c r="I901" s="4"/>
      <c r="J901" s="4"/>
      <c r="K901" s="4"/>
      <c r="L901" s="517"/>
      <c r="M901" s="4">
        <v>12.7635</v>
      </c>
      <c r="N901" s="4">
        <f ca="1" t="shared" si="1704"/>
        <v>450</v>
      </c>
      <c r="O901" s="4">
        <f ca="1">M901*N901</f>
        <v>5743.575</v>
      </c>
      <c r="P901" s="4"/>
      <c r="Q901" s="4"/>
      <c r="R901" s="4"/>
      <c r="S901" s="4"/>
      <c r="T901" s="4">
        <f ca="1" t="shared" si="1707"/>
        <v>0</v>
      </c>
      <c r="U901" s="4">
        <f ca="1" t="shared" si="1708"/>
        <v>0</v>
      </c>
      <c r="V901" s="4">
        <f ca="1" t="shared" si="1709"/>
        <v>0</v>
      </c>
      <c r="W901" s="4">
        <f ca="1" t="shared" si="1710"/>
        <v>0</v>
      </c>
      <c r="X901" s="4">
        <f ca="1" t="shared" si="1711"/>
        <v>12.7635</v>
      </c>
      <c r="Y901" s="4">
        <f ca="1" t="shared" si="1712"/>
        <v>5743.575</v>
      </c>
      <c r="Z901" s="4">
        <f ca="1" t="shared" si="1713"/>
        <v>0</v>
      </c>
      <c r="AA901" s="4">
        <f ca="1" t="shared" si="1714"/>
        <v>0</v>
      </c>
      <c r="AB901" s="4"/>
    </row>
    <row r="902" customHeight="1" outlineLevel="3" spans="1:28">
      <c r="A902" s="514" t="s">
        <v>3475</v>
      </c>
      <c r="B902" s="4"/>
      <c r="C902" s="510" t="s">
        <v>59</v>
      </c>
      <c r="D902" s="4" t="s">
        <v>480</v>
      </c>
      <c r="E902" s="4" t="str">
        <f ca="1">"含钢量："&amp;ROUND($M$902/$G$897,3)&amp;$F$902&amp;"/"&amp;$F$897</f>
        <v>含钢量：0.264t/m3</v>
      </c>
      <c r="F902" s="4" t="str">
        <f ca="1" t="shared" si="1706"/>
        <v>t</v>
      </c>
      <c r="G902" s="4"/>
      <c r="H902" s="4"/>
      <c r="I902" s="4"/>
      <c r="J902" s="4"/>
      <c r="K902" s="4"/>
      <c r="L902" s="517"/>
      <c r="M902" s="4">
        <v>3.356</v>
      </c>
      <c r="N902" s="4">
        <f ca="1" t="shared" si="1704"/>
        <v>4200</v>
      </c>
      <c r="O902" s="4">
        <f ca="1">M902*N902</f>
        <v>14095.2</v>
      </c>
      <c r="P902" s="4"/>
      <c r="Q902" s="4"/>
      <c r="R902" s="4"/>
      <c r="S902" s="4"/>
      <c r="T902" s="4">
        <f ca="1" t="shared" si="1707"/>
        <v>0</v>
      </c>
      <c r="U902" s="4">
        <f ca="1" t="shared" si="1708"/>
        <v>0</v>
      </c>
      <c r="V902" s="4">
        <f ca="1" t="shared" si="1709"/>
        <v>0</v>
      </c>
      <c r="W902" s="4">
        <f ca="1" t="shared" si="1710"/>
        <v>0</v>
      </c>
      <c r="X902" s="4">
        <f ca="1" t="shared" si="1711"/>
        <v>3.356</v>
      </c>
      <c r="Y902" s="4">
        <f ca="1" t="shared" si="1712"/>
        <v>14095.2</v>
      </c>
      <c r="Z902" s="4">
        <f ca="1" t="shared" si="1713"/>
        <v>0</v>
      </c>
      <c r="AA902" s="4">
        <f ca="1" t="shared" si="1714"/>
        <v>0</v>
      </c>
      <c r="AB902" s="4"/>
    </row>
    <row r="903" customHeight="1" outlineLevel="2" spans="1:28">
      <c r="A903" s="515" t="s">
        <v>3476</v>
      </c>
      <c r="B903" s="4"/>
      <c r="C903" s="510" t="s">
        <v>1309</v>
      </c>
      <c r="D903" s="4" t="s">
        <v>774</v>
      </c>
      <c r="E903" s="4" t="s">
        <v>3358</v>
      </c>
      <c r="F903" s="4" t="s">
        <v>82</v>
      </c>
      <c r="G903" s="4">
        <v>8.353</v>
      </c>
      <c r="H903" s="4">
        <v>9630.36697247706</v>
      </c>
      <c r="I903" s="4">
        <f>G903*H903</f>
        <v>80442.4553211009</v>
      </c>
      <c r="J903" s="4">
        <f t="shared" ref="J903:L903" si="1716">+G903</f>
        <v>8.353</v>
      </c>
      <c r="K903" s="4">
        <f t="shared" si="1716"/>
        <v>9630.36697247706</v>
      </c>
      <c r="L903" s="517">
        <f t="shared" si="1716"/>
        <v>80442.4553211009</v>
      </c>
      <c r="M903" s="4">
        <v>8.353</v>
      </c>
      <c r="N903" s="4">
        <f ca="1" t="shared" ref="N903:N907" si="1717">O903/M903</f>
        <v>8800</v>
      </c>
      <c r="O903" s="4">
        <f ca="1">(+O904)</f>
        <v>73506.4</v>
      </c>
      <c r="P903" s="4"/>
      <c r="Q903" s="4"/>
      <c r="R903" s="4">
        <f t="shared" ref="R903:R907" si="1718">+P903+J903</f>
        <v>8.353</v>
      </c>
      <c r="S903" s="4">
        <f t="shared" ref="S903:S907" si="1719">+Q903+L903</f>
        <v>80442.4553211009</v>
      </c>
      <c r="T903" s="4">
        <f>IFERROR(VLOOKUP(A903,产值统计中间表!A:F,7,FALSE),0)</f>
        <v>0</v>
      </c>
      <c r="U903" s="4">
        <f t="shared" ref="U903:U907" si="1720">+T903*H903</f>
        <v>0</v>
      </c>
      <c r="V903" s="4">
        <f>IFERROR(VLOOKUP(A903,产值统计中间表!A:D,4,FALSE),0)</f>
        <v>0</v>
      </c>
      <c r="W903" s="4">
        <f t="shared" ref="W903:W907" si="1721">+V903*H903</f>
        <v>0</v>
      </c>
      <c r="X903" s="4">
        <f t="shared" ref="X903:X907" si="1722">+R903-V903</f>
        <v>8.353</v>
      </c>
      <c r="Y903" s="4">
        <f t="shared" ref="Y903:Y907" si="1723">+S903-W903</f>
        <v>80442.4553211009</v>
      </c>
      <c r="Z903" s="4">
        <f>IFERROR(VLOOKUP(A903,业主统计中间表!A:D,4,FALSE),0)</f>
        <v>0</v>
      </c>
      <c r="AA903" s="4">
        <f t="shared" ref="AA903:AA907" si="1724">+Z903*H903</f>
        <v>0</v>
      </c>
      <c r="AB903" s="4"/>
    </row>
    <row r="904" customHeight="1" outlineLevel="3" spans="1:28">
      <c r="A904" s="514" t="s">
        <v>3477</v>
      </c>
      <c r="B904" s="4"/>
      <c r="C904" s="510" t="s">
        <v>65</v>
      </c>
      <c r="D904" s="4" t="s">
        <v>774</v>
      </c>
      <c r="E904" s="4"/>
      <c r="F904" s="4" t="str">
        <f ca="1" t="shared" ref="F904:F908" si="1725">VLOOKUP($D904,INDIRECT($C904),2,0)</f>
        <v>t</v>
      </c>
      <c r="G904" s="4"/>
      <c r="H904" s="4"/>
      <c r="I904" s="4"/>
      <c r="J904" s="4"/>
      <c r="K904" s="4"/>
      <c r="L904" s="517"/>
      <c r="M904" s="4">
        <f>+G903</f>
        <v>8.353</v>
      </c>
      <c r="N904" s="4">
        <f ca="1" t="shared" ref="N904:N908" si="1726">VLOOKUP($D904,INDIRECT($C904),3,0)</f>
        <v>8800</v>
      </c>
      <c r="O904" s="4">
        <f ca="1">M904*N904</f>
        <v>73506.4</v>
      </c>
      <c r="P904" s="4"/>
      <c r="Q904" s="4"/>
      <c r="R904" s="4"/>
      <c r="S904" s="4"/>
      <c r="T904" s="4">
        <f ca="1" t="shared" ref="T904:T908" si="1727">OFFSET(T904,-RIGHT($A904,LEN($A$6)),,1,1)/OFFSET(T904,-RIGHT($A904,LEN($A$6)),-13,1,1)*$M904</f>
        <v>0</v>
      </c>
      <c r="U904" s="4">
        <f ca="1" t="shared" ref="U904:U908" si="1728">+$N904*T904</f>
        <v>0</v>
      </c>
      <c r="V904" s="4">
        <f ca="1" t="shared" ref="V904:V908" si="1729">OFFSET(V904,-RIGHT($A904,LEN($A$6)),,1,1)/OFFSET(V904,-RIGHT($A904,LEN($A$6)),-15,1,1)*$M904</f>
        <v>0</v>
      </c>
      <c r="W904" s="4">
        <f ca="1" t="shared" ref="W904:W908" si="1730">+$N904*V904</f>
        <v>0</v>
      </c>
      <c r="X904" s="4">
        <f ca="1" t="shared" ref="X904:X908" si="1731">+M904-V904</f>
        <v>8.353</v>
      </c>
      <c r="Y904" s="4">
        <f ca="1" t="shared" ref="Y904:Y908" si="1732">+O904-W904</f>
        <v>73506.4</v>
      </c>
      <c r="Z904" s="4">
        <f ca="1" t="shared" ref="Z904:Z908" si="1733">OFFSET(Z904,-RIGHT($A904,LEN($A$6)),,1,1)/OFFSET(Z904,-RIGHT($A904,LEN($A$6)),-19,1,1)*$M904</f>
        <v>0</v>
      </c>
      <c r="AA904" s="4">
        <f ca="1" t="shared" ref="AA904:AA908" si="1734">+$N904*Z904</f>
        <v>0</v>
      </c>
      <c r="AB904" s="4"/>
    </row>
    <row r="905" customHeight="1" outlineLevel="2" spans="1:28">
      <c r="A905" s="515" t="s">
        <v>3478</v>
      </c>
      <c r="B905" s="4"/>
      <c r="C905" s="510" t="s">
        <v>1309</v>
      </c>
      <c r="D905" s="4" t="s">
        <v>778</v>
      </c>
      <c r="E905" s="4" t="s">
        <v>3358</v>
      </c>
      <c r="F905" s="4" t="s">
        <v>82</v>
      </c>
      <c r="G905" s="4">
        <v>32.284</v>
      </c>
      <c r="H905" s="4">
        <v>10137.7064220183</v>
      </c>
      <c r="I905" s="4">
        <f>G905*H905</f>
        <v>327285.714128439</v>
      </c>
      <c r="J905" s="4">
        <f t="shared" ref="J905:L905" si="1735">+G905</f>
        <v>32.284</v>
      </c>
      <c r="K905" s="4">
        <f t="shared" si="1735"/>
        <v>10137.7064220183</v>
      </c>
      <c r="L905" s="517">
        <f t="shared" si="1735"/>
        <v>327285.714128439</v>
      </c>
      <c r="M905" s="4">
        <v>32.284</v>
      </c>
      <c r="N905" s="4">
        <f ca="1" t="shared" si="1717"/>
        <v>8800</v>
      </c>
      <c r="O905" s="4">
        <f ca="1">(+O906)</f>
        <v>284099.2</v>
      </c>
      <c r="P905" s="4"/>
      <c r="Q905" s="4"/>
      <c r="R905" s="4">
        <f t="shared" si="1718"/>
        <v>32.284</v>
      </c>
      <c r="S905" s="4">
        <f t="shared" si="1719"/>
        <v>327285.714128439</v>
      </c>
      <c r="T905" s="4">
        <f>IFERROR(VLOOKUP(A905,产值统计中间表!A:F,7,FALSE),0)</f>
        <v>0</v>
      </c>
      <c r="U905" s="4">
        <f t="shared" si="1720"/>
        <v>0</v>
      </c>
      <c r="V905" s="4">
        <f>IFERROR(VLOOKUP(A905,产值统计中间表!A:D,4,FALSE),0)</f>
        <v>0</v>
      </c>
      <c r="W905" s="4">
        <f t="shared" si="1721"/>
        <v>0</v>
      </c>
      <c r="X905" s="4">
        <f t="shared" si="1722"/>
        <v>32.284</v>
      </c>
      <c r="Y905" s="4">
        <f t="shared" si="1723"/>
        <v>327285.714128439</v>
      </c>
      <c r="Z905" s="4">
        <f>IFERROR(VLOOKUP(A905,业主统计中间表!A:D,4,FALSE),0)</f>
        <v>0</v>
      </c>
      <c r="AA905" s="4">
        <f t="shared" si="1724"/>
        <v>0</v>
      </c>
      <c r="AB905" s="4"/>
    </row>
    <row r="906" customHeight="1" outlineLevel="3" spans="1:28">
      <c r="A906" s="514" t="s">
        <v>3479</v>
      </c>
      <c r="B906" s="4"/>
      <c r="C906" s="510" t="s">
        <v>65</v>
      </c>
      <c r="D906" s="4" t="s">
        <v>778</v>
      </c>
      <c r="E906" s="4"/>
      <c r="F906" s="4" t="str">
        <f ca="1" t="shared" si="1725"/>
        <v>t</v>
      </c>
      <c r="G906" s="4"/>
      <c r="H906" s="4"/>
      <c r="I906" s="4"/>
      <c r="J906" s="4"/>
      <c r="K906" s="4"/>
      <c r="L906" s="517"/>
      <c r="M906" s="4">
        <f>+G905</f>
        <v>32.284</v>
      </c>
      <c r="N906" s="4">
        <f ca="1" t="shared" si="1726"/>
        <v>8800</v>
      </c>
      <c r="O906" s="4">
        <f ca="1">M906*N906</f>
        <v>284099.2</v>
      </c>
      <c r="P906" s="4"/>
      <c r="Q906" s="4"/>
      <c r="R906" s="4"/>
      <c r="S906" s="4"/>
      <c r="T906" s="4">
        <f ca="1" t="shared" si="1727"/>
        <v>0</v>
      </c>
      <c r="U906" s="4">
        <f ca="1" t="shared" si="1728"/>
        <v>0</v>
      </c>
      <c r="V906" s="4">
        <f ca="1" t="shared" si="1729"/>
        <v>0</v>
      </c>
      <c r="W906" s="4">
        <f ca="1" t="shared" si="1730"/>
        <v>0</v>
      </c>
      <c r="X906" s="4">
        <f ca="1" t="shared" si="1731"/>
        <v>32.284</v>
      </c>
      <c r="Y906" s="4">
        <f ca="1" t="shared" si="1732"/>
        <v>284099.2</v>
      </c>
      <c r="Z906" s="4">
        <f ca="1" t="shared" si="1733"/>
        <v>0</v>
      </c>
      <c r="AA906" s="4">
        <f ca="1" t="shared" si="1734"/>
        <v>0</v>
      </c>
      <c r="AB906" s="4"/>
    </row>
    <row r="907" customHeight="1" outlineLevel="2" spans="1:28">
      <c r="A907" s="515" t="s">
        <v>3480</v>
      </c>
      <c r="B907" s="4"/>
      <c r="C907" s="510" t="s">
        <v>1309</v>
      </c>
      <c r="D907" s="4" t="s">
        <v>1857</v>
      </c>
      <c r="E907" s="4" t="s">
        <v>3358</v>
      </c>
      <c r="F907" s="4" t="s">
        <v>82</v>
      </c>
      <c r="G907" s="4">
        <v>4.057</v>
      </c>
      <c r="H907" s="4">
        <v>6774.53211009174</v>
      </c>
      <c r="I907" s="4">
        <f>G907*H907</f>
        <v>27484.2767706422</v>
      </c>
      <c r="J907" s="4">
        <f t="shared" ref="J907:L907" si="1736">+G907</f>
        <v>4.057</v>
      </c>
      <c r="K907" s="4">
        <f t="shared" si="1736"/>
        <v>6774.53211009174</v>
      </c>
      <c r="L907" s="517">
        <f t="shared" si="1736"/>
        <v>27484.2767706422</v>
      </c>
      <c r="M907" s="4">
        <v>4.057</v>
      </c>
      <c r="N907" s="4">
        <f ca="1" t="shared" si="1717"/>
        <v>9005</v>
      </c>
      <c r="O907" s="4">
        <f ca="1">(+O908)</f>
        <v>36533.285</v>
      </c>
      <c r="P907" s="4"/>
      <c r="Q907" s="4"/>
      <c r="R907" s="4">
        <f t="shared" si="1718"/>
        <v>4.057</v>
      </c>
      <c r="S907" s="4">
        <f t="shared" si="1719"/>
        <v>27484.2767706422</v>
      </c>
      <c r="T907" s="4">
        <f>IFERROR(VLOOKUP(A907,产值统计中间表!A:F,7,FALSE),0)</f>
        <v>0</v>
      </c>
      <c r="U907" s="4">
        <f t="shared" si="1720"/>
        <v>0</v>
      </c>
      <c r="V907" s="4">
        <f>IFERROR(VLOOKUP(A907,产值统计中间表!A:D,4,FALSE),0)</f>
        <v>0</v>
      </c>
      <c r="W907" s="4">
        <f t="shared" si="1721"/>
        <v>0</v>
      </c>
      <c r="X907" s="4">
        <f t="shared" si="1722"/>
        <v>4.057</v>
      </c>
      <c r="Y907" s="4">
        <f t="shared" si="1723"/>
        <v>27484.2767706422</v>
      </c>
      <c r="Z907" s="4">
        <f>IFERROR(VLOOKUP(A907,业主统计中间表!A:D,4,FALSE),0)</f>
        <v>0</v>
      </c>
      <c r="AA907" s="4">
        <f t="shared" si="1724"/>
        <v>0</v>
      </c>
      <c r="AB907" s="4"/>
    </row>
    <row r="908" customHeight="1" outlineLevel="3" spans="1:28">
      <c r="A908" s="514" t="s">
        <v>3481</v>
      </c>
      <c r="B908" s="4"/>
      <c r="C908" s="510" t="s">
        <v>65</v>
      </c>
      <c r="D908" s="4" t="s">
        <v>826</v>
      </c>
      <c r="E908" s="4"/>
      <c r="F908" s="4" t="str">
        <f ca="1" t="shared" si="1725"/>
        <v>t</v>
      </c>
      <c r="G908" s="4"/>
      <c r="H908" s="4"/>
      <c r="I908" s="4"/>
      <c r="J908" s="4"/>
      <c r="K908" s="4"/>
      <c r="L908" s="517"/>
      <c r="M908" s="4">
        <v>4.057</v>
      </c>
      <c r="N908" s="4">
        <f ca="1" t="shared" si="1726"/>
        <v>9005</v>
      </c>
      <c r="O908" s="4">
        <f ca="1">M908*N908</f>
        <v>36533.285</v>
      </c>
      <c r="P908" s="4"/>
      <c r="Q908" s="4"/>
      <c r="R908" s="4"/>
      <c r="S908" s="4"/>
      <c r="T908" s="4">
        <f ca="1" t="shared" si="1727"/>
        <v>0</v>
      </c>
      <c r="U908" s="4">
        <f ca="1" t="shared" si="1728"/>
        <v>0</v>
      </c>
      <c r="V908" s="4">
        <f ca="1" t="shared" si="1729"/>
        <v>0</v>
      </c>
      <c r="W908" s="4">
        <f ca="1" t="shared" si="1730"/>
        <v>0</v>
      </c>
      <c r="X908" s="4">
        <f ca="1" t="shared" si="1731"/>
        <v>4.057</v>
      </c>
      <c r="Y908" s="4">
        <f ca="1" t="shared" si="1732"/>
        <v>36533.285</v>
      </c>
      <c r="Z908" s="4">
        <f ca="1" t="shared" si="1733"/>
        <v>0</v>
      </c>
      <c r="AA908" s="4">
        <f ca="1" t="shared" si="1734"/>
        <v>0</v>
      </c>
      <c r="AB908" s="4"/>
    </row>
    <row r="909" customHeight="1" outlineLevel="2" spans="1:28">
      <c r="A909" s="515" t="s">
        <v>3482</v>
      </c>
      <c r="B909" s="4"/>
      <c r="C909" s="510" t="s">
        <v>1309</v>
      </c>
      <c r="D909" s="4" t="s">
        <v>3425</v>
      </c>
      <c r="E909" s="4" t="s">
        <v>2576</v>
      </c>
      <c r="F909" s="4" t="s">
        <v>69</v>
      </c>
      <c r="G909" s="4">
        <v>113.9</v>
      </c>
      <c r="H909" s="4">
        <v>219.97247706422</v>
      </c>
      <c r="I909" s="4">
        <f>G909*H909</f>
        <v>25054.8651376147</v>
      </c>
      <c r="J909" s="4">
        <f t="shared" ref="J909:L909" si="1737">+G909</f>
        <v>113.9</v>
      </c>
      <c r="K909" s="4">
        <f t="shared" si="1737"/>
        <v>219.97247706422</v>
      </c>
      <c r="L909" s="517">
        <f t="shared" si="1737"/>
        <v>25054.8651376147</v>
      </c>
      <c r="M909" s="4">
        <v>113.9</v>
      </c>
      <c r="N909" s="4">
        <f ca="1">O909/M909</f>
        <v>70</v>
      </c>
      <c r="O909" s="4">
        <f ca="1">(+O910)</f>
        <v>7973</v>
      </c>
      <c r="P909" s="4"/>
      <c r="Q909" s="4"/>
      <c r="R909" s="4">
        <f>+P909+J909</f>
        <v>113.9</v>
      </c>
      <c r="S909" s="4">
        <f>+Q909+L909</f>
        <v>25054.8651376147</v>
      </c>
      <c r="T909" s="4">
        <f>IFERROR(VLOOKUP(A909,产值统计中间表!A:F,7,FALSE),0)</f>
        <v>0</v>
      </c>
      <c r="U909" s="4">
        <f>+T909*H909</f>
        <v>0</v>
      </c>
      <c r="V909" s="4">
        <f>IFERROR(VLOOKUP(A909,产值统计中间表!A:D,4,FALSE),0)</f>
        <v>0</v>
      </c>
      <c r="W909" s="4">
        <f>+V909*H909</f>
        <v>0</v>
      </c>
      <c r="X909" s="4">
        <f>+R909-V909</f>
        <v>113.9</v>
      </c>
      <c r="Y909" s="4">
        <f>+S909-W909</f>
        <v>25054.8651376147</v>
      </c>
      <c r="Z909" s="4">
        <f>IFERROR(VLOOKUP(A909,业主统计中间表!A:D,4,FALSE),0)</f>
        <v>0</v>
      </c>
      <c r="AA909" s="4">
        <f>+Z909*H909</f>
        <v>0</v>
      </c>
      <c r="AB909" s="4"/>
    </row>
    <row r="910" customHeight="1" outlineLevel="3" spans="1:28">
      <c r="A910" s="514" t="s">
        <v>3483</v>
      </c>
      <c r="B910" s="4"/>
      <c r="C910" s="510" t="s">
        <v>65</v>
      </c>
      <c r="D910" s="4" t="s">
        <v>787</v>
      </c>
      <c r="E910" s="4"/>
      <c r="F910" s="4" t="str">
        <f ca="1" t="shared" ref="F910:F915" si="1738">VLOOKUP($D910,INDIRECT($C910),2,0)</f>
        <v>m2</v>
      </c>
      <c r="G910" s="4"/>
      <c r="H910" s="4"/>
      <c r="I910" s="4"/>
      <c r="J910" s="4"/>
      <c r="K910" s="4"/>
      <c r="L910" s="517"/>
      <c r="M910" s="4">
        <v>113.9</v>
      </c>
      <c r="N910" s="4">
        <f ca="1" t="shared" ref="N910:N915" si="1739">VLOOKUP($D910,INDIRECT($C910),3,0)</f>
        <v>70</v>
      </c>
      <c r="O910" s="4">
        <f ca="1">M910*N910</f>
        <v>7973</v>
      </c>
      <c r="P910" s="4"/>
      <c r="Q910" s="4"/>
      <c r="R910" s="4"/>
      <c r="S910" s="4"/>
      <c r="T910" s="4">
        <f ca="1" t="shared" ref="T910:T915" si="1740">OFFSET(T910,-RIGHT($A910,LEN($A$6)),,1,1)/OFFSET(T910,-RIGHT($A910,LEN($A$6)),-13,1,1)*$M910</f>
        <v>0</v>
      </c>
      <c r="U910" s="4">
        <f ca="1" t="shared" ref="U910:U915" si="1741">+$N910*T910</f>
        <v>0</v>
      </c>
      <c r="V910" s="4">
        <f ca="1" t="shared" ref="V910:V915" si="1742">OFFSET(V910,-RIGHT($A910,LEN($A$6)),,1,1)/OFFSET(V910,-RIGHT($A910,LEN($A$6)),-15,1,1)*$M910</f>
        <v>0</v>
      </c>
      <c r="W910" s="4">
        <f ca="1" t="shared" ref="W910:W915" si="1743">+$N910*V910</f>
        <v>0</v>
      </c>
      <c r="X910" s="4">
        <f ca="1" t="shared" ref="X910:X915" si="1744">+M910-V910</f>
        <v>113.9</v>
      </c>
      <c r="Y910" s="4">
        <f ca="1" t="shared" ref="Y910:Y915" si="1745">+O910-W910</f>
        <v>7973</v>
      </c>
      <c r="Z910" s="4">
        <f ca="1" t="shared" ref="Z910:Z915" si="1746">OFFSET(Z910,-RIGHT($A910,LEN($A$6)),,1,1)/OFFSET(Z910,-RIGHT($A910,LEN($A$6)),-19,1,1)*$M910</f>
        <v>0</v>
      </c>
      <c r="AA910" s="4">
        <f ca="1" t="shared" ref="AA910:AA915" si="1747">+$N910*Z910</f>
        <v>0</v>
      </c>
      <c r="AB910" s="4"/>
    </row>
    <row r="911" customHeight="1" outlineLevel="1" spans="1:28">
      <c r="A911" s="518" t="s">
        <v>3484</v>
      </c>
      <c r="B911" s="4"/>
      <c r="C911" s="510" t="s">
        <v>60</v>
      </c>
      <c r="D911" s="4" t="s">
        <v>3485</v>
      </c>
      <c r="E911" s="4"/>
      <c r="F911" s="4"/>
      <c r="G911" s="4"/>
      <c r="H911" s="4"/>
      <c r="I911" s="4">
        <f>(+I912+I916+I919+I922+I924+I926+I928+I936+I944+I952+I955+I957+I960+I962+I964+I968)</f>
        <v>1017241.21166972</v>
      </c>
      <c r="J911" s="4"/>
      <c r="K911" s="4"/>
      <c r="L911" s="517">
        <f>(+L912+L916+L919+L922+L924+L926+L928+L936+L944+L952+L955+L957+L960+L962+L964+L968)</f>
        <v>1017241.21166972</v>
      </c>
      <c r="M911" s="4"/>
      <c r="N911" s="4"/>
      <c r="O911" s="4">
        <f ca="1">(+O912+O916+O919+O922+O924+O926+O928+O936+O944+O952+O955+O957+O960+O962+O964+O968)</f>
        <v>696656.398657434</v>
      </c>
      <c r="P911" s="4"/>
      <c r="Q911" s="4"/>
      <c r="R911" s="4"/>
      <c r="S911" s="4"/>
      <c r="T911" s="4"/>
      <c r="U911" s="4"/>
      <c r="V911" s="4"/>
      <c r="W911" s="4"/>
      <c r="X911" s="4"/>
      <c r="Y911" s="4"/>
      <c r="Z911" s="4"/>
      <c r="AA911" s="4"/>
      <c r="AB911" s="4"/>
    </row>
    <row r="912" customHeight="1" outlineLevel="2" spans="1:28">
      <c r="A912" s="515" t="s">
        <v>3486</v>
      </c>
      <c r="B912" s="4"/>
      <c r="C912" s="510" t="s">
        <v>1309</v>
      </c>
      <c r="D912" s="4" t="s">
        <v>3487</v>
      </c>
      <c r="E912" s="4" t="s">
        <v>3488</v>
      </c>
      <c r="F912" s="4" t="s">
        <v>76</v>
      </c>
      <c r="G912" s="4">
        <v>2341.5</v>
      </c>
      <c r="H912" s="4">
        <v>92.5504587155963</v>
      </c>
      <c r="I912" s="4">
        <f>G912*H912</f>
        <v>216706.899082569</v>
      </c>
      <c r="J912" s="4">
        <f t="shared" ref="J912:L912" si="1748">+G912</f>
        <v>2341.5</v>
      </c>
      <c r="K912" s="4">
        <f t="shared" si="1748"/>
        <v>92.5504587155963</v>
      </c>
      <c r="L912" s="517">
        <f t="shared" si="1748"/>
        <v>216706.899082569</v>
      </c>
      <c r="M912" s="4">
        <v>2341.5</v>
      </c>
      <c r="N912" s="4">
        <f ca="1">O912/M912</f>
        <v>57.8768851144887</v>
      </c>
      <c r="O912" s="4">
        <f ca="1">(+O913+O914+O915)</f>
        <v>135518.726495575</v>
      </c>
      <c r="P912" s="4"/>
      <c r="Q912" s="4"/>
      <c r="R912" s="4">
        <f>+P912+J912</f>
        <v>2341.5</v>
      </c>
      <c r="S912" s="4">
        <f>+Q912+L912</f>
        <v>216706.899082569</v>
      </c>
      <c r="T912" s="4">
        <f>IFERROR(VLOOKUP(A912,产值统计中间表!A:F,7,FALSE),0)</f>
        <v>0</v>
      </c>
      <c r="U912" s="4">
        <f>+T912*H912</f>
        <v>0</v>
      </c>
      <c r="V912" s="4">
        <f>IFERROR(VLOOKUP(A912,产值统计中间表!A:D,4,FALSE),0)</f>
        <v>0</v>
      </c>
      <c r="W912" s="4">
        <f>+V912*H912</f>
        <v>0</v>
      </c>
      <c r="X912" s="4">
        <f>+R912-V912</f>
        <v>2341.5</v>
      </c>
      <c r="Y912" s="4">
        <f>+S912-W912</f>
        <v>216706.899082569</v>
      </c>
      <c r="Z912" s="4">
        <f>IFERROR(VLOOKUP(A912,业主统计中间表!A:D,4,FALSE),0)</f>
        <v>0</v>
      </c>
      <c r="AA912" s="4">
        <f>+Z912*H912</f>
        <v>0</v>
      </c>
      <c r="AB912" s="4"/>
    </row>
    <row r="913" customHeight="1" outlineLevel="3" spans="1:28">
      <c r="A913" s="514" t="s">
        <v>3489</v>
      </c>
      <c r="B913" s="4"/>
      <c r="C913" s="510" t="s">
        <v>63</v>
      </c>
      <c r="D913" s="4" t="s">
        <v>1200</v>
      </c>
      <c r="E913" s="4" t="s">
        <v>3490</v>
      </c>
      <c r="F913" s="4" t="str">
        <f ca="1" t="shared" si="1738"/>
        <v>m</v>
      </c>
      <c r="G913" s="4"/>
      <c r="H913" s="4"/>
      <c r="I913" s="4"/>
      <c r="J913" s="4"/>
      <c r="K913" s="4"/>
      <c r="L913" s="517"/>
      <c r="M913" s="4">
        <v>2341.5</v>
      </c>
      <c r="N913" s="4">
        <f ca="1" t="shared" si="1739"/>
        <v>35</v>
      </c>
      <c r="O913" s="4">
        <f ca="1">M913*N913</f>
        <v>81952.5</v>
      </c>
      <c r="P913" s="4"/>
      <c r="Q913" s="4"/>
      <c r="R913" s="4"/>
      <c r="S913" s="4"/>
      <c r="T913" s="4">
        <f ca="1" t="shared" si="1740"/>
        <v>0</v>
      </c>
      <c r="U913" s="4">
        <f ca="1" t="shared" si="1741"/>
        <v>0</v>
      </c>
      <c r="V913" s="4">
        <f ca="1" t="shared" si="1742"/>
        <v>0</v>
      </c>
      <c r="W913" s="4">
        <f ca="1" t="shared" si="1743"/>
        <v>0</v>
      </c>
      <c r="X913" s="4">
        <f ca="1" t="shared" si="1744"/>
        <v>2341.5</v>
      </c>
      <c r="Y913" s="4">
        <f ca="1" t="shared" si="1745"/>
        <v>81952.5</v>
      </c>
      <c r="Z913" s="4">
        <f ca="1" t="shared" si="1746"/>
        <v>0</v>
      </c>
      <c r="AA913" s="4">
        <f ca="1" t="shared" si="1747"/>
        <v>0</v>
      </c>
      <c r="AB913" s="4"/>
    </row>
    <row r="914" customHeight="1" outlineLevel="3" spans="1:28">
      <c r="A914" s="514" t="s">
        <v>3491</v>
      </c>
      <c r="B914" s="4"/>
      <c r="C914" s="510" t="s">
        <v>59</v>
      </c>
      <c r="D914" s="4" t="s">
        <v>480</v>
      </c>
      <c r="E914" s="4" t="str">
        <f ca="1">"含钢量："&amp;ROUND($M$914/$G$912,3)&amp;$F$914&amp;"/"&amp;$F$912</f>
        <v>含钢量：0.004t/m</v>
      </c>
      <c r="F914" s="4" t="str">
        <f ca="1" t="shared" si="1738"/>
        <v>t</v>
      </c>
      <c r="G914" s="4"/>
      <c r="H914" s="4"/>
      <c r="I914" s="4"/>
      <c r="J914" s="4"/>
      <c r="K914" s="4"/>
      <c r="L914" s="517"/>
      <c r="M914" s="4">
        <v>9.474</v>
      </c>
      <c r="N914" s="4">
        <f ca="1" t="shared" si="1739"/>
        <v>4200</v>
      </c>
      <c r="O914" s="4">
        <f ca="1">M914*N914</f>
        <v>39790.8</v>
      </c>
      <c r="P914" s="4"/>
      <c r="Q914" s="4"/>
      <c r="R914" s="4"/>
      <c r="S914" s="4"/>
      <c r="T914" s="4">
        <f ca="1" t="shared" si="1740"/>
        <v>0</v>
      </c>
      <c r="U914" s="4">
        <f ca="1" t="shared" si="1741"/>
        <v>0</v>
      </c>
      <c r="V914" s="4">
        <f ca="1" t="shared" si="1742"/>
        <v>0</v>
      </c>
      <c r="W914" s="4">
        <f ca="1" t="shared" si="1743"/>
        <v>0</v>
      </c>
      <c r="X914" s="4">
        <f ca="1" t="shared" si="1744"/>
        <v>9.474</v>
      </c>
      <c r="Y914" s="4">
        <f ca="1" t="shared" si="1745"/>
        <v>39790.8</v>
      </c>
      <c r="Z914" s="4">
        <f ca="1" t="shared" si="1746"/>
        <v>0</v>
      </c>
      <c r="AA914" s="4">
        <f ca="1" t="shared" si="1747"/>
        <v>0</v>
      </c>
      <c r="AB914" s="4"/>
    </row>
    <row r="915" customHeight="1" outlineLevel="3" spans="1:28">
      <c r="A915" s="514" t="s">
        <v>3492</v>
      </c>
      <c r="B915" s="4"/>
      <c r="C915" s="510" t="s">
        <v>59</v>
      </c>
      <c r="D915" s="4" t="s">
        <v>239</v>
      </c>
      <c r="E915" s="4"/>
      <c r="F915" s="4" t="str">
        <f ca="1" t="shared" si="1738"/>
        <v>m3</v>
      </c>
      <c r="G915" s="4"/>
      <c r="H915" s="4"/>
      <c r="I915" s="4"/>
      <c r="J915" s="4"/>
      <c r="K915" s="4"/>
      <c r="L915" s="517"/>
      <c r="M915" s="4">
        <v>56.28</v>
      </c>
      <c r="N915" s="4">
        <f ca="1" t="shared" si="1739"/>
        <v>244.76592920354</v>
      </c>
      <c r="O915" s="4">
        <f ca="1">M915*N915</f>
        <v>13775.4264955752</v>
      </c>
      <c r="P915" s="4"/>
      <c r="Q915" s="4"/>
      <c r="R915" s="4"/>
      <c r="S915" s="4"/>
      <c r="T915" s="4">
        <f ca="1" t="shared" si="1740"/>
        <v>0</v>
      </c>
      <c r="U915" s="4">
        <f ca="1" t="shared" si="1741"/>
        <v>0</v>
      </c>
      <c r="V915" s="4">
        <f ca="1" t="shared" si="1742"/>
        <v>0</v>
      </c>
      <c r="W915" s="4">
        <f ca="1" t="shared" si="1743"/>
        <v>0</v>
      </c>
      <c r="X915" s="4">
        <f ca="1" t="shared" si="1744"/>
        <v>56.28</v>
      </c>
      <c r="Y915" s="4">
        <f ca="1" t="shared" si="1745"/>
        <v>13775.4264955752</v>
      </c>
      <c r="Z915" s="4">
        <f ca="1" t="shared" si="1746"/>
        <v>0</v>
      </c>
      <c r="AA915" s="4">
        <f ca="1" t="shared" si="1747"/>
        <v>0</v>
      </c>
      <c r="AB915" s="4"/>
    </row>
    <row r="916" customHeight="1" outlineLevel="2" spans="1:28">
      <c r="A916" s="515" t="s">
        <v>3493</v>
      </c>
      <c r="B916" s="4"/>
      <c r="C916" s="510" t="s">
        <v>1309</v>
      </c>
      <c r="D916" s="4" t="s">
        <v>3494</v>
      </c>
      <c r="E916" s="4" t="s">
        <v>3495</v>
      </c>
      <c r="F916" s="4" t="s">
        <v>69</v>
      </c>
      <c r="G916" s="4">
        <v>1606.8</v>
      </c>
      <c r="H916" s="4">
        <v>80.1192660550459</v>
      </c>
      <c r="I916" s="4">
        <f>G916*H916</f>
        <v>128735.636697248</v>
      </c>
      <c r="J916" s="4">
        <f t="shared" ref="J916:L916" si="1749">+G916</f>
        <v>1606.8</v>
      </c>
      <c r="K916" s="4">
        <f t="shared" si="1749"/>
        <v>80.1192660550459</v>
      </c>
      <c r="L916" s="517">
        <f t="shared" si="1749"/>
        <v>128735.636697248</v>
      </c>
      <c r="M916" s="4">
        <v>1606.8</v>
      </c>
      <c r="N916" s="4">
        <f ca="1">O916/M916</f>
        <v>65</v>
      </c>
      <c r="O916" s="4">
        <f ca="1">(+O917+O918)</f>
        <v>104442</v>
      </c>
      <c r="P916" s="4"/>
      <c r="Q916" s="4"/>
      <c r="R916" s="4">
        <f>+P916+J916</f>
        <v>1606.8</v>
      </c>
      <c r="S916" s="4">
        <f>+Q916+L916</f>
        <v>128735.636697248</v>
      </c>
      <c r="T916" s="4">
        <f>IFERROR(VLOOKUP(A916,产值统计中间表!A:F,7,FALSE),0)</f>
        <v>0</v>
      </c>
      <c r="U916" s="4">
        <f>+T916*H916</f>
        <v>0</v>
      </c>
      <c r="V916" s="4">
        <f>IFERROR(VLOOKUP(A916,产值统计中间表!A:D,4,FALSE),0)</f>
        <v>0</v>
      </c>
      <c r="W916" s="4">
        <f>+V916*H916</f>
        <v>0</v>
      </c>
      <c r="X916" s="4">
        <f>+R916-V916</f>
        <v>1606.8</v>
      </c>
      <c r="Y916" s="4">
        <f>+S916-W916</f>
        <v>128735.636697248</v>
      </c>
      <c r="Z916" s="4">
        <f>IFERROR(VLOOKUP(A916,业主统计中间表!A:D,4,FALSE),0)</f>
        <v>0</v>
      </c>
      <c r="AA916" s="4">
        <f>+Z916*H916</f>
        <v>0</v>
      </c>
      <c r="AB916" s="4"/>
    </row>
    <row r="917" customHeight="1" outlineLevel="3" spans="1:28">
      <c r="A917" s="514" t="s">
        <v>3496</v>
      </c>
      <c r="B917" s="4"/>
      <c r="C917" s="510" t="s">
        <v>63</v>
      </c>
      <c r="D917" s="4" t="s">
        <v>1201</v>
      </c>
      <c r="E917" s="4" t="s">
        <v>3497</v>
      </c>
      <c r="F917" s="4" t="str">
        <f ca="1" t="shared" ref="F917:F921" si="1750">VLOOKUP($D917,INDIRECT($C917),2,0)</f>
        <v>m2</v>
      </c>
      <c r="G917" s="4"/>
      <c r="H917" s="4"/>
      <c r="I917" s="4"/>
      <c r="J917" s="4"/>
      <c r="K917" s="4"/>
      <c r="L917" s="517"/>
      <c r="M917" s="4">
        <v>1606.8</v>
      </c>
      <c r="N917" s="4">
        <f ca="1" t="shared" ref="N917:N921" si="1751">VLOOKUP($D917,INDIRECT($C917),3,0)</f>
        <v>65</v>
      </c>
      <c r="O917" s="4">
        <f ca="1">M917*N917</f>
        <v>104442</v>
      </c>
      <c r="P917" s="4"/>
      <c r="Q917" s="4"/>
      <c r="R917" s="4"/>
      <c r="S917" s="4"/>
      <c r="T917" s="4">
        <f ca="1" t="shared" ref="T917:T921" si="1752">OFFSET(T917,-RIGHT($A917,LEN($A$6)),,1,1)/OFFSET(T917,-RIGHT($A917,LEN($A$6)),-13,1,1)*$M917</f>
        <v>0</v>
      </c>
      <c r="U917" s="4">
        <f ca="1" t="shared" ref="U917:U921" si="1753">+$N917*T917</f>
        <v>0</v>
      </c>
      <c r="V917" s="4">
        <f ca="1" t="shared" ref="V917:V921" si="1754">OFFSET(V917,-RIGHT($A917,LEN($A$6)),,1,1)/OFFSET(V917,-RIGHT($A917,LEN($A$6)),-15,1,1)*$M917</f>
        <v>0</v>
      </c>
      <c r="W917" s="4">
        <f ca="1" t="shared" ref="W917:W921" si="1755">+$N917*V917</f>
        <v>0</v>
      </c>
      <c r="X917" s="4">
        <f ca="1" t="shared" ref="X917:X921" si="1756">+M917-V917</f>
        <v>1606.8</v>
      </c>
      <c r="Y917" s="4">
        <f ca="1" t="shared" ref="Y917:Y921" si="1757">+O917-W917</f>
        <v>104442</v>
      </c>
      <c r="Z917" s="4">
        <f ca="1" t="shared" ref="Z917:Z921" si="1758">OFFSET(Z917,-RIGHT($A917,LEN($A$6)),,1,1)/OFFSET(Z917,-RIGHT($A917,LEN($A$6)),-19,1,1)*$M917</f>
        <v>0</v>
      </c>
      <c r="AA917" s="4">
        <f ca="1" t="shared" ref="AA917:AA921" si="1759">+$N917*Z917</f>
        <v>0</v>
      </c>
      <c r="AB917" s="4"/>
    </row>
    <row r="918" customHeight="1" outlineLevel="3" spans="1:28">
      <c r="A918" s="514" t="s">
        <v>3498</v>
      </c>
      <c r="B918" s="4"/>
      <c r="C918" s="510" t="s">
        <v>59</v>
      </c>
      <c r="D918" s="4" t="s">
        <v>488</v>
      </c>
      <c r="E918" s="4"/>
      <c r="F918" s="4" t="str">
        <f ca="1" t="shared" si="1750"/>
        <v>m3</v>
      </c>
      <c r="G918" s="4"/>
      <c r="H918" s="4"/>
      <c r="I918" s="4"/>
      <c r="J918" s="4"/>
      <c r="K918" s="4"/>
      <c r="L918" s="517"/>
      <c r="M918" s="4">
        <v>284.09</v>
      </c>
      <c r="N918" s="4">
        <f ca="1" t="shared" si="1751"/>
        <v>0</v>
      </c>
      <c r="O918" s="4">
        <f ca="1">M918*N918</f>
        <v>0</v>
      </c>
      <c r="P918" s="4"/>
      <c r="Q918" s="4"/>
      <c r="R918" s="4"/>
      <c r="S918" s="4"/>
      <c r="T918" s="4">
        <f ca="1" t="shared" si="1752"/>
        <v>0</v>
      </c>
      <c r="U918" s="4">
        <f ca="1" t="shared" si="1753"/>
        <v>0</v>
      </c>
      <c r="V918" s="4">
        <f ca="1" t="shared" si="1754"/>
        <v>0</v>
      </c>
      <c r="W918" s="4">
        <f ca="1" t="shared" si="1755"/>
        <v>0</v>
      </c>
      <c r="X918" s="4">
        <f ca="1" t="shared" si="1756"/>
        <v>284.09</v>
      </c>
      <c r="Y918" s="4">
        <f ca="1" t="shared" si="1757"/>
        <v>0</v>
      </c>
      <c r="Z918" s="4">
        <f ca="1" t="shared" si="1758"/>
        <v>0</v>
      </c>
      <c r="AA918" s="4">
        <f ca="1" t="shared" si="1759"/>
        <v>0</v>
      </c>
      <c r="AB918" s="4"/>
    </row>
    <row r="919" customHeight="1" outlineLevel="2" spans="1:28">
      <c r="A919" s="515" t="s">
        <v>3499</v>
      </c>
      <c r="B919" s="4"/>
      <c r="C919" s="510" t="s">
        <v>1309</v>
      </c>
      <c r="D919" s="4" t="s">
        <v>3500</v>
      </c>
      <c r="E919" s="4" t="s">
        <v>3501</v>
      </c>
      <c r="F919" s="4" t="s">
        <v>69</v>
      </c>
      <c r="G919" s="4">
        <v>1516</v>
      </c>
      <c r="H919" s="4">
        <v>97.2018348623853</v>
      </c>
      <c r="I919" s="4">
        <f>G919*H919</f>
        <v>147357.981651376</v>
      </c>
      <c r="J919" s="4">
        <f t="shared" ref="J919:L919" si="1760">+G919</f>
        <v>1516</v>
      </c>
      <c r="K919" s="4">
        <f t="shared" si="1760"/>
        <v>97.2018348623853</v>
      </c>
      <c r="L919" s="517">
        <f t="shared" si="1760"/>
        <v>147357.981651376</v>
      </c>
      <c r="M919" s="4">
        <v>1516</v>
      </c>
      <c r="N919" s="4">
        <f ca="1" t="shared" ref="N919:N924" si="1761">O919/M919</f>
        <v>65</v>
      </c>
      <c r="O919" s="4">
        <f ca="1">(+O920+O921)</f>
        <v>98540</v>
      </c>
      <c r="P919" s="4"/>
      <c r="Q919" s="4"/>
      <c r="R919" s="4">
        <f t="shared" ref="R919:R924" si="1762">+P919+J919</f>
        <v>1516</v>
      </c>
      <c r="S919" s="4">
        <f t="shared" ref="S919:S924" si="1763">+Q919+L919</f>
        <v>147357.981651376</v>
      </c>
      <c r="T919" s="4">
        <f>IFERROR(VLOOKUP(A919,产值统计中间表!A:F,7,FALSE),0)</f>
        <v>0</v>
      </c>
      <c r="U919" s="4">
        <f t="shared" ref="U919:U924" si="1764">+T919*H919</f>
        <v>0</v>
      </c>
      <c r="V919" s="4">
        <f>IFERROR(VLOOKUP(A919,产值统计中间表!A:D,4,FALSE),0)</f>
        <v>0</v>
      </c>
      <c r="W919" s="4">
        <f t="shared" ref="W919:W924" si="1765">+V919*H919</f>
        <v>0</v>
      </c>
      <c r="X919" s="4">
        <f t="shared" ref="X919:X924" si="1766">+R919-V919</f>
        <v>1516</v>
      </c>
      <c r="Y919" s="4">
        <f t="shared" ref="Y919:Y924" si="1767">+S919-W919</f>
        <v>147357.981651376</v>
      </c>
      <c r="Z919" s="4">
        <f>IFERROR(VLOOKUP(A919,业主统计中间表!A:D,4,FALSE),0)</f>
        <v>0</v>
      </c>
      <c r="AA919" s="4">
        <f t="shared" ref="AA919:AA924" si="1768">+Z919*H919</f>
        <v>0</v>
      </c>
      <c r="AB919" s="4"/>
    </row>
    <row r="920" customHeight="1" outlineLevel="3" spans="1:28">
      <c r="A920" s="514" t="s">
        <v>3502</v>
      </c>
      <c r="B920" s="4"/>
      <c r="C920" s="510" t="s">
        <v>63</v>
      </c>
      <c r="D920" s="4" t="s">
        <v>1201</v>
      </c>
      <c r="E920" s="4" t="s">
        <v>3497</v>
      </c>
      <c r="F920" s="4" t="str">
        <f ca="1" t="shared" si="1750"/>
        <v>m2</v>
      </c>
      <c r="G920" s="4"/>
      <c r="H920" s="4"/>
      <c r="I920" s="4"/>
      <c r="J920" s="4"/>
      <c r="K920" s="4"/>
      <c r="L920" s="517"/>
      <c r="M920" s="4">
        <v>1516</v>
      </c>
      <c r="N920" s="4">
        <f ca="1" t="shared" si="1751"/>
        <v>65</v>
      </c>
      <c r="O920" s="4">
        <f ca="1">M920*N920</f>
        <v>98540</v>
      </c>
      <c r="P920" s="4"/>
      <c r="Q920" s="4"/>
      <c r="R920" s="4"/>
      <c r="S920" s="4"/>
      <c r="T920" s="4">
        <f ca="1" t="shared" si="1752"/>
        <v>0</v>
      </c>
      <c r="U920" s="4">
        <f ca="1" t="shared" si="1753"/>
        <v>0</v>
      </c>
      <c r="V920" s="4">
        <f ca="1" t="shared" si="1754"/>
        <v>0</v>
      </c>
      <c r="W920" s="4">
        <f ca="1" t="shared" si="1755"/>
        <v>0</v>
      </c>
      <c r="X920" s="4">
        <f ca="1" t="shared" si="1756"/>
        <v>1516</v>
      </c>
      <c r="Y920" s="4">
        <f ca="1" t="shared" si="1757"/>
        <v>98540</v>
      </c>
      <c r="Z920" s="4">
        <f ca="1" t="shared" si="1758"/>
        <v>0</v>
      </c>
      <c r="AA920" s="4">
        <f ca="1" t="shared" si="1759"/>
        <v>0</v>
      </c>
      <c r="AB920" s="4"/>
    </row>
    <row r="921" customHeight="1" outlineLevel="3" spans="1:28">
      <c r="A921" s="514" t="s">
        <v>3503</v>
      </c>
      <c r="B921" s="4"/>
      <c r="C921" s="510" t="s">
        <v>59</v>
      </c>
      <c r="D921" s="4" t="s">
        <v>488</v>
      </c>
      <c r="E921" s="4"/>
      <c r="F921" s="4" t="str">
        <f ca="1" t="shared" si="1750"/>
        <v>m3</v>
      </c>
      <c r="G921" s="4"/>
      <c r="H921" s="4"/>
      <c r="I921" s="4"/>
      <c r="J921" s="4"/>
      <c r="K921" s="4"/>
      <c r="L921" s="517"/>
      <c r="M921" s="4">
        <v>284.09</v>
      </c>
      <c r="N921" s="4">
        <f ca="1" t="shared" si="1751"/>
        <v>0</v>
      </c>
      <c r="O921" s="4">
        <f ca="1">M921*N921</f>
        <v>0</v>
      </c>
      <c r="P921" s="4"/>
      <c r="Q921" s="4"/>
      <c r="R921" s="4"/>
      <c r="S921" s="4"/>
      <c r="T921" s="4">
        <f ca="1" t="shared" si="1752"/>
        <v>0</v>
      </c>
      <c r="U921" s="4">
        <f ca="1" t="shared" si="1753"/>
        <v>0</v>
      </c>
      <c r="V921" s="4">
        <f ca="1" t="shared" si="1754"/>
        <v>0</v>
      </c>
      <c r="W921" s="4">
        <f ca="1" t="shared" si="1755"/>
        <v>0</v>
      </c>
      <c r="X921" s="4">
        <f ca="1" t="shared" si="1756"/>
        <v>284.09</v>
      </c>
      <c r="Y921" s="4">
        <f ca="1" t="shared" si="1757"/>
        <v>0</v>
      </c>
      <c r="Z921" s="4">
        <f ca="1" t="shared" si="1758"/>
        <v>0</v>
      </c>
      <c r="AA921" s="4">
        <f ca="1" t="shared" si="1759"/>
        <v>0</v>
      </c>
      <c r="AB921" s="4"/>
    </row>
    <row r="922" customHeight="1" outlineLevel="2" spans="1:28">
      <c r="A922" s="515" t="s">
        <v>3504</v>
      </c>
      <c r="B922" s="4"/>
      <c r="C922" s="510" t="s">
        <v>1309</v>
      </c>
      <c r="D922" s="4" t="s">
        <v>3505</v>
      </c>
      <c r="E922" s="4" t="s">
        <v>3506</v>
      </c>
      <c r="F922" s="4" t="s">
        <v>82</v>
      </c>
      <c r="G922" s="4">
        <v>11.677</v>
      </c>
      <c r="H922" s="4">
        <v>6019.3119266055</v>
      </c>
      <c r="I922" s="4">
        <f>G922*H922</f>
        <v>70287.5053669724</v>
      </c>
      <c r="J922" s="4">
        <f t="shared" ref="J922:L922" si="1769">+G922</f>
        <v>11.677</v>
      </c>
      <c r="K922" s="4">
        <f t="shared" si="1769"/>
        <v>6019.3119266055</v>
      </c>
      <c r="L922" s="517">
        <f t="shared" si="1769"/>
        <v>70287.5053669724</v>
      </c>
      <c r="M922" s="4">
        <v>11.677</v>
      </c>
      <c r="N922" s="4">
        <f ca="1" t="shared" si="1761"/>
        <v>5150</v>
      </c>
      <c r="O922" s="4">
        <f ca="1">(+O923)</f>
        <v>60136.55</v>
      </c>
      <c r="P922" s="4"/>
      <c r="Q922" s="4"/>
      <c r="R922" s="4">
        <f t="shared" si="1762"/>
        <v>11.677</v>
      </c>
      <c r="S922" s="4">
        <f t="shared" si="1763"/>
        <v>70287.5053669724</v>
      </c>
      <c r="T922" s="4">
        <f>IFERROR(VLOOKUP(A922,产值统计中间表!A:F,7,FALSE),0)</f>
        <v>0</v>
      </c>
      <c r="U922" s="4">
        <f t="shared" si="1764"/>
        <v>0</v>
      </c>
      <c r="V922" s="4">
        <f>IFERROR(VLOOKUP(A922,产值统计中间表!A:D,4,FALSE),0)</f>
        <v>0</v>
      </c>
      <c r="W922" s="4">
        <f t="shared" si="1765"/>
        <v>0</v>
      </c>
      <c r="X922" s="4">
        <f t="shared" si="1766"/>
        <v>11.677</v>
      </c>
      <c r="Y922" s="4">
        <f t="shared" si="1767"/>
        <v>70287.5053669724</v>
      </c>
      <c r="Z922" s="4">
        <f>IFERROR(VLOOKUP(A922,业主统计中间表!A:D,4,FALSE),0)</f>
        <v>0</v>
      </c>
      <c r="AA922" s="4">
        <f t="shared" si="1768"/>
        <v>0</v>
      </c>
      <c r="AB922" s="4"/>
    </row>
    <row r="923" customHeight="1" outlineLevel="3" spans="1:28">
      <c r="A923" s="514" t="s">
        <v>3507</v>
      </c>
      <c r="B923" s="4"/>
      <c r="C923" s="510" t="s">
        <v>59</v>
      </c>
      <c r="D923" s="4" t="s">
        <v>389</v>
      </c>
      <c r="E923" s="4" t="str">
        <f ca="1">"含钢量："&amp;ROUND($M$923/$G$922,3)&amp;$F$923&amp;"/"&amp;$F$922</f>
        <v>含钢量：1.03t/t</v>
      </c>
      <c r="F923" s="4" t="str">
        <f ca="1" t="shared" ref="F923:F927" si="1770">VLOOKUP($D923,INDIRECT($C923),2,0)</f>
        <v>t</v>
      </c>
      <c r="G923" s="4"/>
      <c r="H923" s="4"/>
      <c r="I923" s="4"/>
      <c r="J923" s="4"/>
      <c r="K923" s="4"/>
      <c r="L923" s="517"/>
      <c r="M923" s="4">
        <v>12.02731</v>
      </c>
      <c r="N923" s="4">
        <f ca="1" t="shared" ref="N923:N927" si="1771">VLOOKUP($D923,INDIRECT($C923),3,0)</f>
        <v>5000</v>
      </c>
      <c r="O923" s="4">
        <f ca="1">M923*N923</f>
        <v>60136.55</v>
      </c>
      <c r="P923" s="4"/>
      <c r="Q923" s="4"/>
      <c r="R923" s="4"/>
      <c r="S923" s="4"/>
      <c r="T923" s="4">
        <f ca="1" t="shared" ref="T923:T927" si="1772">OFFSET(T923,-RIGHT($A923,LEN($A$6)),,1,1)/OFFSET(T923,-RIGHT($A923,LEN($A$6)),-13,1,1)*$M923</f>
        <v>0</v>
      </c>
      <c r="U923" s="4">
        <f ca="1" t="shared" ref="U923:U927" si="1773">+$N923*T923</f>
        <v>0</v>
      </c>
      <c r="V923" s="4">
        <f ca="1" t="shared" ref="V923:V927" si="1774">OFFSET(V923,-RIGHT($A923,LEN($A$6)),,1,1)/OFFSET(V923,-RIGHT($A923,LEN($A$6)),-15,1,1)*$M923</f>
        <v>0</v>
      </c>
      <c r="W923" s="4">
        <f ca="1" t="shared" ref="W923:W927" si="1775">+$N923*V923</f>
        <v>0</v>
      </c>
      <c r="X923" s="4">
        <f ca="1" t="shared" ref="X923:X927" si="1776">+M923-V923</f>
        <v>12.02731</v>
      </c>
      <c r="Y923" s="4">
        <f ca="1" t="shared" ref="Y923:Y927" si="1777">+O923-W923</f>
        <v>60136.55</v>
      </c>
      <c r="Z923" s="4">
        <f ca="1" t="shared" ref="Z923:Z927" si="1778">OFFSET(Z923,-RIGHT($A923,LEN($A$6)),,1,1)/OFFSET(Z923,-RIGHT($A923,LEN($A$6)),-19,1,1)*$M923</f>
        <v>0</v>
      </c>
      <c r="AA923" s="4">
        <f ca="1" t="shared" ref="AA923:AA927" si="1779">+$N923*Z923</f>
        <v>0</v>
      </c>
      <c r="AB923" s="4"/>
    </row>
    <row r="924" customHeight="1" outlineLevel="2" spans="1:28">
      <c r="A924" s="515" t="s">
        <v>3508</v>
      </c>
      <c r="B924" s="4"/>
      <c r="C924" s="510" t="s">
        <v>1309</v>
      </c>
      <c r="D924" s="4" t="s">
        <v>3509</v>
      </c>
      <c r="E924" s="4" t="s">
        <v>3510</v>
      </c>
      <c r="F924" s="4" t="s">
        <v>82</v>
      </c>
      <c r="G924" s="4">
        <v>6.727</v>
      </c>
      <c r="H924" s="4">
        <v>5927.74311926605</v>
      </c>
      <c r="I924" s="4">
        <f>G924*H924</f>
        <v>39875.9279633027</v>
      </c>
      <c r="J924" s="4">
        <f t="shared" ref="J924:L924" si="1780">+G924</f>
        <v>6.727</v>
      </c>
      <c r="K924" s="4">
        <f t="shared" si="1780"/>
        <v>5927.74311926605</v>
      </c>
      <c r="L924" s="517">
        <f t="shared" si="1780"/>
        <v>39875.9279633027</v>
      </c>
      <c r="M924" s="4">
        <v>6.727</v>
      </c>
      <c r="N924" s="4">
        <f ca="1" t="shared" si="1761"/>
        <v>0</v>
      </c>
      <c r="O924" s="4">
        <f ca="1">(+O925)</f>
        <v>0</v>
      </c>
      <c r="P924" s="4"/>
      <c r="Q924" s="4"/>
      <c r="R924" s="4">
        <f t="shared" si="1762"/>
        <v>6.727</v>
      </c>
      <c r="S924" s="4">
        <f t="shared" si="1763"/>
        <v>39875.9279633027</v>
      </c>
      <c r="T924" s="4">
        <f>IFERROR(VLOOKUP(A924,产值统计中间表!A:F,7,FALSE),0)</f>
        <v>0</v>
      </c>
      <c r="U924" s="4">
        <f t="shared" si="1764"/>
        <v>0</v>
      </c>
      <c r="V924" s="4">
        <f>IFERROR(VLOOKUP(A924,产值统计中间表!A:D,4,FALSE),0)</f>
        <v>0</v>
      </c>
      <c r="W924" s="4">
        <f t="shared" si="1765"/>
        <v>0</v>
      </c>
      <c r="X924" s="4">
        <f t="shared" si="1766"/>
        <v>6.727</v>
      </c>
      <c r="Y924" s="4">
        <f t="shared" si="1767"/>
        <v>39875.9279633027</v>
      </c>
      <c r="Z924" s="4">
        <f>IFERROR(VLOOKUP(A924,业主统计中间表!A:D,4,FALSE),0)</f>
        <v>0</v>
      </c>
      <c r="AA924" s="4">
        <f t="shared" si="1768"/>
        <v>0</v>
      </c>
      <c r="AB924" s="4"/>
    </row>
    <row r="925" customHeight="1" outlineLevel="3" spans="1:28">
      <c r="A925" s="514" t="s">
        <v>3511</v>
      </c>
      <c r="B925" s="4"/>
      <c r="C925" s="510" t="s">
        <v>59</v>
      </c>
      <c r="D925" s="4" t="s">
        <v>1104</v>
      </c>
      <c r="E925" s="4" t="str">
        <f ca="1">"含钢量："&amp;ROUND($M$925/$G$924,3)&amp;$F$925&amp;"/"&amp;$F$924</f>
        <v>含钢量：1.03t/t</v>
      </c>
      <c r="F925" s="4" t="str">
        <f ca="1" t="shared" si="1770"/>
        <v>t</v>
      </c>
      <c r="G925" s="4"/>
      <c r="H925" s="4"/>
      <c r="I925" s="4"/>
      <c r="J925" s="4"/>
      <c r="K925" s="4"/>
      <c r="L925" s="517"/>
      <c r="M925" s="4">
        <v>6.92881</v>
      </c>
      <c r="N925" s="4">
        <f ca="1" t="shared" si="1771"/>
        <v>0</v>
      </c>
      <c r="O925" s="4">
        <f ca="1">M925*N925</f>
        <v>0</v>
      </c>
      <c r="P925" s="4"/>
      <c r="Q925" s="4"/>
      <c r="R925" s="4"/>
      <c r="S925" s="4"/>
      <c r="T925" s="4">
        <f ca="1" t="shared" si="1772"/>
        <v>0</v>
      </c>
      <c r="U925" s="4">
        <f ca="1" t="shared" si="1773"/>
        <v>0</v>
      </c>
      <c r="V925" s="4">
        <f ca="1" t="shared" si="1774"/>
        <v>0</v>
      </c>
      <c r="W925" s="4">
        <f ca="1" t="shared" si="1775"/>
        <v>0</v>
      </c>
      <c r="X925" s="4">
        <f ca="1" t="shared" si="1776"/>
        <v>6.92881</v>
      </c>
      <c r="Y925" s="4">
        <f ca="1" t="shared" si="1777"/>
        <v>0</v>
      </c>
      <c r="Z925" s="4">
        <f ca="1" t="shared" si="1778"/>
        <v>0</v>
      </c>
      <c r="AA925" s="4">
        <f ca="1" t="shared" si="1779"/>
        <v>0</v>
      </c>
      <c r="AB925" s="4"/>
    </row>
    <row r="926" customHeight="1" outlineLevel="2" spans="1:28">
      <c r="A926" s="515" t="s">
        <v>3512</v>
      </c>
      <c r="B926" s="4"/>
      <c r="C926" s="510" t="s">
        <v>1309</v>
      </c>
      <c r="D926" s="4" t="s">
        <v>3513</v>
      </c>
      <c r="E926" s="4" t="s">
        <v>3514</v>
      </c>
      <c r="F926" s="4" t="s">
        <v>76</v>
      </c>
      <c r="G926" s="4">
        <v>147.8</v>
      </c>
      <c r="H926" s="4">
        <v>29.5504587155963</v>
      </c>
      <c r="I926" s="4">
        <f>G926*H926</f>
        <v>4367.55779816513</v>
      </c>
      <c r="J926" s="4">
        <f t="shared" ref="J926:L926" si="1781">+G926</f>
        <v>147.8</v>
      </c>
      <c r="K926" s="4">
        <f t="shared" si="1781"/>
        <v>29.5504587155963</v>
      </c>
      <c r="L926" s="517">
        <f t="shared" si="1781"/>
        <v>4367.55779816513</v>
      </c>
      <c r="M926" s="4">
        <v>147.8</v>
      </c>
      <c r="N926" s="4">
        <f ca="1">O926/M926</f>
        <v>25.143</v>
      </c>
      <c r="O926" s="4">
        <f ca="1">(+O927)</f>
        <v>3716.1354</v>
      </c>
      <c r="P926" s="4"/>
      <c r="Q926" s="4"/>
      <c r="R926" s="4">
        <f>+P926+J926</f>
        <v>147.8</v>
      </c>
      <c r="S926" s="4">
        <f>+Q926+L926</f>
        <v>4367.55779816513</v>
      </c>
      <c r="T926" s="4">
        <f>IFERROR(VLOOKUP(A926,产值统计中间表!A:F,7,FALSE),0)</f>
        <v>0</v>
      </c>
      <c r="U926" s="4">
        <f>+T926*H926</f>
        <v>0</v>
      </c>
      <c r="V926" s="4">
        <f>IFERROR(VLOOKUP(A926,产值统计中间表!A:D,4,FALSE),0)</f>
        <v>0</v>
      </c>
      <c r="W926" s="4">
        <f>+V926*H926</f>
        <v>0</v>
      </c>
      <c r="X926" s="4">
        <f>+R926-V926</f>
        <v>147.8</v>
      </c>
      <c r="Y926" s="4">
        <f>+S926-W926</f>
        <v>4367.55779816513</v>
      </c>
      <c r="Z926" s="4">
        <f>IFERROR(VLOOKUP(A926,业主统计中间表!A:D,4,FALSE),0)</f>
        <v>0</v>
      </c>
      <c r="AA926" s="4">
        <f>+Z926*H926</f>
        <v>0</v>
      </c>
      <c r="AB926" s="4"/>
    </row>
    <row r="927" customHeight="1" outlineLevel="3" spans="1:28">
      <c r="A927" s="514" t="s">
        <v>3515</v>
      </c>
      <c r="B927" s="4"/>
      <c r="C927" s="510" t="s">
        <v>59</v>
      </c>
      <c r="D927" s="4" t="s">
        <v>867</v>
      </c>
      <c r="E927" s="4"/>
      <c r="F927" s="4" t="str">
        <f ca="1" t="shared" si="1770"/>
        <v>m</v>
      </c>
      <c r="G927" s="4"/>
      <c r="H927" s="4"/>
      <c r="I927" s="4"/>
      <c r="J927" s="4"/>
      <c r="K927" s="4"/>
      <c r="L927" s="517"/>
      <c r="M927" s="4">
        <v>150.756</v>
      </c>
      <c r="N927" s="4">
        <f ca="1" t="shared" si="1771"/>
        <v>24.65</v>
      </c>
      <c r="O927" s="4">
        <f ca="1">M927*N927</f>
        <v>3716.1354</v>
      </c>
      <c r="P927" s="4"/>
      <c r="Q927" s="4"/>
      <c r="R927" s="4"/>
      <c r="S927" s="4"/>
      <c r="T927" s="4">
        <f ca="1" t="shared" si="1772"/>
        <v>0</v>
      </c>
      <c r="U927" s="4">
        <f ca="1" t="shared" si="1773"/>
        <v>0</v>
      </c>
      <c r="V927" s="4">
        <f ca="1" t="shared" si="1774"/>
        <v>0</v>
      </c>
      <c r="W927" s="4">
        <f ca="1" t="shared" si="1775"/>
        <v>0</v>
      </c>
      <c r="X927" s="4">
        <f ca="1" t="shared" si="1776"/>
        <v>150.756</v>
      </c>
      <c r="Y927" s="4">
        <f ca="1" t="shared" si="1777"/>
        <v>3716.1354</v>
      </c>
      <c r="Z927" s="4">
        <f ca="1" t="shared" si="1778"/>
        <v>0</v>
      </c>
      <c r="AA927" s="4">
        <f ca="1" t="shared" si="1779"/>
        <v>0</v>
      </c>
      <c r="AB927" s="4"/>
    </row>
    <row r="928" customHeight="1" outlineLevel="2" spans="1:28">
      <c r="A928" s="515" t="s">
        <v>3516</v>
      </c>
      <c r="B928" s="4"/>
      <c r="C928" s="510" t="s">
        <v>1309</v>
      </c>
      <c r="D928" s="4" t="s">
        <v>2058</v>
      </c>
      <c r="E928" s="4" t="s">
        <v>3517</v>
      </c>
      <c r="F928" s="4" t="s">
        <v>76</v>
      </c>
      <c r="G928" s="4">
        <v>197</v>
      </c>
      <c r="H928" s="4">
        <v>101.596330275229</v>
      </c>
      <c r="I928" s="4">
        <f>G928*H928</f>
        <v>20014.4770642201</v>
      </c>
      <c r="J928" s="4">
        <f t="shared" ref="J928:L928" si="1782">+G928</f>
        <v>197</v>
      </c>
      <c r="K928" s="4">
        <f t="shared" si="1782"/>
        <v>101.596330275229</v>
      </c>
      <c r="L928" s="517">
        <f t="shared" si="1782"/>
        <v>20014.4770642201</v>
      </c>
      <c r="M928" s="4">
        <v>197</v>
      </c>
      <c r="N928" s="4">
        <f ca="1">O928/M928</f>
        <v>55.1416203045685</v>
      </c>
      <c r="O928" s="4">
        <f ca="1">(+O929+O930+O931+O932+O933+O934+O935)</f>
        <v>10862.8992</v>
      </c>
      <c r="P928" s="4"/>
      <c r="Q928" s="4"/>
      <c r="R928" s="4">
        <f>+P928+J928</f>
        <v>197</v>
      </c>
      <c r="S928" s="4">
        <f>+Q928+L928</f>
        <v>20014.4770642201</v>
      </c>
      <c r="T928" s="4">
        <f>IFERROR(VLOOKUP(A928,产值统计中间表!A:F,7,FALSE),0)</f>
        <v>0</v>
      </c>
      <c r="U928" s="4">
        <f>+T928*H928</f>
        <v>0</v>
      </c>
      <c r="V928" s="4">
        <f>IFERROR(VLOOKUP(A928,产值统计中间表!A:D,4,FALSE),0)</f>
        <v>0</v>
      </c>
      <c r="W928" s="4">
        <f>+V928*H928</f>
        <v>0</v>
      </c>
      <c r="X928" s="4">
        <f>+R928-V928</f>
        <v>197</v>
      </c>
      <c r="Y928" s="4">
        <f>+S928-W928</f>
        <v>20014.4770642201</v>
      </c>
      <c r="Z928" s="4">
        <f>IFERROR(VLOOKUP(A928,业主统计中间表!A:D,4,FALSE),0)</f>
        <v>0</v>
      </c>
      <c r="AA928" s="4">
        <f>+Z928*H928</f>
        <v>0</v>
      </c>
      <c r="AB928" s="4"/>
    </row>
    <row r="929" customHeight="1" outlineLevel="3" spans="1:28">
      <c r="A929" s="514" t="s">
        <v>3518</v>
      </c>
      <c r="B929" s="4"/>
      <c r="C929" s="510" t="s">
        <v>59</v>
      </c>
      <c r="D929" s="4" t="s">
        <v>1080</v>
      </c>
      <c r="E929" s="4"/>
      <c r="F929" s="4" t="str">
        <f ca="1" t="shared" ref="F929:F935" si="1783">VLOOKUP($D929,INDIRECT($C929),2,0)</f>
        <v>m3</v>
      </c>
      <c r="G929" s="4"/>
      <c r="H929" s="4"/>
      <c r="I929" s="4"/>
      <c r="J929" s="4"/>
      <c r="K929" s="4"/>
      <c r="L929" s="517"/>
      <c r="M929" s="4">
        <v>10.6932</v>
      </c>
      <c r="N929" s="4">
        <f ca="1" t="shared" ref="N929:N935" si="1784">VLOOKUP($D929,INDIRECT($C929),3,0)</f>
        <v>0</v>
      </c>
      <c r="O929" s="4">
        <f ca="1" t="shared" ref="O929:O935" si="1785">M929*N929</f>
        <v>0</v>
      </c>
      <c r="P929" s="4"/>
      <c r="Q929" s="4"/>
      <c r="R929" s="4"/>
      <c r="S929" s="4"/>
      <c r="T929" s="4">
        <f ca="1" t="shared" ref="T929:T935" si="1786">OFFSET(T929,-RIGHT($A929,LEN($A$6)),,1,1)/OFFSET(T929,-RIGHT($A929,LEN($A$6)),-13,1,1)*$M929</f>
        <v>0</v>
      </c>
      <c r="U929" s="4">
        <f ca="1" t="shared" ref="U929:U935" si="1787">+$N929*T929</f>
        <v>0</v>
      </c>
      <c r="V929" s="4">
        <f ca="1" t="shared" ref="V929:V935" si="1788">OFFSET(V929,-RIGHT($A929,LEN($A$6)),,1,1)/OFFSET(V929,-RIGHT($A929,LEN($A$6)),-15,1,1)*$M929</f>
        <v>0</v>
      </c>
      <c r="W929" s="4">
        <f ca="1" t="shared" ref="W929:W935" si="1789">+$N929*V929</f>
        <v>0</v>
      </c>
      <c r="X929" s="4">
        <f ca="1" t="shared" ref="X929:X935" si="1790">+M929-V929</f>
        <v>10.6932</v>
      </c>
      <c r="Y929" s="4">
        <f ca="1" t="shared" ref="Y929:Y935" si="1791">+O929-W929</f>
        <v>0</v>
      </c>
      <c r="Z929" s="4">
        <f ca="1" t="shared" ref="Z929:Z935" si="1792">OFFSET(Z929,-RIGHT($A929,LEN($A$6)),,1,1)/OFFSET(Z929,-RIGHT($A929,LEN($A$6)),-19,1,1)*$M929</f>
        <v>0</v>
      </c>
      <c r="AA929" s="4">
        <f ca="1" t="shared" ref="AA929:AA935" si="1793">+$N929*Z929</f>
        <v>0</v>
      </c>
      <c r="AB929" s="4"/>
    </row>
    <row r="930" customHeight="1" outlineLevel="3" spans="1:28">
      <c r="A930" s="514" t="s">
        <v>3519</v>
      </c>
      <c r="B930" s="4"/>
      <c r="C930" s="510" t="s">
        <v>59</v>
      </c>
      <c r="D930" s="4" t="s">
        <v>1125</v>
      </c>
      <c r="E930" s="4"/>
      <c r="F930" s="4" t="str">
        <f ca="1" t="shared" si="1783"/>
        <v>m3</v>
      </c>
      <c r="G930" s="4"/>
      <c r="H930" s="4"/>
      <c r="I930" s="4"/>
      <c r="J930" s="4"/>
      <c r="K930" s="4"/>
      <c r="L930" s="517"/>
      <c r="M930" s="4">
        <v>9908.84</v>
      </c>
      <c r="N930" s="4">
        <f ca="1" t="shared" si="1784"/>
        <v>0</v>
      </c>
      <c r="O930" s="4">
        <f ca="1" t="shared" si="1785"/>
        <v>0</v>
      </c>
      <c r="P930" s="4"/>
      <c r="Q930" s="4"/>
      <c r="R930" s="4"/>
      <c r="S930" s="4"/>
      <c r="T930" s="4">
        <f ca="1" t="shared" si="1786"/>
        <v>0</v>
      </c>
      <c r="U930" s="4">
        <f ca="1" t="shared" si="1787"/>
        <v>0</v>
      </c>
      <c r="V930" s="4">
        <f ca="1" t="shared" si="1788"/>
        <v>0</v>
      </c>
      <c r="W930" s="4">
        <f ca="1" t="shared" si="1789"/>
        <v>0</v>
      </c>
      <c r="X930" s="4">
        <f ca="1" t="shared" si="1790"/>
        <v>9908.84</v>
      </c>
      <c r="Y930" s="4">
        <f ca="1" t="shared" si="1791"/>
        <v>0</v>
      </c>
      <c r="Z930" s="4">
        <f ca="1" t="shared" si="1792"/>
        <v>0</v>
      </c>
      <c r="AA930" s="4">
        <f ca="1" t="shared" si="1793"/>
        <v>0</v>
      </c>
      <c r="AB930" s="4"/>
    </row>
    <row r="931" customHeight="1" outlineLevel="3" spans="1:28">
      <c r="A931" s="514" t="s">
        <v>3520</v>
      </c>
      <c r="B931" s="4"/>
      <c r="C931" s="510" t="s">
        <v>59</v>
      </c>
      <c r="D931" s="4" t="s">
        <v>779</v>
      </c>
      <c r="E931" s="4"/>
      <c r="F931" s="4" t="str">
        <f ca="1" t="shared" si="1783"/>
        <v>吨</v>
      </c>
      <c r="G931" s="4"/>
      <c r="H931" s="4"/>
      <c r="I931" s="4"/>
      <c r="J931" s="4"/>
      <c r="K931" s="4"/>
      <c r="L931" s="517"/>
      <c r="M931" s="4">
        <v>8.242869</v>
      </c>
      <c r="N931" s="4">
        <f ca="1" t="shared" si="1784"/>
        <v>0</v>
      </c>
      <c r="O931" s="4">
        <f ca="1" t="shared" si="1785"/>
        <v>0</v>
      </c>
      <c r="P931" s="4"/>
      <c r="Q931" s="4"/>
      <c r="R931" s="4"/>
      <c r="S931" s="4"/>
      <c r="T931" s="4">
        <f ca="1" t="shared" si="1786"/>
        <v>0</v>
      </c>
      <c r="U931" s="4">
        <f ca="1" t="shared" si="1787"/>
        <v>0</v>
      </c>
      <c r="V931" s="4">
        <f ca="1" t="shared" si="1788"/>
        <v>0</v>
      </c>
      <c r="W931" s="4">
        <f ca="1" t="shared" si="1789"/>
        <v>0</v>
      </c>
      <c r="X931" s="4">
        <f ca="1" t="shared" si="1790"/>
        <v>8.242869</v>
      </c>
      <c r="Y931" s="4">
        <f ca="1" t="shared" si="1791"/>
        <v>0</v>
      </c>
      <c r="Z931" s="4">
        <f ca="1" t="shared" si="1792"/>
        <v>0</v>
      </c>
      <c r="AA931" s="4">
        <f ca="1" t="shared" si="1793"/>
        <v>0</v>
      </c>
      <c r="AB931" s="4"/>
    </row>
    <row r="932" customHeight="1" outlineLevel="3" spans="1:28">
      <c r="A932" s="514" t="s">
        <v>3521</v>
      </c>
      <c r="B932" s="4"/>
      <c r="C932" s="510" t="s">
        <v>64</v>
      </c>
      <c r="D932" s="4" t="s">
        <v>1094</v>
      </c>
      <c r="E932" s="4"/>
      <c r="F932" s="4" t="str">
        <f ca="1" t="shared" si="1783"/>
        <v>m3</v>
      </c>
      <c r="G932" s="4"/>
      <c r="H932" s="4"/>
      <c r="I932" s="4"/>
      <c r="J932" s="4"/>
      <c r="K932" s="4"/>
      <c r="L932" s="517"/>
      <c r="M932" s="4">
        <v>18.912</v>
      </c>
      <c r="N932" s="4">
        <f ca="1" t="shared" si="1784"/>
        <v>266.6</v>
      </c>
      <c r="O932" s="4">
        <f ca="1" t="shared" si="1785"/>
        <v>5041.9392</v>
      </c>
      <c r="P932" s="4"/>
      <c r="Q932" s="4"/>
      <c r="R932" s="4"/>
      <c r="S932" s="4"/>
      <c r="T932" s="4">
        <f ca="1" t="shared" si="1786"/>
        <v>0</v>
      </c>
      <c r="U932" s="4">
        <f ca="1" t="shared" si="1787"/>
        <v>0</v>
      </c>
      <c r="V932" s="4">
        <f ca="1" t="shared" si="1788"/>
        <v>0</v>
      </c>
      <c r="W932" s="4">
        <f ca="1" t="shared" si="1789"/>
        <v>0</v>
      </c>
      <c r="X932" s="4">
        <f ca="1" t="shared" si="1790"/>
        <v>18.912</v>
      </c>
      <c r="Y932" s="4">
        <f ca="1" t="shared" si="1791"/>
        <v>5041.9392</v>
      </c>
      <c r="Z932" s="4">
        <f ca="1" t="shared" si="1792"/>
        <v>0</v>
      </c>
      <c r="AA932" s="4">
        <f ca="1" t="shared" si="1793"/>
        <v>0</v>
      </c>
      <c r="AB932" s="4"/>
    </row>
    <row r="933" customHeight="1" outlineLevel="3" spans="1:28">
      <c r="A933" s="514" t="s">
        <v>3522</v>
      </c>
      <c r="B933" s="4"/>
      <c r="C933" s="510" t="s">
        <v>64</v>
      </c>
      <c r="D933" s="4" t="s">
        <v>1097</v>
      </c>
      <c r="E933" s="4"/>
      <c r="F933" s="4" t="str">
        <f ca="1" t="shared" si="1783"/>
        <v>m2</v>
      </c>
      <c r="G933" s="4"/>
      <c r="H933" s="4"/>
      <c r="I933" s="4"/>
      <c r="J933" s="4"/>
      <c r="K933" s="4"/>
      <c r="L933" s="517"/>
      <c r="M933" s="4">
        <v>263.98</v>
      </c>
      <c r="N933" s="4">
        <f ca="1" t="shared" si="1784"/>
        <v>18</v>
      </c>
      <c r="O933" s="4">
        <f ca="1" t="shared" si="1785"/>
        <v>4751.64</v>
      </c>
      <c r="P933" s="4"/>
      <c r="Q933" s="4"/>
      <c r="R933" s="4"/>
      <c r="S933" s="4"/>
      <c r="T933" s="4">
        <f ca="1" t="shared" si="1786"/>
        <v>0</v>
      </c>
      <c r="U933" s="4">
        <f ca="1" t="shared" si="1787"/>
        <v>0</v>
      </c>
      <c r="V933" s="4">
        <f ca="1" t="shared" si="1788"/>
        <v>0</v>
      </c>
      <c r="W933" s="4">
        <f ca="1" t="shared" si="1789"/>
        <v>0</v>
      </c>
      <c r="X933" s="4">
        <f ca="1" t="shared" si="1790"/>
        <v>263.98</v>
      </c>
      <c r="Y933" s="4">
        <f ca="1" t="shared" si="1791"/>
        <v>4751.64</v>
      </c>
      <c r="Z933" s="4">
        <f ca="1" t="shared" si="1792"/>
        <v>0</v>
      </c>
      <c r="AA933" s="4">
        <f ca="1" t="shared" si="1793"/>
        <v>0</v>
      </c>
      <c r="AB933" s="4"/>
    </row>
    <row r="934" customHeight="1" outlineLevel="3" spans="1:28">
      <c r="A934" s="514" t="s">
        <v>3523</v>
      </c>
      <c r="B934" s="4"/>
      <c r="C934" s="510" t="s">
        <v>64</v>
      </c>
      <c r="D934" s="4" t="s">
        <v>403</v>
      </c>
      <c r="E934" s="4"/>
      <c r="F934" s="4" t="str">
        <f ca="1" t="shared" si="1783"/>
        <v>m3</v>
      </c>
      <c r="G934" s="4"/>
      <c r="H934" s="4"/>
      <c r="I934" s="4"/>
      <c r="J934" s="4"/>
      <c r="K934" s="4"/>
      <c r="L934" s="517"/>
      <c r="M934" s="4">
        <v>10.6932</v>
      </c>
      <c r="N934" s="4">
        <f ca="1" t="shared" si="1784"/>
        <v>100</v>
      </c>
      <c r="O934" s="4">
        <f ca="1" t="shared" si="1785"/>
        <v>1069.32</v>
      </c>
      <c r="P934" s="4"/>
      <c r="Q934" s="4"/>
      <c r="R934" s="4"/>
      <c r="S934" s="4"/>
      <c r="T934" s="4">
        <f ca="1" t="shared" si="1786"/>
        <v>0</v>
      </c>
      <c r="U934" s="4">
        <f ca="1" t="shared" si="1787"/>
        <v>0</v>
      </c>
      <c r="V934" s="4">
        <f ca="1" t="shared" si="1788"/>
        <v>0</v>
      </c>
      <c r="W934" s="4">
        <f ca="1" t="shared" si="1789"/>
        <v>0</v>
      </c>
      <c r="X934" s="4">
        <f ca="1" t="shared" si="1790"/>
        <v>10.6932</v>
      </c>
      <c r="Y934" s="4">
        <f ca="1" t="shared" si="1791"/>
        <v>1069.32</v>
      </c>
      <c r="Z934" s="4">
        <f ca="1" t="shared" si="1792"/>
        <v>0</v>
      </c>
      <c r="AA934" s="4">
        <f ca="1" t="shared" si="1793"/>
        <v>0</v>
      </c>
      <c r="AB934" s="4"/>
    </row>
    <row r="935" customHeight="1" outlineLevel="3" spans="1:28">
      <c r="A935" s="514" t="s">
        <v>3524</v>
      </c>
      <c r="B935" s="4"/>
      <c r="C935" s="510" t="s">
        <v>59</v>
      </c>
      <c r="D935" s="4" t="s">
        <v>1157</v>
      </c>
      <c r="E935" s="4"/>
      <c r="F935" s="4" t="str">
        <f ca="1" t="shared" si="1783"/>
        <v>m3</v>
      </c>
      <c r="G935" s="4"/>
      <c r="H935" s="4"/>
      <c r="I935" s="4"/>
      <c r="J935" s="4"/>
      <c r="K935" s="4"/>
      <c r="L935" s="517"/>
      <c r="M935" s="4">
        <v>8.844</v>
      </c>
      <c r="N935" s="4">
        <f ca="1" t="shared" si="1784"/>
        <v>0</v>
      </c>
      <c r="O935" s="4">
        <f ca="1" t="shared" si="1785"/>
        <v>0</v>
      </c>
      <c r="P935" s="4"/>
      <c r="Q935" s="4"/>
      <c r="R935" s="4"/>
      <c r="S935" s="4"/>
      <c r="T935" s="4">
        <f ca="1" t="shared" si="1786"/>
        <v>0</v>
      </c>
      <c r="U935" s="4">
        <f ca="1" t="shared" si="1787"/>
        <v>0</v>
      </c>
      <c r="V935" s="4">
        <f ca="1" t="shared" si="1788"/>
        <v>0</v>
      </c>
      <c r="W935" s="4">
        <f ca="1" t="shared" si="1789"/>
        <v>0</v>
      </c>
      <c r="X935" s="4">
        <f ca="1" t="shared" si="1790"/>
        <v>8.844</v>
      </c>
      <c r="Y935" s="4">
        <f ca="1" t="shared" si="1791"/>
        <v>0</v>
      </c>
      <c r="Z935" s="4">
        <f ca="1" t="shared" si="1792"/>
        <v>0</v>
      </c>
      <c r="AA935" s="4">
        <f ca="1" t="shared" si="1793"/>
        <v>0</v>
      </c>
      <c r="AB935" s="4"/>
    </row>
    <row r="936" customHeight="1" outlineLevel="2" spans="1:28">
      <c r="A936" s="515" t="s">
        <v>3525</v>
      </c>
      <c r="B936" s="4"/>
      <c r="C936" s="510" t="s">
        <v>1309</v>
      </c>
      <c r="D936" s="4" t="s">
        <v>1903</v>
      </c>
      <c r="E936" s="4" t="s">
        <v>3526</v>
      </c>
      <c r="F936" s="4" t="s">
        <v>76</v>
      </c>
      <c r="G936" s="4">
        <v>323</v>
      </c>
      <c r="H936" s="4">
        <v>101.596330275229</v>
      </c>
      <c r="I936" s="4">
        <f>G936*H936</f>
        <v>32815.614678899</v>
      </c>
      <c r="J936" s="4">
        <f t="shared" ref="J936:L936" si="1794">+G936</f>
        <v>323</v>
      </c>
      <c r="K936" s="4">
        <f t="shared" si="1794"/>
        <v>101.596330275229</v>
      </c>
      <c r="L936" s="517">
        <f t="shared" si="1794"/>
        <v>32815.614678899</v>
      </c>
      <c r="M936" s="4">
        <v>323</v>
      </c>
      <c r="N936" s="4">
        <f ca="1">O936/M936</f>
        <v>55.1399777089783</v>
      </c>
      <c r="O936" s="4">
        <f ca="1">(+O937+O938+O939+O940+O941+O942+O943)</f>
        <v>17810.2128</v>
      </c>
      <c r="P936" s="4"/>
      <c r="Q936" s="4"/>
      <c r="R936" s="4">
        <f>+P936+J936</f>
        <v>323</v>
      </c>
      <c r="S936" s="4">
        <f>+Q936+L936</f>
        <v>32815.614678899</v>
      </c>
      <c r="T936" s="4">
        <f>IFERROR(VLOOKUP(A936,产值统计中间表!A:F,7,FALSE),0)</f>
        <v>0</v>
      </c>
      <c r="U936" s="4">
        <f>+T936*H936</f>
        <v>0</v>
      </c>
      <c r="V936" s="4">
        <f>IFERROR(VLOOKUP(A936,产值统计中间表!A:D,4,FALSE),0)</f>
        <v>0</v>
      </c>
      <c r="W936" s="4">
        <f>+V936*H936</f>
        <v>0</v>
      </c>
      <c r="X936" s="4">
        <f>+R936-V936</f>
        <v>323</v>
      </c>
      <c r="Y936" s="4">
        <f>+S936-W936</f>
        <v>32815.614678899</v>
      </c>
      <c r="Z936" s="4">
        <f>IFERROR(VLOOKUP(A936,业主统计中间表!A:D,4,FALSE),0)</f>
        <v>0</v>
      </c>
      <c r="AA936" s="4">
        <f>+Z936*H936</f>
        <v>0</v>
      </c>
      <c r="AB936" s="4"/>
    </row>
    <row r="937" customHeight="1" outlineLevel="3" spans="1:28">
      <c r="A937" s="514" t="s">
        <v>3527</v>
      </c>
      <c r="B937" s="4"/>
      <c r="C937" s="510" t="s">
        <v>59</v>
      </c>
      <c r="D937" s="4" t="s">
        <v>1080</v>
      </c>
      <c r="E937" s="4"/>
      <c r="F937" s="4" t="str">
        <f ca="1" t="shared" ref="F937:F943" si="1795">VLOOKUP($D937,INDIRECT($C937),2,0)</f>
        <v>m3</v>
      </c>
      <c r="G937" s="4"/>
      <c r="H937" s="4"/>
      <c r="I937" s="4"/>
      <c r="J937" s="4"/>
      <c r="K937" s="4"/>
      <c r="L937" s="517"/>
      <c r="M937" s="4">
        <v>17.5272</v>
      </c>
      <c r="N937" s="4">
        <f ca="1" t="shared" ref="N937:N943" si="1796">VLOOKUP($D937,INDIRECT($C937),3,0)</f>
        <v>0</v>
      </c>
      <c r="O937" s="4">
        <f ca="1" t="shared" ref="O937:O943" si="1797">M937*N937</f>
        <v>0</v>
      </c>
      <c r="P937" s="4"/>
      <c r="Q937" s="4"/>
      <c r="R937" s="4"/>
      <c r="S937" s="4"/>
      <c r="T937" s="4">
        <f ca="1" t="shared" ref="T937:T943" si="1798">OFFSET(T937,-RIGHT($A937,LEN($A$6)),,1,1)/OFFSET(T937,-RIGHT($A937,LEN($A$6)),-13,1,1)*$M937</f>
        <v>0</v>
      </c>
      <c r="U937" s="4">
        <f ca="1" t="shared" ref="U937:U943" si="1799">+$N937*T937</f>
        <v>0</v>
      </c>
      <c r="V937" s="4">
        <f ca="1" t="shared" ref="V937:V943" si="1800">OFFSET(V937,-RIGHT($A937,LEN($A$6)),,1,1)/OFFSET(V937,-RIGHT($A937,LEN($A$6)),-15,1,1)*$M937</f>
        <v>0</v>
      </c>
      <c r="W937" s="4">
        <f ca="1" t="shared" ref="W937:W943" si="1801">+$N937*V937</f>
        <v>0</v>
      </c>
      <c r="X937" s="4">
        <f ca="1" t="shared" ref="X937:X943" si="1802">+M937-V937</f>
        <v>17.5272</v>
      </c>
      <c r="Y937" s="4">
        <f ca="1" t="shared" ref="Y937:Y943" si="1803">+O937-W937</f>
        <v>0</v>
      </c>
      <c r="Z937" s="4">
        <f ca="1" t="shared" ref="Z937:Z943" si="1804">OFFSET(Z937,-RIGHT($A937,LEN($A$6)),,1,1)/OFFSET(Z937,-RIGHT($A937,LEN($A$6)),-19,1,1)*$M937</f>
        <v>0</v>
      </c>
      <c r="AA937" s="4">
        <f ca="1" t="shared" ref="AA937:AA943" si="1805">+$N937*Z937</f>
        <v>0</v>
      </c>
      <c r="AB937" s="4"/>
    </row>
    <row r="938" customHeight="1" outlineLevel="3" spans="1:28">
      <c r="A938" s="514" t="s">
        <v>3528</v>
      </c>
      <c r="B938" s="4"/>
      <c r="C938" s="510" t="s">
        <v>59</v>
      </c>
      <c r="D938" s="4" t="s">
        <v>1125</v>
      </c>
      <c r="E938" s="4"/>
      <c r="F938" s="4" t="str">
        <f ca="1" t="shared" si="1795"/>
        <v>m3</v>
      </c>
      <c r="G938" s="4"/>
      <c r="H938" s="4"/>
      <c r="I938" s="4"/>
      <c r="J938" s="4"/>
      <c r="K938" s="4"/>
      <c r="L938" s="517"/>
      <c r="M938" s="4">
        <v>16249.24</v>
      </c>
      <c r="N938" s="4">
        <f ca="1" t="shared" si="1796"/>
        <v>0</v>
      </c>
      <c r="O938" s="4">
        <f ca="1" t="shared" si="1797"/>
        <v>0</v>
      </c>
      <c r="P938" s="4"/>
      <c r="Q938" s="4"/>
      <c r="R938" s="4"/>
      <c r="S938" s="4"/>
      <c r="T938" s="4">
        <f ca="1" t="shared" si="1798"/>
        <v>0</v>
      </c>
      <c r="U938" s="4">
        <f ca="1" t="shared" si="1799"/>
        <v>0</v>
      </c>
      <c r="V938" s="4">
        <f ca="1" t="shared" si="1800"/>
        <v>0</v>
      </c>
      <c r="W938" s="4">
        <f ca="1" t="shared" si="1801"/>
        <v>0</v>
      </c>
      <c r="X938" s="4">
        <f ca="1" t="shared" si="1802"/>
        <v>16249.24</v>
      </c>
      <c r="Y938" s="4">
        <f ca="1" t="shared" si="1803"/>
        <v>0</v>
      </c>
      <c r="Z938" s="4">
        <f ca="1" t="shared" si="1804"/>
        <v>0</v>
      </c>
      <c r="AA938" s="4">
        <f ca="1" t="shared" si="1805"/>
        <v>0</v>
      </c>
      <c r="AB938" s="4"/>
    </row>
    <row r="939" customHeight="1" outlineLevel="3" spans="1:28">
      <c r="A939" s="514" t="s">
        <v>3529</v>
      </c>
      <c r="B939" s="4"/>
      <c r="C939" s="510" t="s">
        <v>59</v>
      </c>
      <c r="D939" s="4" t="s">
        <v>779</v>
      </c>
      <c r="E939" s="4"/>
      <c r="F939" s="4" t="str">
        <f ca="1" t="shared" si="1795"/>
        <v>吨</v>
      </c>
      <c r="G939" s="4"/>
      <c r="H939" s="4"/>
      <c r="I939" s="4"/>
      <c r="J939" s="4"/>
      <c r="K939" s="4"/>
      <c r="L939" s="517"/>
      <c r="M939" s="4">
        <v>13.517259</v>
      </c>
      <c r="N939" s="4">
        <f ca="1" t="shared" si="1796"/>
        <v>0</v>
      </c>
      <c r="O939" s="4">
        <f ca="1" t="shared" si="1797"/>
        <v>0</v>
      </c>
      <c r="P939" s="4"/>
      <c r="Q939" s="4"/>
      <c r="R939" s="4"/>
      <c r="S939" s="4"/>
      <c r="T939" s="4">
        <f ca="1" t="shared" si="1798"/>
        <v>0</v>
      </c>
      <c r="U939" s="4">
        <f ca="1" t="shared" si="1799"/>
        <v>0</v>
      </c>
      <c r="V939" s="4">
        <f ca="1" t="shared" si="1800"/>
        <v>0</v>
      </c>
      <c r="W939" s="4">
        <f ca="1" t="shared" si="1801"/>
        <v>0</v>
      </c>
      <c r="X939" s="4">
        <f ca="1" t="shared" si="1802"/>
        <v>13.517259</v>
      </c>
      <c r="Y939" s="4">
        <f ca="1" t="shared" si="1803"/>
        <v>0</v>
      </c>
      <c r="Z939" s="4">
        <f ca="1" t="shared" si="1804"/>
        <v>0</v>
      </c>
      <c r="AA939" s="4">
        <f ca="1" t="shared" si="1805"/>
        <v>0</v>
      </c>
      <c r="AB939" s="4"/>
    </row>
    <row r="940" customHeight="1" outlineLevel="3" spans="1:28">
      <c r="A940" s="514" t="s">
        <v>3530</v>
      </c>
      <c r="B940" s="4"/>
      <c r="C940" s="510" t="s">
        <v>64</v>
      </c>
      <c r="D940" s="4" t="s">
        <v>1094</v>
      </c>
      <c r="E940" s="4"/>
      <c r="F940" s="4" t="str">
        <f ca="1" t="shared" si="1795"/>
        <v>m3</v>
      </c>
      <c r="G940" s="4"/>
      <c r="H940" s="4"/>
      <c r="I940" s="4"/>
      <c r="J940" s="4"/>
      <c r="K940" s="4"/>
      <c r="L940" s="517"/>
      <c r="M940" s="4">
        <v>31.008</v>
      </c>
      <c r="N940" s="4">
        <f ca="1" t="shared" si="1796"/>
        <v>266.6</v>
      </c>
      <c r="O940" s="4">
        <f ca="1" t="shared" si="1797"/>
        <v>8266.7328</v>
      </c>
      <c r="P940" s="4"/>
      <c r="Q940" s="4"/>
      <c r="R940" s="4"/>
      <c r="S940" s="4"/>
      <c r="T940" s="4">
        <f ca="1" t="shared" si="1798"/>
        <v>0</v>
      </c>
      <c r="U940" s="4">
        <f ca="1" t="shared" si="1799"/>
        <v>0</v>
      </c>
      <c r="V940" s="4">
        <f ca="1" t="shared" si="1800"/>
        <v>0</v>
      </c>
      <c r="W940" s="4">
        <f ca="1" t="shared" si="1801"/>
        <v>0</v>
      </c>
      <c r="X940" s="4">
        <f ca="1" t="shared" si="1802"/>
        <v>31.008</v>
      </c>
      <c r="Y940" s="4">
        <f ca="1" t="shared" si="1803"/>
        <v>8266.7328</v>
      </c>
      <c r="Z940" s="4">
        <f ca="1" t="shared" si="1804"/>
        <v>0</v>
      </c>
      <c r="AA940" s="4">
        <f ca="1" t="shared" si="1805"/>
        <v>0</v>
      </c>
      <c r="AB940" s="4"/>
    </row>
    <row r="941" customHeight="1" outlineLevel="3" spans="1:28">
      <c r="A941" s="514" t="s">
        <v>3531</v>
      </c>
      <c r="B941" s="4"/>
      <c r="C941" s="510" t="s">
        <v>64</v>
      </c>
      <c r="D941" s="4" t="s">
        <v>1097</v>
      </c>
      <c r="E941" s="4"/>
      <c r="F941" s="4" t="str">
        <f ca="1" t="shared" si="1795"/>
        <v>m2</v>
      </c>
      <c r="G941" s="4"/>
      <c r="H941" s="4"/>
      <c r="I941" s="4"/>
      <c r="J941" s="4"/>
      <c r="K941" s="4"/>
      <c r="L941" s="517"/>
      <c r="M941" s="4">
        <v>432.82</v>
      </c>
      <c r="N941" s="4">
        <f ca="1" t="shared" si="1796"/>
        <v>18</v>
      </c>
      <c r="O941" s="4">
        <f ca="1" t="shared" si="1797"/>
        <v>7790.76</v>
      </c>
      <c r="P941" s="4"/>
      <c r="Q941" s="4"/>
      <c r="R941" s="4"/>
      <c r="S941" s="4"/>
      <c r="T941" s="4">
        <f ca="1" t="shared" si="1798"/>
        <v>0</v>
      </c>
      <c r="U941" s="4">
        <f ca="1" t="shared" si="1799"/>
        <v>0</v>
      </c>
      <c r="V941" s="4">
        <f ca="1" t="shared" si="1800"/>
        <v>0</v>
      </c>
      <c r="W941" s="4">
        <f ca="1" t="shared" si="1801"/>
        <v>0</v>
      </c>
      <c r="X941" s="4">
        <f ca="1" t="shared" si="1802"/>
        <v>432.82</v>
      </c>
      <c r="Y941" s="4">
        <f ca="1" t="shared" si="1803"/>
        <v>7790.76</v>
      </c>
      <c r="Z941" s="4">
        <f ca="1" t="shared" si="1804"/>
        <v>0</v>
      </c>
      <c r="AA941" s="4">
        <f ca="1" t="shared" si="1805"/>
        <v>0</v>
      </c>
      <c r="AB941" s="4"/>
    </row>
    <row r="942" customHeight="1" outlineLevel="3" spans="1:28">
      <c r="A942" s="514" t="s">
        <v>3532</v>
      </c>
      <c r="B942" s="4"/>
      <c r="C942" s="510" t="s">
        <v>64</v>
      </c>
      <c r="D942" s="4" t="s">
        <v>403</v>
      </c>
      <c r="E942" s="4"/>
      <c r="F942" s="4" t="str">
        <f ca="1" t="shared" si="1795"/>
        <v>m3</v>
      </c>
      <c r="G942" s="4"/>
      <c r="H942" s="4"/>
      <c r="I942" s="4"/>
      <c r="J942" s="4"/>
      <c r="K942" s="4"/>
      <c r="L942" s="517"/>
      <c r="M942" s="4">
        <v>17.5272</v>
      </c>
      <c r="N942" s="4">
        <f ca="1" t="shared" si="1796"/>
        <v>100</v>
      </c>
      <c r="O942" s="4">
        <f ca="1" t="shared" si="1797"/>
        <v>1752.72</v>
      </c>
      <c r="P942" s="4"/>
      <c r="Q942" s="4"/>
      <c r="R942" s="4"/>
      <c r="S942" s="4"/>
      <c r="T942" s="4">
        <f ca="1" t="shared" si="1798"/>
        <v>0</v>
      </c>
      <c r="U942" s="4">
        <f ca="1" t="shared" si="1799"/>
        <v>0</v>
      </c>
      <c r="V942" s="4">
        <f ca="1" t="shared" si="1800"/>
        <v>0</v>
      </c>
      <c r="W942" s="4">
        <f ca="1" t="shared" si="1801"/>
        <v>0</v>
      </c>
      <c r="X942" s="4">
        <f ca="1" t="shared" si="1802"/>
        <v>17.5272</v>
      </c>
      <c r="Y942" s="4">
        <f ca="1" t="shared" si="1803"/>
        <v>1752.72</v>
      </c>
      <c r="Z942" s="4">
        <f ca="1" t="shared" si="1804"/>
        <v>0</v>
      </c>
      <c r="AA942" s="4">
        <f ca="1" t="shared" si="1805"/>
        <v>0</v>
      </c>
      <c r="AB942" s="4"/>
    </row>
    <row r="943" customHeight="1" outlineLevel="3" spans="1:28">
      <c r="A943" s="514" t="s">
        <v>3533</v>
      </c>
      <c r="B943" s="4"/>
      <c r="C943" s="510" t="s">
        <v>59</v>
      </c>
      <c r="D943" s="4" t="s">
        <v>1157</v>
      </c>
      <c r="E943" s="4"/>
      <c r="F943" s="4" t="str">
        <f ca="1" t="shared" si="1795"/>
        <v>m3</v>
      </c>
      <c r="G943" s="4"/>
      <c r="H943" s="4"/>
      <c r="I943" s="4"/>
      <c r="J943" s="4"/>
      <c r="K943" s="4"/>
      <c r="L943" s="517"/>
      <c r="M943" s="4">
        <v>14.4988</v>
      </c>
      <c r="N943" s="4">
        <f ca="1" t="shared" si="1796"/>
        <v>0</v>
      </c>
      <c r="O943" s="4">
        <f ca="1" t="shared" si="1797"/>
        <v>0</v>
      </c>
      <c r="P943" s="4"/>
      <c r="Q943" s="4"/>
      <c r="R943" s="4"/>
      <c r="S943" s="4"/>
      <c r="T943" s="4">
        <f ca="1" t="shared" si="1798"/>
        <v>0</v>
      </c>
      <c r="U943" s="4">
        <f ca="1" t="shared" si="1799"/>
        <v>0</v>
      </c>
      <c r="V943" s="4">
        <f ca="1" t="shared" si="1800"/>
        <v>0</v>
      </c>
      <c r="W943" s="4">
        <f ca="1" t="shared" si="1801"/>
        <v>0</v>
      </c>
      <c r="X943" s="4">
        <f ca="1" t="shared" si="1802"/>
        <v>14.4988</v>
      </c>
      <c r="Y943" s="4">
        <f ca="1" t="shared" si="1803"/>
        <v>0</v>
      </c>
      <c r="Z943" s="4">
        <f ca="1" t="shared" si="1804"/>
        <v>0</v>
      </c>
      <c r="AA943" s="4">
        <f ca="1" t="shared" si="1805"/>
        <v>0</v>
      </c>
      <c r="AB943" s="4"/>
    </row>
    <row r="944" customHeight="1" outlineLevel="2" spans="1:28">
      <c r="A944" s="515" t="s">
        <v>3534</v>
      </c>
      <c r="B944" s="4"/>
      <c r="C944" s="510" t="s">
        <v>1309</v>
      </c>
      <c r="D944" s="4" t="s">
        <v>2032</v>
      </c>
      <c r="E944" s="4" t="s">
        <v>3535</v>
      </c>
      <c r="F944" s="4" t="s">
        <v>175</v>
      </c>
      <c r="G944" s="4">
        <v>16</v>
      </c>
      <c r="H944" s="4">
        <v>414.623853211009</v>
      </c>
      <c r="I944" s="4">
        <f>G944*H944</f>
        <v>6633.98165137614</v>
      </c>
      <c r="J944" s="4">
        <f t="shared" ref="J944:L944" si="1806">+G944</f>
        <v>16</v>
      </c>
      <c r="K944" s="4">
        <f t="shared" si="1806"/>
        <v>414.623853211009</v>
      </c>
      <c r="L944" s="517">
        <f t="shared" si="1806"/>
        <v>6633.98165137614</v>
      </c>
      <c r="M944" s="4">
        <v>16</v>
      </c>
      <c r="N944" s="4">
        <f ca="1">O944/M944</f>
        <v>235.7235375</v>
      </c>
      <c r="O944" s="4">
        <f ca="1">(+O945+O946+O947+O948+O949+O950+O951)</f>
        <v>3771.5766</v>
      </c>
      <c r="P944" s="4"/>
      <c r="Q944" s="4"/>
      <c r="R944" s="4">
        <f>+P944+J944</f>
        <v>16</v>
      </c>
      <c r="S944" s="4">
        <f>+Q944+L944</f>
        <v>6633.98165137614</v>
      </c>
      <c r="T944" s="4">
        <f>IFERROR(VLOOKUP(A944,产值统计中间表!A:F,7,FALSE),0)</f>
        <v>0</v>
      </c>
      <c r="U944" s="4">
        <f>+T944*H944</f>
        <v>0</v>
      </c>
      <c r="V944" s="4">
        <f>IFERROR(VLOOKUP(A944,产值统计中间表!A:D,4,FALSE),0)</f>
        <v>0</v>
      </c>
      <c r="W944" s="4">
        <f>+V944*H944</f>
        <v>0</v>
      </c>
      <c r="X944" s="4">
        <f>+R944-V944</f>
        <v>16</v>
      </c>
      <c r="Y944" s="4">
        <f>+S944-W944</f>
        <v>6633.98165137614</v>
      </c>
      <c r="Z944" s="4">
        <f>IFERROR(VLOOKUP(A944,业主统计中间表!A:D,4,FALSE),0)</f>
        <v>0</v>
      </c>
      <c r="AA944" s="4">
        <f>+Z944*H944</f>
        <v>0</v>
      </c>
      <c r="AB944" s="4"/>
    </row>
    <row r="945" customHeight="1" outlineLevel="3" spans="1:28">
      <c r="A945" s="514" t="s">
        <v>3536</v>
      </c>
      <c r="B945" s="4"/>
      <c r="C945" s="510" t="s">
        <v>59</v>
      </c>
      <c r="D945" s="4" t="s">
        <v>1080</v>
      </c>
      <c r="E945" s="4"/>
      <c r="F945" s="4" t="str">
        <f ca="1" t="shared" ref="F945:F951" si="1807">VLOOKUP($D945,INDIRECT($C945),2,0)</f>
        <v>m3</v>
      </c>
      <c r="G945" s="4"/>
      <c r="H945" s="4"/>
      <c r="I945" s="4"/>
      <c r="J945" s="4"/>
      <c r="K945" s="4"/>
      <c r="L945" s="517"/>
      <c r="M945" s="4">
        <v>1.87935</v>
      </c>
      <c r="N945" s="4">
        <f ca="1" t="shared" ref="N945:N951" si="1808">VLOOKUP($D945,INDIRECT($C945),3,0)</f>
        <v>0</v>
      </c>
      <c r="O945" s="4">
        <f ca="1" t="shared" ref="O945:O951" si="1809">M945*N945</f>
        <v>0</v>
      </c>
      <c r="P945" s="4"/>
      <c r="Q945" s="4"/>
      <c r="R945" s="4"/>
      <c r="S945" s="4"/>
      <c r="T945" s="4">
        <f ca="1" t="shared" ref="T945:T951" si="1810">OFFSET(T945,-RIGHT($A945,LEN($A$6)),,1,1)/OFFSET(T945,-RIGHT($A945,LEN($A$6)),-13,1,1)*$M945</f>
        <v>0</v>
      </c>
      <c r="U945" s="4">
        <f ca="1" t="shared" ref="U945:U951" si="1811">+$N945*T945</f>
        <v>0</v>
      </c>
      <c r="V945" s="4">
        <f ca="1" t="shared" ref="V945:V951" si="1812">OFFSET(V945,-RIGHT($A945,LEN($A$6)),,1,1)/OFFSET(V945,-RIGHT($A945,LEN($A$6)),-15,1,1)*$M945</f>
        <v>0</v>
      </c>
      <c r="W945" s="4">
        <f ca="1" t="shared" ref="W945:W951" si="1813">+$N945*V945</f>
        <v>0</v>
      </c>
      <c r="X945" s="4">
        <f ca="1" t="shared" ref="X945:X951" si="1814">+M945-V945</f>
        <v>1.87935</v>
      </c>
      <c r="Y945" s="4">
        <f ca="1" t="shared" ref="Y945:Y951" si="1815">+O945-W945</f>
        <v>0</v>
      </c>
      <c r="Z945" s="4">
        <f ca="1" t="shared" ref="Z945:Z951" si="1816">OFFSET(Z945,-RIGHT($A945,LEN($A$6)),,1,1)/OFFSET(Z945,-RIGHT($A945,LEN($A$6)),-19,1,1)*$M945</f>
        <v>0</v>
      </c>
      <c r="AA945" s="4">
        <f ca="1" t="shared" ref="AA945:AA951" si="1817">+$N945*Z945</f>
        <v>0</v>
      </c>
      <c r="AB945" s="4"/>
    </row>
    <row r="946" customHeight="1" outlineLevel="3" spans="1:28">
      <c r="A946" s="514" t="s">
        <v>3537</v>
      </c>
      <c r="B946" s="4"/>
      <c r="C946" s="510" t="s">
        <v>59</v>
      </c>
      <c r="D946" s="4" t="s">
        <v>1125</v>
      </c>
      <c r="E946" s="4"/>
      <c r="F946" s="4" t="str">
        <f ca="1" t="shared" si="1807"/>
        <v>m3</v>
      </c>
      <c r="G946" s="4"/>
      <c r="H946" s="4"/>
      <c r="I946" s="4"/>
      <c r="J946" s="4"/>
      <c r="K946" s="4"/>
      <c r="L946" s="517"/>
      <c r="M946" s="4">
        <v>4831.28</v>
      </c>
      <c r="N946" s="4">
        <f ca="1" t="shared" si="1808"/>
        <v>0</v>
      </c>
      <c r="O946" s="4">
        <f ca="1" t="shared" si="1809"/>
        <v>0</v>
      </c>
      <c r="P946" s="4"/>
      <c r="Q946" s="4"/>
      <c r="R946" s="4"/>
      <c r="S946" s="4"/>
      <c r="T946" s="4">
        <f ca="1" t="shared" si="1810"/>
        <v>0</v>
      </c>
      <c r="U946" s="4">
        <f ca="1" t="shared" si="1811"/>
        <v>0</v>
      </c>
      <c r="V946" s="4">
        <f ca="1" t="shared" si="1812"/>
        <v>0</v>
      </c>
      <c r="W946" s="4">
        <f ca="1" t="shared" si="1813"/>
        <v>0</v>
      </c>
      <c r="X946" s="4">
        <f ca="1" t="shared" si="1814"/>
        <v>4831.28</v>
      </c>
      <c r="Y946" s="4">
        <f ca="1" t="shared" si="1815"/>
        <v>0</v>
      </c>
      <c r="Z946" s="4">
        <f ca="1" t="shared" si="1816"/>
        <v>0</v>
      </c>
      <c r="AA946" s="4">
        <f ca="1" t="shared" si="1817"/>
        <v>0</v>
      </c>
      <c r="AB946" s="4"/>
    </row>
    <row r="947" customHeight="1" outlineLevel="3" spans="1:28">
      <c r="A947" s="514" t="s">
        <v>3538</v>
      </c>
      <c r="B947" s="4"/>
      <c r="C947" s="510" t="s">
        <v>59</v>
      </c>
      <c r="D947" s="4" t="s">
        <v>779</v>
      </c>
      <c r="E947" s="4"/>
      <c r="F947" s="4" t="str">
        <f ca="1" t="shared" si="1807"/>
        <v>吨</v>
      </c>
      <c r="G947" s="4"/>
      <c r="H947" s="4"/>
      <c r="I947" s="4"/>
      <c r="J947" s="4"/>
      <c r="K947" s="4"/>
      <c r="L947" s="517"/>
      <c r="M947" s="4">
        <v>4.018998</v>
      </c>
      <c r="N947" s="4">
        <f ca="1" t="shared" si="1808"/>
        <v>0</v>
      </c>
      <c r="O947" s="4">
        <f ca="1" t="shared" si="1809"/>
        <v>0</v>
      </c>
      <c r="P947" s="4"/>
      <c r="Q947" s="4"/>
      <c r="R947" s="4"/>
      <c r="S947" s="4"/>
      <c r="T947" s="4">
        <f ca="1" t="shared" si="1810"/>
        <v>0</v>
      </c>
      <c r="U947" s="4">
        <f ca="1" t="shared" si="1811"/>
        <v>0</v>
      </c>
      <c r="V947" s="4">
        <f ca="1" t="shared" si="1812"/>
        <v>0</v>
      </c>
      <c r="W947" s="4">
        <f ca="1" t="shared" si="1813"/>
        <v>0</v>
      </c>
      <c r="X947" s="4">
        <f ca="1" t="shared" si="1814"/>
        <v>4.018998</v>
      </c>
      <c r="Y947" s="4">
        <f ca="1" t="shared" si="1815"/>
        <v>0</v>
      </c>
      <c r="Z947" s="4">
        <f ca="1" t="shared" si="1816"/>
        <v>0</v>
      </c>
      <c r="AA947" s="4">
        <f ca="1" t="shared" si="1817"/>
        <v>0</v>
      </c>
      <c r="AB947" s="4"/>
    </row>
    <row r="948" customHeight="1" outlineLevel="3" spans="1:28">
      <c r="A948" s="514" t="s">
        <v>3539</v>
      </c>
      <c r="B948" s="4"/>
      <c r="C948" s="510" t="s">
        <v>64</v>
      </c>
      <c r="D948" s="4" t="s">
        <v>1094</v>
      </c>
      <c r="E948" s="4"/>
      <c r="F948" s="4" t="str">
        <f ca="1" t="shared" si="1807"/>
        <v>m3</v>
      </c>
      <c r="G948" s="4"/>
      <c r="H948" s="4"/>
      <c r="I948" s="4"/>
      <c r="J948" s="4"/>
      <c r="K948" s="4"/>
      <c r="L948" s="517"/>
      <c r="M948" s="4">
        <v>9.216</v>
      </c>
      <c r="N948" s="4">
        <f ca="1" t="shared" si="1808"/>
        <v>266.6</v>
      </c>
      <c r="O948" s="4">
        <f ca="1" t="shared" si="1809"/>
        <v>2456.9856</v>
      </c>
      <c r="P948" s="4"/>
      <c r="Q948" s="4"/>
      <c r="R948" s="4"/>
      <c r="S948" s="4"/>
      <c r="T948" s="4">
        <f ca="1" t="shared" si="1810"/>
        <v>0</v>
      </c>
      <c r="U948" s="4">
        <f ca="1" t="shared" si="1811"/>
        <v>0</v>
      </c>
      <c r="V948" s="4">
        <f ca="1" t="shared" si="1812"/>
        <v>0</v>
      </c>
      <c r="W948" s="4">
        <f ca="1" t="shared" si="1813"/>
        <v>0</v>
      </c>
      <c r="X948" s="4">
        <f ca="1" t="shared" si="1814"/>
        <v>9.216</v>
      </c>
      <c r="Y948" s="4">
        <f ca="1" t="shared" si="1815"/>
        <v>2456.9856</v>
      </c>
      <c r="Z948" s="4">
        <f ca="1" t="shared" si="1816"/>
        <v>0</v>
      </c>
      <c r="AA948" s="4">
        <f ca="1" t="shared" si="1817"/>
        <v>0</v>
      </c>
      <c r="AB948" s="4"/>
    </row>
    <row r="949" customHeight="1" outlineLevel="3" spans="1:28">
      <c r="A949" s="514" t="s">
        <v>3540</v>
      </c>
      <c r="B949" s="4"/>
      <c r="C949" s="510" t="s">
        <v>64</v>
      </c>
      <c r="D949" s="4" t="s">
        <v>1097</v>
      </c>
      <c r="E949" s="4"/>
      <c r="F949" s="4" t="str">
        <f ca="1" t="shared" si="1807"/>
        <v>m2</v>
      </c>
      <c r="G949" s="4"/>
      <c r="H949" s="4"/>
      <c r="I949" s="4"/>
      <c r="J949" s="4"/>
      <c r="K949" s="4"/>
      <c r="L949" s="517"/>
      <c r="M949" s="4">
        <v>62.592</v>
      </c>
      <c r="N949" s="4">
        <f ca="1" t="shared" si="1808"/>
        <v>18</v>
      </c>
      <c r="O949" s="4">
        <f ca="1" t="shared" si="1809"/>
        <v>1126.656</v>
      </c>
      <c r="P949" s="4"/>
      <c r="Q949" s="4"/>
      <c r="R949" s="4"/>
      <c r="S949" s="4"/>
      <c r="T949" s="4">
        <f ca="1" t="shared" si="1810"/>
        <v>0</v>
      </c>
      <c r="U949" s="4">
        <f ca="1" t="shared" si="1811"/>
        <v>0</v>
      </c>
      <c r="V949" s="4">
        <f ca="1" t="shared" si="1812"/>
        <v>0</v>
      </c>
      <c r="W949" s="4">
        <f ca="1" t="shared" si="1813"/>
        <v>0</v>
      </c>
      <c r="X949" s="4">
        <f ca="1" t="shared" si="1814"/>
        <v>62.592</v>
      </c>
      <c r="Y949" s="4">
        <f ca="1" t="shared" si="1815"/>
        <v>1126.656</v>
      </c>
      <c r="Z949" s="4">
        <f ca="1" t="shared" si="1816"/>
        <v>0</v>
      </c>
      <c r="AA949" s="4">
        <f ca="1" t="shared" si="1817"/>
        <v>0</v>
      </c>
      <c r="AB949" s="4"/>
    </row>
    <row r="950" customHeight="1" outlineLevel="3" spans="1:28">
      <c r="A950" s="514" t="s">
        <v>3541</v>
      </c>
      <c r="B950" s="4"/>
      <c r="C950" s="510" t="s">
        <v>64</v>
      </c>
      <c r="D950" s="4" t="s">
        <v>403</v>
      </c>
      <c r="E950" s="4"/>
      <c r="F950" s="4" t="str">
        <f ca="1" t="shared" si="1807"/>
        <v>m3</v>
      </c>
      <c r="G950" s="4"/>
      <c r="H950" s="4"/>
      <c r="I950" s="4"/>
      <c r="J950" s="4"/>
      <c r="K950" s="4"/>
      <c r="L950" s="517"/>
      <c r="M950" s="4">
        <v>1.87935</v>
      </c>
      <c r="N950" s="4">
        <f ca="1" t="shared" si="1808"/>
        <v>100</v>
      </c>
      <c r="O950" s="4">
        <f ca="1" t="shared" si="1809"/>
        <v>187.935</v>
      </c>
      <c r="P950" s="4"/>
      <c r="Q950" s="4"/>
      <c r="R950" s="4"/>
      <c r="S950" s="4"/>
      <c r="T950" s="4">
        <f ca="1" t="shared" si="1810"/>
        <v>0</v>
      </c>
      <c r="U950" s="4">
        <f ca="1" t="shared" si="1811"/>
        <v>0</v>
      </c>
      <c r="V950" s="4">
        <f ca="1" t="shared" si="1812"/>
        <v>0</v>
      </c>
      <c r="W950" s="4">
        <f ca="1" t="shared" si="1813"/>
        <v>0</v>
      </c>
      <c r="X950" s="4">
        <f ca="1" t="shared" si="1814"/>
        <v>1.87935</v>
      </c>
      <c r="Y950" s="4">
        <f ca="1" t="shared" si="1815"/>
        <v>187.935</v>
      </c>
      <c r="Z950" s="4">
        <f ca="1" t="shared" si="1816"/>
        <v>0</v>
      </c>
      <c r="AA950" s="4">
        <f ca="1" t="shared" si="1817"/>
        <v>0</v>
      </c>
      <c r="AB950" s="4"/>
    </row>
    <row r="951" customHeight="1" outlineLevel="3" spans="1:28">
      <c r="A951" s="514" t="s">
        <v>3542</v>
      </c>
      <c r="B951" s="4"/>
      <c r="C951" s="510" t="s">
        <v>59</v>
      </c>
      <c r="D951" s="4" t="s">
        <v>1157</v>
      </c>
      <c r="E951" s="4"/>
      <c r="F951" s="4" t="str">
        <f ca="1" t="shared" si="1807"/>
        <v>m3</v>
      </c>
      <c r="G951" s="4"/>
      <c r="H951" s="4"/>
      <c r="I951" s="4"/>
      <c r="J951" s="4"/>
      <c r="K951" s="4"/>
      <c r="L951" s="517"/>
      <c r="M951" s="4">
        <v>2.0971</v>
      </c>
      <c r="N951" s="4">
        <f ca="1" t="shared" si="1808"/>
        <v>0</v>
      </c>
      <c r="O951" s="4">
        <f ca="1" t="shared" si="1809"/>
        <v>0</v>
      </c>
      <c r="P951" s="4"/>
      <c r="Q951" s="4"/>
      <c r="R951" s="4"/>
      <c r="S951" s="4"/>
      <c r="T951" s="4">
        <f ca="1" t="shared" si="1810"/>
        <v>0</v>
      </c>
      <c r="U951" s="4">
        <f ca="1" t="shared" si="1811"/>
        <v>0</v>
      </c>
      <c r="V951" s="4">
        <f ca="1" t="shared" si="1812"/>
        <v>0</v>
      </c>
      <c r="W951" s="4">
        <f ca="1" t="shared" si="1813"/>
        <v>0</v>
      </c>
      <c r="X951" s="4">
        <f ca="1" t="shared" si="1814"/>
        <v>2.0971</v>
      </c>
      <c r="Y951" s="4">
        <f ca="1" t="shared" si="1815"/>
        <v>0</v>
      </c>
      <c r="Z951" s="4">
        <f ca="1" t="shared" si="1816"/>
        <v>0</v>
      </c>
      <c r="AA951" s="4">
        <f ca="1" t="shared" si="1817"/>
        <v>0</v>
      </c>
      <c r="AB951" s="4"/>
    </row>
    <row r="952" customHeight="1" outlineLevel="2" spans="1:28">
      <c r="A952" s="515" t="s">
        <v>3543</v>
      </c>
      <c r="B952" s="4"/>
      <c r="C952" s="510" t="s">
        <v>1309</v>
      </c>
      <c r="D952" s="4" t="s">
        <v>3544</v>
      </c>
      <c r="E952" s="4" t="s">
        <v>3545</v>
      </c>
      <c r="F952" s="4" t="s">
        <v>72</v>
      </c>
      <c r="G952" s="4">
        <v>161.9</v>
      </c>
      <c r="H952" s="4">
        <v>1318.87155963303</v>
      </c>
      <c r="I952" s="4">
        <f>G952*H952</f>
        <v>213525.305504588</v>
      </c>
      <c r="J952" s="4">
        <f t="shared" ref="J952:L952" si="1818">+G952</f>
        <v>161.9</v>
      </c>
      <c r="K952" s="4">
        <f t="shared" si="1818"/>
        <v>1318.87155963303</v>
      </c>
      <c r="L952" s="517">
        <f t="shared" si="1818"/>
        <v>213525.305504588</v>
      </c>
      <c r="M952" s="4">
        <v>161.9</v>
      </c>
      <c r="N952" s="4">
        <f ca="1" t="shared" ref="N952:N957" si="1819">O952/M952</f>
        <v>897.3962</v>
      </c>
      <c r="O952" s="4">
        <f ca="1">(+O953+O954)</f>
        <v>145288.44478</v>
      </c>
      <c r="P952" s="4"/>
      <c r="Q952" s="4"/>
      <c r="R952" s="4">
        <f t="shared" ref="R952:R957" si="1820">+P952+J952</f>
        <v>161.9</v>
      </c>
      <c r="S952" s="4">
        <f t="shared" ref="S952:S957" si="1821">+Q952+L952</f>
        <v>213525.305504588</v>
      </c>
      <c r="T952" s="4">
        <f>IFERROR(VLOOKUP(A952,产值统计中间表!A:F,7,FALSE),0)</f>
        <v>0</v>
      </c>
      <c r="U952" s="4">
        <f t="shared" ref="U952:U957" si="1822">+T952*H952</f>
        <v>0</v>
      </c>
      <c r="V952" s="4">
        <f>IFERROR(VLOOKUP(A952,产值统计中间表!A:D,4,FALSE),0)</f>
        <v>0</v>
      </c>
      <c r="W952" s="4">
        <f t="shared" ref="W952:W957" si="1823">+V952*H952</f>
        <v>0</v>
      </c>
      <c r="X952" s="4">
        <f t="shared" ref="X952:X957" si="1824">+R952-V952</f>
        <v>161.9</v>
      </c>
      <c r="Y952" s="4">
        <f t="shared" ref="Y952:Y957" si="1825">+S952-W952</f>
        <v>213525.305504588</v>
      </c>
      <c r="Z952" s="4">
        <f>IFERROR(VLOOKUP(A952,业主统计中间表!A:D,4,FALSE),0)</f>
        <v>0</v>
      </c>
      <c r="AA952" s="4">
        <f t="shared" ref="AA952:AA957" si="1826">+Z952*H952</f>
        <v>0</v>
      </c>
      <c r="AB952" s="4"/>
    </row>
    <row r="953" customHeight="1" outlineLevel="3" spans="1:28">
      <c r="A953" s="514" t="s">
        <v>3546</v>
      </c>
      <c r="B953" s="4"/>
      <c r="C953" s="510" t="s">
        <v>65</v>
      </c>
      <c r="D953" s="4" t="s">
        <v>687</v>
      </c>
      <c r="E953" s="4"/>
      <c r="F953" s="4" t="str">
        <f ca="1" t="shared" ref="F953:F959" si="1827">VLOOKUP($D953,INDIRECT($C953),2,0)</f>
        <v>m³</v>
      </c>
      <c r="G953" s="4"/>
      <c r="H953" s="4"/>
      <c r="I953" s="4"/>
      <c r="J953" s="4"/>
      <c r="K953" s="4"/>
      <c r="L953" s="517"/>
      <c r="M953" s="4">
        <v>161.9</v>
      </c>
      <c r="N953" s="4">
        <f ca="1">VLOOKUP($D953,INDIRECT($C953),3,0)</f>
        <v>390</v>
      </c>
      <c r="O953" s="4">
        <f ca="1">M953*N953</f>
        <v>63141</v>
      </c>
      <c r="P953" s="4"/>
      <c r="Q953" s="4"/>
      <c r="R953" s="4"/>
      <c r="S953" s="4"/>
      <c r="T953" s="4">
        <f ca="1" t="shared" ref="T953:T956" si="1828">OFFSET(T953,-RIGHT($A953,LEN($A$6)),,1,1)/OFFSET(T953,-RIGHT($A953,LEN($A$6)),-13,1,1)*$M953</f>
        <v>0</v>
      </c>
      <c r="U953" s="4">
        <f ca="1" t="shared" ref="U953:U956" si="1829">+$N953*T953</f>
        <v>0</v>
      </c>
      <c r="V953" s="4">
        <f ca="1" t="shared" ref="V953:V956" si="1830">OFFSET(V953,-RIGHT($A953,LEN($A$6)),,1,1)/OFFSET(V953,-RIGHT($A953,LEN($A$6)),-15,1,1)*$M953</f>
        <v>0</v>
      </c>
      <c r="W953" s="4">
        <f ca="1" t="shared" ref="W953:W956" si="1831">+$N953*V953</f>
        <v>0</v>
      </c>
      <c r="X953" s="4">
        <f ca="1" t="shared" ref="X953:X956" si="1832">+M953-V953</f>
        <v>161.9</v>
      </c>
      <c r="Y953" s="4">
        <f ca="1" t="shared" ref="Y953:Y956" si="1833">+O953-W953</f>
        <v>63141</v>
      </c>
      <c r="Z953" s="4">
        <f ca="1" t="shared" ref="Z953:Z956" si="1834">OFFSET(Z953,-RIGHT($A953,LEN($A$6)),,1,1)/OFFSET(Z953,-RIGHT($A953,LEN($A$6)),-19,1,1)*$M953</f>
        <v>0</v>
      </c>
      <c r="AA953" s="4">
        <f ca="1" t="shared" ref="AA953:AA956" si="1835">+$N953*Z953</f>
        <v>0</v>
      </c>
      <c r="AB953" s="4"/>
    </row>
    <row r="954" customHeight="1" outlineLevel="3" spans="1:28">
      <c r="A954" s="514" t="s">
        <v>3547</v>
      </c>
      <c r="B954" s="4"/>
      <c r="C954" s="510" t="s">
        <v>59</v>
      </c>
      <c r="D954" s="4" t="s">
        <v>562</v>
      </c>
      <c r="E954" s="4"/>
      <c r="F954" s="4" t="str">
        <f ca="1" t="shared" si="1827"/>
        <v>m3</v>
      </c>
      <c r="G954" s="4"/>
      <c r="H954" s="4"/>
      <c r="I954" s="4"/>
      <c r="J954" s="4"/>
      <c r="K954" s="4"/>
      <c r="L954" s="517"/>
      <c r="M954" s="4">
        <v>187.12402</v>
      </c>
      <c r="N954" s="4">
        <v>439</v>
      </c>
      <c r="O954" s="4">
        <f>M954*N954</f>
        <v>82147.44478</v>
      </c>
      <c r="P954" s="4"/>
      <c r="Q954" s="4"/>
      <c r="R954" s="4"/>
      <c r="S954" s="4"/>
      <c r="T954" s="4">
        <f ca="1" t="shared" si="1828"/>
        <v>0</v>
      </c>
      <c r="U954" s="4">
        <f ca="1" t="shared" si="1829"/>
        <v>0</v>
      </c>
      <c r="V954" s="4">
        <f ca="1" t="shared" si="1830"/>
        <v>0</v>
      </c>
      <c r="W954" s="4">
        <f ca="1" t="shared" si="1831"/>
        <v>0</v>
      </c>
      <c r="X954" s="4">
        <f ca="1" t="shared" si="1832"/>
        <v>187.12402</v>
      </c>
      <c r="Y954" s="4">
        <f ca="1" t="shared" si="1833"/>
        <v>82147.44478</v>
      </c>
      <c r="Z954" s="4">
        <f ca="1" t="shared" si="1834"/>
        <v>0</v>
      </c>
      <c r="AA954" s="4">
        <f ca="1" t="shared" si="1835"/>
        <v>0</v>
      </c>
      <c r="AB954" s="4"/>
    </row>
    <row r="955" customHeight="1" outlineLevel="2" spans="1:28">
      <c r="A955" s="515" t="s">
        <v>3548</v>
      </c>
      <c r="B955" s="4"/>
      <c r="C955" s="510" t="s">
        <v>1309</v>
      </c>
      <c r="D955" s="4" t="s">
        <v>1847</v>
      </c>
      <c r="E955" s="4" t="s">
        <v>3549</v>
      </c>
      <c r="F955" s="4" t="s">
        <v>82</v>
      </c>
      <c r="G955" s="4">
        <v>8.635</v>
      </c>
      <c r="H955" s="4">
        <v>354.302752293578</v>
      </c>
      <c r="I955" s="4">
        <f>G955*H955</f>
        <v>3059.40426605505</v>
      </c>
      <c r="J955" s="4">
        <f t="shared" ref="J955:L955" si="1836">+G955</f>
        <v>8.635</v>
      </c>
      <c r="K955" s="4">
        <f t="shared" si="1836"/>
        <v>354.302752293578</v>
      </c>
      <c r="L955" s="517">
        <f t="shared" si="1836"/>
        <v>3059.40426605505</v>
      </c>
      <c r="M955" s="4">
        <v>8.635</v>
      </c>
      <c r="N955" s="4">
        <f t="shared" si="1819"/>
        <v>0</v>
      </c>
      <c r="O955" s="4">
        <f>(+O956)</f>
        <v>0</v>
      </c>
      <c r="P955" s="4"/>
      <c r="Q955" s="4"/>
      <c r="R955" s="4">
        <f t="shared" si="1820"/>
        <v>8.635</v>
      </c>
      <c r="S955" s="4">
        <f t="shared" si="1821"/>
        <v>3059.40426605505</v>
      </c>
      <c r="T955" s="4">
        <f>IFERROR(VLOOKUP(A955,产值统计中间表!A:F,7,FALSE),0)</f>
        <v>0</v>
      </c>
      <c r="U955" s="4">
        <f t="shared" si="1822"/>
        <v>0</v>
      </c>
      <c r="V955" s="4">
        <f>IFERROR(VLOOKUP(A955,产值统计中间表!A:D,4,FALSE),0)</f>
        <v>0</v>
      </c>
      <c r="W955" s="4">
        <f t="shared" si="1823"/>
        <v>0</v>
      </c>
      <c r="X955" s="4">
        <f t="shared" si="1824"/>
        <v>8.635</v>
      </c>
      <c r="Y955" s="4">
        <f t="shared" si="1825"/>
        <v>3059.40426605505</v>
      </c>
      <c r="Z955" s="4">
        <f>IFERROR(VLOOKUP(A955,业主统计中间表!A:D,4,FALSE),0)</f>
        <v>0</v>
      </c>
      <c r="AA955" s="4">
        <f t="shared" si="1826"/>
        <v>0</v>
      </c>
      <c r="AB955" s="4"/>
    </row>
    <row r="956" customHeight="1" outlineLevel="3" spans="1:28">
      <c r="A956" s="514" t="s">
        <v>3550</v>
      </c>
      <c r="B956" s="4"/>
      <c r="C956" s="510" t="s">
        <v>63</v>
      </c>
      <c r="D956" s="4" t="s">
        <v>1214</v>
      </c>
      <c r="E956" s="4"/>
      <c r="F956" s="4" t="s">
        <v>82</v>
      </c>
      <c r="G956" s="4"/>
      <c r="H956" s="4"/>
      <c r="I956" s="4"/>
      <c r="J956" s="4"/>
      <c r="K956" s="4"/>
      <c r="L956" s="517"/>
      <c r="M956" s="4">
        <v>0</v>
      </c>
      <c r="N956" s="4">
        <v>0</v>
      </c>
      <c r="O956" s="4">
        <f>M956*N956</f>
        <v>0</v>
      </c>
      <c r="P956" s="4"/>
      <c r="Q956" s="4"/>
      <c r="R956" s="4"/>
      <c r="S956" s="4"/>
      <c r="T956" s="4">
        <f ca="1" t="shared" si="1828"/>
        <v>0</v>
      </c>
      <c r="U956" s="4">
        <f ca="1" t="shared" si="1829"/>
        <v>0</v>
      </c>
      <c r="V956" s="4">
        <f ca="1" t="shared" si="1830"/>
        <v>0</v>
      </c>
      <c r="W956" s="4">
        <f ca="1" t="shared" si="1831"/>
        <v>0</v>
      </c>
      <c r="X956" s="4">
        <f ca="1" t="shared" si="1832"/>
        <v>0</v>
      </c>
      <c r="Y956" s="4">
        <f ca="1" t="shared" si="1833"/>
        <v>0</v>
      </c>
      <c r="Z956" s="4">
        <f ca="1" t="shared" si="1834"/>
        <v>0</v>
      </c>
      <c r="AA956" s="4">
        <f ca="1" t="shared" si="1835"/>
        <v>0</v>
      </c>
      <c r="AB956" s="4"/>
    </row>
    <row r="957" customHeight="1" outlineLevel="2" spans="1:28">
      <c r="A957" s="515" t="s">
        <v>3551</v>
      </c>
      <c r="B957" s="4"/>
      <c r="C957" s="510" t="s">
        <v>1309</v>
      </c>
      <c r="D957" s="4" t="s">
        <v>903</v>
      </c>
      <c r="E957" s="4" t="s">
        <v>3552</v>
      </c>
      <c r="F957" s="4" t="s">
        <v>82</v>
      </c>
      <c r="G957" s="4">
        <v>16.487</v>
      </c>
      <c r="H957" s="4">
        <v>5818</v>
      </c>
      <c r="I957" s="4">
        <f>G957*H957</f>
        <v>95921.366</v>
      </c>
      <c r="J957" s="4">
        <f t="shared" ref="J957:L957" si="1837">+G957</f>
        <v>16.487</v>
      </c>
      <c r="K957" s="4">
        <f t="shared" si="1837"/>
        <v>5818</v>
      </c>
      <c r="L957" s="517">
        <f t="shared" si="1837"/>
        <v>95921.366</v>
      </c>
      <c r="M957" s="4">
        <v>16.487</v>
      </c>
      <c r="N957" s="4">
        <f ca="1" t="shared" si="1819"/>
        <v>700</v>
      </c>
      <c r="O957" s="4">
        <f ca="1">(+O958+O959)</f>
        <v>11540.9</v>
      </c>
      <c r="P957" s="4"/>
      <c r="Q957" s="4"/>
      <c r="R957" s="4">
        <f t="shared" si="1820"/>
        <v>16.487</v>
      </c>
      <c r="S957" s="4">
        <f t="shared" si="1821"/>
        <v>95921.366</v>
      </c>
      <c r="T957" s="4">
        <f>IFERROR(VLOOKUP(A957,产值统计中间表!A:F,7,FALSE),0)</f>
        <v>0</v>
      </c>
      <c r="U957" s="4">
        <f t="shared" si="1822"/>
        <v>0</v>
      </c>
      <c r="V957" s="4">
        <f>IFERROR(VLOOKUP(A957,产值统计中间表!A:D,4,FALSE),0)</f>
        <v>0</v>
      </c>
      <c r="W957" s="4">
        <f t="shared" si="1823"/>
        <v>0</v>
      </c>
      <c r="X957" s="4">
        <f t="shared" si="1824"/>
        <v>16.487</v>
      </c>
      <c r="Y957" s="4">
        <f t="shared" si="1825"/>
        <v>95921.366</v>
      </c>
      <c r="Z957" s="4">
        <f>IFERROR(VLOOKUP(A957,业主统计中间表!A:D,4,FALSE),0)</f>
        <v>0</v>
      </c>
      <c r="AA957" s="4">
        <f t="shared" si="1826"/>
        <v>0</v>
      </c>
      <c r="AB957" s="4"/>
    </row>
    <row r="958" customHeight="1" outlineLevel="3" spans="1:28">
      <c r="A958" s="514" t="s">
        <v>3553</v>
      </c>
      <c r="B958" s="4"/>
      <c r="C958" s="510" t="s">
        <v>64</v>
      </c>
      <c r="D958" s="4" t="s">
        <v>296</v>
      </c>
      <c r="E958" s="4"/>
      <c r="F958" s="4" t="str">
        <f ca="1" t="shared" si="1827"/>
        <v>t</v>
      </c>
      <c r="G958" s="4"/>
      <c r="H958" s="4"/>
      <c r="I958" s="4"/>
      <c r="J958" s="4"/>
      <c r="K958" s="4"/>
      <c r="L958" s="517"/>
      <c r="M958" s="4">
        <v>16.487</v>
      </c>
      <c r="N958" s="4">
        <f ca="1" t="shared" ref="N958:N961" si="1838">VLOOKUP($D958,INDIRECT($C958),3,0)</f>
        <v>700</v>
      </c>
      <c r="O958" s="4">
        <f ca="1">M958*N958</f>
        <v>11540.9</v>
      </c>
      <c r="P958" s="4"/>
      <c r="Q958" s="4"/>
      <c r="R958" s="4"/>
      <c r="S958" s="4"/>
      <c r="T958" s="4">
        <f ca="1" t="shared" ref="T958:T961" si="1839">OFFSET(T958,-RIGHT($A958,LEN($A$6)),,1,1)/OFFSET(T958,-RIGHT($A958,LEN($A$6)),-13,1,1)*$M958</f>
        <v>0</v>
      </c>
      <c r="U958" s="4">
        <f ca="1" t="shared" ref="U958:U961" si="1840">+$N958*T958</f>
        <v>0</v>
      </c>
      <c r="V958" s="4">
        <f ca="1" t="shared" ref="V958:V961" si="1841">OFFSET(V958,-RIGHT($A958,LEN($A$6)),,1,1)/OFFSET(V958,-RIGHT($A958,LEN($A$6)),-15,1,1)*$M958</f>
        <v>0</v>
      </c>
      <c r="W958" s="4">
        <f ca="1" t="shared" ref="W958:W961" si="1842">+$N958*V958</f>
        <v>0</v>
      </c>
      <c r="X958" s="4">
        <f ca="1" t="shared" ref="X958:X961" si="1843">+M958-V958</f>
        <v>16.487</v>
      </c>
      <c r="Y958" s="4">
        <f ca="1" t="shared" ref="Y958:Y961" si="1844">+O958-W958</f>
        <v>11540.9</v>
      </c>
      <c r="Z958" s="4">
        <f ca="1" t="shared" ref="Z958:Z961" si="1845">OFFSET(Z958,-RIGHT($A958,LEN($A$6)),,1,1)/OFFSET(Z958,-RIGHT($A958,LEN($A$6)),-19,1,1)*$M958</f>
        <v>0</v>
      </c>
      <c r="AA958" s="4">
        <f ca="1" t="shared" ref="AA958:AA961" si="1846">+$N958*Z958</f>
        <v>0</v>
      </c>
      <c r="AB958" s="4"/>
    </row>
    <row r="959" customHeight="1" outlineLevel="3" spans="1:28">
      <c r="A959" s="514" t="s">
        <v>3554</v>
      </c>
      <c r="B959" s="4"/>
      <c r="C959" s="510" t="s">
        <v>59</v>
      </c>
      <c r="D959" s="4" t="s">
        <v>1104</v>
      </c>
      <c r="E959" s="4" t="str">
        <f ca="1">"含钢量："&amp;ROUND($M$959/$G$957,3)&amp;$F$959&amp;"/"&amp;$F$957</f>
        <v>含钢量：1.025t/t</v>
      </c>
      <c r="F959" s="4" t="str">
        <f ca="1" t="shared" si="1827"/>
        <v>t</v>
      </c>
      <c r="G959" s="4"/>
      <c r="H959" s="4"/>
      <c r="I959" s="4"/>
      <c r="J959" s="4"/>
      <c r="K959" s="4"/>
      <c r="L959" s="517"/>
      <c r="M959" s="4">
        <v>16.899175</v>
      </c>
      <c r="N959" s="4">
        <f ca="1" t="shared" si="1838"/>
        <v>0</v>
      </c>
      <c r="O959" s="4">
        <f ca="1">M959*N959</f>
        <v>0</v>
      </c>
      <c r="P959" s="4"/>
      <c r="Q959" s="4"/>
      <c r="R959" s="4"/>
      <c r="S959" s="4"/>
      <c r="T959" s="4">
        <f ca="1" t="shared" si="1839"/>
        <v>0</v>
      </c>
      <c r="U959" s="4">
        <f ca="1" t="shared" si="1840"/>
        <v>0</v>
      </c>
      <c r="V959" s="4">
        <f ca="1" t="shared" si="1841"/>
        <v>0</v>
      </c>
      <c r="W959" s="4">
        <f ca="1" t="shared" si="1842"/>
        <v>0</v>
      </c>
      <c r="X959" s="4">
        <f ca="1" t="shared" si="1843"/>
        <v>16.899175</v>
      </c>
      <c r="Y959" s="4">
        <f ca="1" t="shared" si="1844"/>
        <v>0</v>
      </c>
      <c r="Z959" s="4">
        <f ca="1" t="shared" si="1845"/>
        <v>0</v>
      </c>
      <c r="AA959" s="4">
        <f ca="1" t="shared" si="1846"/>
        <v>0</v>
      </c>
      <c r="AB959" s="4"/>
    </row>
    <row r="960" customHeight="1" outlineLevel="2" spans="1:28">
      <c r="A960" s="515" t="s">
        <v>3555</v>
      </c>
      <c r="B960" s="4"/>
      <c r="C960" s="510" t="s">
        <v>1309</v>
      </c>
      <c r="D960" s="4" t="s">
        <v>349</v>
      </c>
      <c r="E960" s="4" t="s">
        <v>3556</v>
      </c>
      <c r="F960" s="4" t="s">
        <v>72</v>
      </c>
      <c r="G960" s="4">
        <v>5.78</v>
      </c>
      <c r="H960" s="4">
        <f>320.9/1.09</f>
        <v>294.403669724771</v>
      </c>
      <c r="I960" s="4">
        <f>G960*H960</f>
        <v>1701.65321100917</v>
      </c>
      <c r="J960" s="4">
        <f t="shared" ref="J960:L960" si="1847">+G960</f>
        <v>5.78</v>
      </c>
      <c r="K960" s="4">
        <f t="shared" si="1847"/>
        <v>294.403669724771</v>
      </c>
      <c r="L960" s="517">
        <f t="shared" si="1847"/>
        <v>1701.65321100917</v>
      </c>
      <c r="M960" s="4">
        <v>5.78</v>
      </c>
      <c r="N960" s="4">
        <f ca="1" t="shared" ref="N960:N964" si="1848">O960/M960</f>
        <v>716.262975778547</v>
      </c>
      <c r="O960" s="4">
        <f ca="1">(+O961)</f>
        <v>4140</v>
      </c>
      <c r="P960" s="4"/>
      <c r="Q960" s="4"/>
      <c r="R960" s="4">
        <f t="shared" ref="R960:R964" si="1849">+P960+J960</f>
        <v>5.78</v>
      </c>
      <c r="S960" s="4">
        <f t="shared" ref="S960:S964" si="1850">+Q960+L960</f>
        <v>1701.65321100917</v>
      </c>
      <c r="T960" s="4">
        <f>IFERROR(VLOOKUP(A960,产值统计中间表!A:F,7,FALSE),0)</f>
        <v>0</v>
      </c>
      <c r="U960" s="4">
        <f t="shared" ref="U960:U964" si="1851">+T960*H960</f>
        <v>0</v>
      </c>
      <c r="V960" s="4">
        <f>IFERROR(VLOOKUP(A960,产值统计中间表!A:D,4,FALSE),0)</f>
        <v>0</v>
      </c>
      <c r="W960" s="4">
        <f t="shared" ref="W960:W964" si="1852">+V960*H960</f>
        <v>0</v>
      </c>
      <c r="X960" s="4">
        <f t="shared" ref="X960:X964" si="1853">+R960-V960</f>
        <v>5.78</v>
      </c>
      <c r="Y960" s="4">
        <f t="shared" ref="Y960:Y964" si="1854">+S960-W960</f>
        <v>1701.65321100917</v>
      </c>
      <c r="Z960" s="4">
        <f>IFERROR(VLOOKUP(A960,业主统计中间表!A:D,4,FALSE),0)</f>
        <v>0</v>
      </c>
      <c r="AA960" s="4">
        <f t="shared" ref="AA960:AA964" si="1855">+Z960*H960</f>
        <v>0</v>
      </c>
      <c r="AB960" s="4"/>
    </row>
    <row r="961" customHeight="1" outlineLevel="3" spans="1:28">
      <c r="A961" s="514" t="s">
        <v>3557</v>
      </c>
      <c r="B961" s="4"/>
      <c r="C961" s="510" t="s">
        <v>64</v>
      </c>
      <c r="D961" s="4" t="s">
        <v>1055</v>
      </c>
      <c r="E961" s="4" t="s">
        <v>3558</v>
      </c>
      <c r="F961" s="4" t="str">
        <f ca="1" t="shared" ref="F961:F967" si="1856">VLOOKUP($D961,INDIRECT($C961),2,0)</f>
        <v>根</v>
      </c>
      <c r="G961" s="4"/>
      <c r="H961" s="4"/>
      <c r="I961" s="4"/>
      <c r="J961" s="4"/>
      <c r="K961" s="4"/>
      <c r="L961" s="517"/>
      <c r="M961" s="4">
        <v>23</v>
      </c>
      <c r="N961" s="4">
        <f ca="1" t="shared" si="1838"/>
        <v>180</v>
      </c>
      <c r="O961" s="4">
        <f ca="1">M961*N961</f>
        <v>4140</v>
      </c>
      <c r="P961" s="4"/>
      <c r="Q961" s="4"/>
      <c r="R961" s="4"/>
      <c r="S961" s="4"/>
      <c r="T961" s="4">
        <f ca="1" t="shared" si="1839"/>
        <v>0</v>
      </c>
      <c r="U961" s="4">
        <f ca="1" t="shared" si="1840"/>
        <v>0</v>
      </c>
      <c r="V961" s="4">
        <f ca="1" t="shared" si="1841"/>
        <v>0</v>
      </c>
      <c r="W961" s="4">
        <f ca="1" t="shared" si="1842"/>
        <v>0</v>
      </c>
      <c r="X961" s="4">
        <f ca="1" t="shared" si="1843"/>
        <v>23</v>
      </c>
      <c r="Y961" s="4">
        <f ca="1" t="shared" si="1844"/>
        <v>4140</v>
      </c>
      <c r="Z961" s="4">
        <f ca="1" t="shared" si="1845"/>
        <v>0</v>
      </c>
      <c r="AA961" s="4">
        <f ca="1" t="shared" si="1846"/>
        <v>0</v>
      </c>
      <c r="AB961" s="4"/>
    </row>
    <row r="962" customHeight="1" outlineLevel="2" spans="1:28">
      <c r="A962" s="515" t="s">
        <v>3559</v>
      </c>
      <c r="B962" s="4"/>
      <c r="C962" s="510" t="s">
        <v>1309</v>
      </c>
      <c r="D962" s="4" t="s">
        <v>3560</v>
      </c>
      <c r="E962" s="4" t="s">
        <v>3561</v>
      </c>
      <c r="F962" s="4" t="s">
        <v>72</v>
      </c>
      <c r="G962" s="4">
        <v>161.9</v>
      </c>
      <c r="H962" s="4">
        <v>14.0366972477064</v>
      </c>
      <c r="I962" s="4">
        <f>G962*H962</f>
        <v>2272.54128440367</v>
      </c>
      <c r="J962" s="4">
        <f t="shared" ref="J962:L962" si="1857">+G962</f>
        <v>161.9</v>
      </c>
      <c r="K962" s="4">
        <f t="shared" si="1857"/>
        <v>14.0366972477064</v>
      </c>
      <c r="L962" s="517">
        <f t="shared" si="1857"/>
        <v>2272.54128440367</v>
      </c>
      <c r="M962" s="4">
        <v>161.9</v>
      </c>
      <c r="N962" s="4">
        <f ca="1" t="shared" si="1848"/>
        <v>28</v>
      </c>
      <c r="O962" s="4">
        <f ca="1">(+O963)</f>
        <v>4533.2</v>
      </c>
      <c r="P962" s="4"/>
      <c r="Q962" s="4"/>
      <c r="R962" s="4">
        <f t="shared" si="1849"/>
        <v>161.9</v>
      </c>
      <c r="S962" s="4">
        <f t="shared" si="1850"/>
        <v>2272.54128440367</v>
      </c>
      <c r="T962" s="4">
        <f>IFERROR(VLOOKUP(A962,产值统计中间表!A:F,7,FALSE),0)</f>
        <v>0</v>
      </c>
      <c r="U962" s="4">
        <f t="shared" si="1851"/>
        <v>0</v>
      </c>
      <c r="V962" s="4">
        <f>IFERROR(VLOOKUP(A962,产值统计中间表!A:D,4,FALSE),0)</f>
        <v>0</v>
      </c>
      <c r="W962" s="4">
        <f t="shared" si="1852"/>
        <v>0</v>
      </c>
      <c r="X962" s="4">
        <f t="shared" si="1853"/>
        <v>161.9</v>
      </c>
      <c r="Y962" s="4">
        <f t="shared" si="1854"/>
        <v>2272.54128440367</v>
      </c>
      <c r="Z962" s="4">
        <f>IFERROR(VLOOKUP(A962,业主统计中间表!A:D,4,FALSE),0)</f>
        <v>0</v>
      </c>
      <c r="AA962" s="4">
        <f t="shared" si="1855"/>
        <v>0</v>
      </c>
      <c r="AB962" s="4"/>
    </row>
    <row r="963" customHeight="1" outlineLevel="3" spans="1:28">
      <c r="A963" s="514" t="s">
        <v>3562</v>
      </c>
      <c r="B963" s="4"/>
      <c r="C963" s="510" t="s">
        <v>63</v>
      </c>
      <c r="D963" s="4" t="s">
        <v>1206</v>
      </c>
      <c r="E963" s="4">
        <v>1500</v>
      </c>
      <c r="F963" s="4" t="str">
        <f ca="1" t="shared" si="1856"/>
        <v>m3</v>
      </c>
      <c r="G963" s="4"/>
      <c r="H963" s="4"/>
      <c r="I963" s="4"/>
      <c r="J963" s="4"/>
      <c r="K963" s="4"/>
      <c r="L963" s="517"/>
      <c r="M963" s="4">
        <v>161.9</v>
      </c>
      <c r="N963" s="4">
        <f ca="1" t="shared" ref="N963:N967" si="1858">VLOOKUP($D963,INDIRECT($C963),3,0)</f>
        <v>28</v>
      </c>
      <c r="O963" s="4">
        <f ca="1">M963*N963</f>
        <v>4533.2</v>
      </c>
      <c r="P963" s="4"/>
      <c r="Q963" s="4"/>
      <c r="R963" s="4"/>
      <c r="S963" s="4"/>
      <c r="T963" s="4">
        <f ca="1" t="shared" ref="T963:T967" si="1859">OFFSET(T963,-RIGHT($A963,LEN($A$6)),,1,1)/OFFSET(T963,-RIGHT($A963,LEN($A$6)),-13,1,1)*$M963</f>
        <v>0</v>
      </c>
      <c r="U963" s="4">
        <f ca="1" t="shared" ref="U963:U967" si="1860">+$N963*T963</f>
        <v>0</v>
      </c>
      <c r="V963" s="4">
        <f ca="1" t="shared" ref="V963:V967" si="1861">OFFSET(V963,-RIGHT($A963,LEN($A$6)),,1,1)/OFFSET(V963,-RIGHT($A963,LEN($A$6)),-15,1,1)*$M963</f>
        <v>0</v>
      </c>
      <c r="W963" s="4">
        <f ca="1" t="shared" ref="W963:W967" si="1862">+$N963*V963</f>
        <v>0</v>
      </c>
      <c r="X963" s="4">
        <f ca="1" t="shared" ref="X963:X967" si="1863">+M963-V963</f>
        <v>161.9</v>
      </c>
      <c r="Y963" s="4">
        <f ca="1" t="shared" ref="Y963:Y967" si="1864">+O963-W963</f>
        <v>4533.2</v>
      </c>
      <c r="Z963" s="4">
        <f ca="1" t="shared" ref="Z963:Z967" si="1865">OFFSET(Z963,-RIGHT($A963,LEN($A$6)),,1,1)/OFFSET(Z963,-RIGHT($A963,LEN($A$6)),-19,1,1)*$M963</f>
        <v>0</v>
      </c>
      <c r="AA963" s="4">
        <f ca="1" t="shared" ref="AA963:AA967" si="1866">+$N963*Z963</f>
        <v>0</v>
      </c>
      <c r="AB963" s="4"/>
    </row>
    <row r="964" customHeight="1" outlineLevel="2" spans="1:28">
      <c r="A964" s="515" t="s">
        <v>3563</v>
      </c>
      <c r="B964" s="4"/>
      <c r="C964" s="510" t="s">
        <v>1309</v>
      </c>
      <c r="D964" s="4" t="s">
        <v>2078</v>
      </c>
      <c r="E964" s="4" t="s">
        <v>3564</v>
      </c>
      <c r="F964" s="4" t="s">
        <v>72</v>
      </c>
      <c r="G964" s="4">
        <v>21.8</v>
      </c>
      <c r="H964" s="4">
        <v>519.954128440367</v>
      </c>
      <c r="I964" s="4">
        <f>G964*H964</f>
        <v>11335</v>
      </c>
      <c r="J964" s="4">
        <f t="shared" ref="J964:L964" si="1867">+G964</f>
        <v>21.8</v>
      </c>
      <c r="K964" s="4">
        <f t="shared" si="1867"/>
        <v>519.954128440367</v>
      </c>
      <c r="L964" s="517">
        <f t="shared" si="1867"/>
        <v>11335</v>
      </c>
      <c r="M964" s="4">
        <v>21.8</v>
      </c>
      <c r="N964" s="4">
        <f ca="1" t="shared" si="1848"/>
        <v>3459.66735696598</v>
      </c>
      <c r="O964" s="4">
        <f ca="1">(+O965+O966+O967)</f>
        <v>75420.7483818584</v>
      </c>
      <c r="P964" s="4"/>
      <c r="Q964" s="4"/>
      <c r="R964" s="4">
        <f t="shared" si="1849"/>
        <v>21.8</v>
      </c>
      <c r="S964" s="4">
        <f t="shared" si="1850"/>
        <v>11335</v>
      </c>
      <c r="T964" s="4">
        <f>IFERROR(VLOOKUP(A964,产值统计中间表!A:F,7,FALSE),0)</f>
        <v>0</v>
      </c>
      <c r="U964" s="4">
        <f t="shared" si="1851"/>
        <v>0</v>
      </c>
      <c r="V964" s="4">
        <f>IFERROR(VLOOKUP(A964,产值统计中间表!A:D,4,FALSE),0)</f>
        <v>0</v>
      </c>
      <c r="W964" s="4">
        <f t="shared" si="1852"/>
        <v>0</v>
      </c>
      <c r="X964" s="4">
        <f t="shared" si="1853"/>
        <v>21.8</v>
      </c>
      <c r="Y964" s="4">
        <f t="shared" si="1854"/>
        <v>11335</v>
      </c>
      <c r="Z964" s="4">
        <f>IFERROR(VLOOKUP(A964,业主统计中间表!A:D,4,FALSE),0)</f>
        <v>0</v>
      </c>
      <c r="AA964" s="4">
        <f t="shared" si="1855"/>
        <v>0</v>
      </c>
      <c r="AB964" s="4"/>
    </row>
    <row r="965" customHeight="1" outlineLevel="3" spans="1:28">
      <c r="A965" s="514" t="s">
        <v>3565</v>
      </c>
      <c r="B965" s="4"/>
      <c r="C965" s="510" t="s">
        <v>59</v>
      </c>
      <c r="D965" s="4" t="s">
        <v>206</v>
      </c>
      <c r="E965" s="4"/>
      <c r="F965" s="4" t="str">
        <f ca="1" t="shared" si="1856"/>
        <v>m3</v>
      </c>
      <c r="G965" s="4"/>
      <c r="H965" s="4"/>
      <c r="I965" s="4"/>
      <c r="J965" s="4"/>
      <c r="K965" s="4"/>
      <c r="L965" s="517"/>
      <c r="M965" s="4">
        <v>21.909</v>
      </c>
      <c r="N965" s="4">
        <f ca="1" t="shared" si="1858"/>
        <v>3097.57831858407</v>
      </c>
      <c r="O965" s="4">
        <f ca="1">M965*N965</f>
        <v>67864.8433818584</v>
      </c>
      <c r="P965" s="4"/>
      <c r="Q965" s="4"/>
      <c r="R965" s="4"/>
      <c r="S965" s="4"/>
      <c r="T965" s="4">
        <f ca="1" t="shared" si="1859"/>
        <v>0</v>
      </c>
      <c r="U965" s="4">
        <f ca="1" t="shared" si="1860"/>
        <v>0</v>
      </c>
      <c r="V965" s="4">
        <f ca="1" t="shared" si="1861"/>
        <v>0</v>
      </c>
      <c r="W965" s="4">
        <f ca="1" t="shared" si="1862"/>
        <v>0</v>
      </c>
      <c r="X965" s="4">
        <f ca="1" t="shared" si="1863"/>
        <v>21.909</v>
      </c>
      <c r="Y965" s="4">
        <f ca="1" t="shared" si="1864"/>
        <v>67864.8433818584</v>
      </c>
      <c r="Z965" s="4">
        <f ca="1" t="shared" si="1865"/>
        <v>0</v>
      </c>
      <c r="AA965" s="4">
        <f ca="1" t="shared" si="1866"/>
        <v>0</v>
      </c>
      <c r="AB965" s="4"/>
    </row>
    <row r="966" customHeight="1" outlineLevel="3" spans="1:28">
      <c r="A966" s="514" t="s">
        <v>3566</v>
      </c>
      <c r="B966" s="4"/>
      <c r="C966" s="510" t="s">
        <v>64</v>
      </c>
      <c r="D966" s="4" t="s">
        <v>1109</v>
      </c>
      <c r="E966" s="4"/>
      <c r="F966" s="4" t="str">
        <f ca="1" t="shared" si="1856"/>
        <v>m2</v>
      </c>
      <c r="G966" s="4"/>
      <c r="H966" s="4"/>
      <c r="I966" s="4"/>
      <c r="J966" s="4"/>
      <c r="K966" s="4"/>
      <c r="L966" s="517"/>
      <c r="M966" s="4">
        <v>109.5</v>
      </c>
      <c r="N966" s="4">
        <f ca="1" t="shared" si="1858"/>
        <v>60</v>
      </c>
      <c r="O966" s="4">
        <f ca="1">M966*N966</f>
        <v>6570</v>
      </c>
      <c r="P966" s="4"/>
      <c r="Q966" s="4"/>
      <c r="R966" s="4"/>
      <c r="S966" s="4"/>
      <c r="T966" s="4">
        <f ca="1" t="shared" si="1859"/>
        <v>0</v>
      </c>
      <c r="U966" s="4">
        <f ca="1" t="shared" si="1860"/>
        <v>0</v>
      </c>
      <c r="V966" s="4">
        <f ca="1" t="shared" si="1861"/>
        <v>0</v>
      </c>
      <c r="W966" s="4">
        <f ca="1" t="shared" si="1862"/>
        <v>0</v>
      </c>
      <c r="X966" s="4">
        <f ca="1" t="shared" si="1863"/>
        <v>109.5</v>
      </c>
      <c r="Y966" s="4">
        <f ca="1" t="shared" si="1864"/>
        <v>6570</v>
      </c>
      <c r="Z966" s="4">
        <f ca="1" t="shared" si="1865"/>
        <v>0</v>
      </c>
      <c r="AA966" s="4">
        <f ca="1" t="shared" si="1866"/>
        <v>0</v>
      </c>
      <c r="AB966" s="4"/>
    </row>
    <row r="967" customHeight="1" outlineLevel="3" spans="1:28">
      <c r="A967" s="514" t="s">
        <v>3567</v>
      </c>
      <c r="B967" s="4"/>
      <c r="C967" s="510" t="s">
        <v>64</v>
      </c>
      <c r="D967" s="4" t="s">
        <v>80</v>
      </c>
      <c r="E967" s="4"/>
      <c r="F967" s="4" t="str">
        <f ca="1" t="shared" si="1856"/>
        <v>m3</v>
      </c>
      <c r="G967" s="4"/>
      <c r="H967" s="4"/>
      <c r="I967" s="4"/>
      <c r="J967" s="4"/>
      <c r="K967" s="4"/>
      <c r="L967" s="517"/>
      <c r="M967" s="4">
        <v>21.909</v>
      </c>
      <c r="N967" s="4">
        <f ca="1" t="shared" si="1858"/>
        <v>45</v>
      </c>
      <c r="O967" s="4">
        <f ca="1">M967*N967</f>
        <v>985.905</v>
      </c>
      <c r="P967" s="4"/>
      <c r="Q967" s="4"/>
      <c r="R967" s="4"/>
      <c r="S967" s="4"/>
      <c r="T967" s="4">
        <f ca="1" t="shared" si="1859"/>
        <v>0</v>
      </c>
      <c r="U967" s="4">
        <f ca="1" t="shared" si="1860"/>
        <v>0</v>
      </c>
      <c r="V967" s="4">
        <f ca="1" t="shared" si="1861"/>
        <v>0</v>
      </c>
      <c r="W967" s="4">
        <f ca="1" t="shared" si="1862"/>
        <v>0</v>
      </c>
      <c r="X967" s="4">
        <f ca="1" t="shared" si="1863"/>
        <v>21.909</v>
      </c>
      <c r="Y967" s="4">
        <f ca="1" t="shared" si="1864"/>
        <v>985.905</v>
      </c>
      <c r="Z967" s="4">
        <f ca="1" t="shared" si="1865"/>
        <v>0</v>
      </c>
      <c r="AA967" s="4">
        <f ca="1" t="shared" si="1866"/>
        <v>0</v>
      </c>
      <c r="AB967" s="4"/>
    </row>
    <row r="968" customHeight="1" outlineLevel="2" spans="1:28">
      <c r="A968" s="515" t="s">
        <v>3568</v>
      </c>
      <c r="B968" s="4"/>
      <c r="C968" s="510" t="s">
        <v>1309</v>
      </c>
      <c r="D968" s="4" t="s">
        <v>515</v>
      </c>
      <c r="E968" s="4" t="s">
        <v>3569</v>
      </c>
      <c r="F968" s="4" t="s">
        <v>82</v>
      </c>
      <c r="G968" s="4">
        <v>4.069</v>
      </c>
      <c r="H968" s="4">
        <v>5561.65137614679</v>
      </c>
      <c r="I968" s="4">
        <f>G968*H968</f>
        <v>22630.3594495413</v>
      </c>
      <c r="J968" s="4">
        <f t="shared" ref="J968:L968" si="1868">+G968</f>
        <v>4.069</v>
      </c>
      <c r="K968" s="4">
        <f t="shared" si="1868"/>
        <v>5561.65137614679</v>
      </c>
      <c r="L968" s="517">
        <f t="shared" si="1868"/>
        <v>22630.3594495413</v>
      </c>
      <c r="M968" s="4">
        <v>4.069</v>
      </c>
      <c r="N968" s="4">
        <f ca="1">O968/M968</f>
        <v>5145</v>
      </c>
      <c r="O968" s="4">
        <f ca="1">(+O969+O970)</f>
        <v>20935.005</v>
      </c>
      <c r="P968" s="4"/>
      <c r="Q968" s="4"/>
      <c r="R968" s="4">
        <f>+P968+J968</f>
        <v>4.069</v>
      </c>
      <c r="S968" s="4">
        <f>+Q968+L968</f>
        <v>22630.3594495413</v>
      </c>
      <c r="T968" s="4">
        <f>IFERROR(VLOOKUP(A968,产值统计中间表!A:F,7,FALSE),0)</f>
        <v>0</v>
      </c>
      <c r="U968" s="4">
        <f>+T968*H968</f>
        <v>0</v>
      </c>
      <c r="V968" s="4">
        <f>IFERROR(VLOOKUP(A968,产值统计中间表!A:D,4,FALSE),0)</f>
        <v>0</v>
      </c>
      <c r="W968" s="4">
        <f>+V968*H968</f>
        <v>0</v>
      </c>
      <c r="X968" s="4">
        <f>+R968-V968</f>
        <v>4.069</v>
      </c>
      <c r="Y968" s="4">
        <f>+S968-W968</f>
        <v>22630.3594495413</v>
      </c>
      <c r="Z968" s="4">
        <f>IFERROR(VLOOKUP(A968,业主统计中间表!A:D,4,FALSE),0)</f>
        <v>0</v>
      </c>
      <c r="AA968" s="4">
        <f>+Z968*H968</f>
        <v>0</v>
      </c>
      <c r="AB968" s="4"/>
    </row>
    <row r="969" customHeight="1" outlineLevel="3" spans="1:28">
      <c r="A969" s="514" t="s">
        <v>3570</v>
      </c>
      <c r="B969" s="4"/>
      <c r="C969" s="510" t="s">
        <v>59</v>
      </c>
      <c r="D969" s="4" t="s">
        <v>480</v>
      </c>
      <c r="E969" s="4" t="str">
        <f ca="1">"含钢量："&amp;ROUND($M$969/$G$968,3)&amp;$F$969&amp;"/"&amp;$F$968</f>
        <v>含钢量：1.05t/t</v>
      </c>
      <c r="F969" s="4" t="str">
        <f ca="1">VLOOKUP($D969,INDIRECT($C969),2,0)</f>
        <v>t</v>
      </c>
      <c r="G969" s="4"/>
      <c r="H969" s="4"/>
      <c r="I969" s="4"/>
      <c r="J969" s="4"/>
      <c r="K969" s="4"/>
      <c r="L969" s="517"/>
      <c r="M969" s="4">
        <v>4.27245</v>
      </c>
      <c r="N969" s="4">
        <f ca="1" t="shared" ref="N969:N973" si="1869">VLOOKUP($D969,INDIRECT($C969),3,0)</f>
        <v>4200</v>
      </c>
      <c r="O969" s="4">
        <f ca="1">M969*N969</f>
        <v>17944.29</v>
      </c>
      <c r="P969" s="4"/>
      <c r="Q969" s="4"/>
      <c r="R969" s="4"/>
      <c r="S969" s="4"/>
      <c r="T969" s="4">
        <f ca="1" t="shared" ref="T969:T973" si="1870">OFFSET(T969,-RIGHT($A969,LEN($A$6)),,1,1)/OFFSET(T969,-RIGHT($A969,LEN($A$6)),-13,1,1)*$M969</f>
        <v>0</v>
      </c>
      <c r="U969" s="4">
        <f ca="1" t="shared" ref="U969:U973" si="1871">+$N969*T969</f>
        <v>0</v>
      </c>
      <c r="V969" s="4">
        <f ca="1" t="shared" ref="V969:V973" si="1872">OFFSET(V969,-RIGHT($A969,LEN($A$6)),,1,1)/OFFSET(V969,-RIGHT($A969,LEN($A$6)),-15,1,1)*$M969</f>
        <v>0</v>
      </c>
      <c r="W969" s="4">
        <f ca="1" t="shared" ref="W969:W973" si="1873">+$N969*V969</f>
        <v>0</v>
      </c>
      <c r="X969" s="4">
        <f ca="1" t="shared" ref="X969:X973" si="1874">+M969-V969</f>
        <v>4.27245</v>
      </c>
      <c r="Y969" s="4">
        <f ca="1" t="shared" ref="Y969:Y973" si="1875">+O969-W969</f>
        <v>17944.29</v>
      </c>
      <c r="Z969" s="4">
        <f ca="1" t="shared" ref="Z969:Z973" si="1876">OFFSET(Z969,-RIGHT($A969,LEN($A$6)),,1,1)/OFFSET(Z969,-RIGHT($A969,LEN($A$6)),-19,1,1)*$M969</f>
        <v>0</v>
      </c>
      <c r="AA969" s="4">
        <f ca="1" t="shared" ref="AA969:AA973" si="1877">+$N969*Z969</f>
        <v>0</v>
      </c>
      <c r="AB969" s="4"/>
    </row>
    <row r="970" customHeight="1" outlineLevel="3" spans="1:28">
      <c r="A970" s="514" t="s">
        <v>3571</v>
      </c>
      <c r="B970" s="4"/>
      <c r="C970" s="510" t="s">
        <v>64</v>
      </c>
      <c r="D970" s="4" t="s">
        <v>296</v>
      </c>
      <c r="E970" s="4"/>
      <c r="F970" s="4" t="str">
        <f ca="1">VLOOKUP($D970,INDIRECT($C970),2,0)</f>
        <v>t</v>
      </c>
      <c r="G970" s="4"/>
      <c r="H970" s="4"/>
      <c r="I970" s="4"/>
      <c r="J970" s="4"/>
      <c r="K970" s="4"/>
      <c r="L970" s="517"/>
      <c r="M970" s="4">
        <v>4.27245</v>
      </c>
      <c r="N970" s="4">
        <f ca="1" t="shared" si="1869"/>
        <v>700</v>
      </c>
      <c r="O970" s="4">
        <f ca="1">M970*N970</f>
        <v>2990.715</v>
      </c>
      <c r="P970" s="4"/>
      <c r="Q970" s="4"/>
      <c r="R970" s="4"/>
      <c r="S970" s="4"/>
      <c r="T970" s="4">
        <f ca="1" t="shared" si="1870"/>
        <v>0</v>
      </c>
      <c r="U970" s="4">
        <f ca="1" t="shared" si="1871"/>
        <v>0</v>
      </c>
      <c r="V970" s="4">
        <f ca="1" t="shared" si="1872"/>
        <v>0</v>
      </c>
      <c r="W970" s="4">
        <f ca="1" t="shared" si="1873"/>
        <v>0</v>
      </c>
      <c r="X970" s="4">
        <f ca="1" t="shared" si="1874"/>
        <v>4.27245</v>
      </c>
      <c r="Y970" s="4">
        <f ca="1" t="shared" si="1875"/>
        <v>2990.715</v>
      </c>
      <c r="Z970" s="4">
        <f ca="1" t="shared" si="1876"/>
        <v>0</v>
      </c>
      <c r="AA970" s="4">
        <f ca="1" t="shared" si="1877"/>
        <v>0</v>
      </c>
      <c r="AB970" s="4"/>
    </row>
    <row r="971" customHeight="1" outlineLevel="1" spans="1:28">
      <c r="A971" s="518" t="s">
        <v>3572</v>
      </c>
      <c r="B971" s="4"/>
      <c r="C971" s="510" t="s">
        <v>60</v>
      </c>
      <c r="D971" s="4" t="s">
        <v>3573</v>
      </c>
      <c r="E971" s="4"/>
      <c r="F971" s="4"/>
      <c r="G971" s="4"/>
      <c r="H971" s="4"/>
      <c r="I971" s="4">
        <f>(+I972+I974+I977+I980+I983+I986+I989+I992+I995+I998+I1001+I1004+I1007+I1010+I1013+I1015+I1017+I1019+I1022+I1025+I1027+I1029+I1031+I1033)</f>
        <v>13077527.7273945</v>
      </c>
      <c r="J971" s="4"/>
      <c r="K971" s="4"/>
      <c r="L971" s="517">
        <f>(+L972+L974+L977+L980+L983+L986+L989+L992+L995+L998+L1001+L1004+L1007+L1010+L1013+L1015+L1017+L1019+L1022+L1025+L1027+L1029+L1031+L1033)</f>
        <v>13077527.7273945</v>
      </c>
      <c r="M971" s="4"/>
      <c r="N971" s="4"/>
      <c r="O971" s="4">
        <f ca="1">(+O972+O974+O977+O980+O983+O986+O989+O992+O995+O998+O1001+O1004+O1007+O1010+O1013+O1015+O1017+O1019+O1022+O1025+O1027+O1029+O1031+O1033)</f>
        <v>7197975.4392585</v>
      </c>
      <c r="P971" s="4"/>
      <c r="Q971" s="4"/>
      <c r="R971" s="4"/>
      <c r="S971" s="4"/>
      <c r="T971" s="4"/>
      <c r="U971" s="4"/>
      <c r="V971" s="4"/>
      <c r="W971" s="4"/>
      <c r="X971" s="4"/>
      <c r="Y971" s="4"/>
      <c r="Z971" s="4"/>
      <c r="AA971" s="4"/>
      <c r="AB971" s="4"/>
    </row>
    <row r="972" customHeight="1" outlineLevel="2" spans="1:28">
      <c r="A972" s="515" t="s">
        <v>3574</v>
      </c>
      <c r="B972" s="4"/>
      <c r="C972" s="510" t="s">
        <v>1309</v>
      </c>
      <c r="D972" s="4" t="s">
        <v>1847</v>
      </c>
      <c r="E972" s="4" t="s">
        <v>3575</v>
      </c>
      <c r="F972" s="4" t="s">
        <v>82</v>
      </c>
      <c r="G972" s="4">
        <v>121.486</v>
      </c>
      <c r="H972" s="4">
        <v>354.302752293578</v>
      </c>
      <c r="I972" s="4">
        <f>G972*H972</f>
        <v>43042.8241651376</v>
      </c>
      <c r="J972" s="4">
        <f t="shared" ref="J972:L972" si="1878">+G972</f>
        <v>121.486</v>
      </c>
      <c r="K972" s="4">
        <f t="shared" si="1878"/>
        <v>354.302752293578</v>
      </c>
      <c r="L972" s="517">
        <f t="shared" si="1878"/>
        <v>43042.8241651376</v>
      </c>
      <c r="M972" s="4">
        <v>121.486</v>
      </c>
      <c r="N972" s="4">
        <f ca="1" t="shared" ref="N972:N977" si="1879">O972/M972</f>
        <v>0</v>
      </c>
      <c r="O972" s="4">
        <f ca="1">(+O973)</f>
        <v>0</v>
      </c>
      <c r="P972" s="4"/>
      <c r="Q972" s="4"/>
      <c r="R972" s="4">
        <f t="shared" ref="R972:R977" si="1880">+P972+J972</f>
        <v>121.486</v>
      </c>
      <c r="S972" s="4">
        <f t="shared" ref="S972:S977" si="1881">+Q972+L972</f>
        <v>43042.8241651376</v>
      </c>
      <c r="T972" s="4">
        <f>IFERROR(VLOOKUP(A972,产值统计中间表!A:F,7,FALSE),0)</f>
        <v>0</v>
      </c>
      <c r="U972" s="4">
        <f t="shared" ref="U972:U977" si="1882">+T972*H972</f>
        <v>0</v>
      </c>
      <c r="V972" s="4">
        <f>IFERROR(VLOOKUP(A972,产值统计中间表!A:D,4,FALSE),0)</f>
        <v>0</v>
      </c>
      <c r="W972" s="4">
        <f t="shared" ref="W972:W977" si="1883">+V972*H972</f>
        <v>0</v>
      </c>
      <c r="X972" s="4">
        <f t="shared" ref="X972:X977" si="1884">+R972-V972</f>
        <v>121.486</v>
      </c>
      <c r="Y972" s="4">
        <f t="shared" ref="Y972:Y977" si="1885">+S972-W972</f>
        <v>43042.8241651376</v>
      </c>
      <c r="Z972" s="4">
        <f>IFERROR(VLOOKUP(A972,业主统计中间表!A:D,4,FALSE),0)</f>
        <v>0</v>
      </c>
      <c r="AA972" s="4">
        <f t="shared" ref="AA972:AA977" si="1886">+Z972*H972</f>
        <v>0</v>
      </c>
      <c r="AB972" s="4"/>
    </row>
    <row r="973" customHeight="1" outlineLevel="3" spans="1:28">
      <c r="A973" s="514" t="s">
        <v>3576</v>
      </c>
      <c r="B973" s="4"/>
      <c r="C973" s="510" t="s">
        <v>63</v>
      </c>
      <c r="D973" s="4" t="s">
        <v>1214</v>
      </c>
      <c r="E973" s="4"/>
      <c r="F973" s="4" t="s">
        <v>82</v>
      </c>
      <c r="G973" s="4"/>
      <c r="H973" s="4"/>
      <c r="I973" s="4"/>
      <c r="J973" s="4"/>
      <c r="K973" s="4"/>
      <c r="L973" s="517"/>
      <c r="M973" s="4">
        <v>0</v>
      </c>
      <c r="N973" s="4">
        <f ca="1" t="shared" si="1869"/>
        <v>2378</v>
      </c>
      <c r="O973" s="4">
        <f ca="1">M973*N973</f>
        <v>0</v>
      </c>
      <c r="P973" s="4"/>
      <c r="Q973" s="4"/>
      <c r="R973" s="4"/>
      <c r="S973" s="4"/>
      <c r="T973" s="4">
        <f ca="1" t="shared" si="1870"/>
        <v>0</v>
      </c>
      <c r="U973" s="4">
        <f ca="1" t="shared" si="1871"/>
        <v>0</v>
      </c>
      <c r="V973" s="4">
        <f ca="1" t="shared" si="1872"/>
        <v>0</v>
      </c>
      <c r="W973" s="4">
        <f ca="1" t="shared" si="1873"/>
        <v>0</v>
      </c>
      <c r="X973" s="4">
        <f ca="1" t="shared" si="1874"/>
        <v>0</v>
      </c>
      <c r="Y973" s="4">
        <f ca="1" t="shared" si="1875"/>
        <v>0</v>
      </c>
      <c r="Z973" s="4">
        <f ca="1" t="shared" si="1876"/>
        <v>0</v>
      </c>
      <c r="AA973" s="4">
        <f ca="1" t="shared" si="1877"/>
        <v>0</v>
      </c>
      <c r="AB973" s="4"/>
    </row>
    <row r="974" customHeight="1" outlineLevel="2" spans="1:28">
      <c r="A974" s="515" t="s">
        <v>3577</v>
      </c>
      <c r="B974" s="4"/>
      <c r="C974" s="510" t="s">
        <v>1309</v>
      </c>
      <c r="D974" s="4" t="s">
        <v>3578</v>
      </c>
      <c r="E974" s="4" t="s">
        <v>3579</v>
      </c>
      <c r="F974" s="4" t="s">
        <v>76</v>
      </c>
      <c r="G974" s="4">
        <v>214.8</v>
      </c>
      <c r="H974" s="4">
        <v>628.825688073394</v>
      </c>
      <c r="I974" s="4">
        <f>G974*H974</f>
        <v>135071.757798165</v>
      </c>
      <c r="J974" s="4">
        <f t="shared" ref="J974:L974" si="1887">+G974</f>
        <v>214.8</v>
      </c>
      <c r="K974" s="4">
        <f t="shared" si="1887"/>
        <v>628.825688073394</v>
      </c>
      <c r="L974" s="517">
        <f t="shared" si="1887"/>
        <v>135071.757798165</v>
      </c>
      <c r="M974" s="4">
        <v>214.8</v>
      </c>
      <c r="N974" s="4">
        <f ca="1" t="shared" si="1879"/>
        <v>635.365363128492</v>
      </c>
      <c r="O974" s="4">
        <f ca="1">(+O975+O976)</f>
        <v>136476.48</v>
      </c>
      <c r="P974" s="4"/>
      <c r="Q974" s="4"/>
      <c r="R974" s="4">
        <f t="shared" si="1880"/>
        <v>214.8</v>
      </c>
      <c r="S974" s="4">
        <f t="shared" si="1881"/>
        <v>135071.757798165</v>
      </c>
      <c r="T974" s="4">
        <f>IFERROR(VLOOKUP(A974,产值统计中间表!A:F,7,FALSE),0)</f>
        <v>0</v>
      </c>
      <c r="U974" s="4">
        <f t="shared" si="1882"/>
        <v>0</v>
      </c>
      <c r="V974" s="4">
        <f>IFERROR(VLOOKUP(A974,产值统计中间表!A:D,4,FALSE),0)</f>
        <v>0</v>
      </c>
      <c r="W974" s="4">
        <f t="shared" si="1883"/>
        <v>0</v>
      </c>
      <c r="X974" s="4">
        <f t="shared" si="1884"/>
        <v>214.8</v>
      </c>
      <c r="Y974" s="4">
        <f t="shared" si="1885"/>
        <v>135071.757798165</v>
      </c>
      <c r="Z974" s="4">
        <f>IFERROR(VLOOKUP(A974,业主统计中间表!A:D,4,FALSE),0)</f>
        <v>0</v>
      </c>
      <c r="AA974" s="4">
        <f t="shared" si="1886"/>
        <v>0</v>
      </c>
      <c r="AB974" s="4"/>
    </row>
    <row r="975" customHeight="1" outlineLevel="3" spans="1:28">
      <c r="A975" s="514" t="s">
        <v>3580</v>
      </c>
      <c r="B975" s="4"/>
      <c r="C975" s="510" t="s">
        <v>65</v>
      </c>
      <c r="D975" s="4" t="s">
        <v>687</v>
      </c>
      <c r="E975" s="4" t="s">
        <v>3581</v>
      </c>
      <c r="F975" s="4" t="str">
        <f ca="1" t="shared" ref="F975:F979" si="1888">VLOOKUP($D975,INDIRECT($C975),2,0)</f>
        <v>m³</v>
      </c>
      <c r="G975" s="4"/>
      <c r="H975" s="4"/>
      <c r="I975" s="4"/>
      <c r="J975" s="4"/>
      <c r="K975" s="4"/>
      <c r="L975" s="517"/>
      <c r="M975" s="4">
        <v>214.8</v>
      </c>
      <c r="N975" s="4">
        <f ca="1" t="shared" ref="N975:N979" si="1889">VLOOKUP($D975,INDIRECT($C975),3,0)</f>
        <v>390</v>
      </c>
      <c r="O975" s="4">
        <f ca="1">M975*N975</f>
        <v>83772</v>
      </c>
      <c r="P975" s="4"/>
      <c r="Q975" s="4"/>
      <c r="R975" s="4"/>
      <c r="S975" s="4"/>
      <c r="T975" s="4">
        <f ca="1" t="shared" ref="T975:T979" si="1890">OFFSET(T975,-RIGHT($A975,LEN($A$6)),,1,1)/OFFSET(T975,-RIGHT($A975,LEN($A$6)),-13,1,1)*$M975</f>
        <v>0</v>
      </c>
      <c r="U975" s="4">
        <f ca="1" t="shared" ref="U975:U979" si="1891">+$N975*T975</f>
        <v>0</v>
      </c>
      <c r="V975" s="4">
        <f ca="1" t="shared" ref="V975:V979" si="1892">OFFSET(V975,-RIGHT($A975,LEN($A$6)),,1,1)/OFFSET(V975,-RIGHT($A975,LEN($A$6)),-15,1,1)*$M975</f>
        <v>0</v>
      </c>
      <c r="W975" s="4">
        <f ca="1" t="shared" ref="W975:W979" si="1893">+$N975*V975</f>
        <v>0</v>
      </c>
      <c r="X975" s="4">
        <f ca="1" t="shared" ref="X975:X979" si="1894">+M975-V975</f>
        <v>214.8</v>
      </c>
      <c r="Y975" s="4">
        <f ca="1" t="shared" ref="Y975:Y979" si="1895">+O975-W975</f>
        <v>83772</v>
      </c>
      <c r="Z975" s="4">
        <f ca="1" t="shared" ref="Z975:Z979" si="1896">OFFSET(Z975,-RIGHT($A975,LEN($A$6)),,1,1)/OFFSET(Z975,-RIGHT($A975,LEN($A$6)),-19,1,1)*$M975</f>
        <v>0</v>
      </c>
      <c r="AA975" s="4">
        <f ca="1" t="shared" ref="AA975:AA979" si="1897">+$N975*Z975</f>
        <v>0</v>
      </c>
      <c r="AB975" s="4"/>
    </row>
    <row r="976" customHeight="1" outlineLevel="3" spans="1:28">
      <c r="A976" s="514" t="s">
        <v>3582</v>
      </c>
      <c r="B976" s="4"/>
      <c r="C976" s="510" t="s">
        <v>59</v>
      </c>
      <c r="D976" s="4" t="s">
        <v>784</v>
      </c>
      <c r="E976" s="4"/>
      <c r="F976" s="4" t="str">
        <f ca="1" t="shared" si="1888"/>
        <v>m³</v>
      </c>
      <c r="G976" s="4"/>
      <c r="H976" s="4"/>
      <c r="I976" s="4"/>
      <c r="J976" s="4"/>
      <c r="K976" s="4"/>
      <c r="L976" s="517"/>
      <c r="M976" s="4">
        <v>131.7612</v>
      </c>
      <c r="N976" s="4">
        <f ca="1" t="shared" si="1889"/>
        <v>400</v>
      </c>
      <c r="O976" s="4">
        <f ca="1">M976*N976</f>
        <v>52704.48</v>
      </c>
      <c r="P976" s="4"/>
      <c r="Q976" s="4"/>
      <c r="R976" s="4"/>
      <c r="S976" s="4"/>
      <c r="T976" s="4">
        <f ca="1" t="shared" si="1890"/>
        <v>0</v>
      </c>
      <c r="U976" s="4">
        <f ca="1" t="shared" si="1891"/>
        <v>0</v>
      </c>
      <c r="V976" s="4">
        <f ca="1" t="shared" si="1892"/>
        <v>0</v>
      </c>
      <c r="W976" s="4">
        <f ca="1" t="shared" si="1893"/>
        <v>0</v>
      </c>
      <c r="X976" s="4">
        <f ca="1" t="shared" si="1894"/>
        <v>131.7612</v>
      </c>
      <c r="Y976" s="4">
        <f ca="1" t="shared" si="1895"/>
        <v>52704.48</v>
      </c>
      <c r="Z976" s="4">
        <f ca="1" t="shared" si="1896"/>
        <v>0</v>
      </c>
      <c r="AA976" s="4">
        <f ca="1" t="shared" si="1897"/>
        <v>0</v>
      </c>
      <c r="AB976" s="4"/>
    </row>
    <row r="977" customHeight="1" outlineLevel="2" spans="1:28">
      <c r="A977" s="515" t="s">
        <v>3583</v>
      </c>
      <c r="B977" s="4"/>
      <c r="C977" s="510" t="s">
        <v>1309</v>
      </c>
      <c r="D977" s="4" t="s">
        <v>3578</v>
      </c>
      <c r="E977" s="4" t="s">
        <v>3584</v>
      </c>
      <c r="F977" s="4" t="s">
        <v>76</v>
      </c>
      <c r="G977" s="4">
        <v>248.8</v>
      </c>
      <c r="H977" s="4">
        <v>1051.19266055046</v>
      </c>
      <c r="I977" s="4">
        <f>G977*H977</f>
        <v>261536.733944954</v>
      </c>
      <c r="J977" s="4">
        <f t="shared" ref="J977:L977" si="1898">+G977</f>
        <v>248.8</v>
      </c>
      <c r="K977" s="4">
        <f t="shared" si="1898"/>
        <v>1051.19266055046</v>
      </c>
      <c r="L977" s="517">
        <f t="shared" si="1898"/>
        <v>261536.733944954</v>
      </c>
      <c r="M977" s="4">
        <v>248.8</v>
      </c>
      <c r="N977" s="4">
        <f ca="1" t="shared" si="1879"/>
        <v>946.49354340836</v>
      </c>
      <c r="O977" s="4">
        <f ca="1">(+O978+O979)</f>
        <v>235487.5936</v>
      </c>
      <c r="P977" s="4"/>
      <c r="Q977" s="4"/>
      <c r="R977" s="4">
        <f t="shared" si="1880"/>
        <v>248.8</v>
      </c>
      <c r="S977" s="4">
        <f t="shared" si="1881"/>
        <v>261536.733944954</v>
      </c>
      <c r="T977" s="4">
        <f>IFERROR(VLOOKUP(A977,产值统计中间表!A:F,7,FALSE),0)</f>
        <v>0</v>
      </c>
      <c r="U977" s="4">
        <f t="shared" si="1882"/>
        <v>0</v>
      </c>
      <c r="V977" s="4">
        <f>IFERROR(VLOOKUP(A977,产值统计中间表!A:D,4,FALSE),0)</f>
        <v>0</v>
      </c>
      <c r="W977" s="4">
        <f t="shared" si="1883"/>
        <v>0</v>
      </c>
      <c r="X977" s="4">
        <f t="shared" si="1884"/>
        <v>248.8</v>
      </c>
      <c r="Y977" s="4">
        <f t="shared" si="1885"/>
        <v>261536.733944954</v>
      </c>
      <c r="Z977" s="4">
        <f>IFERROR(VLOOKUP(A977,业主统计中间表!A:D,4,FALSE),0)</f>
        <v>0</v>
      </c>
      <c r="AA977" s="4">
        <f t="shared" si="1886"/>
        <v>0</v>
      </c>
      <c r="AB977" s="4"/>
    </row>
    <row r="978" customHeight="1" outlineLevel="3" spans="1:28">
      <c r="A978" s="514" t="s">
        <v>3585</v>
      </c>
      <c r="B978" s="4"/>
      <c r="C978" s="510" t="s">
        <v>65</v>
      </c>
      <c r="D978" s="4" t="s">
        <v>687</v>
      </c>
      <c r="E978" s="4" t="s">
        <v>3581</v>
      </c>
      <c r="F978" s="4" t="str">
        <f ca="1" t="shared" si="1888"/>
        <v>m³</v>
      </c>
      <c r="G978" s="4"/>
      <c r="H978" s="4"/>
      <c r="I978" s="4"/>
      <c r="J978" s="4"/>
      <c r="K978" s="4"/>
      <c r="L978" s="517"/>
      <c r="M978" s="4">
        <v>248.8</v>
      </c>
      <c r="N978" s="4">
        <f ca="1" t="shared" si="1889"/>
        <v>390</v>
      </c>
      <c r="O978" s="4">
        <f ca="1">M978*N978</f>
        <v>97032</v>
      </c>
      <c r="P978" s="4"/>
      <c r="Q978" s="4"/>
      <c r="R978" s="4"/>
      <c r="S978" s="4"/>
      <c r="T978" s="4">
        <f ca="1" t="shared" si="1890"/>
        <v>0</v>
      </c>
      <c r="U978" s="4">
        <f ca="1" t="shared" si="1891"/>
        <v>0</v>
      </c>
      <c r="V978" s="4">
        <f ca="1" t="shared" si="1892"/>
        <v>0</v>
      </c>
      <c r="W978" s="4">
        <f ca="1" t="shared" si="1893"/>
        <v>0</v>
      </c>
      <c r="X978" s="4">
        <f ca="1" t="shared" si="1894"/>
        <v>248.8</v>
      </c>
      <c r="Y978" s="4">
        <f ca="1" t="shared" si="1895"/>
        <v>97032</v>
      </c>
      <c r="Z978" s="4">
        <f ca="1" t="shared" si="1896"/>
        <v>0</v>
      </c>
      <c r="AA978" s="4">
        <f ca="1" t="shared" si="1897"/>
        <v>0</v>
      </c>
      <c r="AB978" s="4"/>
    </row>
    <row r="979" customHeight="1" outlineLevel="3" spans="1:28">
      <c r="A979" s="514" t="s">
        <v>3586</v>
      </c>
      <c r="B979" s="4"/>
      <c r="C979" s="510" t="s">
        <v>59</v>
      </c>
      <c r="D979" s="4" t="s">
        <v>784</v>
      </c>
      <c r="E979" s="4"/>
      <c r="F979" s="4" t="str">
        <f ca="1" t="shared" si="1888"/>
        <v>m³</v>
      </c>
      <c r="G979" s="4"/>
      <c r="H979" s="4"/>
      <c r="I979" s="4"/>
      <c r="J979" s="4"/>
      <c r="K979" s="4"/>
      <c r="L979" s="517"/>
      <c r="M979" s="4">
        <v>346.138984</v>
      </c>
      <c r="N979" s="4">
        <f ca="1" t="shared" si="1889"/>
        <v>400</v>
      </c>
      <c r="O979" s="4">
        <f ca="1">M979*N979</f>
        <v>138455.5936</v>
      </c>
      <c r="P979" s="4"/>
      <c r="Q979" s="4"/>
      <c r="R979" s="4"/>
      <c r="S979" s="4"/>
      <c r="T979" s="4">
        <f ca="1" t="shared" si="1890"/>
        <v>0</v>
      </c>
      <c r="U979" s="4">
        <f ca="1" t="shared" si="1891"/>
        <v>0</v>
      </c>
      <c r="V979" s="4">
        <f ca="1" t="shared" si="1892"/>
        <v>0</v>
      </c>
      <c r="W979" s="4">
        <f ca="1" t="shared" si="1893"/>
        <v>0</v>
      </c>
      <c r="X979" s="4">
        <f ca="1" t="shared" si="1894"/>
        <v>346.138984</v>
      </c>
      <c r="Y979" s="4">
        <f ca="1" t="shared" si="1895"/>
        <v>138455.5936</v>
      </c>
      <c r="Z979" s="4">
        <f ca="1" t="shared" si="1896"/>
        <v>0</v>
      </c>
      <c r="AA979" s="4">
        <f ca="1" t="shared" si="1897"/>
        <v>0</v>
      </c>
      <c r="AB979" s="4"/>
    </row>
    <row r="980" customHeight="1" outlineLevel="2" spans="1:28">
      <c r="A980" s="515" t="s">
        <v>3587</v>
      </c>
      <c r="B980" s="4"/>
      <c r="C980" s="510" t="s">
        <v>1309</v>
      </c>
      <c r="D980" s="4" t="s">
        <v>3578</v>
      </c>
      <c r="E980" s="4" t="s">
        <v>3588</v>
      </c>
      <c r="F980" s="4" t="s">
        <v>76</v>
      </c>
      <c r="G980" s="4">
        <v>447.6</v>
      </c>
      <c r="H980" s="4">
        <v>833.45871559633</v>
      </c>
      <c r="I980" s="4">
        <f>G980*H980</f>
        <v>373056.121100917</v>
      </c>
      <c r="J980" s="4">
        <f t="shared" ref="J980:L980" si="1899">+G980</f>
        <v>447.6</v>
      </c>
      <c r="K980" s="4">
        <f t="shared" si="1899"/>
        <v>833.45871559633</v>
      </c>
      <c r="L980" s="517">
        <f t="shared" si="1899"/>
        <v>373056.121100917</v>
      </c>
      <c r="M980" s="4">
        <v>447.6</v>
      </c>
      <c r="N980" s="4">
        <f ca="1">O980/M980</f>
        <v>777.425399463807</v>
      </c>
      <c r="O980" s="4">
        <f ca="1">(+O981+O982)</f>
        <v>347975.6088</v>
      </c>
      <c r="P980" s="4"/>
      <c r="Q980" s="4"/>
      <c r="R980" s="4">
        <f>+P980+J980</f>
        <v>447.6</v>
      </c>
      <c r="S980" s="4">
        <f>+Q980+L980</f>
        <v>373056.121100917</v>
      </c>
      <c r="T980" s="4">
        <f>IFERROR(VLOOKUP(A980,产值统计中间表!A:F,7,FALSE),0)</f>
        <v>0</v>
      </c>
      <c r="U980" s="4">
        <f>+T980*H980</f>
        <v>0</v>
      </c>
      <c r="V980" s="4">
        <f>IFERROR(VLOOKUP(A980,产值统计中间表!A:D,4,FALSE),0)</f>
        <v>0</v>
      </c>
      <c r="W980" s="4">
        <f>+V980*H980</f>
        <v>0</v>
      </c>
      <c r="X980" s="4">
        <f>+R980-V980</f>
        <v>447.6</v>
      </c>
      <c r="Y980" s="4">
        <f>+S980-W980</f>
        <v>373056.121100917</v>
      </c>
      <c r="Z980" s="4">
        <f>IFERROR(VLOOKUP(A980,业主统计中间表!A:D,4,FALSE),0)</f>
        <v>0</v>
      </c>
      <c r="AA980" s="4">
        <f>+Z980*H980</f>
        <v>0</v>
      </c>
      <c r="AB980" s="4"/>
    </row>
    <row r="981" customHeight="1" outlineLevel="3" spans="1:28">
      <c r="A981" s="514" t="s">
        <v>3589</v>
      </c>
      <c r="B981" s="4"/>
      <c r="C981" s="510" t="s">
        <v>65</v>
      </c>
      <c r="D981" s="4" t="s">
        <v>687</v>
      </c>
      <c r="E981" s="4" t="s">
        <v>3581</v>
      </c>
      <c r="F981" s="4" t="str">
        <f ca="1" t="shared" ref="F981:F985" si="1900">VLOOKUP($D981,INDIRECT($C981),2,0)</f>
        <v>m³</v>
      </c>
      <c r="G981" s="4"/>
      <c r="H981" s="4"/>
      <c r="I981" s="4"/>
      <c r="J981" s="4"/>
      <c r="K981" s="4"/>
      <c r="L981" s="517"/>
      <c r="M981" s="4">
        <v>447.6</v>
      </c>
      <c r="N981" s="4">
        <f ca="1" t="shared" ref="N981:N985" si="1901">VLOOKUP($D981,INDIRECT($C981),3,0)</f>
        <v>390</v>
      </c>
      <c r="O981" s="4">
        <f ca="1">M981*N981</f>
        <v>174564</v>
      </c>
      <c r="P981" s="4"/>
      <c r="Q981" s="4"/>
      <c r="R981" s="4"/>
      <c r="S981" s="4"/>
      <c r="T981" s="4">
        <f ca="1" t="shared" ref="T981:T985" si="1902">OFFSET(T981,-RIGHT($A981,LEN($A$6)),,1,1)/OFFSET(T981,-RIGHT($A981,LEN($A$6)),-13,1,1)*$M981</f>
        <v>0</v>
      </c>
      <c r="U981" s="4">
        <f ca="1" t="shared" ref="U981:U985" si="1903">+$N981*T981</f>
        <v>0</v>
      </c>
      <c r="V981" s="4">
        <f ca="1" t="shared" ref="V981:V985" si="1904">OFFSET(V981,-RIGHT($A981,LEN($A$6)),,1,1)/OFFSET(V981,-RIGHT($A981,LEN($A$6)),-15,1,1)*$M981</f>
        <v>0</v>
      </c>
      <c r="W981" s="4">
        <f ca="1" t="shared" ref="W981:W985" si="1905">+$N981*V981</f>
        <v>0</v>
      </c>
      <c r="X981" s="4">
        <f ca="1" t="shared" ref="X981:X985" si="1906">+M981-V981</f>
        <v>447.6</v>
      </c>
      <c r="Y981" s="4">
        <f ca="1" t="shared" ref="Y981:Y985" si="1907">+O981-W981</f>
        <v>174564</v>
      </c>
      <c r="Z981" s="4">
        <f ca="1" t="shared" ref="Z981:Z985" si="1908">OFFSET(Z981,-RIGHT($A981,LEN($A$6)),,1,1)/OFFSET(Z981,-RIGHT($A981,LEN($A$6)),-19,1,1)*$M981</f>
        <v>0</v>
      </c>
      <c r="AA981" s="4">
        <f ca="1" t="shared" ref="AA981:AA985" si="1909">+$N981*Z981</f>
        <v>0</v>
      </c>
      <c r="AB981" s="4"/>
    </row>
    <row r="982" customHeight="1" outlineLevel="3" spans="1:28">
      <c r="A982" s="514" t="s">
        <v>3590</v>
      </c>
      <c r="B982" s="4"/>
      <c r="C982" s="510" t="s">
        <v>59</v>
      </c>
      <c r="D982" s="4" t="s">
        <v>784</v>
      </c>
      <c r="E982" s="4"/>
      <c r="F982" s="4" t="str">
        <f ca="1" t="shared" si="1900"/>
        <v>m³</v>
      </c>
      <c r="G982" s="4"/>
      <c r="H982" s="4"/>
      <c r="I982" s="4"/>
      <c r="J982" s="4"/>
      <c r="K982" s="4"/>
      <c r="L982" s="517"/>
      <c r="M982" s="4">
        <v>433.529022</v>
      </c>
      <c r="N982" s="4">
        <f ca="1" t="shared" si="1901"/>
        <v>400</v>
      </c>
      <c r="O982" s="4">
        <f ca="1">M982*N982</f>
        <v>173411.6088</v>
      </c>
      <c r="P982" s="4"/>
      <c r="Q982" s="4"/>
      <c r="R982" s="4"/>
      <c r="S982" s="4"/>
      <c r="T982" s="4">
        <f ca="1" t="shared" si="1902"/>
        <v>0</v>
      </c>
      <c r="U982" s="4">
        <f ca="1" t="shared" si="1903"/>
        <v>0</v>
      </c>
      <c r="V982" s="4">
        <f ca="1" t="shared" si="1904"/>
        <v>0</v>
      </c>
      <c r="W982" s="4">
        <f ca="1" t="shared" si="1905"/>
        <v>0</v>
      </c>
      <c r="X982" s="4">
        <f ca="1" t="shared" si="1906"/>
        <v>433.529022</v>
      </c>
      <c r="Y982" s="4">
        <f ca="1" t="shared" si="1907"/>
        <v>173411.6088</v>
      </c>
      <c r="Z982" s="4">
        <f ca="1" t="shared" si="1908"/>
        <v>0</v>
      </c>
      <c r="AA982" s="4">
        <f ca="1" t="shared" si="1909"/>
        <v>0</v>
      </c>
      <c r="AB982" s="4"/>
    </row>
    <row r="983" customHeight="1" outlineLevel="2" spans="1:28">
      <c r="A983" s="515" t="s">
        <v>3591</v>
      </c>
      <c r="B983" s="4"/>
      <c r="C983" s="510" t="s">
        <v>1309</v>
      </c>
      <c r="D983" s="4" t="s">
        <v>3578</v>
      </c>
      <c r="E983" s="4" t="s">
        <v>3592</v>
      </c>
      <c r="F983" s="4" t="s">
        <v>76</v>
      </c>
      <c r="G983" s="4">
        <v>484.8</v>
      </c>
      <c r="H983" s="4">
        <v>1814.35779816514</v>
      </c>
      <c r="I983" s="4">
        <f>G983*H983</f>
        <v>879600.66055046</v>
      </c>
      <c r="J983" s="4">
        <f t="shared" ref="J983:L983" si="1910">+G983</f>
        <v>484.8</v>
      </c>
      <c r="K983" s="4">
        <f t="shared" si="1910"/>
        <v>1814.35779816514</v>
      </c>
      <c r="L983" s="517">
        <f t="shared" si="1910"/>
        <v>879600.66055046</v>
      </c>
      <c r="M983" s="4">
        <v>484.8</v>
      </c>
      <c r="N983" s="4">
        <f ca="1">O983/M983</f>
        <v>1254.15122607261</v>
      </c>
      <c r="O983" s="4">
        <f ca="1">(+O984+O985)</f>
        <v>608012.5144</v>
      </c>
      <c r="P983" s="4"/>
      <c r="Q983" s="4"/>
      <c r="R983" s="4">
        <f>+P983+J983</f>
        <v>484.8</v>
      </c>
      <c r="S983" s="4">
        <f>+Q983+L983</f>
        <v>879600.66055046</v>
      </c>
      <c r="T983" s="4">
        <f>IFERROR(VLOOKUP(A983,产值统计中间表!A:F,7,FALSE),0)</f>
        <v>0</v>
      </c>
      <c r="U983" s="4">
        <f>+T983*H983</f>
        <v>0</v>
      </c>
      <c r="V983" s="4">
        <f>IFERROR(VLOOKUP(A983,产值统计中间表!A:D,4,FALSE),0)</f>
        <v>0</v>
      </c>
      <c r="W983" s="4">
        <f>+V983*H983</f>
        <v>0</v>
      </c>
      <c r="X983" s="4">
        <f>+R983-V983</f>
        <v>484.8</v>
      </c>
      <c r="Y983" s="4">
        <f>+S983-W983</f>
        <v>879600.66055046</v>
      </c>
      <c r="Z983" s="4">
        <f>IFERROR(VLOOKUP(A983,业主统计中间表!A:D,4,FALSE),0)</f>
        <v>0</v>
      </c>
      <c r="AA983" s="4">
        <f>+Z983*H983</f>
        <v>0</v>
      </c>
      <c r="AB983" s="4"/>
    </row>
    <row r="984" customHeight="1" outlineLevel="3" spans="1:28">
      <c r="A984" s="514" t="s">
        <v>3593</v>
      </c>
      <c r="B984" s="4"/>
      <c r="C984" s="510" t="s">
        <v>65</v>
      </c>
      <c r="D984" s="4" t="s">
        <v>687</v>
      </c>
      <c r="E984" s="4" t="s">
        <v>3581</v>
      </c>
      <c r="F984" s="4" t="str">
        <f ca="1" t="shared" si="1900"/>
        <v>m³</v>
      </c>
      <c r="G984" s="4"/>
      <c r="H984" s="4"/>
      <c r="I984" s="4"/>
      <c r="J984" s="4"/>
      <c r="K984" s="4"/>
      <c r="L984" s="517"/>
      <c r="M984" s="4">
        <v>484.8</v>
      </c>
      <c r="N984" s="4">
        <f ca="1" t="shared" si="1901"/>
        <v>390</v>
      </c>
      <c r="O984" s="4">
        <f ca="1">M984*N984</f>
        <v>189072</v>
      </c>
      <c r="P984" s="4"/>
      <c r="Q984" s="4"/>
      <c r="R984" s="4"/>
      <c r="S984" s="4"/>
      <c r="T984" s="4">
        <f ca="1" t="shared" si="1902"/>
        <v>0</v>
      </c>
      <c r="U984" s="4">
        <f ca="1" t="shared" si="1903"/>
        <v>0</v>
      </c>
      <c r="V984" s="4">
        <f ca="1" t="shared" si="1904"/>
        <v>0</v>
      </c>
      <c r="W984" s="4">
        <f ca="1" t="shared" si="1905"/>
        <v>0</v>
      </c>
      <c r="X984" s="4">
        <f ca="1" t="shared" si="1906"/>
        <v>484.8</v>
      </c>
      <c r="Y984" s="4">
        <f ca="1" t="shared" si="1907"/>
        <v>189072</v>
      </c>
      <c r="Z984" s="4">
        <f ca="1" t="shared" si="1908"/>
        <v>0</v>
      </c>
      <c r="AA984" s="4">
        <f ca="1" t="shared" si="1909"/>
        <v>0</v>
      </c>
      <c r="AB984" s="4"/>
    </row>
    <row r="985" customHeight="1" outlineLevel="3" spans="1:28">
      <c r="A985" s="514" t="s">
        <v>3594</v>
      </c>
      <c r="B985" s="4"/>
      <c r="C985" s="510" t="s">
        <v>59</v>
      </c>
      <c r="D985" s="4" t="s">
        <v>784</v>
      </c>
      <c r="E985" s="4"/>
      <c r="F985" s="4" t="str">
        <f ca="1" t="shared" si="1900"/>
        <v>m³</v>
      </c>
      <c r="G985" s="4"/>
      <c r="H985" s="4"/>
      <c r="I985" s="4"/>
      <c r="J985" s="4"/>
      <c r="K985" s="4"/>
      <c r="L985" s="517"/>
      <c r="M985" s="4">
        <v>1047.351286</v>
      </c>
      <c r="N985" s="4">
        <f ca="1" t="shared" si="1901"/>
        <v>400</v>
      </c>
      <c r="O985" s="4">
        <f ca="1">M985*N985</f>
        <v>418940.5144</v>
      </c>
      <c r="P985" s="4"/>
      <c r="Q985" s="4"/>
      <c r="R985" s="4"/>
      <c r="S985" s="4"/>
      <c r="T985" s="4">
        <f ca="1" t="shared" si="1902"/>
        <v>0</v>
      </c>
      <c r="U985" s="4">
        <f ca="1" t="shared" si="1903"/>
        <v>0</v>
      </c>
      <c r="V985" s="4">
        <f ca="1" t="shared" si="1904"/>
        <v>0</v>
      </c>
      <c r="W985" s="4">
        <f ca="1" t="shared" si="1905"/>
        <v>0</v>
      </c>
      <c r="X985" s="4">
        <f ca="1" t="shared" si="1906"/>
        <v>1047.351286</v>
      </c>
      <c r="Y985" s="4">
        <f ca="1" t="shared" si="1907"/>
        <v>418940.5144</v>
      </c>
      <c r="Z985" s="4">
        <f ca="1" t="shared" si="1908"/>
        <v>0</v>
      </c>
      <c r="AA985" s="4">
        <f ca="1" t="shared" si="1909"/>
        <v>0</v>
      </c>
      <c r="AB985" s="4"/>
    </row>
    <row r="986" customHeight="1" outlineLevel="2" spans="1:28">
      <c r="A986" s="515" t="s">
        <v>3595</v>
      </c>
      <c r="B986" s="4"/>
      <c r="C986" s="510" t="s">
        <v>1309</v>
      </c>
      <c r="D986" s="4" t="s">
        <v>349</v>
      </c>
      <c r="E986" s="4" t="s">
        <v>3596</v>
      </c>
      <c r="F986" s="4" t="s">
        <v>72</v>
      </c>
      <c r="G986" s="4">
        <v>97.12</v>
      </c>
      <c r="H986" s="4">
        <v>276.908256880734</v>
      </c>
      <c r="I986" s="4">
        <f>G986*H986</f>
        <v>26893.3299082569</v>
      </c>
      <c r="J986" s="4">
        <f t="shared" ref="J986:L986" si="1911">+G986</f>
        <v>97.12</v>
      </c>
      <c r="K986" s="4">
        <f t="shared" si="1911"/>
        <v>276.908256880734</v>
      </c>
      <c r="L986" s="517">
        <f t="shared" si="1911"/>
        <v>26893.3299082569</v>
      </c>
      <c r="M986" s="4">
        <v>97.12</v>
      </c>
      <c r="N986" s="4">
        <f ca="1">O986/M986</f>
        <v>331.136738056013</v>
      </c>
      <c r="O986" s="4">
        <f ca="1">(+O987+O988)</f>
        <v>32160</v>
      </c>
      <c r="P986" s="4"/>
      <c r="Q986" s="4"/>
      <c r="R986" s="4">
        <f>+P986+J986</f>
        <v>97.12</v>
      </c>
      <c r="S986" s="4">
        <f>+Q986+L986</f>
        <v>26893.3299082569</v>
      </c>
      <c r="T986" s="4">
        <f>IFERROR(VLOOKUP(A986,产值统计中间表!A:F,7,FALSE),0)</f>
        <v>0</v>
      </c>
      <c r="U986" s="4">
        <f>+T986*H986</f>
        <v>0</v>
      </c>
      <c r="V986" s="4">
        <f>IFERROR(VLOOKUP(A986,产值统计中间表!A:D,4,FALSE),0)</f>
        <v>0</v>
      </c>
      <c r="W986" s="4">
        <f>+V986*H986</f>
        <v>0</v>
      </c>
      <c r="X986" s="4">
        <f>+R986-V986</f>
        <v>97.12</v>
      </c>
      <c r="Y986" s="4">
        <f>+S986-W986</f>
        <v>26893.3299082569</v>
      </c>
      <c r="Z986" s="4">
        <f>IFERROR(VLOOKUP(A986,业主统计中间表!A:D,4,FALSE),0)</f>
        <v>0</v>
      </c>
      <c r="AA986" s="4">
        <f>+Z986*H986</f>
        <v>0</v>
      </c>
      <c r="AB986" s="4"/>
    </row>
    <row r="987" customHeight="1" outlineLevel="3" spans="1:28">
      <c r="A987" s="514" t="s">
        <v>3597</v>
      </c>
      <c r="B987" s="4"/>
      <c r="C987" s="510" t="s">
        <v>64</v>
      </c>
      <c r="D987" s="4" t="s">
        <v>1061</v>
      </c>
      <c r="E987" s="4"/>
      <c r="F987" s="4" t="str">
        <f ca="1" t="shared" ref="F987:F991" si="1912">VLOOKUP($D987,INDIRECT($C987),2,0)</f>
        <v>根</v>
      </c>
      <c r="G987" s="4"/>
      <c r="H987" s="4"/>
      <c r="I987" s="4"/>
      <c r="J987" s="4"/>
      <c r="K987" s="4"/>
      <c r="L987" s="517"/>
      <c r="M987" s="4">
        <v>60</v>
      </c>
      <c r="N987" s="4">
        <f ca="1" t="shared" ref="N987:N991" si="1913">VLOOKUP($D987,INDIRECT($C987),3,0)</f>
        <v>200</v>
      </c>
      <c r="O987" s="4">
        <f ca="1">M987*N987</f>
        <v>12000</v>
      </c>
      <c r="P987" s="4"/>
      <c r="Q987" s="4"/>
      <c r="R987" s="4"/>
      <c r="S987" s="4"/>
      <c r="T987" s="4">
        <f ca="1" t="shared" ref="T987:T991" si="1914">OFFSET(T987,-RIGHT($A987,LEN($A$6)),,1,1)/OFFSET(T987,-RIGHT($A987,LEN($A$6)),-13,1,1)*$M987</f>
        <v>0</v>
      </c>
      <c r="U987" s="4">
        <f ca="1" t="shared" ref="U987:U991" si="1915">+$N987*T987</f>
        <v>0</v>
      </c>
      <c r="V987" s="4">
        <f ca="1" t="shared" ref="V987:V991" si="1916">OFFSET(V987,-RIGHT($A987,LEN($A$6)),,1,1)/OFFSET(V987,-RIGHT($A987,LEN($A$6)),-15,1,1)*$M987</f>
        <v>0</v>
      </c>
      <c r="W987" s="4">
        <f ca="1" t="shared" ref="W987:W991" si="1917">+$N987*V987</f>
        <v>0</v>
      </c>
      <c r="X987" s="4">
        <f ca="1" t="shared" ref="X987:X991" si="1918">+M987-V987</f>
        <v>60</v>
      </c>
      <c r="Y987" s="4">
        <f ca="1" t="shared" ref="Y987:Y991" si="1919">+O987-W987</f>
        <v>12000</v>
      </c>
      <c r="Z987" s="4">
        <f ca="1" t="shared" ref="Z987:Z991" si="1920">OFFSET(Z987,-RIGHT($A987,LEN($A$6)),,1,1)/OFFSET(Z987,-RIGHT($A987,LEN($A$6)),-19,1,1)*$M987</f>
        <v>0</v>
      </c>
      <c r="AA987" s="4">
        <f ca="1" t="shared" ref="AA987:AA991" si="1921">+$N987*Z987</f>
        <v>0</v>
      </c>
      <c r="AB987" s="4"/>
    </row>
    <row r="988" customHeight="1" outlineLevel="3" spans="1:28">
      <c r="A988" s="514" t="s">
        <v>3598</v>
      </c>
      <c r="B988" s="4"/>
      <c r="C988" s="510" t="s">
        <v>64</v>
      </c>
      <c r="D988" s="4" t="s">
        <v>1055</v>
      </c>
      <c r="E988" s="4"/>
      <c r="F988" s="4" t="str">
        <f ca="1" t="shared" si="1912"/>
        <v>根</v>
      </c>
      <c r="G988" s="4"/>
      <c r="H988" s="4"/>
      <c r="I988" s="4"/>
      <c r="J988" s="4"/>
      <c r="K988" s="4"/>
      <c r="L988" s="517"/>
      <c r="M988" s="4">
        <v>112</v>
      </c>
      <c r="N988" s="4">
        <f ca="1" t="shared" si="1913"/>
        <v>180</v>
      </c>
      <c r="O988" s="4">
        <f ca="1">M988*N988</f>
        <v>20160</v>
      </c>
      <c r="P988" s="4"/>
      <c r="Q988" s="4"/>
      <c r="R988" s="4"/>
      <c r="S988" s="4"/>
      <c r="T988" s="4">
        <f ca="1" t="shared" si="1914"/>
        <v>0</v>
      </c>
      <c r="U988" s="4">
        <f ca="1" t="shared" si="1915"/>
        <v>0</v>
      </c>
      <c r="V988" s="4">
        <f ca="1" t="shared" si="1916"/>
        <v>0</v>
      </c>
      <c r="W988" s="4">
        <f ca="1" t="shared" si="1917"/>
        <v>0</v>
      </c>
      <c r="X988" s="4">
        <f ca="1" t="shared" si="1918"/>
        <v>112</v>
      </c>
      <c r="Y988" s="4">
        <f ca="1" t="shared" si="1919"/>
        <v>20160</v>
      </c>
      <c r="Z988" s="4">
        <f ca="1" t="shared" si="1920"/>
        <v>0</v>
      </c>
      <c r="AA988" s="4">
        <f ca="1" t="shared" si="1921"/>
        <v>0</v>
      </c>
      <c r="AB988" s="4"/>
    </row>
    <row r="989" customHeight="1" outlineLevel="2" spans="1:28">
      <c r="A989" s="515" t="s">
        <v>3599</v>
      </c>
      <c r="B989" s="4"/>
      <c r="C989" s="510" t="s">
        <v>1309</v>
      </c>
      <c r="D989" s="4" t="s">
        <v>903</v>
      </c>
      <c r="E989" s="4" t="s">
        <v>3600</v>
      </c>
      <c r="F989" s="4" t="s">
        <v>82</v>
      </c>
      <c r="G989" s="4">
        <v>26.534</v>
      </c>
      <c r="H989" s="4">
        <v>5818</v>
      </c>
      <c r="I989" s="4">
        <f>G989*H989</f>
        <v>154374.812</v>
      </c>
      <c r="J989" s="4">
        <f t="shared" ref="J989:L989" si="1922">+G989</f>
        <v>26.534</v>
      </c>
      <c r="K989" s="4">
        <f t="shared" si="1922"/>
        <v>5818</v>
      </c>
      <c r="L989" s="517">
        <f t="shared" si="1922"/>
        <v>154374.812</v>
      </c>
      <c r="M989" s="4">
        <v>26.534</v>
      </c>
      <c r="N989" s="4">
        <f ca="1">O989/M989</f>
        <v>717.5</v>
      </c>
      <c r="O989" s="4">
        <f ca="1">(+O990+O991)</f>
        <v>19038.145</v>
      </c>
      <c r="P989" s="4"/>
      <c r="Q989" s="4"/>
      <c r="R989" s="4">
        <f>+P989+J989</f>
        <v>26.534</v>
      </c>
      <c r="S989" s="4">
        <f>+Q989+L989</f>
        <v>154374.812</v>
      </c>
      <c r="T989" s="4">
        <f>IFERROR(VLOOKUP(A989,产值统计中间表!A:F,7,FALSE),0)</f>
        <v>0</v>
      </c>
      <c r="U989" s="4">
        <f>+T989*H989</f>
        <v>0</v>
      </c>
      <c r="V989" s="4">
        <f>IFERROR(VLOOKUP(A989,产值统计中间表!A:D,4,FALSE),0)</f>
        <v>0</v>
      </c>
      <c r="W989" s="4">
        <f>+V989*H989</f>
        <v>0</v>
      </c>
      <c r="X989" s="4">
        <f>+R989-V989</f>
        <v>26.534</v>
      </c>
      <c r="Y989" s="4">
        <f>+S989-W989</f>
        <v>154374.812</v>
      </c>
      <c r="Z989" s="4">
        <f>IFERROR(VLOOKUP(A989,业主统计中间表!A:D,4,FALSE),0)</f>
        <v>0</v>
      </c>
      <c r="AA989" s="4">
        <f>+Z989*H989</f>
        <v>0</v>
      </c>
      <c r="AB989" s="4"/>
    </row>
    <row r="990" customHeight="1" outlineLevel="3" spans="1:28">
      <c r="A990" s="514" t="s">
        <v>3601</v>
      </c>
      <c r="B990" s="4"/>
      <c r="C990" s="510" t="s">
        <v>64</v>
      </c>
      <c r="D990" s="4" t="s">
        <v>296</v>
      </c>
      <c r="E990" s="4"/>
      <c r="F990" s="4" t="str">
        <f ca="1" t="shared" si="1912"/>
        <v>t</v>
      </c>
      <c r="G990" s="4"/>
      <c r="H990" s="4"/>
      <c r="I990" s="4"/>
      <c r="J990" s="4"/>
      <c r="K990" s="4"/>
      <c r="L990" s="517"/>
      <c r="M990" s="4">
        <v>27.19735</v>
      </c>
      <c r="N990" s="4">
        <f ca="1" t="shared" si="1913"/>
        <v>700</v>
      </c>
      <c r="O990" s="4">
        <f ca="1">M990*N990</f>
        <v>19038.145</v>
      </c>
      <c r="P990" s="4"/>
      <c r="Q990" s="4"/>
      <c r="R990" s="4"/>
      <c r="S990" s="4"/>
      <c r="T990" s="4">
        <f ca="1" t="shared" si="1914"/>
        <v>0</v>
      </c>
      <c r="U990" s="4">
        <f ca="1" t="shared" si="1915"/>
        <v>0</v>
      </c>
      <c r="V990" s="4">
        <f ca="1" t="shared" si="1916"/>
        <v>0</v>
      </c>
      <c r="W990" s="4">
        <f ca="1" t="shared" si="1917"/>
        <v>0</v>
      </c>
      <c r="X990" s="4">
        <f ca="1" t="shared" si="1918"/>
        <v>27.19735</v>
      </c>
      <c r="Y990" s="4">
        <f ca="1" t="shared" si="1919"/>
        <v>19038.145</v>
      </c>
      <c r="Z990" s="4">
        <f ca="1" t="shared" si="1920"/>
        <v>0</v>
      </c>
      <c r="AA990" s="4">
        <f ca="1" t="shared" si="1921"/>
        <v>0</v>
      </c>
      <c r="AB990" s="4"/>
    </row>
    <row r="991" customHeight="1" outlineLevel="3" spans="1:28">
      <c r="A991" s="514" t="s">
        <v>3602</v>
      </c>
      <c r="B991" s="4"/>
      <c r="C991" s="510" t="s">
        <v>59</v>
      </c>
      <c r="D991" s="4" t="s">
        <v>1104</v>
      </c>
      <c r="E991" s="4" t="str">
        <f ca="1">"含钢量："&amp;ROUND($M$991/$G$989,3)&amp;$F$991&amp;"/"&amp;$F$989</f>
        <v>含钢量：1.025t/t</v>
      </c>
      <c r="F991" s="4" t="str">
        <f ca="1" t="shared" si="1912"/>
        <v>t</v>
      </c>
      <c r="G991" s="4"/>
      <c r="H991" s="4"/>
      <c r="I991" s="4"/>
      <c r="J991" s="4"/>
      <c r="K991" s="4"/>
      <c r="L991" s="517"/>
      <c r="M991" s="4">
        <v>27.19735</v>
      </c>
      <c r="N991" s="4">
        <f ca="1" t="shared" si="1913"/>
        <v>0</v>
      </c>
      <c r="O991" s="4">
        <f ca="1">M991*N991</f>
        <v>0</v>
      </c>
      <c r="P991" s="4"/>
      <c r="Q991" s="4"/>
      <c r="R991" s="4"/>
      <c r="S991" s="4"/>
      <c r="T991" s="4">
        <f ca="1" t="shared" si="1914"/>
        <v>0</v>
      </c>
      <c r="U991" s="4">
        <f ca="1" t="shared" si="1915"/>
        <v>0</v>
      </c>
      <c r="V991" s="4">
        <f ca="1" t="shared" si="1916"/>
        <v>0</v>
      </c>
      <c r="W991" s="4">
        <f ca="1" t="shared" si="1917"/>
        <v>0</v>
      </c>
      <c r="X991" s="4">
        <f ca="1" t="shared" si="1918"/>
        <v>27.19735</v>
      </c>
      <c r="Y991" s="4">
        <f ca="1" t="shared" si="1919"/>
        <v>0</v>
      </c>
      <c r="Z991" s="4">
        <f ca="1" t="shared" si="1920"/>
        <v>0</v>
      </c>
      <c r="AA991" s="4">
        <f ca="1" t="shared" si="1921"/>
        <v>0</v>
      </c>
      <c r="AB991" s="4"/>
    </row>
    <row r="992" customHeight="1" outlineLevel="2" spans="1:28">
      <c r="A992" s="515" t="s">
        <v>3603</v>
      </c>
      <c r="B992" s="4"/>
      <c r="C992" s="510" t="s">
        <v>1309</v>
      </c>
      <c r="D992" s="4" t="s">
        <v>903</v>
      </c>
      <c r="E992" s="4" t="s">
        <v>3604</v>
      </c>
      <c r="F992" s="4" t="s">
        <v>82</v>
      </c>
      <c r="G992" s="4">
        <v>63.163</v>
      </c>
      <c r="H992" s="4">
        <v>5777.50458715596</v>
      </c>
      <c r="I992" s="4">
        <f>G992*H992</f>
        <v>364924.522238532</v>
      </c>
      <c r="J992" s="4">
        <f t="shared" ref="J992:L992" si="1923">+G992</f>
        <v>63.163</v>
      </c>
      <c r="K992" s="4">
        <f t="shared" si="1923"/>
        <v>5777.50458715596</v>
      </c>
      <c r="L992" s="517">
        <f t="shared" si="1923"/>
        <v>364924.522238532</v>
      </c>
      <c r="M992" s="4">
        <v>63.163</v>
      </c>
      <c r="N992" s="4">
        <f ca="1">O992/M992</f>
        <v>717.5</v>
      </c>
      <c r="O992" s="4">
        <f ca="1">(+O993+O994)</f>
        <v>45319.4525</v>
      </c>
      <c r="P992" s="4"/>
      <c r="Q992" s="4"/>
      <c r="R992" s="4">
        <f>+P992+J992</f>
        <v>63.163</v>
      </c>
      <c r="S992" s="4">
        <f>+Q992+L992</f>
        <v>364924.522238532</v>
      </c>
      <c r="T992" s="4">
        <f>IFERROR(VLOOKUP(A992,产值统计中间表!A:F,7,FALSE),0)</f>
        <v>0</v>
      </c>
      <c r="U992" s="4">
        <f>+T992*H992</f>
        <v>0</v>
      </c>
      <c r="V992" s="4">
        <f>IFERROR(VLOOKUP(A992,产值统计中间表!A:D,4,FALSE),0)</f>
        <v>0</v>
      </c>
      <c r="W992" s="4">
        <f>+V992*H992</f>
        <v>0</v>
      </c>
      <c r="X992" s="4">
        <f>+R992-V992</f>
        <v>63.163</v>
      </c>
      <c r="Y992" s="4">
        <f>+S992-W992</f>
        <v>364924.522238532</v>
      </c>
      <c r="Z992" s="4">
        <f>IFERROR(VLOOKUP(A992,业主统计中间表!A:D,4,FALSE),0)</f>
        <v>0</v>
      </c>
      <c r="AA992" s="4">
        <f>+Z992*H992</f>
        <v>0</v>
      </c>
      <c r="AB992" s="4"/>
    </row>
    <row r="993" customHeight="1" outlineLevel="3" spans="1:28">
      <c r="A993" s="514" t="s">
        <v>3605</v>
      </c>
      <c r="B993" s="4"/>
      <c r="C993" s="510" t="s">
        <v>64</v>
      </c>
      <c r="D993" s="4" t="s">
        <v>296</v>
      </c>
      <c r="E993" s="4"/>
      <c r="F993" s="4" t="str">
        <f ca="1" t="shared" ref="F993:F997" si="1924">VLOOKUP($D993,INDIRECT($C993),2,0)</f>
        <v>t</v>
      </c>
      <c r="G993" s="4"/>
      <c r="H993" s="4"/>
      <c r="I993" s="4"/>
      <c r="J993" s="4"/>
      <c r="K993" s="4"/>
      <c r="L993" s="517"/>
      <c r="M993" s="4">
        <v>64.742075</v>
      </c>
      <c r="N993" s="4">
        <f ca="1" t="shared" ref="N993:N997" si="1925">VLOOKUP($D993,INDIRECT($C993),3,0)</f>
        <v>700</v>
      </c>
      <c r="O993" s="4">
        <f ca="1">M993*N993</f>
        <v>45319.4525</v>
      </c>
      <c r="P993" s="4"/>
      <c r="Q993" s="4"/>
      <c r="R993" s="4"/>
      <c r="S993" s="4"/>
      <c r="T993" s="4">
        <f ca="1" t="shared" ref="T993:T997" si="1926">OFFSET(T993,-RIGHT($A993,LEN($A$6)),,1,1)/OFFSET(T993,-RIGHT($A993,LEN($A$6)),-13,1,1)*$M993</f>
        <v>0</v>
      </c>
      <c r="U993" s="4">
        <f ca="1" t="shared" ref="U993:U997" si="1927">+$N993*T993</f>
        <v>0</v>
      </c>
      <c r="V993" s="4">
        <f ca="1" t="shared" ref="V993:V997" si="1928">OFFSET(V993,-RIGHT($A993,LEN($A$6)),,1,1)/OFFSET(V993,-RIGHT($A993,LEN($A$6)),-15,1,1)*$M993</f>
        <v>0</v>
      </c>
      <c r="W993" s="4">
        <f ca="1" t="shared" ref="W993:W997" si="1929">+$N993*V993</f>
        <v>0</v>
      </c>
      <c r="X993" s="4">
        <f ca="1" t="shared" ref="X993:X997" si="1930">+M993-V993</f>
        <v>64.742075</v>
      </c>
      <c r="Y993" s="4">
        <f ca="1" t="shared" ref="Y993:Y997" si="1931">+O993-W993</f>
        <v>45319.4525</v>
      </c>
      <c r="Z993" s="4">
        <f ca="1" t="shared" ref="Z993:Z997" si="1932">OFFSET(Z993,-RIGHT($A993,LEN($A$6)),,1,1)/OFFSET(Z993,-RIGHT($A993,LEN($A$6)),-19,1,1)*$M993</f>
        <v>0</v>
      </c>
      <c r="AA993" s="4">
        <f ca="1" t="shared" ref="AA993:AA997" si="1933">+$N993*Z993</f>
        <v>0</v>
      </c>
      <c r="AB993" s="4"/>
    </row>
    <row r="994" customHeight="1" outlineLevel="3" spans="1:28">
      <c r="A994" s="514" t="s">
        <v>3606</v>
      </c>
      <c r="B994" s="4"/>
      <c r="C994" s="510" t="s">
        <v>59</v>
      </c>
      <c r="D994" s="4" t="s">
        <v>978</v>
      </c>
      <c r="E994" s="4" t="str">
        <f ca="1">"含钢量："&amp;ROUND($M$994/$G$992,3)&amp;$F$994&amp;"/"&amp;$F$992</f>
        <v>含钢量：1.025t/t</v>
      </c>
      <c r="F994" s="4" t="str">
        <f ca="1" t="shared" si="1924"/>
        <v>t</v>
      </c>
      <c r="G994" s="4"/>
      <c r="H994" s="4"/>
      <c r="I994" s="4"/>
      <c r="J994" s="4"/>
      <c r="K994" s="4"/>
      <c r="L994" s="517"/>
      <c r="M994" s="4">
        <v>64.742075</v>
      </c>
      <c r="N994" s="4">
        <f ca="1" t="shared" si="1925"/>
        <v>0</v>
      </c>
      <c r="O994" s="4">
        <f ca="1">M994*N994</f>
        <v>0</v>
      </c>
      <c r="P994" s="4"/>
      <c r="Q994" s="4"/>
      <c r="R994" s="4"/>
      <c r="S994" s="4"/>
      <c r="T994" s="4">
        <f ca="1" t="shared" si="1926"/>
        <v>0</v>
      </c>
      <c r="U994" s="4">
        <f ca="1" t="shared" si="1927"/>
        <v>0</v>
      </c>
      <c r="V994" s="4">
        <f ca="1" t="shared" si="1928"/>
        <v>0</v>
      </c>
      <c r="W994" s="4">
        <f ca="1" t="shared" si="1929"/>
        <v>0</v>
      </c>
      <c r="X994" s="4">
        <f ca="1" t="shared" si="1930"/>
        <v>64.742075</v>
      </c>
      <c r="Y994" s="4">
        <f ca="1" t="shared" si="1931"/>
        <v>0</v>
      </c>
      <c r="Z994" s="4">
        <f ca="1" t="shared" si="1932"/>
        <v>0</v>
      </c>
      <c r="AA994" s="4">
        <f ca="1" t="shared" si="1933"/>
        <v>0</v>
      </c>
      <c r="AB994" s="4"/>
    </row>
    <row r="995" customHeight="1" outlineLevel="2" spans="1:28">
      <c r="A995" s="515" t="s">
        <v>3607</v>
      </c>
      <c r="B995" s="4"/>
      <c r="C995" s="510" t="s">
        <v>1309</v>
      </c>
      <c r="D995" s="4" t="s">
        <v>1901</v>
      </c>
      <c r="E995" s="4" t="s">
        <v>3608</v>
      </c>
      <c r="F995" s="4" t="s">
        <v>76</v>
      </c>
      <c r="G995" s="4">
        <v>4731.6</v>
      </c>
      <c r="H995" s="4">
        <v>12.1192660550459</v>
      </c>
      <c r="I995" s="4">
        <f>G995*H995</f>
        <v>57343.5192660552</v>
      </c>
      <c r="J995" s="4">
        <f t="shared" ref="J995:L995" si="1934">+G995</f>
        <v>4731.6</v>
      </c>
      <c r="K995" s="4">
        <f t="shared" si="1934"/>
        <v>12.1192660550459</v>
      </c>
      <c r="L995" s="517">
        <f t="shared" si="1934"/>
        <v>57343.5192660552</v>
      </c>
      <c r="M995" s="4">
        <v>4731.6</v>
      </c>
      <c r="N995" s="4">
        <f ca="1">O995/M995</f>
        <v>2.184</v>
      </c>
      <c r="O995" s="4">
        <f ca="1">(+O996+O997)</f>
        <v>10333.8144</v>
      </c>
      <c r="P995" s="4"/>
      <c r="Q995" s="4"/>
      <c r="R995" s="4">
        <f>+P995+J995</f>
        <v>4731.6</v>
      </c>
      <c r="S995" s="4">
        <f>+Q995+L995</f>
        <v>57343.5192660552</v>
      </c>
      <c r="T995" s="4">
        <f>IFERROR(VLOOKUP(A995,产值统计中间表!A:F,7,FALSE),0)</f>
        <v>0</v>
      </c>
      <c r="U995" s="4">
        <f>+T995*H995</f>
        <v>0</v>
      </c>
      <c r="V995" s="4">
        <f>IFERROR(VLOOKUP(A995,产值统计中间表!A:D,4,FALSE),0)</f>
        <v>0</v>
      </c>
      <c r="W995" s="4">
        <f>+V995*H995</f>
        <v>0</v>
      </c>
      <c r="X995" s="4">
        <f>+R995-V995</f>
        <v>4731.6</v>
      </c>
      <c r="Y995" s="4">
        <f>+S995-W995</f>
        <v>57343.5192660552</v>
      </c>
      <c r="Z995" s="4">
        <f>IFERROR(VLOOKUP(A995,业主统计中间表!A:D,4,FALSE),0)</f>
        <v>0</v>
      </c>
      <c r="AA995" s="4">
        <f>+Z995*H995</f>
        <v>0</v>
      </c>
      <c r="AB995" s="4"/>
    </row>
    <row r="996" customHeight="1" outlineLevel="3" spans="1:28">
      <c r="A996" s="514" t="s">
        <v>3609</v>
      </c>
      <c r="B996" s="4"/>
      <c r="C996" s="510" t="s">
        <v>63</v>
      </c>
      <c r="D996" s="4" t="s">
        <v>1215</v>
      </c>
      <c r="E996" s="4"/>
      <c r="F996" s="4" t="str">
        <f ca="1" t="shared" si="1924"/>
        <v>m</v>
      </c>
      <c r="G996" s="4"/>
      <c r="H996" s="4"/>
      <c r="I996" s="4"/>
      <c r="J996" s="4"/>
      <c r="K996" s="4"/>
      <c r="L996" s="517"/>
      <c r="M996" s="4">
        <v>4731.6</v>
      </c>
      <c r="N996" s="4">
        <f ca="1" t="shared" si="1925"/>
        <v>2.184</v>
      </c>
      <c r="O996" s="4">
        <f ca="1">M996*N996</f>
        <v>10333.8144</v>
      </c>
      <c r="P996" s="4"/>
      <c r="Q996" s="4"/>
      <c r="R996" s="4"/>
      <c r="S996" s="4"/>
      <c r="T996" s="4">
        <f ca="1" t="shared" si="1926"/>
        <v>0</v>
      </c>
      <c r="U996" s="4">
        <f ca="1" t="shared" si="1927"/>
        <v>0</v>
      </c>
      <c r="V996" s="4">
        <f ca="1" t="shared" si="1928"/>
        <v>0</v>
      </c>
      <c r="W996" s="4">
        <f ca="1" t="shared" si="1929"/>
        <v>0</v>
      </c>
      <c r="X996" s="4">
        <f ca="1" t="shared" si="1930"/>
        <v>4731.6</v>
      </c>
      <c r="Y996" s="4">
        <f ca="1" t="shared" si="1931"/>
        <v>10333.8144</v>
      </c>
      <c r="Z996" s="4">
        <f ca="1" t="shared" si="1932"/>
        <v>0</v>
      </c>
      <c r="AA996" s="4">
        <f ca="1" t="shared" si="1933"/>
        <v>0</v>
      </c>
      <c r="AB996" s="4"/>
    </row>
    <row r="997" customHeight="1" outlineLevel="3" spans="1:28">
      <c r="A997" s="514" t="s">
        <v>3610</v>
      </c>
      <c r="B997" s="4"/>
      <c r="C997" s="510" t="s">
        <v>59</v>
      </c>
      <c r="D997" s="4" t="s">
        <v>1131</v>
      </c>
      <c r="E997" s="4"/>
      <c r="F997" s="4" t="str">
        <f ca="1" t="shared" si="1924"/>
        <v>m</v>
      </c>
      <c r="G997" s="4"/>
      <c r="H997" s="4"/>
      <c r="I997" s="4"/>
      <c r="J997" s="4"/>
      <c r="K997" s="4"/>
      <c r="L997" s="517"/>
      <c r="M997" s="4">
        <v>5015.496</v>
      </c>
      <c r="N997" s="4">
        <f ca="1" t="shared" si="1925"/>
        <v>0</v>
      </c>
      <c r="O997" s="4">
        <f ca="1">M997*N997</f>
        <v>0</v>
      </c>
      <c r="P997" s="4"/>
      <c r="Q997" s="4"/>
      <c r="R997" s="4"/>
      <c r="S997" s="4"/>
      <c r="T997" s="4">
        <f ca="1" t="shared" si="1926"/>
        <v>0</v>
      </c>
      <c r="U997" s="4">
        <f ca="1" t="shared" si="1927"/>
        <v>0</v>
      </c>
      <c r="V997" s="4">
        <f ca="1" t="shared" si="1928"/>
        <v>0</v>
      </c>
      <c r="W997" s="4">
        <f ca="1" t="shared" si="1929"/>
        <v>0</v>
      </c>
      <c r="X997" s="4">
        <f ca="1" t="shared" si="1930"/>
        <v>5015.496</v>
      </c>
      <c r="Y997" s="4">
        <f ca="1" t="shared" si="1931"/>
        <v>0</v>
      </c>
      <c r="Z997" s="4">
        <f ca="1" t="shared" si="1932"/>
        <v>0</v>
      </c>
      <c r="AA997" s="4">
        <f ca="1" t="shared" si="1933"/>
        <v>0</v>
      </c>
      <c r="AB997" s="4"/>
    </row>
    <row r="998" customHeight="1" outlineLevel="2" spans="1:28">
      <c r="A998" s="515" t="s">
        <v>3611</v>
      </c>
      <c r="B998" s="4"/>
      <c r="C998" s="510" t="s">
        <v>1309</v>
      </c>
      <c r="D998" s="4" t="s">
        <v>3612</v>
      </c>
      <c r="E998" s="4" t="s">
        <v>3613</v>
      </c>
      <c r="F998" s="4" t="s">
        <v>72</v>
      </c>
      <c r="G998" s="4">
        <v>56.39</v>
      </c>
      <c r="H998" s="4">
        <v>514.706422018349</v>
      </c>
      <c r="I998" s="4">
        <f>G998*H998</f>
        <v>29024.2951376147</v>
      </c>
      <c r="J998" s="4">
        <f t="shared" ref="J998:L998" si="1935">+G998</f>
        <v>56.39</v>
      </c>
      <c r="K998" s="4">
        <f t="shared" si="1935"/>
        <v>514.706422018349</v>
      </c>
      <c r="L998" s="517">
        <f t="shared" si="1935"/>
        <v>29024.2951376147</v>
      </c>
      <c r="M998" s="4">
        <v>56.39</v>
      </c>
      <c r="N998" s="4">
        <f ca="1">O998/M998</f>
        <v>383.94015</v>
      </c>
      <c r="O998" s="4">
        <f ca="1">(+O999+O1000)</f>
        <v>21650.3850585</v>
      </c>
      <c r="P998" s="4"/>
      <c r="Q998" s="4"/>
      <c r="R998" s="4">
        <f>+P998+J998</f>
        <v>56.39</v>
      </c>
      <c r="S998" s="4">
        <f>+Q998+L998</f>
        <v>29024.2951376147</v>
      </c>
      <c r="T998" s="4">
        <f>IFERROR(VLOOKUP(A998,产值统计中间表!A:F,7,FALSE),0)</f>
        <v>0</v>
      </c>
      <c r="U998" s="4">
        <f>+T998*H998</f>
        <v>0</v>
      </c>
      <c r="V998" s="4">
        <f>IFERROR(VLOOKUP(A998,产值统计中间表!A:D,4,FALSE),0)</f>
        <v>0</v>
      </c>
      <c r="W998" s="4">
        <f>+V998*H998</f>
        <v>0</v>
      </c>
      <c r="X998" s="4">
        <f>+R998-V998</f>
        <v>56.39</v>
      </c>
      <c r="Y998" s="4">
        <f>+S998-W998</f>
        <v>29024.2951376147</v>
      </c>
      <c r="Z998" s="4">
        <f>IFERROR(VLOOKUP(A998,业主统计中间表!A:D,4,FALSE),0)</f>
        <v>0</v>
      </c>
      <c r="AA998" s="4">
        <f>+Z998*H998</f>
        <v>0</v>
      </c>
      <c r="AB998" s="4"/>
    </row>
    <row r="999" customHeight="1" outlineLevel="3" spans="1:28">
      <c r="A999" s="514" t="s">
        <v>3614</v>
      </c>
      <c r="B999" s="4"/>
      <c r="C999" s="510" t="s">
        <v>59</v>
      </c>
      <c r="D999" s="4" t="s">
        <v>286</v>
      </c>
      <c r="E999" s="4"/>
      <c r="F999" s="4" t="str">
        <f ca="1" t="shared" ref="F999:F1003" si="1936">VLOOKUP($D999,INDIRECT($C999),2,0)</f>
        <v>m3</v>
      </c>
      <c r="G999" s="4"/>
      <c r="H999" s="4"/>
      <c r="I999" s="4"/>
      <c r="J999" s="4"/>
      <c r="K999" s="4"/>
      <c r="L999" s="517"/>
      <c r="M999" s="4">
        <v>56.67195</v>
      </c>
      <c r="N999" s="4">
        <f ca="1" t="shared" ref="N999:N1003" si="1937">VLOOKUP($D999,INDIRECT($C999),3,0)</f>
        <v>380.53</v>
      </c>
      <c r="O999" s="4">
        <f ca="1">M999*N999</f>
        <v>21565.3771335</v>
      </c>
      <c r="P999" s="4"/>
      <c r="Q999" s="4"/>
      <c r="R999" s="4"/>
      <c r="S999" s="4"/>
      <c r="T999" s="4">
        <f ca="1" t="shared" ref="T999:T1003" si="1938">OFFSET(T999,-RIGHT($A999,LEN($A$6)),,1,1)/OFFSET(T999,-RIGHT($A999,LEN($A$6)),-13,1,1)*$M999</f>
        <v>0</v>
      </c>
      <c r="U999" s="4">
        <f ca="1" t="shared" ref="U999:U1003" si="1939">+$N999*T999</f>
        <v>0</v>
      </c>
      <c r="V999" s="4">
        <f ca="1" t="shared" ref="V999:V1003" si="1940">OFFSET(V999,-RIGHT($A999,LEN($A$6)),,1,1)/OFFSET(V999,-RIGHT($A999,LEN($A$6)),-15,1,1)*$M999</f>
        <v>0</v>
      </c>
      <c r="W999" s="4">
        <f ca="1" t="shared" ref="W999:W1003" si="1941">+$N999*V999</f>
        <v>0</v>
      </c>
      <c r="X999" s="4">
        <f ca="1" t="shared" ref="X999:X1003" si="1942">+M999-V999</f>
        <v>56.67195</v>
      </c>
      <c r="Y999" s="4">
        <f ca="1" t="shared" ref="Y999:Y1003" si="1943">+O999-W999</f>
        <v>21565.3771335</v>
      </c>
      <c r="Z999" s="4">
        <f ca="1" t="shared" ref="Z999:Z1003" si="1944">OFFSET(Z999,-RIGHT($A999,LEN($A$6)),,1,1)/OFFSET(Z999,-RIGHT($A999,LEN($A$6)),-19,1,1)*$M999</f>
        <v>0</v>
      </c>
      <c r="AA999" s="4">
        <f ca="1" t="shared" ref="AA999:AA1003" si="1945">+$N999*Z999</f>
        <v>0</v>
      </c>
      <c r="AB999" s="4"/>
    </row>
    <row r="1000" customHeight="1" outlineLevel="3" spans="1:28">
      <c r="A1000" s="514" t="s">
        <v>3615</v>
      </c>
      <c r="B1000" s="4"/>
      <c r="C1000" s="510" t="s">
        <v>64</v>
      </c>
      <c r="D1000" s="4" t="s">
        <v>1025</v>
      </c>
      <c r="E1000" s="4"/>
      <c r="F1000" s="4" t="str">
        <f ca="1" t="shared" si="1936"/>
        <v>m3</v>
      </c>
      <c r="G1000" s="4"/>
      <c r="H1000" s="4"/>
      <c r="I1000" s="4"/>
      <c r="J1000" s="4"/>
      <c r="K1000" s="4"/>
      <c r="L1000" s="517"/>
      <c r="M1000" s="4">
        <v>56.67195</v>
      </c>
      <c r="N1000" s="4">
        <f ca="1" t="shared" si="1937"/>
        <v>1.5</v>
      </c>
      <c r="O1000" s="4">
        <f ca="1">M1000*N1000</f>
        <v>85.007925</v>
      </c>
      <c r="P1000" s="4"/>
      <c r="Q1000" s="4"/>
      <c r="R1000" s="4"/>
      <c r="S1000" s="4"/>
      <c r="T1000" s="4">
        <f ca="1" t="shared" si="1938"/>
        <v>0</v>
      </c>
      <c r="U1000" s="4">
        <f ca="1" t="shared" si="1939"/>
        <v>0</v>
      </c>
      <c r="V1000" s="4">
        <f ca="1" t="shared" si="1940"/>
        <v>0</v>
      </c>
      <c r="W1000" s="4">
        <f ca="1" t="shared" si="1941"/>
        <v>0</v>
      </c>
      <c r="X1000" s="4">
        <f ca="1" t="shared" si="1942"/>
        <v>56.67195</v>
      </c>
      <c r="Y1000" s="4">
        <f ca="1" t="shared" si="1943"/>
        <v>85.007925</v>
      </c>
      <c r="Z1000" s="4">
        <f ca="1" t="shared" si="1944"/>
        <v>0</v>
      </c>
      <c r="AA1000" s="4">
        <f ca="1" t="shared" si="1945"/>
        <v>0</v>
      </c>
      <c r="AB1000" s="4"/>
    </row>
    <row r="1001" customHeight="1" outlineLevel="2" spans="1:28">
      <c r="A1001" s="515" t="s">
        <v>3616</v>
      </c>
      <c r="B1001" s="4"/>
      <c r="C1001" s="510" t="s">
        <v>1309</v>
      </c>
      <c r="D1001" s="4" t="s">
        <v>515</v>
      </c>
      <c r="E1001" s="4" t="s">
        <v>3617</v>
      </c>
      <c r="F1001" s="4" t="s">
        <v>82</v>
      </c>
      <c r="G1001" s="4">
        <v>3.391</v>
      </c>
      <c r="H1001" s="4">
        <v>5569.4495412844</v>
      </c>
      <c r="I1001" s="4">
        <f>G1001*H1001</f>
        <v>18886.0033944954</v>
      </c>
      <c r="J1001" s="4">
        <f t="shared" ref="J1001:L1001" si="1946">+G1001</f>
        <v>3.391</v>
      </c>
      <c r="K1001" s="4">
        <f t="shared" si="1946"/>
        <v>5569.4495412844</v>
      </c>
      <c r="L1001" s="517">
        <f t="shared" si="1946"/>
        <v>18886.0033944954</v>
      </c>
      <c r="M1001" s="4">
        <v>3.391</v>
      </c>
      <c r="N1001" s="4">
        <f ca="1">O1001/M1001</f>
        <v>745.5</v>
      </c>
      <c r="O1001" s="4">
        <f ca="1">(+O1002+O1003)</f>
        <v>2527.9905</v>
      </c>
      <c r="P1001" s="4"/>
      <c r="Q1001" s="4"/>
      <c r="R1001" s="4">
        <f>+P1001+J1001</f>
        <v>3.391</v>
      </c>
      <c r="S1001" s="4">
        <f>+Q1001+L1001</f>
        <v>18886.0033944954</v>
      </c>
      <c r="T1001" s="4">
        <f>IFERROR(VLOOKUP(A1001,产值统计中间表!A:F,7,FALSE),0)</f>
        <v>0</v>
      </c>
      <c r="U1001" s="4">
        <f>+T1001*H1001</f>
        <v>0</v>
      </c>
      <c r="V1001" s="4">
        <f>IFERROR(VLOOKUP(A1001,产值统计中间表!A:D,4,FALSE),0)</f>
        <v>0</v>
      </c>
      <c r="W1001" s="4">
        <f>+V1001*H1001</f>
        <v>0</v>
      </c>
      <c r="X1001" s="4">
        <f>+R1001-V1001</f>
        <v>3.391</v>
      </c>
      <c r="Y1001" s="4">
        <f>+S1001-W1001</f>
        <v>18886.0033944954</v>
      </c>
      <c r="Z1001" s="4">
        <f>IFERROR(VLOOKUP(A1001,业主统计中间表!A:D,4,FALSE),0)</f>
        <v>0</v>
      </c>
      <c r="AA1001" s="4">
        <f>+Z1001*H1001</f>
        <v>0</v>
      </c>
      <c r="AB1001" s="4"/>
    </row>
    <row r="1002" customHeight="1" outlineLevel="3" spans="1:28">
      <c r="A1002" s="514" t="s">
        <v>3618</v>
      </c>
      <c r="B1002" s="4"/>
      <c r="C1002" s="510" t="s">
        <v>64</v>
      </c>
      <c r="D1002" s="4" t="s">
        <v>296</v>
      </c>
      <c r="E1002" s="4"/>
      <c r="F1002" s="4" t="str">
        <f ca="1" t="shared" si="1936"/>
        <v>t</v>
      </c>
      <c r="G1002" s="4"/>
      <c r="H1002" s="4"/>
      <c r="I1002" s="4"/>
      <c r="J1002" s="4"/>
      <c r="K1002" s="4"/>
      <c r="L1002" s="517"/>
      <c r="M1002" s="4">
        <v>3.611415</v>
      </c>
      <c r="N1002" s="4">
        <f ca="1" t="shared" si="1937"/>
        <v>700</v>
      </c>
      <c r="O1002" s="4">
        <f ca="1">M1002*N1002</f>
        <v>2527.9905</v>
      </c>
      <c r="P1002" s="4"/>
      <c r="Q1002" s="4"/>
      <c r="R1002" s="4"/>
      <c r="S1002" s="4"/>
      <c r="T1002" s="4">
        <f ca="1" t="shared" si="1938"/>
        <v>0</v>
      </c>
      <c r="U1002" s="4">
        <f ca="1" t="shared" si="1939"/>
        <v>0</v>
      </c>
      <c r="V1002" s="4">
        <f ca="1" t="shared" si="1940"/>
        <v>0</v>
      </c>
      <c r="W1002" s="4">
        <f ca="1" t="shared" si="1941"/>
        <v>0</v>
      </c>
      <c r="X1002" s="4">
        <f ca="1" t="shared" si="1942"/>
        <v>3.611415</v>
      </c>
      <c r="Y1002" s="4">
        <f ca="1" t="shared" si="1943"/>
        <v>2527.9905</v>
      </c>
      <c r="Z1002" s="4">
        <f ca="1" t="shared" si="1944"/>
        <v>0</v>
      </c>
      <c r="AA1002" s="4">
        <f ca="1" t="shared" si="1945"/>
        <v>0</v>
      </c>
      <c r="AB1002" s="4"/>
    </row>
    <row r="1003" customHeight="1" outlineLevel="3" spans="1:28">
      <c r="A1003" s="514" t="s">
        <v>3619</v>
      </c>
      <c r="B1003" s="4"/>
      <c r="C1003" s="510" t="s">
        <v>59</v>
      </c>
      <c r="D1003" s="4" t="s">
        <v>978</v>
      </c>
      <c r="E1003" s="4" t="str">
        <f ca="1">"含钢量："&amp;ROUND($M$1003/$G$1001,3)&amp;$F$1003&amp;"/"&amp;$F$1001</f>
        <v>含钢量：1.065t/t</v>
      </c>
      <c r="F1003" s="4" t="str">
        <f ca="1" t="shared" si="1936"/>
        <v>t</v>
      </c>
      <c r="G1003" s="4"/>
      <c r="H1003" s="4"/>
      <c r="I1003" s="4"/>
      <c r="J1003" s="4"/>
      <c r="K1003" s="4"/>
      <c r="L1003" s="517"/>
      <c r="M1003" s="4">
        <v>3.611415</v>
      </c>
      <c r="N1003" s="4">
        <f ca="1" t="shared" si="1937"/>
        <v>0</v>
      </c>
      <c r="O1003" s="4">
        <f ca="1">M1003*N1003</f>
        <v>0</v>
      </c>
      <c r="P1003" s="4"/>
      <c r="Q1003" s="4"/>
      <c r="R1003" s="4"/>
      <c r="S1003" s="4"/>
      <c r="T1003" s="4">
        <f ca="1" t="shared" si="1938"/>
        <v>0</v>
      </c>
      <c r="U1003" s="4">
        <f ca="1" t="shared" si="1939"/>
        <v>0</v>
      </c>
      <c r="V1003" s="4">
        <f ca="1" t="shared" si="1940"/>
        <v>0</v>
      </c>
      <c r="W1003" s="4">
        <f ca="1" t="shared" si="1941"/>
        <v>0</v>
      </c>
      <c r="X1003" s="4">
        <f ca="1" t="shared" si="1942"/>
        <v>3.611415</v>
      </c>
      <c r="Y1003" s="4">
        <f ca="1" t="shared" si="1943"/>
        <v>0</v>
      </c>
      <c r="Z1003" s="4">
        <f ca="1" t="shared" si="1944"/>
        <v>0</v>
      </c>
      <c r="AA1003" s="4">
        <f ca="1" t="shared" si="1945"/>
        <v>0</v>
      </c>
      <c r="AB1003" s="4"/>
    </row>
    <row r="1004" customHeight="1" outlineLevel="2" spans="1:28">
      <c r="A1004" s="515" t="s">
        <v>3620</v>
      </c>
      <c r="B1004" s="4"/>
      <c r="C1004" s="510" t="s">
        <v>1309</v>
      </c>
      <c r="D1004" s="4" t="s">
        <v>3621</v>
      </c>
      <c r="E1004" s="4" t="s">
        <v>3622</v>
      </c>
      <c r="F1004" s="4" t="s">
        <v>72</v>
      </c>
      <c r="G1004" s="4">
        <v>600</v>
      </c>
      <c r="H1004" s="4">
        <v>476.201834862385</v>
      </c>
      <c r="I1004" s="4">
        <f>G1004*H1004</f>
        <v>285721.100917431</v>
      </c>
      <c r="J1004" s="4">
        <f t="shared" ref="J1004:L1004" si="1947">+G1004</f>
        <v>600</v>
      </c>
      <c r="K1004" s="4">
        <f t="shared" si="1947"/>
        <v>476.201834862385</v>
      </c>
      <c r="L1004" s="517">
        <f t="shared" si="1947"/>
        <v>285721.100917431</v>
      </c>
      <c r="M1004" s="4">
        <v>600</v>
      </c>
      <c r="N1004" s="4">
        <f ca="1">O1004/M1004</f>
        <v>363.3075</v>
      </c>
      <c r="O1004" s="4">
        <f ca="1">(+O1005+O1006)</f>
        <v>217984.5</v>
      </c>
      <c r="P1004" s="4"/>
      <c r="Q1004" s="4"/>
      <c r="R1004" s="4">
        <f>+P1004+J1004</f>
        <v>600</v>
      </c>
      <c r="S1004" s="4">
        <f>+Q1004+L1004</f>
        <v>285721.100917431</v>
      </c>
      <c r="T1004" s="4">
        <f>IFERROR(VLOOKUP(A1004,产值统计中间表!A:F,7,FALSE),0)</f>
        <v>0</v>
      </c>
      <c r="U1004" s="4">
        <f>+T1004*H1004</f>
        <v>0</v>
      </c>
      <c r="V1004" s="4">
        <f>IFERROR(VLOOKUP(A1004,产值统计中间表!A:D,4,FALSE),0)</f>
        <v>0</v>
      </c>
      <c r="W1004" s="4">
        <f>+V1004*H1004</f>
        <v>0</v>
      </c>
      <c r="X1004" s="4">
        <f>+R1004-V1004</f>
        <v>600</v>
      </c>
      <c r="Y1004" s="4">
        <f>+S1004-W1004</f>
        <v>285721.100917431</v>
      </c>
      <c r="Z1004" s="4">
        <f>IFERROR(VLOOKUP(A1004,业主统计中间表!A:D,4,FALSE),0)</f>
        <v>0</v>
      </c>
      <c r="AA1004" s="4">
        <f>+Z1004*H1004</f>
        <v>0</v>
      </c>
      <c r="AB1004" s="4"/>
    </row>
    <row r="1005" customHeight="1" outlineLevel="3" spans="1:28">
      <c r="A1005" s="514" t="s">
        <v>3623</v>
      </c>
      <c r="B1005" s="4"/>
      <c r="C1005" s="510" t="s">
        <v>59</v>
      </c>
      <c r="D1005" s="4" t="s">
        <v>516</v>
      </c>
      <c r="E1005" s="4"/>
      <c r="F1005" s="4" t="str">
        <f ca="1" t="shared" ref="F1005:F1009" si="1948">VLOOKUP($D1005,INDIRECT($C1005),2,0)</f>
        <v>m3</v>
      </c>
      <c r="G1005" s="4"/>
      <c r="H1005" s="4"/>
      <c r="I1005" s="4"/>
      <c r="J1005" s="4"/>
      <c r="K1005" s="4"/>
      <c r="L1005" s="517"/>
      <c r="M1005" s="4">
        <v>603</v>
      </c>
      <c r="N1005" s="4">
        <f ca="1" t="shared" ref="N1005:N1009" si="1949">VLOOKUP($D1005,INDIRECT($C1005),3,0)</f>
        <v>360</v>
      </c>
      <c r="O1005" s="4">
        <f ca="1">M1005*N1005</f>
        <v>217080</v>
      </c>
      <c r="P1005" s="4"/>
      <c r="Q1005" s="4"/>
      <c r="R1005" s="4"/>
      <c r="S1005" s="4"/>
      <c r="T1005" s="4">
        <f ca="1" t="shared" ref="T1005:T1009" si="1950">OFFSET(T1005,-RIGHT($A1005,LEN($A$6)),,1,1)/OFFSET(T1005,-RIGHT($A1005,LEN($A$6)),-13,1,1)*$M1005</f>
        <v>0</v>
      </c>
      <c r="U1005" s="4">
        <f ca="1" t="shared" ref="U1005:U1009" si="1951">+$N1005*T1005</f>
        <v>0</v>
      </c>
      <c r="V1005" s="4">
        <f ca="1" t="shared" ref="V1005:V1009" si="1952">OFFSET(V1005,-RIGHT($A1005,LEN($A$6)),,1,1)/OFFSET(V1005,-RIGHT($A1005,LEN($A$6)),-15,1,1)*$M1005</f>
        <v>0</v>
      </c>
      <c r="W1005" s="4">
        <f ca="1" t="shared" ref="W1005:W1009" si="1953">+$N1005*V1005</f>
        <v>0</v>
      </c>
      <c r="X1005" s="4">
        <f ca="1" t="shared" ref="X1005:X1009" si="1954">+M1005-V1005</f>
        <v>603</v>
      </c>
      <c r="Y1005" s="4">
        <f ca="1" t="shared" ref="Y1005:Y1009" si="1955">+O1005-W1005</f>
        <v>217080</v>
      </c>
      <c r="Z1005" s="4">
        <f ca="1" t="shared" ref="Z1005:Z1009" si="1956">OFFSET(Z1005,-RIGHT($A1005,LEN($A$6)),,1,1)/OFFSET(Z1005,-RIGHT($A1005,LEN($A$6)),-19,1,1)*$M1005</f>
        <v>0</v>
      </c>
      <c r="AA1005" s="4">
        <f ca="1" t="shared" ref="AA1005:AA1009" si="1957">+$N1005*Z1005</f>
        <v>0</v>
      </c>
      <c r="AB1005" s="4"/>
    </row>
    <row r="1006" customHeight="1" outlineLevel="3" spans="1:28">
      <c r="A1006" s="514" t="s">
        <v>3624</v>
      </c>
      <c r="B1006" s="4"/>
      <c r="C1006" s="510" t="s">
        <v>64</v>
      </c>
      <c r="D1006" s="4" t="s">
        <v>1025</v>
      </c>
      <c r="E1006" s="4"/>
      <c r="F1006" s="4" t="str">
        <f ca="1" t="shared" si="1948"/>
        <v>m3</v>
      </c>
      <c r="G1006" s="4"/>
      <c r="H1006" s="4"/>
      <c r="I1006" s="4"/>
      <c r="J1006" s="4"/>
      <c r="K1006" s="4"/>
      <c r="L1006" s="517"/>
      <c r="M1006" s="4">
        <v>603</v>
      </c>
      <c r="N1006" s="4">
        <f ca="1" t="shared" si="1949"/>
        <v>1.5</v>
      </c>
      <c r="O1006" s="4">
        <f ca="1">M1006*N1006</f>
        <v>904.5</v>
      </c>
      <c r="P1006" s="4"/>
      <c r="Q1006" s="4"/>
      <c r="R1006" s="4"/>
      <c r="S1006" s="4"/>
      <c r="T1006" s="4">
        <f ca="1" t="shared" si="1950"/>
        <v>0</v>
      </c>
      <c r="U1006" s="4">
        <f ca="1" t="shared" si="1951"/>
        <v>0</v>
      </c>
      <c r="V1006" s="4">
        <f ca="1" t="shared" si="1952"/>
        <v>0</v>
      </c>
      <c r="W1006" s="4">
        <f ca="1" t="shared" si="1953"/>
        <v>0</v>
      </c>
      <c r="X1006" s="4">
        <f ca="1" t="shared" si="1954"/>
        <v>603</v>
      </c>
      <c r="Y1006" s="4">
        <f ca="1" t="shared" si="1955"/>
        <v>904.5</v>
      </c>
      <c r="Z1006" s="4">
        <f ca="1" t="shared" si="1956"/>
        <v>0</v>
      </c>
      <c r="AA1006" s="4">
        <f ca="1" t="shared" si="1957"/>
        <v>0</v>
      </c>
      <c r="AB1006" s="4"/>
    </row>
    <row r="1007" customHeight="1" outlineLevel="2" spans="1:28">
      <c r="A1007" s="515" t="s">
        <v>3625</v>
      </c>
      <c r="B1007" s="4"/>
      <c r="C1007" s="510" t="s">
        <v>1309</v>
      </c>
      <c r="D1007" s="4" t="s">
        <v>3626</v>
      </c>
      <c r="E1007" s="4" t="s">
        <v>3627</v>
      </c>
      <c r="F1007" s="4" t="s">
        <v>72</v>
      </c>
      <c r="G1007" s="4">
        <v>540</v>
      </c>
      <c r="H1007" s="4">
        <v>481.165137614679</v>
      </c>
      <c r="I1007" s="4">
        <f>G1007*H1007</f>
        <v>259829.174311927</v>
      </c>
      <c r="J1007" s="4">
        <f t="shared" ref="J1007:L1007" si="1958">+G1007</f>
        <v>540</v>
      </c>
      <c r="K1007" s="4">
        <f t="shared" si="1958"/>
        <v>481.165137614679</v>
      </c>
      <c r="L1007" s="517">
        <f t="shared" si="1958"/>
        <v>259829.174311927</v>
      </c>
      <c r="M1007" s="4">
        <v>540</v>
      </c>
      <c r="N1007" s="4">
        <f ca="1">O1007/M1007</f>
        <v>1.5075</v>
      </c>
      <c r="O1007" s="4">
        <f ca="1">(+O1008+O1009)</f>
        <v>814.05</v>
      </c>
      <c r="P1007" s="4"/>
      <c r="Q1007" s="4"/>
      <c r="R1007" s="4">
        <f>+P1007+J1007</f>
        <v>540</v>
      </c>
      <c r="S1007" s="4">
        <f>+Q1007+L1007</f>
        <v>259829.174311927</v>
      </c>
      <c r="T1007" s="4">
        <f>IFERROR(VLOOKUP(A1007,产值统计中间表!A:F,7,FALSE),0)</f>
        <v>0</v>
      </c>
      <c r="U1007" s="4">
        <f>+T1007*H1007</f>
        <v>0</v>
      </c>
      <c r="V1007" s="4">
        <f>IFERROR(VLOOKUP(A1007,产值统计中间表!A:D,4,FALSE),0)</f>
        <v>0</v>
      </c>
      <c r="W1007" s="4">
        <f>+V1007*H1007</f>
        <v>0</v>
      </c>
      <c r="X1007" s="4">
        <f>+R1007-V1007</f>
        <v>540</v>
      </c>
      <c r="Y1007" s="4">
        <f>+S1007-W1007</f>
        <v>259829.174311927</v>
      </c>
      <c r="Z1007" s="4">
        <f>IFERROR(VLOOKUP(A1007,业主统计中间表!A:D,4,FALSE),0)</f>
        <v>0</v>
      </c>
      <c r="AA1007" s="4">
        <f>+Z1007*H1007</f>
        <v>0</v>
      </c>
      <c r="AB1007" s="4"/>
    </row>
    <row r="1008" customHeight="1" outlineLevel="3" spans="1:28">
      <c r="A1008" s="514" t="s">
        <v>3628</v>
      </c>
      <c r="B1008" s="4"/>
      <c r="C1008" s="510" t="s">
        <v>59</v>
      </c>
      <c r="D1008" s="4" t="s">
        <v>1160</v>
      </c>
      <c r="E1008" s="4"/>
      <c r="F1008" s="4" t="str">
        <f ca="1" t="shared" si="1948"/>
        <v>m3</v>
      </c>
      <c r="G1008" s="4"/>
      <c r="H1008" s="4"/>
      <c r="I1008" s="4"/>
      <c r="J1008" s="4"/>
      <c r="K1008" s="4"/>
      <c r="L1008" s="517"/>
      <c r="M1008" s="4">
        <v>542.7</v>
      </c>
      <c r="N1008" s="4">
        <f ca="1" t="shared" si="1949"/>
        <v>0</v>
      </c>
      <c r="O1008" s="4">
        <f ca="1">M1008*N1008</f>
        <v>0</v>
      </c>
      <c r="P1008" s="4"/>
      <c r="Q1008" s="4"/>
      <c r="R1008" s="4"/>
      <c r="S1008" s="4"/>
      <c r="T1008" s="4">
        <f ca="1" t="shared" si="1950"/>
        <v>0</v>
      </c>
      <c r="U1008" s="4">
        <f ca="1" t="shared" si="1951"/>
        <v>0</v>
      </c>
      <c r="V1008" s="4">
        <f ca="1" t="shared" si="1952"/>
        <v>0</v>
      </c>
      <c r="W1008" s="4">
        <f ca="1" t="shared" si="1953"/>
        <v>0</v>
      </c>
      <c r="X1008" s="4">
        <f ca="1" t="shared" si="1954"/>
        <v>542.7</v>
      </c>
      <c r="Y1008" s="4">
        <f ca="1" t="shared" si="1955"/>
        <v>0</v>
      </c>
      <c r="Z1008" s="4">
        <f ca="1" t="shared" si="1956"/>
        <v>0</v>
      </c>
      <c r="AA1008" s="4">
        <f ca="1" t="shared" si="1957"/>
        <v>0</v>
      </c>
      <c r="AB1008" s="4"/>
    </row>
    <row r="1009" customHeight="1" outlineLevel="3" spans="1:28">
      <c r="A1009" s="514" t="s">
        <v>3629</v>
      </c>
      <c r="B1009" s="4"/>
      <c r="C1009" s="510" t="s">
        <v>64</v>
      </c>
      <c r="D1009" s="4" t="s">
        <v>1025</v>
      </c>
      <c r="E1009" s="4"/>
      <c r="F1009" s="4" t="str">
        <f ca="1" t="shared" si="1948"/>
        <v>m3</v>
      </c>
      <c r="G1009" s="4"/>
      <c r="H1009" s="4"/>
      <c r="I1009" s="4"/>
      <c r="J1009" s="4"/>
      <c r="K1009" s="4"/>
      <c r="L1009" s="517"/>
      <c r="M1009" s="4">
        <v>542.7</v>
      </c>
      <c r="N1009" s="4">
        <f ca="1" t="shared" si="1949"/>
        <v>1.5</v>
      </c>
      <c r="O1009" s="4">
        <f ca="1">M1009*N1009</f>
        <v>814.05</v>
      </c>
      <c r="P1009" s="4"/>
      <c r="Q1009" s="4"/>
      <c r="R1009" s="4"/>
      <c r="S1009" s="4"/>
      <c r="T1009" s="4">
        <f ca="1" t="shared" si="1950"/>
        <v>0</v>
      </c>
      <c r="U1009" s="4">
        <f ca="1" t="shared" si="1951"/>
        <v>0</v>
      </c>
      <c r="V1009" s="4">
        <f ca="1" t="shared" si="1952"/>
        <v>0</v>
      </c>
      <c r="W1009" s="4">
        <f ca="1" t="shared" si="1953"/>
        <v>0</v>
      </c>
      <c r="X1009" s="4">
        <f ca="1" t="shared" si="1954"/>
        <v>542.7</v>
      </c>
      <c r="Y1009" s="4">
        <f ca="1" t="shared" si="1955"/>
        <v>814.05</v>
      </c>
      <c r="Z1009" s="4">
        <f ca="1" t="shared" si="1956"/>
        <v>0</v>
      </c>
      <c r="AA1009" s="4">
        <f ca="1" t="shared" si="1957"/>
        <v>0</v>
      </c>
      <c r="AB1009" s="4"/>
    </row>
    <row r="1010" customHeight="1" outlineLevel="2" spans="1:28">
      <c r="A1010" s="515" t="s">
        <v>3630</v>
      </c>
      <c r="B1010" s="4"/>
      <c r="C1010" s="510" t="s">
        <v>1309</v>
      </c>
      <c r="D1010" s="4" t="s">
        <v>3631</v>
      </c>
      <c r="E1010" s="4" t="s">
        <v>3632</v>
      </c>
      <c r="F1010" s="4" t="s">
        <v>72</v>
      </c>
      <c r="G1010" s="4">
        <v>28460</v>
      </c>
      <c r="H1010" s="4">
        <v>12.7155963302752</v>
      </c>
      <c r="I1010" s="4">
        <f>G1010*H1010</f>
        <v>361885.871559632</v>
      </c>
      <c r="J1010" s="4">
        <f t="shared" ref="J1010:L1010" si="1959">+G1010</f>
        <v>28460</v>
      </c>
      <c r="K1010" s="4">
        <f t="shared" si="1959"/>
        <v>12.7155963302752</v>
      </c>
      <c r="L1010" s="517">
        <f t="shared" si="1959"/>
        <v>361885.871559632</v>
      </c>
      <c r="M1010" s="4">
        <v>28460</v>
      </c>
      <c r="N1010" s="4">
        <f ca="1" t="shared" ref="N1010:N1015" si="1960">O1010/M1010</f>
        <v>13.5</v>
      </c>
      <c r="O1010" s="4">
        <f ca="1">(+O1011+O1012)</f>
        <v>384210</v>
      </c>
      <c r="P1010" s="4"/>
      <c r="Q1010" s="4"/>
      <c r="R1010" s="4">
        <f t="shared" ref="R1010:R1015" si="1961">+P1010+J1010</f>
        <v>28460</v>
      </c>
      <c r="S1010" s="4">
        <f t="shared" ref="S1010:S1015" si="1962">+Q1010+L1010</f>
        <v>361885.871559632</v>
      </c>
      <c r="T1010" s="4">
        <f>IFERROR(VLOOKUP(A1010,产值统计中间表!A:F,7,FALSE),0)</f>
        <v>0</v>
      </c>
      <c r="U1010" s="4">
        <f t="shared" ref="U1010:U1015" si="1963">+T1010*H1010</f>
        <v>0</v>
      </c>
      <c r="V1010" s="4">
        <f>IFERROR(VLOOKUP(A1010,产值统计中间表!A:D,4,FALSE),0)</f>
        <v>0</v>
      </c>
      <c r="W1010" s="4">
        <f t="shared" ref="W1010:W1015" si="1964">+V1010*H1010</f>
        <v>0</v>
      </c>
      <c r="X1010" s="4">
        <f t="shared" ref="X1010:X1015" si="1965">+R1010-V1010</f>
        <v>28460</v>
      </c>
      <c r="Y1010" s="4">
        <f t="shared" ref="Y1010:Y1015" si="1966">+S1010-W1010</f>
        <v>361885.871559632</v>
      </c>
      <c r="Z1010" s="4">
        <f>IFERROR(VLOOKUP(A1010,业主统计中间表!A:D,4,FALSE),0)</f>
        <v>0</v>
      </c>
      <c r="AA1010" s="4">
        <f t="shared" ref="AA1010:AA1015" si="1967">+Z1010*H1010</f>
        <v>0</v>
      </c>
      <c r="AB1010" s="4"/>
    </row>
    <row r="1011" customHeight="1" outlineLevel="3" spans="1:28">
      <c r="A1011" s="514" t="s">
        <v>3633</v>
      </c>
      <c r="B1011" s="4"/>
      <c r="C1011" s="510" t="s">
        <v>63</v>
      </c>
      <c r="D1011" s="4" t="s">
        <v>600</v>
      </c>
      <c r="E1011" s="4"/>
      <c r="F1011" s="4" t="str">
        <f ca="1" t="shared" ref="F1011:F1014" si="1968">VLOOKUP($D1011,INDIRECT($C1011),2,0)</f>
        <v>m3</v>
      </c>
      <c r="G1011" s="4"/>
      <c r="H1011" s="4"/>
      <c r="I1011" s="4"/>
      <c r="J1011" s="4"/>
      <c r="K1011" s="4"/>
      <c r="L1011" s="517"/>
      <c r="M1011" s="4">
        <v>28460</v>
      </c>
      <c r="N1011" s="4">
        <f ca="1" t="shared" ref="N1011:N1014" si="1969">VLOOKUP($D1011,INDIRECT($C1011),3,0)</f>
        <v>0</v>
      </c>
      <c r="O1011" s="4">
        <f ca="1">M1011*N1011</f>
        <v>0</v>
      </c>
      <c r="P1011" s="4"/>
      <c r="Q1011" s="4"/>
      <c r="R1011" s="4"/>
      <c r="S1011" s="4"/>
      <c r="T1011" s="4">
        <f ca="1" t="shared" ref="T1011:T1014" si="1970">OFFSET(T1011,-RIGHT($A1011,LEN($A$6)),,1,1)/OFFSET(T1011,-RIGHT($A1011,LEN($A$6)),-13,1,1)*$M1011</f>
        <v>0</v>
      </c>
      <c r="U1011" s="4">
        <f ca="1" t="shared" ref="U1011:U1014" si="1971">+$N1011*T1011</f>
        <v>0</v>
      </c>
      <c r="V1011" s="4">
        <f ca="1" t="shared" ref="V1011:V1014" si="1972">OFFSET(V1011,-RIGHT($A1011,LEN($A$6)),,1,1)/OFFSET(V1011,-RIGHT($A1011,LEN($A$6)),-15,1,1)*$M1011</f>
        <v>0</v>
      </c>
      <c r="W1011" s="4">
        <f ca="1" t="shared" ref="W1011:W1014" si="1973">+$N1011*V1011</f>
        <v>0</v>
      </c>
      <c r="X1011" s="4">
        <f ca="1" t="shared" ref="X1011:X1014" si="1974">+M1011-V1011</f>
        <v>28460</v>
      </c>
      <c r="Y1011" s="4">
        <f ca="1" t="shared" ref="Y1011:Y1014" si="1975">+O1011-W1011</f>
        <v>0</v>
      </c>
      <c r="Z1011" s="4">
        <f ca="1" t="shared" ref="Z1011:Z1014" si="1976">OFFSET(Z1011,-RIGHT($A1011,LEN($A$6)),,1,1)/OFFSET(Z1011,-RIGHT($A1011,LEN($A$6)),-19,1,1)*$M1011</f>
        <v>0</v>
      </c>
      <c r="AA1011" s="4">
        <f ca="1" t="shared" ref="AA1011:AA1014" si="1977">+$N1011*Z1011</f>
        <v>0</v>
      </c>
      <c r="AB1011" s="4"/>
    </row>
    <row r="1012" customHeight="1" outlineLevel="3" spans="1:28">
      <c r="A1012" s="514" t="s">
        <v>3634</v>
      </c>
      <c r="B1012" s="4"/>
      <c r="C1012" s="510" t="s">
        <v>63</v>
      </c>
      <c r="D1012" s="4" t="s">
        <v>1216</v>
      </c>
      <c r="E1012" s="4"/>
      <c r="F1012" s="4" t="str">
        <f ca="1" t="shared" si="1968"/>
        <v>m3</v>
      </c>
      <c r="G1012" s="4"/>
      <c r="H1012" s="4"/>
      <c r="I1012" s="4"/>
      <c r="J1012" s="4"/>
      <c r="K1012" s="4"/>
      <c r="L1012" s="517"/>
      <c r="M1012" s="4">
        <v>28460</v>
      </c>
      <c r="N1012" s="4">
        <f ca="1" t="shared" si="1969"/>
        <v>13.5</v>
      </c>
      <c r="O1012" s="4">
        <f ca="1">M1012*N1012</f>
        <v>384210</v>
      </c>
      <c r="P1012" s="4"/>
      <c r="Q1012" s="4"/>
      <c r="R1012" s="4"/>
      <c r="S1012" s="4"/>
      <c r="T1012" s="4">
        <f ca="1" t="shared" si="1970"/>
        <v>0</v>
      </c>
      <c r="U1012" s="4">
        <f ca="1" t="shared" si="1971"/>
        <v>0</v>
      </c>
      <c r="V1012" s="4">
        <f ca="1" t="shared" si="1972"/>
        <v>0</v>
      </c>
      <c r="W1012" s="4">
        <f ca="1" t="shared" si="1973"/>
        <v>0</v>
      </c>
      <c r="X1012" s="4">
        <f ca="1" t="shared" si="1974"/>
        <v>28460</v>
      </c>
      <c r="Y1012" s="4">
        <f ca="1" t="shared" si="1975"/>
        <v>384210</v>
      </c>
      <c r="Z1012" s="4">
        <f ca="1" t="shared" si="1976"/>
        <v>0</v>
      </c>
      <c r="AA1012" s="4">
        <f ca="1" t="shared" si="1977"/>
        <v>0</v>
      </c>
      <c r="AB1012" s="4"/>
    </row>
    <row r="1013" customHeight="1" outlineLevel="2" spans="1:28">
      <c r="A1013" s="515" t="s">
        <v>3635</v>
      </c>
      <c r="B1013" s="4"/>
      <c r="C1013" s="510" t="s">
        <v>1309</v>
      </c>
      <c r="D1013" s="4" t="s">
        <v>3636</v>
      </c>
      <c r="E1013" s="4" t="s">
        <v>3637</v>
      </c>
      <c r="F1013" s="4" t="s">
        <v>72</v>
      </c>
      <c r="G1013" s="4">
        <v>28460</v>
      </c>
      <c r="H1013" s="4">
        <v>6.68807339449541</v>
      </c>
      <c r="I1013" s="4">
        <f>G1013*H1013</f>
        <v>190342.568807339</v>
      </c>
      <c r="J1013" s="4">
        <f t="shared" ref="J1013:L1013" si="1978">+G1013</f>
        <v>28460</v>
      </c>
      <c r="K1013" s="4">
        <f t="shared" si="1978"/>
        <v>6.68807339449541</v>
      </c>
      <c r="L1013" s="517">
        <f t="shared" si="1978"/>
        <v>190342.568807339</v>
      </c>
      <c r="M1013" s="4">
        <v>28460</v>
      </c>
      <c r="N1013" s="4">
        <f ca="1" t="shared" si="1960"/>
        <v>5.91</v>
      </c>
      <c r="O1013" s="4">
        <f ca="1">(+O1014)</f>
        <v>168198.6</v>
      </c>
      <c r="P1013" s="4"/>
      <c r="Q1013" s="4"/>
      <c r="R1013" s="4">
        <f t="shared" si="1961"/>
        <v>28460</v>
      </c>
      <c r="S1013" s="4">
        <f t="shared" si="1962"/>
        <v>190342.568807339</v>
      </c>
      <c r="T1013" s="4">
        <f>IFERROR(VLOOKUP(A1013,产值统计中间表!A:F,7,FALSE),0)</f>
        <v>0</v>
      </c>
      <c r="U1013" s="4">
        <f t="shared" si="1963"/>
        <v>0</v>
      </c>
      <c r="V1013" s="4">
        <f>IFERROR(VLOOKUP(A1013,产值统计中间表!A:D,4,FALSE),0)</f>
        <v>0</v>
      </c>
      <c r="W1013" s="4">
        <f t="shared" si="1964"/>
        <v>0</v>
      </c>
      <c r="X1013" s="4">
        <f t="shared" si="1965"/>
        <v>28460</v>
      </c>
      <c r="Y1013" s="4">
        <f t="shared" si="1966"/>
        <v>190342.568807339</v>
      </c>
      <c r="Z1013" s="4">
        <f>IFERROR(VLOOKUP(A1013,业主统计中间表!A:D,4,FALSE),0)</f>
        <v>0</v>
      </c>
      <c r="AA1013" s="4">
        <f t="shared" si="1967"/>
        <v>0</v>
      </c>
      <c r="AB1013" s="4"/>
    </row>
    <row r="1014" customHeight="1" outlineLevel="3" spans="1:28">
      <c r="A1014" s="514" t="s">
        <v>3638</v>
      </c>
      <c r="B1014" s="4"/>
      <c r="C1014" s="510" t="s">
        <v>63</v>
      </c>
      <c r="D1014" s="4" t="s">
        <v>801</v>
      </c>
      <c r="E1014" s="4"/>
      <c r="F1014" s="4" t="str">
        <f ca="1" t="shared" si="1968"/>
        <v>m3</v>
      </c>
      <c r="G1014" s="4"/>
      <c r="H1014" s="4"/>
      <c r="I1014" s="4"/>
      <c r="J1014" s="4"/>
      <c r="K1014" s="4"/>
      <c r="L1014" s="517"/>
      <c r="M1014" s="4">
        <v>28460</v>
      </c>
      <c r="N1014" s="4">
        <f ca="1" t="shared" si="1969"/>
        <v>5.91</v>
      </c>
      <c r="O1014" s="4">
        <f ca="1">M1014*N1014</f>
        <v>168198.6</v>
      </c>
      <c r="P1014" s="4"/>
      <c r="Q1014" s="4"/>
      <c r="R1014" s="4"/>
      <c r="S1014" s="4"/>
      <c r="T1014" s="4">
        <f ca="1" t="shared" si="1970"/>
        <v>0</v>
      </c>
      <c r="U1014" s="4">
        <f ca="1" t="shared" si="1971"/>
        <v>0</v>
      </c>
      <c r="V1014" s="4">
        <f ca="1" t="shared" si="1972"/>
        <v>0</v>
      </c>
      <c r="W1014" s="4">
        <f ca="1" t="shared" si="1973"/>
        <v>0</v>
      </c>
      <c r="X1014" s="4">
        <f ca="1" t="shared" si="1974"/>
        <v>28460</v>
      </c>
      <c r="Y1014" s="4">
        <f ca="1" t="shared" si="1975"/>
        <v>168198.6</v>
      </c>
      <c r="Z1014" s="4">
        <f ca="1" t="shared" si="1976"/>
        <v>0</v>
      </c>
      <c r="AA1014" s="4">
        <f ca="1" t="shared" si="1977"/>
        <v>0</v>
      </c>
      <c r="AB1014" s="4"/>
    </row>
    <row r="1015" customHeight="1" outlineLevel="2" spans="1:28">
      <c r="A1015" s="515" t="s">
        <v>3639</v>
      </c>
      <c r="B1015" s="4"/>
      <c r="C1015" s="510" t="s">
        <v>1309</v>
      </c>
      <c r="D1015" s="4" t="s">
        <v>3640</v>
      </c>
      <c r="E1015" s="4" t="s">
        <v>3641</v>
      </c>
      <c r="F1015" s="4" t="s">
        <v>72</v>
      </c>
      <c r="G1015" s="4">
        <v>28460</v>
      </c>
      <c r="H1015" s="4">
        <v>9.91743119266055</v>
      </c>
      <c r="I1015" s="4">
        <f>G1015*H1015</f>
        <v>282250.091743119</v>
      </c>
      <c r="J1015" s="4">
        <f t="shared" ref="J1015:L1015" si="1979">+G1015</f>
        <v>28460</v>
      </c>
      <c r="K1015" s="4">
        <f t="shared" si="1979"/>
        <v>9.91743119266055</v>
      </c>
      <c r="L1015" s="517">
        <f t="shared" si="1979"/>
        <v>282250.091743119</v>
      </c>
      <c r="M1015" s="4">
        <v>28460</v>
      </c>
      <c r="N1015" s="4">
        <f ca="1" t="shared" si="1960"/>
        <v>0</v>
      </c>
      <c r="O1015" s="4">
        <f ca="1">(+O1016)</f>
        <v>0</v>
      </c>
      <c r="P1015" s="4"/>
      <c r="Q1015" s="4"/>
      <c r="R1015" s="4">
        <f t="shared" si="1961"/>
        <v>28460</v>
      </c>
      <c r="S1015" s="4">
        <f t="shared" si="1962"/>
        <v>282250.091743119</v>
      </c>
      <c r="T1015" s="4">
        <f>IFERROR(VLOOKUP(A1015,产值统计中间表!A:F,7,FALSE),0)</f>
        <v>0</v>
      </c>
      <c r="U1015" s="4">
        <f t="shared" si="1963"/>
        <v>0</v>
      </c>
      <c r="V1015" s="4">
        <f>IFERROR(VLOOKUP(A1015,产值统计中间表!A:D,4,FALSE),0)</f>
        <v>0</v>
      </c>
      <c r="W1015" s="4">
        <f t="shared" si="1964"/>
        <v>0</v>
      </c>
      <c r="X1015" s="4">
        <f t="shared" si="1965"/>
        <v>28460</v>
      </c>
      <c r="Y1015" s="4">
        <f t="shared" si="1966"/>
        <v>282250.091743119</v>
      </c>
      <c r="Z1015" s="4">
        <f>IFERROR(VLOOKUP(A1015,业主统计中间表!A:D,4,FALSE),0)</f>
        <v>0</v>
      </c>
      <c r="AA1015" s="4">
        <f t="shared" si="1967"/>
        <v>0</v>
      </c>
      <c r="AB1015" s="4"/>
    </row>
    <row r="1016" customHeight="1" outlineLevel="3" spans="1:28">
      <c r="A1016" s="514" t="s">
        <v>3642</v>
      </c>
      <c r="B1016" s="4"/>
      <c r="C1016" s="510" t="s">
        <v>63</v>
      </c>
      <c r="D1016" s="4" t="s">
        <v>600</v>
      </c>
      <c r="E1016" s="4"/>
      <c r="F1016" s="4" t="str">
        <f ca="1" t="shared" ref="F1016:F1021" si="1980">VLOOKUP($D1016,INDIRECT($C1016),2,0)</f>
        <v>m3</v>
      </c>
      <c r="G1016" s="4"/>
      <c r="H1016" s="4"/>
      <c r="I1016" s="4"/>
      <c r="J1016" s="4"/>
      <c r="K1016" s="4"/>
      <c r="L1016" s="517"/>
      <c r="M1016" s="4">
        <v>28460</v>
      </c>
      <c r="N1016" s="4">
        <f ca="1" t="shared" ref="N1016:N1021" si="1981">VLOOKUP($D1016,INDIRECT($C1016),3,0)</f>
        <v>0</v>
      </c>
      <c r="O1016" s="4">
        <f ca="1">M1016*N1016</f>
        <v>0</v>
      </c>
      <c r="P1016" s="4"/>
      <c r="Q1016" s="4"/>
      <c r="R1016" s="4"/>
      <c r="S1016" s="4"/>
      <c r="T1016" s="4">
        <f ca="1" t="shared" ref="T1016:T1021" si="1982">OFFSET(T1016,-RIGHT($A1016,LEN($A$6)),,1,1)/OFFSET(T1016,-RIGHT($A1016,LEN($A$6)),-13,1,1)*$M1016</f>
        <v>0</v>
      </c>
      <c r="U1016" s="4">
        <f ca="1" t="shared" ref="U1016:U1021" si="1983">+$N1016*T1016</f>
        <v>0</v>
      </c>
      <c r="V1016" s="4">
        <f ca="1" t="shared" ref="V1016:V1021" si="1984">OFFSET(V1016,-RIGHT($A1016,LEN($A$6)),,1,1)/OFFSET(V1016,-RIGHT($A1016,LEN($A$6)),-15,1,1)*$M1016</f>
        <v>0</v>
      </c>
      <c r="W1016" s="4">
        <f ca="1" t="shared" ref="W1016:W1021" si="1985">+$N1016*V1016</f>
        <v>0</v>
      </c>
      <c r="X1016" s="4">
        <f ca="1" t="shared" ref="X1016:X1021" si="1986">+M1016-V1016</f>
        <v>28460</v>
      </c>
      <c r="Y1016" s="4">
        <f ca="1" t="shared" ref="Y1016:Y1021" si="1987">+O1016-W1016</f>
        <v>0</v>
      </c>
      <c r="Z1016" s="4">
        <f ca="1" t="shared" ref="Z1016:Z1021" si="1988">OFFSET(Z1016,-RIGHT($A1016,LEN($A$6)),,1,1)/OFFSET(Z1016,-RIGHT($A1016,LEN($A$6)),-19,1,1)*$M1016</f>
        <v>0</v>
      </c>
      <c r="AA1016" s="4">
        <f ca="1" t="shared" ref="AA1016:AA1021" si="1989">+$N1016*Z1016</f>
        <v>0</v>
      </c>
      <c r="AB1016" s="4"/>
    </row>
    <row r="1017" customHeight="1" outlineLevel="2" spans="1:28">
      <c r="A1017" s="515" t="s">
        <v>3643</v>
      </c>
      <c r="B1017" s="4"/>
      <c r="C1017" s="510" t="s">
        <v>1309</v>
      </c>
      <c r="D1017" s="4" t="s">
        <v>3560</v>
      </c>
      <c r="E1017" s="4" t="s">
        <v>3644</v>
      </c>
      <c r="F1017" s="4" t="s">
        <v>72</v>
      </c>
      <c r="G1017" s="4">
        <v>28460</v>
      </c>
      <c r="H1017" s="4">
        <v>15.6788990825688</v>
      </c>
      <c r="I1017" s="4">
        <f>G1017*H1017</f>
        <v>446221.467889908</v>
      </c>
      <c r="J1017" s="4">
        <f t="shared" ref="J1017:L1017" si="1990">+G1017</f>
        <v>28460</v>
      </c>
      <c r="K1017" s="4">
        <f t="shared" si="1990"/>
        <v>15.6788990825688</v>
      </c>
      <c r="L1017" s="517">
        <f t="shared" si="1990"/>
        <v>446221.467889908</v>
      </c>
      <c r="M1017" s="4">
        <v>28460</v>
      </c>
      <c r="N1017" s="4">
        <f ca="1" t="shared" ref="N1017:N1022" si="1991">O1017/M1017</f>
        <v>13.5</v>
      </c>
      <c r="O1017" s="4">
        <f ca="1">(+O1018)</f>
        <v>384210</v>
      </c>
      <c r="P1017" s="4"/>
      <c r="Q1017" s="4"/>
      <c r="R1017" s="4">
        <f t="shared" ref="R1017:R1022" si="1992">+P1017+J1017</f>
        <v>28460</v>
      </c>
      <c r="S1017" s="4">
        <f t="shared" ref="S1017:S1022" si="1993">+Q1017+L1017</f>
        <v>446221.467889908</v>
      </c>
      <c r="T1017" s="4">
        <f>IFERROR(VLOOKUP(A1017,产值统计中间表!A:F,7,FALSE),0)</f>
        <v>0</v>
      </c>
      <c r="U1017" s="4">
        <f t="shared" ref="U1017:U1022" si="1994">+T1017*H1017</f>
        <v>0</v>
      </c>
      <c r="V1017" s="4">
        <f>IFERROR(VLOOKUP(A1017,产值统计中间表!A:D,4,FALSE),0)</f>
        <v>0</v>
      </c>
      <c r="W1017" s="4">
        <f t="shared" ref="W1017:W1022" si="1995">+V1017*H1017</f>
        <v>0</v>
      </c>
      <c r="X1017" s="4">
        <f t="shared" ref="X1017:X1022" si="1996">+R1017-V1017</f>
        <v>28460</v>
      </c>
      <c r="Y1017" s="4">
        <f t="shared" ref="Y1017:Y1022" si="1997">+S1017-W1017</f>
        <v>446221.467889908</v>
      </c>
      <c r="Z1017" s="4">
        <f>IFERROR(VLOOKUP(A1017,业主统计中间表!A:D,4,FALSE),0)</f>
        <v>0</v>
      </c>
      <c r="AA1017" s="4">
        <f t="shared" ref="AA1017:AA1022" si="1998">+Z1017*H1017</f>
        <v>0</v>
      </c>
      <c r="AB1017" s="4"/>
    </row>
    <row r="1018" customHeight="1" outlineLevel="3" spans="1:28">
      <c r="A1018" s="514" t="s">
        <v>3645</v>
      </c>
      <c r="B1018" s="4"/>
      <c r="C1018" s="510" t="s">
        <v>63</v>
      </c>
      <c r="D1018" s="4" t="s">
        <v>1216</v>
      </c>
      <c r="E1018" s="4"/>
      <c r="F1018" s="4" t="str">
        <f ca="1" t="shared" si="1980"/>
        <v>m3</v>
      </c>
      <c r="G1018" s="4"/>
      <c r="H1018" s="4"/>
      <c r="I1018" s="4"/>
      <c r="J1018" s="4"/>
      <c r="K1018" s="4"/>
      <c r="L1018" s="517"/>
      <c r="M1018" s="4">
        <v>28460</v>
      </c>
      <c r="N1018" s="4">
        <f ca="1" t="shared" si="1981"/>
        <v>13.5</v>
      </c>
      <c r="O1018" s="4">
        <f ca="1">M1018*N1018</f>
        <v>384210</v>
      </c>
      <c r="P1018" s="4"/>
      <c r="Q1018" s="4"/>
      <c r="R1018" s="4"/>
      <c r="S1018" s="4"/>
      <c r="T1018" s="4">
        <f ca="1" t="shared" si="1982"/>
        <v>0</v>
      </c>
      <c r="U1018" s="4">
        <f ca="1" t="shared" si="1983"/>
        <v>0</v>
      </c>
      <c r="V1018" s="4">
        <f ca="1" t="shared" si="1984"/>
        <v>0</v>
      </c>
      <c r="W1018" s="4">
        <f ca="1" t="shared" si="1985"/>
        <v>0</v>
      </c>
      <c r="X1018" s="4">
        <f ca="1" t="shared" si="1986"/>
        <v>28460</v>
      </c>
      <c r="Y1018" s="4">
        <f ca="1" t="shared" si="1987"/>
        <v>384210</v>
      </c>
      <c r="Z1018" s="4">
        <f ca="1" t="shared" si="1988"/>
        <v>0</v>
      </c>
      <c r="AA1018" s="4">
        <f ca="1" t="shared" si="1989"/>
        <v>0</v>
      </c>
      <c r="AB1018" s="4"/>
    </row>
    <row r="1019" customHeight="1" outlineLevel="2" spans="1:28">
      <c r="A1019" s="515" t="s">
        <v>3646</v>
      </c>
      <c r="B1019" s="4"/>
      <c r="C1019" s="510" t="s">
        <v>1309</v>
      </c>
      <c r="D1019" s="4" t="s">
        <v>3647</v>
      </c>
      <c r="E1019" s="4" t="s">
        <v>3648</v>
      </c>
      <c r="F1019" s="4" t="s">
        <v>72</v>
      </c>
      <c r="G1019" s="4">
        <v>1252.19</v>
      </c>
      <c r="H1019" s="4">
        <v>280.266055045872</v>
      </c>
      <c r="I1019" s="4">
        <f>G1019*H1019</f>
        <v>350946.35146789</v>
      </c>
      <c r="J1019" s="4">
        <f t="shared" ref="J1019:L1019" si="1999">+G1019</f>
        <v>1252.19</v>
      </c>
      <c r="K1019" s="4">
        <f t="shared" si="1999"/>
        <v>280.266055045872</v>
      </c>
      <c r="L1019" s="517">
        <f t="shared" si="1999"/>
        <v>350946.35146789</v>
      </c>
      <c r="M1019" s="4">
        <v>1252.19</v>
      </c>
      <c r="N1019" s="4">
        <f ca="1" t="shared" si="1991"/>
        <v>270</v>
      </c>
      <c r="O1019" s="4">
        <f ca="1">(+O1020+O1021)</f>
        <v>338091.3</v>
      </c>
      <c r="P1019" s="4"/>
      <c r="Q1019" s="4"/>
      <c r="R1019" s="4">
        <f t="shared" si="1992"/>
        <v>1252.19</v>
      </c>
      <c r="S1019" s="4">
        <f t="shared" si="1993"/>
        <v>350946.35146789</v>
      </c>
      <c r="T1019" s="4">
        <f>IFERROR(VLOOKUP(A1019,产值统计中间表!A:F,7,FALSE),0)</f>
        <v>0</v>
      </c>
      <c r="U1019" s="4">
        <f t="shared" si="1994"/>
        <v>0</v>
      </c>
      <c r="V1019" s="4">
        <f>IFERROR(VLOOKUP(A1019,产值统计中间表!A:D,4,FALSE),0)</f>
        <v>0</v>
      </c>
      <c r="W1019" s="4">
        <f t="shared" si="1995"/>
        <v>0</v>
      </c>
      <c r="X1019" s="4">
        <f t="shared" si="1996"/>
        <v>1252.19</v>
      </c>
      <c r="Y1019" s="4">
        <f t="shared" si="1997"/>
        <v>350946.35146789</v>
      </c>
      <c r="Z1019" s="4">
        <f>IFERROR(VLOOKUP(A1019,业主统计中间表!A:D,4,FALSE),0)</f>
        <v>0</v>
      </c>
      <c r="AA1019" s="4">
        <f t="shared" si="1998"/>
        <v>0</v>
      </c>
      <c r="AB1019" s="4"/>
    </row>
    <row r="1020" customHeight="1" outlineLevel="3" spans="1:28">
      <c r="A1020" s="514" t="s">
        <v>3649</v>
      </c>
      <c r="B1020" s="4"/>
      <c r="C1020" s="510" t="s">
        <v>64</v>
      </c>
      <c r="D1020" s="4" t="s">
        <v>1118</v>
      </c>
      <c r="E1020" s="4" t="s">
        <v>3650</v>
      </c>
      <c r="F1020" s="4" t="str">
        <f ca="1" t="shared" si="1980"/>
        <v>m3</v>
      </c>
      <c r="G1020" s="4"/>
      <c r="H1020" s="4"/>
      <c r="I1020" s="4"/>
      <c r="J1020" s="4"/>
      <c r="K1020" s="4"/>
      <c r="L1020" s="517"/>
      <c r="M1020" s="4">
        <v>1252.19</v>
      </c>
      <c r="N1020" s="4">
        <f ca="1" t="shared" si="1981"/>
        <v>270</v>
      </c>
      <c r="O1020" s="4">
        <f ca="1">M1020*N1020</f>
        <v>338091.3</v>
      </c>
      <c r="P1020" s="4"/>
      <c r="Q1020" s="4"/>
      <c r="R1020" s="4"/>
      <c r="S1020" s="4"/>
      <c r="T1020" s="4">
        <f ca="1" t="shared" si="1982"/>
        <v>0</v>
      </c>
      <c r="U1020" s="4">
        <f ca="1" t="shared" si="1983"/>
        <v>0</v>
      </c>
      <c r="V1020" s="4">
        <f ca="1" t="shared" si="1984"/>
        <v>0</v>
      </c>
      <c r="W1020" s="4">
        <f ca="1" t="shared" si="1985"/>
        <v>0</v>
      </c>
      <c r="X1020" s="4">
        <f ca="1" t="shared" si="1986"/>
        <v>1252.19</v>
      </c>
      <c r="Y1020" s="4">
        <f ca="1" t="shared" si="1987"/>
        <v>338091.3</v>
      </c>
      <c r="Z1020" s="4">
        <f ca="1" t="shared" si="1988"/>
        <v>0</v>
      </c>
      <c r="AA1020" s="4">
        <f ca="1" t="shared" si="1989"/>
        <v>0</v>
      </c>
      <c r="AB1020" s="4"/>
    </row>
    <row r="1021" customHeight="1" outlineLevel="3" spans="1:28">
      <c r="A1021" s="514" t="s">
        <v>3651</v>
      </c>
      <c r="B1021" s="4"/>
      <c r="C1021" s="510" t="s">
        <v>59</v>
      </c>
      <c r="D1021" s="4" t="s">
        <v>1163</v>
      </c>
      <c r="E1021" s="4"/>
      <c r="F1021" s="4" t="str">
        <f ca="1" t="shared" si="1980"/>
        <v>根</v>
      </c>
      <c r="G1021" s="4"/>
      <c r="H1021" s="4"/>
      <c r="I1021" s="4"/>
      <c r="J1021" s="4"/>
      <c r="K1021" s="4"/>
      <c r="L1021" s="517"/>
      <c r="M1021" s="4">
        <v>18042.69936</v>
      </c>
      <c r="N1021" s="4">
        <f ca="1" t="shared" si="1981"/>
        <v>0</v>
      </c>
      <c r="O1021" s="4">
        <f ca="1">M1021*N1021</f>
        <v>0</v>
      </c>
      <c r="P1021" s="4"/>
      <c r="Q1021" s="4"/>
      <c r="R1021" s="4"/>
      <c r="S1021" s="4"/>
      <c r="T1021" s="4">
        <f ca="1" t="shared" si="1982"/>
        <v>0</v>
      </c>
      <c r="U1021" s="4">
        <f ca="1" t="shared" si="1983"/>
        <v>0</v>
      </c>
      <c r="V1021" s="4">
        <f ca="1" t="shared" si="1984"/>
        <v>0</v>
      </c>
      <c r="W1021" s="4">
        <f ca="1" t="shared" si="1985"/>
        <v>0</v>
      </c>
      <c r="X1021" s="4">
        <f ca="1" t="shared" si="1986"/>
        <v>18042.69936</v>
      </c>
      <c r="Y1021" s="4">
        <f ca="1" t="shared" si="1987"/>
        <v>0</v>
      </c>
      <c r="Z1021" s="4">
        <f ca="1" t="shared" si="1988"/>
        <v>0</v>
      </c>
      <c r="AA1021" s="4">
        <f ca="1" t="shared" si="1989"/>
        <v>0</v>
      </c>
      <c r="AB1021" s="4"/>
    </row>
    <row r="1022" customHeight="1" outlineLevel="2" spans="1:28">
      <c r="A1022" s="515" t="s">
        <v>3652</v>
      </c>
      <c r="B1022" s="4"/>
      <c r="C1022" s="510" t="s">
        <v>1309</v>
      </c>
      <c r="D1022" s="4" t="s">
        <v>3653</v>
      </c>
      <c r="E1022" s="4" t="s">
        <v>3654</v>
      </c>
      <c r="F1022" s="4" t="s">
        <v>3655</v>
      </c>
      <c r="G1022" s="4">
        <v>50189.4</v>
      </c>
      <c r="H1022" s="4">
        <v>8.30275229357798</v>
      </c>
      <c r="I1022" s="4">
        <f>G1022*H1022</f>
        <v>416710.155963303</v>
      </c>
      <c r="J1022" s="4">
        <f t="shared" ref="J1022:L1022" si="2000">+G1022</f>
        <v>50189.4</v>
      </c>
      <c r="K1022" s="4">
        <f t="shared" si="2000"/>
        <v>8.30275229357798</v>
      </c>
      <c r="L1022" s="517">
        <f t="shared" si="2000"/>
        <v>416710.155963303</v>
      </c>
      <c r="M1022" s="4">
        <v>50189.4</v>
      </c>
      <c r="N1022" s="4">
        <f ca="1" t="shared" si="1991"/>
        <v>6.548890901266</v>
      </c>
      <c r="O1022" s="4">
        <f ca="1">(+O1023+O1024)</f>
        <v>328684.905</v>
      </c>
      <c r="P1022" s="4"/>
      <c r="Q1022" s="4"/>
      <c r="R1022" s="4">
        <f t="shared" si="1992"/>
        <v>50189.4</v>
      </c>
      <c r="S1022" s="4">
        <f t="shared" si="1993"/>
        <v>416710.155963303</v>
      </c>
      <c r="T1022" s="4">
        <f>IFERROR(VLOOKUP(A1022,产值统计中间表!A:F,7,FALSE),0)</f>
        <v>0</v>
      </c>
      <c r="U1022" s="4">
        <f t="shared" si="1994"/>
        <v>0</v>
      </c>
      <c r="V1022" s="4">
        <f>IFERROR(VLOOKUP(A1022,产值统计中间表!A:D,4,FALSE),0)</f>
        <v>0</v>
      </c>
      <c r="W1022" s="4">
        <f t="shared" si="1995"/>
        <v>0</v>
      </c>
      <c r="X1022" s="4">
        <f t="shared" si="1996"/>
        <v>50189.4</v>
      </c>
      <c r="Y1022" s="4">
        <f t="shared" si="1997"/>
        <v>416710.155963303</v>
      </c>
      <c r="Z1022" s="4">
        <f>IFERROR(VLOOKUP(A1022,业主统计中间表!A:D,4,FALSE),0)</f>
        <v>0</v>
      </c>
      <c r="AA1022" s="4">
        <f t="shared" si="1998"/>
        <v>0</v>
      </c>
      <c r="AB1022" s="4"/>
    </row>
    <row r="1023" customHeight="1" outlineLevel="3" spans="1:28">
      <c r="A1023" s="514" t="s">
        <v>3656</v>
      </c>
      <c r="B1023" s="4"/>
      <c r="C1023" s="510" t="s">
        <v>63</v>
      </c>
      <c r="D1023" s="4" t="s">
        <v>1217</v>
      </c>
      <c r="E1023" s="4" t="s">
        <v>3657</v>
      </c>
      <c r="F1023" s="4" t="str">
        <f ca="1" t="shared" ref="F1023:F1026" si="2001">VLOOKUP($D1023,INDIRECT($C1023),2,0)</f>
        <v>m</v>
      </c>
      <c r="G1023" s="4"/>
      <c r="H1023" s="4"/>
      <c r="I1023" s="4"/>
      <c r="J1023" s="4"/>
      <c r="K1023" s="4"/>
      <c r="L1023" s="517"/>
      <c r="M1023" s="4">
        <v>18643.5</v>
      </c>
      <c r="N1023" s="4">
        <f ca="1" t="shared" ref="N1023:N1026" si="2002">VLOOKUP($D1023,INDIRECT($C1023),3,0)</f>
        <v>17.63</v>
      </c>
      <c r="O1023" s="4">
        <f ca="1">M1023*N1023</f>
        <v>328684.905</v>
      </c>
      <c r="P1023" s="4"/>
      <c r="Q1023" s="4"/>
      <c r="R1023" s="4"/>
      <c r="S1023" s="4"/>
      <c r="T1023" s="4">
        <f ca="1" t="shared" ref="T1023:T1026" si="2003">OFFSET(T1023,-RIGHT($A1023,LEN($A$6)),,1,1)/OFFSET(T1023,-RIGHT($A1023,LEN($A$6)),-13,1,1)*$M1023</f>
        <v>0</v>
      </c>
      <c r="U1023" s="4">
        <f ca="1" t="shared" ref="U1023:U1026" si="2004">+$N1023*T1023</f>
        <v>0</v>
      </c>
      <c r="V1023" s="4">
        <f ca="1" t="shared" ref="V1023:V1026" si="2005">OFFSET(V1023,-RIGHT($A1023,LEN($A$6)),,1,1)/OFFSET(V1023,-RIGHT($A1023,LEN($A$6)),-15,1,1)*$M1023</f>
        <v>0</v>
      </c>
      <c r="W1023" s="4">
        <f ca="1" t="shared" ref="W1023:W1026" si="2006">+$N1023*V1023</f>
        <v>0</v>
      </c>
      <c r="X1023" s="4">
        <f ca="1" t="shared" ref="X1023:X1026" si="2007">+M1023-V1023</f>
        <v>18643.5</v>
      </c>
      <c r="Y1023" s="4">
        <f ca="1" t="shared" ref="Y1023:Y1026" si="2008">+O1023-W1023</f>
        <v>328684.905</v>
      </c>
      <c r="Z1023" s="4">
        <f ca="1" t="shared" ref="Z1023:Z1026" si="2009">OFFSET(Z1023,-RIGHT($A1023,LEN($A$6)),,1,1)/OFFSET(Z1023,-RIGHT($A1023,LEN($A$6)),-19,1,1)*$M1023</f>
        <v>0</v>
      </c>
      <c r="AA1023" s="4">
        <f ca="1" t="shared" ref="AA1023:AA1026" si="2010">+$N1023*Z1023</f>
        <v>0</v>
      </c>
      <c r="AB1023" s="4"/>
    </row>
    <row r="1024" customHeight="1" outlineLevel="3" spans="1:28">
      <c r="A1024" s="514" t="s">
        <v>3658</v>
      </c>
      <c r="B1024" s="4"/>
      <c r="C1024" s="510" t="s">
        <v>59</v>
      </c>
      <c r="D1024" s="4" t="s">
        <v>1166</v>
      </c>
      <c r="E1024" s="4"/>
      <c r="F1024" s="4" t="str">
        <f ca="1" t="shared" si="2001"/>
        <v>t</v>
      </c>
      <c r="G1024" s="4"/>
      <c r="H1024" s="4"/>
      <c r="I1024" s="4"/>
      <c r="J1024" s="4"/>
      <c r="K1024" s="4"/>
      <c r="L1024" s="517"/>
      <c r="M1024" s="4">
        <f>278.83*180</f>
        <v>50189.4</v>
      </c>
      <c r="N1024" s="4">
        <f ca="1" t="shared" si="2002"/>
        <v>0</v>
      </c>
      <c r="O1024" s="4">
        <f ca="1">M1024*N1024</f>
        <v>0</v>
      </c>
      <c r="P1024" s="4"/>
      <c r="Q1024" s="4"/>
      <c r="R1024" s="4"/>
      <c r="S1024" s="4"/>
      <c r="T1024" s="4">
        <f ca="1" t="shared" si="2003"/>
        <v>0</v>
      </c>
      <c r="U1024" s="4">
        <f ca="1" t="shared" si="2004"/>
        <v>0</v>
      </c>
      <c r="V1024" s="4">
        <f ca="1" t="shared" si="2005"/>
        <v>0</v>
      </c>
      <c r="W1024" s="4">
        <f ca="1" t="shared" si="2006"/>
        <v>0</v>
      </c>
      <c r="X1024" s="4">
        <f ca="1" t="shared" si="2007"/>
        <v>50189.4</v>
      </c>
      <c r="Y1024" s="4">
        <f ca="1" t="shared" si="2008"/>
        <v>0</v>
      </c>
      <c r="Z1024" s="4">
        <f ca="1" t="shared" si="2009"/>
        <v>0</v>
      </c>
      <c r="AA1024" s="4">
        <f ca="1" t="shared" si="2010"/>
        <v>0</v>
      </c>
      <c r="AB1024" s="4"/>
    </row>
    <row r="1025" customHeight="1" outlineLevel="2" spans="1:28">
      <c r="A1025" s="515" t="s">
        <v>3659</v>
      </c>
      <c r="B1025" s="4"/>
      <c r="C1025" s="510" t="s">
        <v>1309</v>
      </c>
      <c r="D1025" s="4" t="s">
        <v>791</v>
      </c>
      <c r="E1025" s="4" t="s">
        <v>3660</v>
      </c>
      <c r="F1025" s="4" t="s">
        <v>82</v>
      </c>
      <c r="G1025" s="4">
        <v>2263.56</v>
      </c>
      <c r="H1025" s="4">
        <v>1378.70642201835</v>
      </c>
      <c r="I1025" s="4">
        <f>G1025*H1025</f>
        <v>3120784.70862386</v>
      </c>
      <c r="J1025" s="4">
        <f t="shared" ref="J1025:L1025" si="2011">+G1025</f>
        <v>2263.56</v>
      </c>
      <c r="K1025" s="4">
        <f t="shared" si="2011"/>
        <v>1378.70642201835</v>
      </c>
      <c r="L1025" s="517">
        <f t="shared" si="2011"/>
        <v>3120784.70862386</v>
      </c>
      <c r="M1025" s="4">
        <v>2263.56</v>
      </c>
      <c r="N1025" s="4">
        <f ca="1" t="shared" ref="N1025:N1029" si="2012">O1025/M1025</f>
        <v>100</v>
      </c>
      <c r="O1025" s="4">
        <f ca="1">(+O1026)</f>
        <v>226356</v>
      </c>
      <c r="P1025" s="4"/>
      <c r="Q1025" s="4"/>
      <c r="R1025" s="4">
        <f t="shared" ref="R1025:R1029" si="2013">+P1025+J1025</f>
        <v>2263.56</v>
      </c>
      <c r="S1025" s="4">
        <f t="shared" ref="S1025:S1029" si="2014">+Q1025+L1025</f>
        <v>3120784.70862386</v>
      </c>
      <c r="T1025" s="4">
        <f>IFERROR(VLOOKUP(A1025,产值统计中间表!A:F,7,FALSE),0)</f>
        <v>0</v>
      </c>
      <c r="U1025" s="4">
        <f t="shared" ref="U1025:U1029" si="2015">+T1025*H1025</f>
        <v>0</v>
      </c>
      <c r="V1025" s="4">
        <f>IFERROR(VLOOKUP(A1025,产值统计中间表!A:D,4,FALSE),0)</f>
        <v>0</v>
      </c>
      <c r="W1025" s="4">
        <f t="shared" ref="W1025:W1029" si="2016">+V1025*H1025</f>
        <v>0</v>
      </c>
      <c r="X1025" s="4">
        <f t="shared" ref="X1025:X1029" si="2017">+R1025-V1025</f>
        <v>2263.56</v>
      </c>
      <c r="Y1025" s="4">
        <f t="shared" ref="Y1025:Y1029" si="2018">+S1025-W1025</f>
        <v>3120784.70862386</v>
      </c>
      <c r="Z1025" s="4">
        <f>IFERROR(VLOOKUP(A1025,业主统计中间表!A:D,4,FALSE),0)</f>
        <v>0</v>
      </c>
      <c r="AA1025" s="4">
        <f t="shared" ref="AA1025:AA1029" si="2019">+Z1025*H1025</f>
        <v>0</v>
      </c>
      <c r="AB1025" s="4"/>
    </row>
    <row r="1026" customHeight="1" outlineLevel="3" spans="1:28">
      <c r="A1026" s="514" t="s">
        <v>3661</v>
      </c>
      <c r="B1026" s="4"/>
      <c r="C1026" s="510" t="s">
        <v>65</v>
      </c>
      <c r="D1026" s="4" t="s">
        <v>791</v>
      </c>
      <c r="E1026" s="4" t="s">
        <v>3662</v>
      </c>
      <c r="F1026" s="4" t="str">
        <f ca="1" t="shared" si="2001"/>
        <v>t</v>
      </c>
      <c r="G1026" s="4"/>
      <c r="H1026" s="4"/>
      <c r="I1026" s="4"/>
      <c r="J1026" s="4"/>
      <c r="K1026" s="4"/>
      <c r="L1026" s="517"/>
      <c r="M1026" s="4">
        <v>2263.56</v>
      </c>
      <c r="N1026" s="4">
        <f ca="1" t="shared" si="2002"/>
        <v>100</v>
      </c>
      <c r="O1026" s="4">
        <f ca="1">M1026*N1026</f>
        <v>226356</v>
      </c>
      <c r="P1026" s="4"/>
      <c r="Q1026" s="4"/>
      <c r="R1026" s="4"/>
      <c r="S1026" s="4"/>
      <c r="T1026" s="4">
        <f ca="1" t="shared" si="2003"/>
        <v>0</v>
      </c>
      <c r="U1026" s="4">
        <f ca="1" t="shared" si="2004"/>
        <v>0</v>
      </c>
      <c r="V1026" s="4">
        <f ca="1" t="shared" si="2005"/>
        <v>0</v>
      </c>
      <c r="W1026" s="4">
        <f ca="1" t="shared" si="2006"/>
        <v>0</v>
      </c>
      <c r="X1026" s="4">
        <f ca="1" t="shared" si="2007"/>
        <v>2263.56</v>
      </c>
      <c r="Y1026" s="4">
        <f ca="1" t="shared" si="2008"/>
        <v>226356</v>
      </c>
      <c r="Z1026" s="4">
        <f ca="1" t="shared" si="2009"/>
        <v>0</v>
      </c>
      <c r="AA1026" s="4">
        <f ca="1" t="shared" si="2010"/>
        <v>0</v>
      </c>
      <c r="AB1026" s="4"/>
    </row>
    <row r="1027" customHeight="1" outlineLevel="2" spans="1:28">
      <c r="A1027" s="515" t="s">
        <v>3663</v>
      </c>
      <c r="B1027" s="4"/>
      <c r="C1027" s="510" t="s">
        <v>1309</v>
      </c>
      <c r="D1027" s="4" t="s">
        <v>3664</v>
      </c>
      <c r="E1027" s="4" t="s">
        <v>3665</v>
      </c>
      <c r="F1027" s="4" t="s">
        <v>82</v>
      </c>
      <c r="G1027" s="4">
        <v>160</v>
      </c>
      <c r="H1027" s="4">
        <v>1000.59633027523</v>
      </c>
      <c r="I1027" s="4">
        <f>G1027*H1027</f>
        <v>160095.412844037</v>
      </c>
      <c r="J1027" s="4">
        <f t="shared" ref="J1027:L1027" si="2020">+G1027</f>
        <v>160</v>
      </c>
      <c r="K1027" s="4">
        <f t="shared" si="2020"/>
        <v>1000.59633027523</v>
      </c>
      <c r="L1027" s="517">
        <f t="shared" si="2020"/>
        <v>160095.412844037</v>
      </c>
      <c r="M1027" s="4">
        <v>160</v>
      </c>
      <c r="N1027" s="4">
        <f ca="1" t="shared" si="2012"/>
        <v>8800</v>
      </c>
      <c r="O1027" s="4">
        <f ca="1">(+O1028)</f>
        <v>1408000</v>
      </c>
      <c r="P1027" s="4"/>
      <c r="Q1027" s="4"/>
      <c r="R1027" s="4">
        <f t="shared" si="2013"/>
        <v>160</v>
      </c>
      <c r="S1027" s="4">
        <f t="shared" si="2014"/>
        <v>160095.412844037</v>
      </c>
      <c r="T1027" s="4">
        <f>IFERROR(VLOOKUP(A1027,产值统计中间表!A:F,7,FALSE),0)</f>
        <v>0</v>
      </c>
      <c r="U1027" s="4">
        <f t="shared" si="2015"/>
        <v>0</v>
      </c>
      <c r="V1027" s="4">
        <f>IFERROR(VLOOKUP(A1027,产值统计中间表!A:D,4,FALSE),0)</f>
        <v>0</v>
      </c>
      <c r="W1027" s="4">
        <f t="shared" si="2016"/>
        <v>0</v>
      </c>
      <c r="X1027" s="4">
        <f t="shared" si="2017"/>
        <v>160</v>
      </c>
      <c r="Y1027" s="4">
        <f t="shared" si="2018"/>
        <v>160095.412844037</v>
      </c>
      <c r="Z1027" s="4">
        <f>IFERROR(VLOOKUP(A1027,业主统计中间表!A:D,4,FALSE),0)</f>
        <v>0</v>
      </c>
      <c r="AA1027" s="4">
        <f t="shared" si="2019"/>
        <v>0</v>
      </c>
      <c r="AB1027" s="4"/>
    </row>
    <row r="1028" customHeight="1" outlineLevel="3" spans="1:28">
      <c r="A1028" s="514" t="s">
        <v>3666</v>
      </c>
      <c r="B1028" s="4"/>
      <c r="C1028" s="510" t="s">
        <v>65</v>
      </c>
      <c r="D1028" s="4" t="s">
        <v>795</v>
      </c>
      <c r="E1028" s="4"/>
      <c r="F1028" s="4" t="str">
        <f ca="1" t="shared" ref="F1028:F1032" si="2021">VLOOKUP($D1028,INDIRECT($C1028),2,0)</f>
        <v>t</v>
      </c>
      <c r="G1028" s="4"/>
      <c r="H1028" s="4"/>
      <c r="I1028" s="4"/>
      <c r="J1028" s="4"/>
      <c r="K1028" s="4"/>
      <c r="L1028" s="517"/>
      <c r="M1028" s="4">
        <v>160</v>
      </c>
      <c r="N1028" s="4">
        <f ca="1">VLOOKUP($D1028,INDIRECT($C1028),3,0)</f>
        <v>8800</v>
      </c>
      <c r="O1028" s="4">
        <f ca="1">M1028*N1028</f>
        <v>1408000</v>
      </c>
      <c r="P1028" s="4"/>
      <c r="Q1028" s="4"/>
      <c r="R1028" s="4"/>
      <c r="S1028" s="4"/>
      <c r="T1028" s="4">
        <f ca="1" t="shared" ref="T1028:T1032" si="2022">OFFSET(T1028,-RIGHT($A1028,LEN($A$6)),,1,1)/OFFSET(T1028,-RIGHT($A1028,LEN($A$6)),-13,1,1)*$M1028</f>
        <v>0</v>
      </c>
      <c r="U1028" s="4">
        <f ca="1" t="shared" ref="U1028:U1032" si="2023">+$N1028*T1028</f>
        <v>0</v>
      </c>
      <c r="V1028" s="4">
        <f ca="1" t="shared" ref="V1028:V1032" si="2024">OFFSET(V1028,-RIGHT($A1028,LEN($A$6)),,1,1)/OFFSET(V1028,-RIGHT($A1028,LEN($A$6)),-15,1,1)*$M1028</f>
        <v>0</v>
      </c>
      <c r="W1028" s="4">
        <f ca="1" t="shared" ref="W1028:W1032" si="2025">+$N1028*V1028</f>
        <v>0</v>
      </c>
      <c r="X1028" s="4">
        <f ca="1" t="shared" ref="X1028:X1032" si="2026">+M1028-V1028</f>
        <v>160</v>
      </c>
      <c r="Y1028" s="4">
        <f ca="1" t="shared" ref="Y1028:Y1032" si="2027">+O1028-W1028</f>
        <v>1408000</v>
      </c>
      <c r="Z1028" s="4">
        <f ca="1" t="shared" ref="Z1028:Z1032" si="2028">OFFSET(Z1028,-RIGHT($A1028,LEN($A$6)),,1,1)/OFFSET(Z1028,-RIGHT($A1028,LEN($A$6)),-19,1,1)*$M1028</f>
        <v>0</v>
      </c>
      <c r="AA1028" s="4">
        <f ca="1" t="shared" ref="AA1028:AA1032" si="2029">+$N1028*Z1028</f>
        <v>0</v>
      </c>
      <c r="AB1028" s="4"/>
    </row>
    <row r="1029" customHeight="1" outlineLevel="2" spans="1:28">
      <c r="A1029" s="515" t="s">
        <v>3667</v>
      </c>
      <c r="B1029" s="4"/>
      <c r="C1029" s="510" t="s">
        <v>1309</v>
      </c>
      <c r="D1029" s="4" t="s">
        <v>3668</v>
      </c>
      <c r="E1029" s="4" t="s">
        <v>3668</v>
      </c>
      <c r="F1029" s="4" t="s">
        <v>3655</v>
      </c>
      <c r="G1029" s="4">
        <v>568215</v>
      </c>
      <c r="H1029" s="4">
        <v>5.87155963302752</v>
      </c>
      <c r="I1029" s="4">
        <f>G1029*H1029</f>
        <v>3336308.25688073</v>
      </c>
      <c r="J1029" s="4">
        <f t="shared" ref="J1029:L1029" si="2030">+G1029</f>
        <v>568215</v>
      </c>
      <c r="K1029" s="4">
        <f t="shared" si="2030"/>
        <v>5.87155963302752</v>
      </c>
      <c r="L1029" s="517">
        <f t="shared" si="2030"/>
        <v>3336308.25688073</v>
      </c>
      <c r="M1029" s="4">
        <v>568215</v>
      </c>
      <c r="N1029" s="4">
        <f t="shared" si="2012"/>
        <v>1.24</v>
      </c>
      <c r="O1029" s="4">
        <f>(+O1030)</f>
        <v>704586.6</v>
      </c>
      <c r="P1029" s="4"/>
      <c r="Q1029" s="4"/>
      <c r="R1029" s="4">
        <f t="shared" si="2013"/>
        <v>568215</v>
      </c>
      <c r="S1029" s="4">
        <f t="shared" si="2014"/>
        <v>3336308.25688073</v>
      </c>
      <c r="T1029" s="4">
        <f>IFERROR(VLOOKUP(A1029,产值统计中间表!A:F,7,FALSE),0)</f>
        <v>0</v>
      </c>
      <c r="U1029" s="4">
        <f t="shared" si="2015"/>
        <v>0</v>
      </c>
      <c r="V1029" s="4">
        <f>IFERROR(VLOOKUP(A1029,产值统计中间表!A:D,4,FALSE),0)</f>
        <v>0</v>
      </c>
      <c r="W1029" s="4">
        <f t="shared" si="2016"/>
        <v>0</v>
      </c>
      <c r="X1029" s="4">
        <f t="shared" si="2017"/>
        <v>568215</v>
      </c>
      <c r="Y1029" s="4">
        <f t="shared" si="2018"/>
        <v>3336308.25688073</v>
      </c>
      <c r="Z1029" s="4">
        <f>IFERROR(VLOOKUP(A1029,业主统计中间表!A:D,4,FALSE),0)</f>
        <v>0</v>
      </c>
      <c r="AA1029" s="4">
        <f t="shared" si="2019"/>
        <v>0</v>
      </c>
      <c r="AB1029" s="4"/>
    </row>
    <row r="1030" customHeight="1" outlineLevel="3" spans="1:28">
      <c r="A1030" s="514" t="s">
        <v>3669</v>
      </c>
      <c r="B1030" s="4"/>
      <c r="C1030" s="510" t="s">
        <v>59</v>
      </c>
      <c r="D1030" s="4" t="s">
        <v>1169</v>
      </c>
      <c r="E1030" s="4" t="s">
        <v>3662</v>
      </c>
      <c r="F1030" s="4" t="str">
        <f ca="1" t="shared" si="2021"/>
        <v>t</v>
      </c>
      <c r="G1030" s="4"/>
      <c r="H1030" s="4"/>
      <c r="I1030" s="4"/>
      <c r="J1030" s="4"/>
      <c r="K1030" s="4"/>
      <c r="L1030" s="517"/>
      <c r="M1030" s="4">
        <v>568215</v>
      </c>
      <c r="N1030" s="4">
        <v>1.24</v>
      </c>
      <c r="O1030" s="4">
        <f>M1030*N1030</f>
        <v>704586.6</v>
      </c>
      <c r="P1030" s="4"/>
      <c r="Q1030" s="4"/>
      <c r="R1030" s="4"/>
      <c r="S1030" s="4"/>
      <c r="T1030" s="4">
        <f ca="1" t="shared" si="2022"/>
        <v>0</v>
      </c>
      <c r="U1030" s="4">
        <f ca="1" t="shared" si="2023"/>
        <v>0</v>
      </c>
      <c r="V1030" s="4">
        <f ca="1" t="shared" si="2024"/>
        <v>0</v>
      </c>
      <c r="W1030" s="4">
        <f ca="1" t="shared" si="2025"/>
        <v>0</v>
      </c>
      <c r="X1030" s="4">
        <f ca="1" t="shared" si="2026"/>
        <v>568215</v>
      </c>
      <c r="Y1030" s="4">
        <f ca="1" t="shared" si="2027"/>
        <v>704586.6</v>
      </c>
      <c r="Z1030" s="4">
        <f ca="1" t="shared" si="2028"/>
        <v>0</v>
      </c>
      <c r="AA1030" s="4">
        <f ca="1" t="shared" si="2029"/>
        <v>0</v>
      </c>
      <c r="AB1030" s="4"/>
    </row>
    <row r="1031" customHeight="1" outlineLevel="2" spans="1:28">
      <c r="A1031" s="515" t="s">
        <v>3670</v>
      </c>
      <c r="B1031" s="4"/>
      <c r="C1031" s="510" t="s">
        <v>1309</v>
      </c>
      <c r="D1031" s="4" t="s">
        <v>3671</v>
      </c>
      <c r="E1031" s="4" t="s">
        <v>3671</v>
      </c>
      <c r="F1031" s="4" t="s">
        <v>82</v>
      </c>
      <c r="G1031" s="4">
        <v>3506.35</v>
      </c>
      <c r="H1031" s="4">
        <v>425.467889908257</v>
      </c>
      <c r="I1031" s="4">
        <f>G1031*H1031</f>
        <v>1491839.33577982</v>
      </c>
      <c r="J1031" s="4">
        <f t="shared" ref="J1031:L1031" si="2031">+G1031</f>
        <v>3506.35</v>
      </c>
      <c r="K1031" s="4">
        <f t="shared" si="2031"/>
        <v>425.467889908257</v>
      </c>
      <c r="L1031" s="517">
        <f t="shared" si="2031"/>
        <v>1491839.33577982</v>
      </c>
      <c r="M1031" s="4">
        <v>3506.35</v>
      </c>
      <c r="N1031" s="4">
        <f>O1031/M1031</f>
        <v>450</v>
      </c>
      <c r="O1031" s="4">
        <f>(+O1032)</f>
        <v>1577857.5</v>
      </c>
      <c r="P1031" s="4"/>
      <c r="Q1031" s="4"/>
      <c r="R1031" s="4">
        <f>+P1031+J1031</f>
        <v>3506.35</v>
      </c>
      <c r="S1031" s="4">
        <f>+Q1031+L1031</f>
        <v>1491839.33577982</v>
      </c>
      <c r="T1031" s="4">
        <f>IFERROR(VLOOKUP(A1031,产值统计中间表!A:F,7,FALSE),0)</f>
        <v>0</v>
      </c>
      <c r="U1031" s="4">
        <f>+T1031*H1031</f>
        <v>0</v>
      </c>
      <c r="V1031" s="4">
        <f>IFERROR(VLOOKUP(A1031,产值统计中间表!A:D,4,FALSE),0)</f>
        <v>0</v>
      </c>
      <c r="W1031" s="4">
        <f>+V1031*H1031</f>
        <v>0</v>
      </c>
      <c r="X1031" s="4">
        <f>+R1031-V1031</f>
        <v>3506.35</v>
      </c>
      <c r="Y1031" s="4">
        <f>+S1031-W1031</f>
        <v>1491839.33577982</v>
      </c>
      <c r="Z1031" s="4">
        <f>IFERROR(VLOOKUP(A1031,业主统计中间表!A:D,4,FALSE),0)</f>
        <v>0</v>
      </c>
      <c r="AA1031" s="4">
        <f>+Z1031*H1031</f>
        <v>0</v>
      </c>
      <c r="AB1031" s="4"/>
    </row>
    <row r="1032" customHeight="1" outlineLevel="3" spans="1:28">
      <c r="A1032" s="514" t="s">
        <v>3672</v>
      </c>
      <c r="B1032" s="4"/>
      <c r="C1032" s="510" t="s">
        <v>65</v>
      </c>
      <c r="D1032" s="4" t="s">
        <v>799</v>
      </c>
      <c r="E1032" s="4" t="s">
        <v>3662</v>
      </c>
      <c r="F1032" s="4" t="str">
        <f ca="1" t="shared" si="2021"/>
        <v>t</v>
      </c>
      <c r="G1032" s="4"/>
      <c r="H1032" s="4"/>
      <c r="I1032" s="4"/>
      <c r="J1032" s="4"/>
      <c r="K1032" s="4"/>
      <c r="L1032" s="517"/>
      <c r="M1032" s="4">
        <v>3506.35</v>
      </c>
      <c r="N1032" s="4">
        <v>450</v>
      </c>
      <c r="O1032" s="4">
        <f>M1032*N1032</f>
        <v>1577857.5</v>
      </c>
      <c r="P1032" s="4"/>
      <c r="Q1032" s="4"/>
      <c r="R1032" s="4"/>
      <c r="S1032" s="4"/>
      <c r="T1032" s="4">
        <f ca="1" t="shared" si="2022"/>
        <v>0</v>
      </c>
      <c r="U1032" s="4">
        <f ca="1" t="shared" si="2023"/>
        <v>0</v>
      </c>
      <c r="V1032" s="4">
        <f ca="1" t="shared" si="2024"/>
        <v>0</v>
      </c>
      <c r="W1032" s="4">
        <f ca="1" t="shared" si="2025"/>
        <v>0</v>
      </c>
      <c r="X1032" s="4">
        <f ca="1" t="shared" si="2026"/>
        <v>3506.35</v>
      </c>
      <c r="Y1032" s="4">
        <f ca="1" t="shared" si="2027"/>
        <v>1577857.5</v>
      </c>
      <c r="Z1032" s="4">
        <f ca="1" t="shared" si="2028"/>
        <v>0</v>
      </c>
      <c r="AA1032" s="4">
        <f ca="1" t="shared" si="2029"/>
        <v>0</v>
      </c>
      <c r="AB1032" s="4"/>
    </row>
    <row r="1033" customHeight="1" outlineLevel="2" spans="1:28">
      <c r="A1033" s="515" t="s">
        <v>3673</v>
      </c>
      <c r="B1033" s="4"/>
      <c r="C1033" s="510" t="s">
        <v>1309</v>
      </c>
      <c r="D1033" s="4" t="s">
        <v>1172</v>
      </c>
      <c r="E1033" s="4" t="s">
        <v>3674</v>
      </c>
      <c r="F1033" s="4" t="s">
        <v>82</v>
      </c>
      <c r="G1033" s="4">
        <v>8.243</v>
      </c>
      <c r="H1033" s="4">
        <v>3741.19266055046</v>
      </c>
      <c r="I1033" s="4">
        <f>G1033*H1033</f>
        <v>30838.6511009174</v>
      </c>
      <c r="J1033" s="4">
        <f t="shared" ref="J1033:L1033" si="2032">+G1033</f>
        <v>8.243</v>
      </c>
      <c r="K1033" s="4">
        <f t="shared" si="2032"/>
        <v>3741.19266055046</v>
      </c>
      <c r="L1033" s="517">
        <f t="shared" si="2032"/>
        <v>30838.6511009174</v>
      </c>
      <c r="M1033" s="4">
        <v>8.243</v>
      </c>
      <c r="N1033" s="4">
        <f ca="1">O1033/M1033</f>
        <v>0</v>
      </c>
      <c r="O1033" s="4">
        <f ca="1">(+O1034)</f>
        <v>0</v>
      </c>
      <c r="P1033" s="4"/>
      <c r="Q1033" s="4"/>
      <c r="R1033" s="4">
        <f>+P1033+J1033</f>
        <v>8.243</v>
      </c>
      <c r="S1033" s="4">
        <f>+Q1033+L1033</f>
        <v>30838.6511009174</v>
      </c>
      <c r="T1033" s="4">
        <f>IFERROR(VLOOKUP(A1033,产值统计中间表!A:F,7,FALSE),0)</f>
        <v>0</v>
      </c>
      <c r="U1033" s="4">
        <f>+T1033*H1033</f>
        <v>0</v>
      </c>
      <c r="V1033" s="4">
        <f>IFERROR(VLOOKUP(A1033,产值统计中间表!A:D,4,FALSE),0)</f>
        <v>0</v>
      </c>
      <c r="W1033" s="4">
        <f>+V1033*H1033</f>
        <v>0</v>
      </c>
      <c r="X1033" s="4">
        <f>+R1033-V1033</f>
        <v>8.243</v>
      </c>
      <c r="Y1033" s="4">
        <f>+S1033-W1033</f>
        <v>30838.6511009174</v>
      </c>
      <c r="Z1033" s="4">
        <f>IFERROR(VLOOKUP(A1033,业主统计中间表!A:D,4,FALSE),0)</f>
        <v>0</v>
      </c>
      <c r="AA1033" s="4">
        <f>+Z1033*H1033</f>
        <v>0</v>
      </c>
      <c r="AB1033" s="4"/>
    </row>
    <row r="1034" customHeight="1" outlineLevel="3" spans="1:28">
      <c r="A1034" s="514" t="s">
        <v>3675</v>
      </c>
      <c r="B1034" s="4"/>
      <c r="C1034" s="510" t="s">
        <v>59</v>
      </c>
      <c r="D1034" s="4" t="s">
        <v>1172</v>
      </c>
      <c r="E1034" s="4"/>
      <c r="F1034" s="4" t="str">
        <f ca="1">VLOOKUP($D1034,INDIRECT($C1034),2,0)</f>
        <v>t</v>
      </c>
      <c r="G1034" s="4"/>
      <c r="H1034" s="4"/>
      <c r="I1034" s="4"/>
      <c r="J1034" s="4"/>
      <c r="K1034" s="4"/>
      <c r="L1034" s="517"/>
      <c r="M1034" s="4">
        <v>8.243</v>
      </c>
      <c r="N1034" s="4">
        <f ca="1">VLOOKUP($D1034,INDIRECT($C1034),3,0)</f>
        <v>0</v>
      </c>
      <c r="O1034" s="4">
        <f ca="1">M1034*N1034</f>
        <v>0</v>
      </c>
      <c r="P1034" s="4"/>
      <c r="Q1034" s="4"/>
      <c r="R1034" s="4"/>
      <c r="S1034" s="4"/>
      <c r="T1034" s="4">
        <f ca="1">OFFSET(T1034,-RIGHT($A1034,LEN($A$6)),,1,1)/OFFSET(T1034,-RIGHT($A1034,LEN($A$6)),-13,1,1)*$M1034</f>
        <v>0</v>
      </c>
      <c r="U1034" s="4">
        <f ca="1">+$N1034*T1034</f>
        <v>0</v>
      </c>
      <c r="V1034" s="4">
        <f ca="1">OFFSET(V1034,-RIGHT($A1034,LEN($A$6)),,1,1)/OFFSET(V1034,-RIGHT($A1034,LEN($A$6)),-15,1,1)*$M1034</f>
        <v>0</v>
      </c>
      <c r="W1034" s="4">
        <f ca="1">+$N1034*V1034</f>
        <v>0</v>
      </c>
      <c r="X1034" s="4">
        <f ca="1">+M1034-V1034</f>
        <v>8.243</v>
      </c>
      <c r="Y1034" s="4">
        <f ca="1">+O1034-W1034</f>
        <v>0</v>
      </c>
      <c r="Z1034" s="4">
        <f ca="1">OFFSET(Z1034,-RIGHT($A1034,LEN($A$6)),,1,1)/OFFSET(Z1034,-RIGHT($A1034,LEN($A$6)),-19,1,1)*$M1034</f>
        <v>0</v>
      </c>
      <c r="AA1034" s="4">
        <f ca="1">+$N1034*Z1034</f>
        <v>0</v>
      </c>
      <c r="AB1034" s="4"/>
    </row>
    <row r="1035" customHeight="1" spans="1:28">
      <c r="A1035" s="4" t="s">
        <v>1377</v>
      </c>
      <c r="B1035" s="4"/>
      <c r="C1035" s="510" t="s">
        <v>1305</v>
      </c>
      <c r="D1035" s="4" t="s">
        <v>1383</v>
      </c>
      <c r="E1035" s="4" t="s">
        <v>1379</v>
      </c>
      <c r="F1035" s="4" t="s">
        <v>195</v>
      </c>
      <c r="G1035" s="4"/>
      <c r="H1035" s="4"/>
      <c r="I1035" s="4">
        <f>(+I1036+I1037+I1038)</f>
        <v>4889165.57</v>
      </c>
      <c r="J1035" s="4"/>
      <c r="K1035" s="4"/>
      <c r="L1035" s="517">
        <f>(+L1036+L1037+L1038)</f>
        <v>0</v>
      </c>
      <c r="M1035" s="4"/>
      <c r="N1035" s="4"/>
      <c r="O1035" s="4">
        <f>(+O1036+O1037+O1038)</f>
        <v>0</v>
      </c>
      <c r="P1035" s="4"/>
      <c r="Q1035" s="4"/>
      <c r="R1035" s="4"/>
      <c r="S1035" s="4"/>
      <c r="T1035" s="4"/>
      <c r="U1035" s="4"/>
      <c r="V1035" s="4"/>
      <c r="W1035" s="4"/>
      <c r="X1035" s="4"/>
      <c r="Y1035" s="4"/>
      <c r="Z1035" s="4"/>
      <c r="AA1035" s="4"/>
      <c r="AB1035" s="4"/>
    </row>
    <row r="1036" customHeight="1" outlineLevel="1" spans="1:28">
      <c r="A1036" s="518" t="s">
        <v>1380</v>
      </c>
      <c r="B1036" s="4"/>
      <c r="C1036" s="510" t="s">
        <v>60</v>
      </c>
      <c r="D1036" s="4" t="s">
        <v>1307</v>
      </c>
      <c r="E1036" s="4"/>
      <c r="F1036" s="4" t="s">
        <v>195</v>
      </c>
      <c r="G1036" s="4">
        <v>1</v>
      </c>
      <c r="H1036" s="4">
        <v>742771.63</v>
      </c>
      <c r="I1036" s="4">
        <v>742771.63</v>
      </c>
      <c r="J1036" s="4"/>
      <c r="K1036" s="4"/>
      <c r="L1036" s="517"/>
      <c r="M1036" s="4"/>
      <c r="N1036" s="4"/>
      <c r="O1036" s="4"/>
      <c r="P1036" s="4"/>
      <c r="Q1036" s="4"/>
      <c r="R1036" s="4"/>
      <c r="S1036" s="4"/>
      <c r="T1036" s="4"/>
      <c r="U1036" s="4"/>
      <c r="V1036" s="4"/>
      <c r="W1036" s="4"/>
      <c r="X1036" s="4"/>
      <c r="Y1036" s="4"/>
      <c r="Z1036" s="4"/>
      <c r="AA1036" s="4"/>
      <c r="AB1036" s="4"/>
    </row>
    <row r="1037" customHeight="1" outlineLevel="1" spans="1:28">
      <c r="A1037" s="518" t="s">
        <v>1384</v>
      </c>
      <c r="B1037" s="4"/>
      <c r="C1037" s="510" t="s">
        <v>60</v>
      </c>
      <c r="D1037" s="4" t="s">
        <v>2721</v>
      </c>
      <c r="E1037" s="4"/>
      <c r="F1037" s="4" t="s">
        <v>195</v>
      </c>
      <c r="G1037" s="4">
        <v>1</v>
      </c>
      <c r="H1037" s="4">
        <v>1217546.08</v>
      </c>
      <c r="I1037" s="4">
        <v>1217546.08</v>
      </c>
      <c r="J1037" s="4"/>
      <c r="K1037" s="4"/>
      <c r="L1037" s="517"/>
      <c r="M1037" s="4"/>
      <c r="N1037" s="4"/>
      <c r="O1037" s="4"/>
      <c r="P1037" s="4"/>
      <c r="Q1037" s="4"/>
      <c r="R1037" s="4"/>
      <c r="S1037" s="4"/>
      <c r="T1037" s="4"/>
      <c r="U1037" s="4"/>
      <c r="V1037" s="4"/>
      <c r="W1037" s="4"/>
      <c r="X1037" s="4"/>
      <c r="Y1037" s="4"/>
      <c r="Z1037" s="4"/>
      <c r="AA1037" s="4"/>
      <c r="AB1037" s="4"/>
    </row>
    <row r="1038" customHeight="1" outlineLevel="1" spans="1:28">
      <c r="A1038" s="518" t="s">
        <v>3676</v>
      </c>
      <c r="B1038" s="4"/>
      <c r="C1038" s="510" t="s">
        <v>60</v>
      </c>
      <c r="D1038" s="4" t="s">
        <v>3677</v>
      </c>
      <c r="E1038" s="4"/>
      <c r="F1038" s="4" t="s">
        <v>195</v>
      </c>
      <c r="G1038" s="4">
        <v>1</v>
      </c>
      <c r="H1038" s="4">
        <v>2928847.86</v>
      </c>
      <c r="I1038" s="4">
        <v>2928847.86</v>
      </c>
      <c r="J1038" s="4"/>
      <c r="K1038" s="4"/>
      <c r="L1038" s="517"/>
      <c r="M1038" s="4"/>
      <c r="N1038" s="4"/>
      <c r="O1038" s="4"/>
      <c r="P1038" s="4"/>
      <c r="Q1038" s="4"/>
      <c r="R1038" s="4"/>
      <c r="S1038" s="4"/>
      <c r="T1038" s="4"/>
      <c r="U1038" s="4"/>
      <c r="V1038" s="4"/>
      <c r="W1038" s="4"/>
      <c r="X1038" s="4"/>
      <c r="Y1038" s="4"/>
      <c r="Z1038" s="4"/>
      <c r="AA1038" s="4"/>
      <c r="AB1038" s="4"/>
    </row>
    <row r="1039" customHeight="1" spans="1:28">
      <c r="A1039" s="4" t="s">
        <v>1387</v>
      </c>
      <c r="B1039" s="4"/>
      <c r="C1039" s="510" t="s">
        <v>1305</v>
      </c>
      <c r="D1039" s="4" t="s">
        <v>3678</v>
      </c>
      <c r="E1039" s="4" t="s">
        <v>1386</v>
      </c>
      <c r="F1039" s="4" t="s">
        <v>195</v>
      </c>
      <c r="G1039" s="4"/>
      <c r="H1039" s="4"/>
      <c r="I1039" s="4">
        <f>(+I1040+I1041+I1052)</f>
        <v>5371206.0443</v>
      </c>
      <c r="J1039" s="4"/>
      <c r="K1039" s="4"/>
      <c r="L1039" s="517">
        <f>(+L1040+L1041+L1052)</f>
        <v>3771590.8743</v>
      </c>
      <c r="M1039" s="4"/>
      <c r="N1039" s="4"/>
      <c r="O1039" s="4">
        <f ca="1">(+O1040+O1041+O1052)</f>
        <v>1492975.19948</v>
      </c>
      <c r="P1039" s="4"/>
      <c r="Q1039" s="4"/>
      <c r="R1039" s="4"/>
      <c r="S1039" s="4"/>
      <c r="T1039" s="4"/>
      <c r="U1039" s="4"/>
      <c r="V1039" s="4"/>
      <c r="W1039" s="4"/>
      <c r="X1039" s="4"/>
      <c r="Y1039" s="4"/>
      <c r="Z1039" s="4"/>
      <c r="AA1039" s="4"/>
      <c r="AB1039" s="4"/>
    </row>
    <row r="1040" customHeight="1" outlineLevel="1" spans="1:28">
      <c r="A1040" s="518" t="s">
        <v>1389</v>
      </c>
      <c r="B1040" s="4"/>
      <c r="C1040" s="510" t="s">
        <v>60</v>
      </c>
      <c r="D1040" s="4" t="s">
        <v>1307</v>
      </c>
      <c r="E1040" s="4" t="s">
        <v>1386</v>
      </c>
      <c r="F1040" s="4" t="s">
        <v>195</v>
      </c>
      <c r="G1040" s="4">
        <v>1</v>
      </c>
      <c r="H1040" s="4">
        <v>1599615.17</v>
      </c>
      <c r="I1040" s="4">
        <v>1599615.17</v>
      </c>
      <c r="J1040" s="4"/>
      <c r="K1040" s="4"/>
      <c r="L1040" s="517"/>
      <c r="M1040" s="4"/>
      <c r="N1040" s="4"/>
      <c r="O1040" s="4"/>
      <c r="P1040" s="4"/>
      <c r="Q1040" s="4"/>
      <c r="R1040" s="4"/>
      <c r="S1040" s="4"/>
      <c r="T1040" s="4"/>
      <c r="U1040" s="4"/>
      <c r="V1040" s="4"/>
      <c r="W1040" s="4"/>
      <c r="X1040" s="4"/>
      <c r="Y1040" s="4"/>
      <c r="Z1040" s="4"/>
      <c r="AA1040" s="4"/>
      <c r="AB1040" s="4"/>
    </row>
    <row r="1041" customHeight="1" outlineLevel="1" spans="1:28">
      <c r="A1041" s="518" t="s">
        <v>1390</v>
      </c>
      <c r="B1041" s="4"/>
      <c r="C1041" s="510" t="s">
        <v>60</v>
      </c>
      <c r="D1041" s="4" t="s">
        <v>2721</v>
      </c>
      <c r="E1041" s="4" t="s">
        <v>1386</v>
      </c>
      <c r="F1041" s="4" t="s">
        <v>195</v>
      </c>
      <c r="G1041" s="4">
        <v>1</v>
      </c>
      <c r="H1041" s="4">
        <v>3487635.7</v>
      </c>
      <c r="I1041" s="4">
        <f>(+I1042+I1050)</f>
        <v>3487635.7</v>
      </c>
      <c r="J1041" s="4"/>
      <c r="K1041" s="4"/>
      <c r="L1041" s="517">
        <f>(+L1042+L1050)</f>
        <v>3487635.7</v>
      </c>
      <c r="M1041" s="4">
        <v>1</v>
      </c>
      <c r="N1041" s="4">
        <f ca="1">O1041/M1041</f>
        <v>1473145.6</v>
      </c>
      <c r="O1041" s="4">
        <f ca="1">(+O1042+O1050)</f>
        <v>1473145.6</v>
      </c>
      <c r="P1041" s="4"/>
      <c r="Q1041" s="4"/>
      <c r="R1041" s="4"/>
      <c r="S1041" s="4"/>
      <c r="T1041" s="4"/>
      <c r="U1041" s="4"/>
      <c r="V1041" s="4"/>
      <c r="W1041" s="4"/>
      <c r="X1041" s="4"/>
      <c r="Y1041" s="4"/>
      <c r="Z1041" s="4"/>
      <c r="AA1041" s="4"/>
      <c r="AB1041" s="4"/>
    </row>
    <row r="1042" customHeight="1" outlineLevel="2" spans="1:28">
      <c r="A1042" s="515" t="s">
        <v>3679</v>
      </c>
      <c r="B1042" s="4"/>
      <c r="C1042" s="510" t="s">
        <v>1309</v>
      </c>
      <c r="D1042" s="4" t="s">
        <v>712</v>
      </c>
      <c r="E1042" s="4" t="s">
        <v>3674</v>
      </c>
      <c r="F1042" s="4" t="s">
        <v>72</v>
      </c>
      <c r="G1042" s="4"/>
      <c r="H1042" s="4"/>
      <c r="I1042" s="4">
        <v>3487635.7</v>
      </c>
      <c r="J1042" s="4">
        <f t="shared" ref="J1042:L1042" si="2033">+G1042</f>
        <v>0</v>
      </c>
      <c r="K1042" s="4">
        <f t="shared" si="2033"/>
        <v>0</v>
      </c>
      <c r="L1042" s="517">
        <f t="shared" si="2033"/>
        <v>3487635.7</v>
      </c>
      <c r="M1042" s="4">
        <v>39695</v>
      </c>
      <c r="N1042" s="4">
        <f ca="1">O1042/M1042</f>
        <v>32.11426124197</v>
      </c>
      <c r="O1042" s="4">
        <f ca="1">(+O1043+O1044+O1045+O1046+O1047+O1048+O1049)</f>
        <v>1274775.6</v>
      </c>
      <c r="P1042" s="4"/>
      <c r="Q1042" s="4"/>
      <c r="R1042" s="4">
        <f>+P1042+J1042</f>
        <v>0</v>
      </c>
      <c r="S1042" s="4">
        <f>+Q1042+L1042</f>
        <v>3487635.7</v>
      </c>
      <c r="T1042" s="4">
        <f>IFERROR(VLOOKUP(A1042,产值统计中间表!A:F,7,FALSE),0)</f>
        <v>0</v>
      </c>
      <c r="U1042" s="4">
        <f>+T1042*H1042</f>
        <v>0</v>
      </c>
      <c r="V1042" s="4">
        <f>IFERROR(VLOOKUP(A1042,产值统计中间表!A:D,4,FALSE),0)</f>
        <v>0</v>
      </c>
      <c r="W1042" s="4">
        <f>+V1042*H1042</f>
        <v>0</v>
      </c>
      <c r="X1042" s="4">
        <f>+R1042-V1042</f>
        <v>0</v>
      </c>
      <c r="Y1042" s="4">
        <f>+S1042-W1042</f>
        <v>3487635.7</v>
      </c>
      <c r="Z1042" s="4">
        <f>IFERROR(VLOOKUP(A1042,业主统计中间表!A:D,4,FALSE),0)</f>
        <v>0</v>
      </c>
      <c r="AA1042" s="4">
        <f>+Z1042*H1042</f>
        <v>0</v>
      </c>
      <c r="AB1042" s="4"/>
    </row>
    <row r="1043" customHeight="1" outlineLevel="3" spans="1:28">
      <c r="A1043" s="514" t="s">
        <v>3680</v>
      </c>
      <c r="B1043" s="4"/>
      <c r="C1043" s="510" t="s">
        <v>65</v>
      </c>
      <c r="D1043" s="4" t="s">
        <v>712</v>
      </c>
      <c r="E1043" s="4"/>
      <c r="F1043" s="4" t="str">
        <f ca="1" t="shared" ref="F1043:F1049" si="2034">VLOOKUP($D1043,INDIRECT($C1043),2,0)</f>
        <v>m2</v>
      </c>
      <c r="G1043" s="4"/>
      <c r="H1043" s="4"/>
      <c r="I1043" s="4"/>
      <c r="J1043" s="4"/>
      <c r="K1043" s="4"/>
      <c r="L1043" s="517"/>
      <c r="M1043" s="4">
        <v>39695</v>
      </c>
      <c r="N1043" s="4">
        <f ca="1" t="shared" ref="N1043:N1049" si="2035">VLOOKUP($D1043,INDIRECT($C1043),3,0)</f>
        <v>30</v>
      </c>
      <c r="O1043" s="4">
        <f ca="1" t="shared" ref="O1043:O1049" si="2036">M1043*N1043</f>
        <v>1190850</v>
      </c>
      <c r="P1043" s="4"/>
      <c r="Q1043" s="4"/>
      <c r="R1043" s="4"/>
      <c r="S1043" s="4"/>
      <c r="T1043" s="4" t="e">
        <f ca="1" t="shared" ref="T1043:T1049" si="2037">OFFSET(T1043,-RIGHT($A1043,LEN($A$6)),,1,1)/OFFSET(T1043,-RIGHT($A1043,LEN($A$6)),-13,1,1)*$M1043</f>
        <v>#DIV/0!</v>
      </c>
      <c r="U1043" s="4" t="e">
        <f ca="1" t="shared" ref="U1043:U1049" si="2038">+$N1043*T1043</f>
        <v>#DIV/0!</v>
      </c>
      <c r="V1043" s="4" t="e">
        <f ca="1" t="shared" ref="V1043:V1049" si="2039">OFFSET(V1043,-RIGHT($A1043,LEN($A$6)),,1,1)/OFFSET(V1043,-RIGHT($A1043,LEN($A$6)),-15,1,1)*$M1043</f>
        <v>#DIV/0!</v>
      </c>
      <c r="W1043" s="4" t="e">
        <f ca="1" t="shared" ref="W1043:W1049" si="2040">+$N1043*V1043</f>
        <v>#DIV/0!</v>
      </c>
      <c r="X1043" s="4" t="e">
        <f ca="1" t="shared" ref="X1043:X1049" si="2041">+M1043-V1043</f>
        <v>#DIV/0!</v>
      </c>
      <c r="Y1043" s="4" t="e">
        <f ca="1" t="shared" ref="Y1043:Y1049" si="2042">+O1043-W1043</f>
        <v>#DIV/0!</v>
      </c>
      <c r="Z1043" s="4" t="e">
        <f ca="1" t="shared" ref="Z1043:Z1049" si="2043">OFFSET(Z1043,-RIGHT($A1043,LEN($A$6)),,1,1)/OFFSET(Z1043,-RIGHT($A1043,LEN($A$6)),-19,1,1)*$M1043</f>
        <v>#DIV/0!</v>
      </c>
      <c r="AA1043" s="4" t="e">
        <f ca="1" t="shared" ref="AA1043:AA1049" si="2044">+$N1043*Z1043</f>
        <v>#DIV/0!</v>
      </c>
      <c r="AB1043" s="4"/>
    </row>
    <row r="1044" customHeight="1" outlineLevel="3" spans="1:28">
      <c r="A1044" s="514" t="s">
        <v>3681</v>
      </c>
      <c r="B1044" s="4"/>
      <c r="C1044" s="510" t="s">
        <v>64</v>
      </c>
      <c r="D1044" s="4" t="s">
        <v>752</v>
      </c>
      <c r="E1044" s="4"/>
      <c r="F1044" s="4" t="str">
        <f ca="1" t="shared" si="2034"/>
        <v>m3</v>
      </c>
      <c r="G1044" s="4"/>
      <c r="H1044" s="4"/>
      <c r="I1044" s="4"/>
      <c r="J1044" s="4"/>
      <c r="K1044" s="4"/>
      <c r="L1044" s="517"/>
      <c r="M1044" s="4">
        <v>1452</v>
      </c>
      <c r="N1044" s="4">
        <f ca="1" t="shared" si="2035"/>
        <v>30</v>
      </c>
      <c r="O1044" s="4">
        <f ca="1" t="shared" si="2036"/>
        <v>43560</v>
      </c>
      <c r="P1044" s="4"/>
      <c r="Q1044" s="4"/>
      <c r="R1044" s="4"/>
      <c r="S1044" s="4"/>
      <c r="T1044" s="4" t="e">
        <f ca="1" t="shared" si="2037"/>
        <v>#DIV/0!</v>
      </c>
      <c r="U1044" s="4" t="e">
        <f ca="1" t="shared" si="2038"/>
        <v>#DIV/0!</v>
      </c>
      <c r="V1044" s="4" t="e">
        <f ca="1" t="shared" si="2039"/>
        <v>#DIV/0!</v>
      </c>
      <c r="W1044" s="4" t="e">
        <f ca="1" t="shared" si="2040"/>
        <v>#DIV/0!</v>
      </c>
      <c r="X1044" s="4" t="e">
        <f ca="1" t="shared" si="2041"/>
        <v>#DIV/0!</v>
      </c>
      <c r="Y1044" s="4" t="e">
        <f ca="1" t="shared" si="2042"/>
        <v>#DIV/0!</v>
      </c>
      <c r="Z1044" s="4" t="e">
        <f ca="1" t="shared" si="2043"/>
        <v>#DIV/0!</v>
      </c>
      <c r="AA1044" s="4" t="e">
        <f ca="1" t="shared" si="2044"/>
        <v>#DIV/0!</v>
      </c>
      <c r="AB1044" s="4"/>
    </row>
    <row r="1045" customHeight="1" outlineLevel="3" spans="1:28">
      <c r="A1045" s="514" t="s">
        <v>3682</v>
      </c>
      <c r="B1045" s="4"/>
      <c r="C1045" s="510" t="s">
        <v>59</v>
      </c>
      <c r="D1045" s="4" t="s">
        <v>1017</v>
      </c>
      <c r="E1045" s="4"/>
      <c r="F1045" s="4" t="str">
        <f ca="1" t="shared" si="2034"/>
        <v>m3</v>
      </c>
      <c r="G1045" s="4"/>
      <c r="H1045" s="4"/>
      <c r="I1045" s="4"/>
      <c r="J1045" s="4"/>
      <c r="K1045" s="4"/>
      <c r="L1045" s="517"/>
      <c r="M1045" s="4">
        <v>1452</v>
      </c>
      <c r="N1045" s="4">
        <f ca="1" t="shared" si="2035"/>
        <v>0</v>
      </c>
      <c r="O1045" s="4">
        <f ca="1" t="shared" si="2036"/>
        <v>0</v>
      </c>
      <c r="P1045" s="4"/>
      <c r="Q1045" s="4"/>
      <c r="R1045" s="4"/>
      <c r="S1045" s="4"/>
      <c r="T1045" s="4" t="e">
        <f ca="1" t="shared" si="2037"/>
        <v>#DIV/0!</v>
      </c>
      <c r="U1045" s="4" t="e">
        <f ca="1" t="shared" si="2038"/>
        <v>#DIV/0!</v>
      </c>
      <c r="V1045" s="4" t="e">
        <f ca="1" t="shared" si="2039"/>
        <v>#DIV/0!</v>
      </c>
      <c r="W1045" s="4" t="e">
        <f ca="1" t="shared" si="2040"/>
        <v>#DIV/0!</v>
      </c>
      <c r="X1045" s="4" t="e">
        <f ca="1" t="shared" si="2041"/>
        <v>#DIV/0!</v>
      </c>
      <c r="Y1045" s="4" t="e">
        <f ca="1" t="shared" si="2042"/>
        <v>#DIV/0!</v>
      </c>
      <c r="Z1045" s="4" t="e">
        <f ca="1" t="shared" si="2043"/>
        <v>#DIV/0!</v>
      </c>
      <c r="AA1045" s="4" t="e">
        <f ca="1" t="shared" si="2044"/>
        <v>#DIV/0!</v>
      </c>
      <c r="AB1045" s="4"/>
    </row>
    <row r="1046" customHeight="1" outlineLevel="3" spans="1:28">
      <c r="A1046" s="514" t="s">
        <v>3683</v>
      </c>
      <c r="B1046" s="4"/>
      <c r="C1046" s="510" t="s">
        <v>63</v>
      </c>
      <c r="D1046" s="4" t="s">
        <v>563</v>
      </c>
      <c r="E1046" s="4"/>
      <c r="F1046" s="4" t="str">
        <f ca="1" t="shared" si="2034"/>
        <v>m2</v>
      </c>
      <c r="G1046" s="4"/>
      <c r="H1046" s="4"/>
      <c r="I1046" s="4"/>
      <c r="J1046" s="4"/>
      <c r="K1046" s="4"/>
      <c r="L1046" s="517"/>
      <c r="M1046" s="4">
        <v>7260</v>
      </c>
      <c r="N1046" s="4">
        <f ca="1" t="shared" si="2035"/>
        <v>1.8</v>
      </c>
      <c r="O1046" s="4">
        <f ca="1" t="shared" si="2036"/>
        <v>13068</v>
      </c>
      <c r="P1046" s="4"/>
      <c r="Q1046" s="4"/>
      <c r="R1046" s="4"/>
      <c r="S1046" s="4"/>
      <c r="T1046" s="4" t="e">
        <f ca="1" t="shared" si="2037"/>
        <v>#DIV/0!</v>
      </c>
      <c r="U1046" s="4" t="e">
        <f ca="1" t="shared" si="2038"/>
        <v>#DIV/0!</v>
      </c>
      <c r="V1046" s="4" t="e">
        <f ca="1" t="shared" si="2039"/>
        <v>#DIV/0!</v>
      </c>
      <c r="W1046" s="4" t="e">
        <f ca="1" t="shared" si="2040"/>
        <v>#DIV/0!</v>
      </c>
      <c r="X1046" s="4" t="e">
        <f ca="1" t="shared" si="2041"/>
        <v>#DIV/0!</v>
      </c>
      <c r="Y1046" s="4" t="e">
        <f ca="1" t="shared" si="2042"/>
        <v>#DIV/0!</v>
      </c>
      <c r="Z1046" s="4" t="e">
        <f ca="1" t="shared" si="2043"/>
        <v>#DIV/0!</v>
      </c>
      <c r="AA1046" s="4" t="e">
        <f ca="1" t="shared" si="2044"/>
        <v>#DIV/0!</v>
      </c>
      <c r="AB1046" s="4"/>
    </row>
    <row r="1047" customHeight="1" outlineLevel="3" spans="1:28">
      <c r="A1047" s="514" t="s">
        <v>3684</v>
      </c>
      <c r="B1047" s="4"/>
      <c r="C1047" s="510" t="s">
        <v>63</v>
      </c>
      <c r="D1047" s="4" t="s">
        <v>657</v>
      </c>
      <c r="E1047" s="4"/>
      <c r="F1047" s="4" t="str">
        <f ca="1" t="shared" si="2034"/>
        <v>m3</v>
      </c>
      <c r="G1047" s="4"/>
      <c r="H1047" s="4"/>
      <c r="I1047" s="4"/>
      <c r="J1047" s="4"/>
      <c r="K1047" s="4"/>
      <c r="L1047" s="517"/>
      <c r="M1047" s="4">
        <v>1452</v>
      </c>
      <c r="N1047" s="4">
        <f ca="1" t="shared" si="2035"/>
        <v>6</v>
      </c>
      <c r="O1047" s="4">
        <f ca="1" t="shared" si="2036"/>
        <v>8712</v>
      </c>
      <c r="P1047" s="4"/>
      <c r="Q1047" s="4"/>
      <c r="R1047" s="4"/>
      <c r="S1047" s="4"/>
      <c r="T1047" s="4" t="e">
        <f ca="1" t="shared" si="2037"/>
        <v>#DIV/0!</v>
      </c>
      <c r="U1047" s="4" t="e">
        <f ca="1" t="shared" si="2038"/>
        <v>#DIV/0!</v>
      </c>
      <c r="V1047" s="4" t="e">
        <f ca="1" t="shared" si="2039"/>
        <v>#DIV/0!</v>
      </c>
      <c r="W1047" s="4" t="e">
        <f ca="1" t="shared" si="2040"/>
        <v>#DIV/0!</v>
      </c>
      <c r="X1047" s="4" t="e">
        <f ca="1" t="shared" si="2041"/>
        <v>#DIV/0!</v>
      </c>
      <c r="Y1047" s="4" t="e">
        <f ca="1" t="shared" si="2042"/>
        <v>#DIV/0!</v>
      </c>
      <c r="Z1047" s="4" t="e">
        <f ca="1" t="shared" si="2043"/>
        <v>#DIV/0!</v>
      </c>
      <c r="AA1047" s="4" t="e">
        <f ca="1" t="shared" si="2044"/>
        <v>#DIV/0!</v>
      </c>
      <c r="AB1047" s="4"/>
    </row>
    <row r="1048" customHeight="1" outlineLevel="3" spans="1:28">
      <c r="A1048" s="514" t="s">
        <v>3685</v>
      </c>
      <c r="B1048" s="4"/>
      <c r="C1048" s="510" t="s">
        <v>63</v>
      </c>
      <c r="D1048" s="4" t="s">
        <v>721</v>
      </c>
      <c r="E1048" s="4"/>
      <c r="F1048" s="4" t="str">
        <f ca="1" t="shared" si="2034"/>
        <v>m3</v>
      </c>
      <c r="G1048" s="4"/>
      <c r="H1048" s="4"/>
      <c r="I1048" s="4"/>
      <c r="J1048" s="4"/>
      <c r="K1048" s="4"/>
      <c r="L1048" s="517"/>
      <c r="M1048" s="4">
        <v>1452</v>
      </c>
      <c r="N1048" s="4">
        <f ca="1" t="shared" si="2035"/>
        <v>0</v>
      </c>
      <c r="O1048" s="4">
        <f ca="1" t="shared" si="2036"/>
        <v>0</v>
      </c>
      <c r="P1048" s="4"/>
      <c r="Q1048" s="4"/>
      <c r="R1048" s="4"/>
      <c r="S1048" s="4"/>
      <c r="T1048" s="4" t="e">
        <f ca="1" t="shared" si="2037"/>
        <v>#DIV/0!</v>
      </c>
      <c r="U1048" s="4" t="e">
        <f ca="1" t="shared" si="2038"/>
        <v>#DIV/0!</v>
      </c>
      <c r="V1048" s="4" t="e">
        <f ca="1" t="shared" si="2039"/>
        <v>#DIV/0!</v>
      </c>
      <c r="W1048" s="4" t="e">
        <f ca="1" t="shared" si="2040"/>
        <v>#DIV/0!</v>
      </c>
      <c r="X1048" s="4" t="e">
        <f ca="1" t="shared" si="2041"/>
        <v>#DIV/0!</v>
      </c>
      <c r="Y1048" s="4" t="e">
        <f ca="1" t="shared" si="2042"/>
        <v>#DIV/0!</v>
      </c>
      <c r="Z1048" s="4" t="e">
        <f ca="1" t="shared" si="2043"/>
        <v>#DIV/0!</v>
      </c>
      <c r="AA1048" s="4" t="e">
        <f ca="1" t="shared" si="2044"/>
        <v>#DIV/0!</v>
      </c>
      <c r="AB1048" s="4"/>
    </row>
    <row r="1049" customHeight="1" outlineLevel="3" spans="1:28">
      <c r="A1049" s="514" t="s">
        <v>3686</v>
      </c>
      <c r="B1049" s="4"/>
      <c r="C1049" s="510" t="s">
        <v>63</v>
      </c>
      <c r="D1049" s="4" t="s">
        <v>348</v>
      </c>
      <c r="E1049" s="4"/>
      <c r="F1049" s="4" t="str">
        <f ca="1" t="shared" si="2034"/>
        <v>m3</v>
      </c>
      <c r="G1049" s="4"/>
      <c r="H1049" s="4"/>
      <c r="I1049" s="4"/>
      <c r="J1049" s="4"/>
      <c r="K1049" s="4"/>
      <c r="L1049" s="517"/>
      <c r="M1049" s="4">
        <v>11616</v>
      </c>
      <c r="N1049" s="4">
        <f ca="1" t="shared" si="2035"/>
        <v>1.6</v>
      </c>
      <c r="O1049" s="4">
        <f ca="1" t="shared" si="2036"/>
        <v>18585.6</v>
      </c>
      <c r="P1049" s="4"/>
      <c r="Q1049" s="4"/>
      <c r="R1049" s="4"/>
      <c r="S1049" s="4"/>
      <c r="T1049" s="4" t="e">
        <f ca="1" t="shared" si="2037"/>
        <v>#DIV/0!</v>
      </c>
      <c r="U1049" s="4" t="e">
        <f ca="1" t="shared" si="2038"/>
        <v>#DIV/0!</v>
      </c>
      <c r="V1049" s="4" t="e">
        <f ca="1" t="shared" si="2039"/>
        <v>#DIV/0!</v>
      </c>
      <c r="W1049" s="4" t="e">
        <f ca="1" t="shared" si="2040"/>
        <v>#DIV/0!</v>
      </c>
      <c r="X1049" s="4" t="e">
        <f ca="1" t="shared" si="2041"/>
        <v>#DIV/0!</v>
      </c>
      <c r="Y1049" s="4" t="e">
        <f ca="1" t="shared" si="2042"/>
        <v>#DIV/0!</v>
      </c>
      <c r="Z1049" s="4" t="e">
        <f ca="1" t="shared" si="2043"/>
        <v>#DIV/0!</v>
      </c>
      <c r="AA1049" s="4" t="e">
        <f ca="1" t="shared" si="2044"/>
        <v>#DIV/0!</v>
      </c>
      <c r="AB1049" s="4"/>
    </row>
    <row r="1050" customHeight="1" outlineLevel="2" spans="1:28">
      <c r="A1050" s="515" t="s">
        <v>3687</v>
      </c>
      <c r="B1050" s="4"/>
      <c r="C1050" s="510" t="s">
        <v>1309</v>
      </c>
      <c r="D1050" s="4" t="s">
        <v>716</v>
      </c>
      <c r="E1050" s="4"/>
      <c r="F1050" s="4" t="s">
        <v>82</v>
      </c>
      <c r="G1050" s="4"/>
      <c r="H1050" s="4"/>
      <c r="I1050" s="4"/>
      <c r="J1050" s="4">
        <f t="shared" ref="J1050:L1050" si="2045">+G1050</f>
        <v>0</v>
      </c>
      <c r="K1050" s="4">
        <f t="shared" si="2045"/>
        <v>0</v>
      </c>
      <c r="L1050" s="517">
        <f t="shared" si="2045"/>
        <v>0</v>
      </c>
      <c r="M1050" s="4">
        <v>19837</v>
      </c>
      <c r="N1050" s="4">
        <f ca="1">O1050/M1050</f>
        <v>10</v>
      </c>
      <c r="O1050" s="4">
        <f ca="1">(+O1051)</f>
        <v>198370</v>
      </c>
      <c r="P1050" s="4"/>
      <c r="Q1050" s="4"/>
      <c r="R1050" s="4">
        <f>+P1050+J1050</f>
        <v>0</v>
      </c>
      <c r="S1050" s="4">
        <f>+Q1050+L1050</f>
        <v>0</v>
      </c>
      <c r="T1050" s="4">
        <f>IFERROR(VLOOKUP(A1050,产值统计中间表!A:F,7,FALSE),0)</f>
        <v>0</v>
      </c>
      <c r="U1050" s="4">
        <f>+T1050*H1050</f>
        <v>0</v>
      </c>
      <c r="V1050" s="4">
        <f>IFERROR(VLOOKUP(A1050,产值统计中间表!A:D,4,FALSE),0)</f>
        <v>0</v>
      </c>
      <c r="W1050" s="4">
        <f>+V1050*H1050</f>
        <v>0</v>
      </c>
      <c r="X1050" s="4">
        <f>+R1050-V1050</f>
        <v>0</v>
      </c>
      <c r="Y1050" s="4">
        <f>+S1050-W1050</f>
        <v>0</v>
      </c>
      <c r="Z1050" s="4">
        <f>IFERROR(VLOOKUP(A1050,业主统计中间表!A:D,4,FALSE),0)</f>
        <v>0</v>
      </c>
      <c r="AA1050" s="4">
        <f>+Z1050*H1050</f>
        <v>0</v>
      </c>
      <c r="AB1050" s="4"/>
    </row>
    <row r="1051" customHeight="1" outlineLevel="3" spans="1:28">
      <c r="A1051" s="514" t="s">
        <v>3688</v>
      </c>
      <c r="B1051" s="4"/>
      <c r="C1051" s="510" t="s">
        <v>65</v>
      </c>
      <c r="D1051" s="4" t="s">
        <v>716</v>
      </c>
      <c r="E1051" s="4"/>
      <c r="F1051" s="4" t="str">
        <f ca="1" t="shared" ref="F1051:F1058" si="2046">VLOOKUP($D1051,INDIRECT($C1051),2,0)</f>
        <v>t</v>
      </c>
      <c r="G1051" s="4"/>
      <c r="H1051" s="4"/>
      <c r="I1051" s="4"/>
      <c r="J1051" s="4"/>
      <c r="K1051" s="4"/>
      <c r="L1051" s="517"/>
      <c r="M1051" s="4">
        <v>19837</v>
      </c>
      <c r="N1051" s="4">
        <f ca="1" t="shared" ref="N1051:N1058" si="2047">VLOOKUP($D1051,INDIRECT($C1051),3,0)</f>
        <v>10</v>
      </c>
      <c r="O1051" s="4">
        <f ca="1">M1051*N1051</f>
        <v>198370</v>
      </c>
      <c r="P1051" s="4"/>
      <c r="Q1051" s="4"/>
      <c r="R1051" s="4"/>
      <c r="S1051" s="4"/>
      <c r="T1051" s="4" t="e">
        <f ca="1" t="shared" ref="T1051:T1058" si="2048">OFFSET(T1051,-RIGHT($A1051,LEN($A$6)),,1,1)/OFFSET(T1051,-RIGHT($A1051,LEN($A$6)),-13,1,1)*$M1051</f>
        <v>#DIV/0!</v>
      </c>
      <c r="U1051" s="4" t="e">
        <f ca="1" t="shared" ref="U1051:U1058" si="2049">+$N1051*T1051</f>
        <v>#DIV/0!</v>
      </c>
      <c r="V1051" s="4" t="e">
        <f ca="1" t="shared" ref="V1051:V1058" si="2050">OFFSET(V1051,-RIGHT($A1051,LEN($A$6)),,1,1)/OFFSET(V1051,-RIGHT($A1051,LEN($A$6)),-15,1,1)*$M1051</f>
        <v>#DIV/0!</v>
      </c>
      <c r="W1051" s="4" t="e">
        <f ca="1" t="shared" ref="W1051:W1058" si="2051">+$N1051*V1051</f>
        <v>#DIV/0!</v>
      </c>
      <c r="X1051" s="4" t="e">
        <f ca="1" t="shared" ref="X1051:X1058" si="2052">+M1051-V1051</f>
        <v>#DIV/0!</v>
      </c>
      <c r="Y1051" s="4" t="e">
        <f ca="1" t="shared" ref="Y1051:Y1058" si="2053">+O1051-W1051</f>
        <v>#DIV/0!</v>
      </c>
      <c r="Z1051" s="4" t="e">
        <f ca="1" t="shared" ref="Z1051:Z1058" si="2054">OFFSET(Z1051,-RIGHT($A1051,LEN($A$6)),,1,1)/OFFSET(Z1051,-RIGHT($A1051,LEN($A$6)),-19,1,1)*$M1051</f>
        <v>#DIV/0!</v>
      </c>
      <c r="AA1051" s="4" t="e">
        <f ca="1" t="shared" ref="AA1051:AA1058" si="2055">+$N1051*Z1051</f>
        <v>#DIV/0!</v>
      </c>
      <c r="AB1051" s="4"/>
    </row>
    <row r="1052" customHeight="1" outlineLevel="1" spans="1:28">
      <c r="A1052" s="518" t="s">
        <v>3689</v>
      </c>
      <c r="B1052" s="4"/>
      <c r="C1052" s="510" t="s">
        <v>60</v>
      </c>
      <c r="D1052" s="4" t="s">
        <v>3677</v>
      </c>
      <c r="E1052" s="4" t="s">
        <v>1386</v>
      </c>
      <c r="F1052" s="4" t="s">
        <v>195</v>
      </c>
      <c r="G1052" s="4">
        <v>1</v>
      </c>
      <c r="H1052" s="4">
        <v>283955.1743</v>
      </c>
      <c r="I1052" s="4">
        <f>(+I1053)</f>
        <v>283955.1743</v>
      </c>
      <c r="J1052" s="4"/>
      <c r="K1052" s="4"/>
      <c r="L1052" s="517">
        <f>(+L1053)</f>
        <v>283955.1743</v>
      </c>
      <c r="M1052" s="4">
        <v>1</v>
      </c>
      <c r="N1052" s="4">
        <f ca="1">O1052/M1052</f>
        <v>19829.59948</v>
      </c>
      <c r="O1052" s="4">
        <f ca="1">(+O1053)</f>
        <v>19829.59948</v>
      </c>
      <c r="P1052" s="4"/>
      <c r="Q1052" s="4"/>
      <c r="R1052" s="4"/>
      <c r="S1052" s="4"/>
      <c r="T1052" s="4"/>
      <c r="U1052" s="4"/>
      <c r="V1052" s="4"/>
      <c r="W1052" s="4"/>
      <c r="X1052" s="4"/>
      <c r="Y1052" s="4"/>
      <c r="Z1052" s="4"/>
      <c r="AA1052" s="4"/>
      <c r="AB1052" s="4"/>
    </row>
    <row r="1053" customHeight="1" outlineLevel="2" spans="1:28">
      <c r="A1053" s="515" t="s">
        <v>3690</v>
      </c>
      <c r="B1053" s="4"/>
      <c r="C1053" s="510" t="s">
        <v>1309</v>
      </c>
      <c r="D1053" s="4" t="s">
        <v>1378</v>
      </c>
      <c r="E1053" s="4"/>
      <c r="F1053" s="4"/>
      <c r="G1053" s="4"/>
      <c r="H1053" s="4"/>
      <c r="I1053" s="4">
        <v>283955.1743</v>
      </c>
      <c r="J1053" s="4">
        <f t="shared" ref="J1053:L1053" si="2056">+G1053</f>
        <v>0</v>
      </c>
      <c r="K1053" s="4">
        <f t="shared" si="2056"/>
        <v>0</v>
      </c>
      <c r="L1053" s="517">
        <f t="shared" si="2056"/>
        <v>283955.1743</v>
      </c>
      <c r="M1053" s="4"/>
      <c r="N1053" s="4"/>
      <c r="O1053" s="4">
        <f ca="1">(+O1054+O1055+O1056+O1057+O1058)</f>
        <v>19829.59948</v>
      </c>
      <c r="P1053" s="4"/>
      <c r="Q1053" s="4"/>
      <c r="R1053" s="4">
        <f>+P1053+J1053</f>
        <v>0</v>
      </c>
      <c r="S1053" s="4">
        <f>+Q1053+L1053</f>
        <v>283955.1743</v>
      </c>
      <c r="T1053" s="4">
        <f>IFERROR(VLOOKUP(A1053,产值统计中间表!A:F,7,FALSE),0)</f>
        <v>0</v>
      </c>
      <c r="U1053" s="4">
        <f>+T1053*H1053</f>
        <v>0</v>
      </c>
      <c r="V1053" s="4">
        <f>IFERROR(VLOOKUP(A1053,产值统计中间表!A:D,4,FALSE),0)</f>
        <v>0</v>
      </c>
      <c r="W1053" s="4">
        <f>+V1053*H1053</f>
        <v>0</v>
      </c>
      <c r="X1053" s="4">
        <f>+R1053-V1053</f>
        <v>0</v>
      </c>
      <c r="Y1053" s="4">
        <f>+S1053-W1053</f>
        <v>283955.1743</v>
      </c>
      <c r="Z1053" s="4">
        <f>IFERROR(VLOOKUP(A1053,业主统计中间表!A:D,4,FALSE),0)</f>
        <v>0</v>
      </c>
      <c r="AA1053" s="4">
        <f>+Z1053*H1053</f>
        <v>0</v>
      </c>
      <c r="AB1053" s="4"/>
    </row>
    <row r="1054" customHeight="1" outlineLevel="3" spans="1:28">
      <c r="A1054" s="514" t="s">
        <v>3691</v>
      </c>
      <c r="B1054" s="4"/>
      <c r="C1054" s="510" t="s">
        <v>63</v>
      </c>
      <c r="D1054" s="4" t="s">
        <v>1206</v>
      </c>
      <c r="E1054" s="4"/>
      <c r="F1054" s="4" t="str">
        <f ca="1" t="shared" si="2046"/>
        <v>m3</v>
      </c>
      <c r="G1054" s="4"/>
      <c r="H1054" s="4"/>
      <c r="I1054" s="4"/>
      <c r="J1054" s="4"/>
      <c r="K1054" s="4"/>
      <c r="L1054" s="517"/>
      <c r="M1054" s="4">
        <v>335.2204</v>
      </c>
      <c r="N1054" s="4">
        <f ca="1" t="shared" si="2047"/>
        <v>28</v>
      </c>
      <c r="O1054" s="4">
        <f ca="1">M1054*N1054</f>
        <v>9386.1712</v>
      </c>
      <c r="P1054" s="4"/>
      <c r="Q1054" s="4"/>
      <c r="R1054" s="4"/>
      <c r="S1054" s="4"/>
      <c r="T1054" s="4" t="e">
        <f ca="1" t="shared" si="2048"/>
        <v>#DIV/0!</v>
      </c>
      <c r="U1054" s="4" t="e">
        <f ca="1" t="shared" si="2049"/>
        <v>#DIV/0!</v>
      </c>
      <c r="V1054" s="4" t="e">
        <f ca="1" t="shared" si="2050"/>
        <v>#DIV/0!</v>
      </c>
      <c r="W1054" s="4" t="e">
        <f ca="1" t="shared" si="2051"/>
        <v>#DIV/0!</v>
      </c>
      <c r="X1054" s="4" t="e">
        <f ca="1" t="shared" si="2052"/>
        <v>#DIV/0!</v>
      </c>
      <c r="Y1054" s="4" t="e">
        <f ca="1" t="shared" si="2053"/>
        <v>#DIV/0!</v>
      </c>
      <c r="Z1054" s="4" t="e">
        <f ca="1" t="shared" si="2054"/>
        <v>#DIV/0!</v>
      </c>
      <c r="AA1054" s="4" t="e">
        <f ca="1" t="shared" si="2055"/>
        <v>#DIV/0!</v>
      </c>
      <c r="AB1054" s="4"/>
    </row>
    <row r="1055" customHeight="1" outlineLevel="3" spans="1:28">
      <c r="A1055" s="514" t="s">
        <v>3692</v>
      </c>
      <c r="B1055" s="4"/>
      <c r="C1055" s="510" t="s">
        <v>63</v>
      </c>
      <c r="D1055" s="4" t="s">
        <v>1210</v>
      </c>
      <c r="E1055" s="4" t="s">
        <v>1375</v>
      </c>
      <c r="F1055" s="4" t="str">
        <f ca="1" t="shared" si="2046"/>
        <v>m3</v>
      </c>
      <c r="G1055" s="4"/>
      <c r="H1055" s="4"/>
      <c r="I1055" s="4"/>
      <c r="J1055" s="4"/>
      <c r="K1055" s="4"/>
      <c r="L1055" s="517"/>
      <c r="M1055" s="4">
        <v>68.6596</v>
      </c>
      <c r="N1055" s="4">
        <f ca="1" t="shared" si="2047"/>
        <v>24.3</v>
      </c>
      <c r="O1055" s="4">
        <f ca="1">M1055*N1055</f>
        <v>1668.42828</v>
      </c>
      <c r="P1055" s="4"/>
      <c r="Q1055" s="4"/>
      <c r="R1055" s="4"/>
      <c r="S1055" s="4"/>
      <c r="T1055" s="4" t="e">
        <f ca="1" t="shared" si="2048"/>
        <v>#DIV/0!</v>
      </c>
      <c r="U1055" s="4" t="e">
        <f ca="1" t="shared" si="2049"/>
        <v>#DIV/0!</v>
      </c>
      <c r="V1055" s="4" t="e">
        <f ca="1" t="shared" si="2050"/>
        <v>#DIV/0!</v>
      </c>
      <c r="W1055" s="4" t="e">
        <f ca="1" t="shared" si="2051"/>
        <v>#DIV/0!</v>
      </c>
      <c r="X1055" s="4" t="e">
        <f ca="1" t="shared" si="2052"/>
        <v>#DIV/0!</v>
      </c>
      <c r="Y1055" s="4" t="e">
        <f ca="1" t="shared" si="2053"/>
        <v>#DIV/0!</v>
      </c>
      <c r="Z1055" s="4" t="e">
        <f ca="1" t="shared" si="2054"/>
        <v>#DIV/0!</v>
      </c>
      <c r="AA1055" s="4" t="e">
        <f ca="1" t="shared" si="2055"/>
        <v>#DIV/0!</v>
      </c>
      <c r="AB1055" s="4"/>
    </row>
    <row r="1056" customHeight="1" outlineLevel="3" spans="1:28">
      <c r="A1056" s="514" t="s">
        <v>3693</v>
      </c>
      <c r="B1056" s="4"/>
      <c r="C1056" s="510" t="s">
        <v>59</v>
      </c>
      <c r="D1056" s="4" t="s">
        <v>1174</v>
      </c>
      <c r="E1056" s="4"/>
      <c r="F1056" s="4" t="str">
        <f ca="1" t="shared" si="2046"/>
        <v>t</v>
      </c>
      <c r="G1056" s="4"/>
      <c r="H1056" s="4"/>
      <c r="I1056" s="4"/>
      <c r="J1056" s="4"/>
      <c r="K1056" s="4"/>
      <c r="L1056" s="517"/>
      <c r="M1056" s="4">
        <v>36</v>
      </c>
      <c r="N1056" s="4">
        <f ca="1" t="shared" si="2047"/>
        <v>0</v>
      </c>
      <c r="O1056" s="4">
        <f ca="1">M1056*N1056</f>
        <v>0</v>
      </c>
      <c r="P1056" s="4"/>
      <c r="Q1056" s="4"/>
      <c r="R1056" s="4"/>
      <c r="S1056" s="4"/>
      <c r="T1056" s="4" t="e">
        <f ca="1" t="shared" si="2048"/>
        <v>#DIV/0!</v>
      </c>
      <c r="U1056" s="4" t="e">
        <f ca="1" t="shared" si="2049"/>
        <v>#DIV/0!</v>
      </c>
      <c r="V1056" s="4" t="e">
        <f ca="1" t="shared" si="2050"/>
        <v>#DIV/0!</v>
      </c>
      <c r="W1056" s="4" t="e">
        <f ca="1" t="shared" si="2051"/>
        <v>#DIV/0!</v>
      </c>
      <c r="X1056" s="4" t="e">
        <f ca="1" t="shared" si="2052"/>
        <v>#DIV/0!</v>
      </c>
      <c r="Y1056" s="4" t="e">
        <f ca="1" t="shared" si="2053"/>
        <v>#DIV/0!</v>
      </c>
      <c r="Z1056" s="4" t="e">
        <f ca="1" t="shared" si="2054"/>
        <v>#DIV/0!</v>
      </c>
      <c r="AA1056" s="4" t="e">
        <f ca="1" t="shared" si="2055"/>
        <v>#DIV/0!</v>
      </c>
      <c r="AB1056" s="4"/>
    </row>
    <row r="1057" customHeight="1" outlineLevel="3" spans="1:28">
      <c r="A1057" s="514" t="s">
        <v>3694</v>
      </c>
      <c r="B1057" s="4"/>
      <c r="C1057" s="510" t="s">
        <v>63</v>
      </c>
      <c r="D1057" s="4" t="s">
        <v>344</v>
      </c>
      <c r="E1057" s="4" t="s">
        <v>1375</v>
      </c>
      <c r="F1057" s="4" t="str">
        <f ca="1" t="shared" si="2046"/>
        <v>m3</v>
      </c>
      <c r="G1057" s="4"/>
      <c r="H1057" s="4"/>
      <c r="I1057" s="4"/>
      <c r="J1057" s="4"/>
      <c r="K1057" s="4"/>
      <c r="L1057" s="517"/>
      <c r="M1057" s="4">
        <v>1710</v>
      </c>
      <c r="N1057" s="4">
        <f ca="1" t="shared" si="2047"/>
        <v>5</v>
      </c>
      <c r="O1057" s="4">
        <f ca="1">M1057*N1057</f>
        <v>8550</v>
      </c>
      <c r="P1057" s="4"/>
      <c r="Q1057" s="4"/>
      <c r="R1057" s="4"/>
      <c r="S1057" s="4"/>
      <c r="T1057" s="4" t="e">
        <f ca="1" t="shared" si="2048"/>
        <v>#DIV/0!</v>
      </c>
      <c r="U1057" s="4" t="e">
        <f ca="1" t="shared" si="2049"/>
        <v>#DIV/0!</v>
      </c>
      <c r="V1057" s="4" t="e">
        <f ca="1" t="shared" si="2050"/>
        <v>#DIV/0!</v>
      </c>
      <c r="W1057" s="4" t="e">
        <f ca="1" t="shared" si="2051"/>
        <v>#DIV/0!</v>
      </c>
      <c r="X1057" s="4" t="e">
        <f ca="1" t="shared" si="2052"/>
        <v>#DIV/0!</v>
      </c>
      <c r="Y1057" s="4" t="e">
        <f ca="1" t="shared" si="2053"/>
        <v>#DIV/0!</v>
      </c>
      <c r="Z1057" s="4" t="e">
        <f ca="1" t="shared" si="2054"/>
        <v>#DIV/0!</v>
      </c>
      <c r="AA1057" s="4" t="e">
        <f ca="1" t="shared" si="2055"/>
        <v>#DIV/0!</v>
      </c>
      <c r="AB1057" s="4"/>
    </row>
    <row r="1058" customHeight="1" outlineLevel="3" spans="1:28">
      <c r="A1058" s="514" t="s">
        <v>3695</v>
      </c>
      <c r="B1058" s="4"/>
      <c r="C1058" s="510" t="s">
        <v>63</v>
      </c>
      <c r="D1058" s="4" t="s">
        <v>344</v>
      </c>
      <c r="E1058" s="4" t="s">
        <v>1375</v>
      </c>
      <c r="F1058" s="4" t="str">
        <f ca="1" t="shared" si="2046"/>
        <v>m3</v>
      </c>
      <c r="G1058" s="4"/>
      <c r="H1058" s="4"/>
      <c r="I1058" s="4"/>
      <c r="J1058" s="4"/>
      <c r="K1058" s="4"/>
      <c r="L1058" s="517"/>
      <c r="M1058" s="4">
        <v>45</v>
      </c>
      <c r="N1058" s="4">
        <f ca="1" t="shared" si="2047"/>
        <v>5</v>
      </c>
      <c r="O1058" s="4">
        <f ca="1">M1058*N1058</f>
        <v>225</v>
      </c>
      <c r="P1058" s="4"/>
      <c r="Q1058" s="4"/>
      <c r="R1058" s="4"/>
      <c r="S1058" s="4"/>
      <c r="T1058" s="4" t="e">
        <f ca="1" t="shared" si="2048"/>
        <v>#DIV/0!</v>
      </c>
      <c r="U1058" s="4" t="e">
        <f ca="1" t="shared" si="2049"/>
        <v>#DIV/0!</v>
      </c>
      <c r="V1058" s="4" t="e">
        <f ca="1" t="shared" si="2050"/>
        <v>#DIV/0!</v>
      </c>
      <c r="W1058" s="4" t="e">
        <f ca="1" t="shared" si="2051"/>
        <v>#DIV/0!</v>
      </c>
      <c r="X1058" s="4" t="e">
        <f ca="1" t="shared" si="2052"/>
        <v>#DIV/0!</v>
      </c>
      <c r="Y1058" s="4" t="e">
        <f ca="1" t="shared" si="2053"/>
        <v>#DIV/0!</v>
      </c>
      <c r="Z1058" s="4" t="e">
        <f ca="1" t="shared" si="2054"/>
        <v>#DIV/0!</v>
      </c>
      <c r="AA1058" s="4" t="e">
        <f ca="1" t="shared" si="2055"/>
        <v>#DIV/0!</v>
      </c>
      <c r="AB1058" s="4"/>
    </row>
    <row r="1059" customHeight="1" spans="1:28">
      <c r="A1059" s="4" t="s">
        <v>1392</v>
      </c>
      <c r="B1059" s="4"/>
      <c r="C1059" s="510" t="s">
        <v>1305</v>
      </c>
      <c r="D1059" s="4" t="s">
        <v>3696</v>
      </c>
      <c r="E1059" s="4"/>
      <c r="F1059" s="4" t="s">
        <v>195</v>
      </c>
      <c r="G1059" s="4">
        <v>1</v>
      </c>
      <c r="H1059" s="4"/>
      <c r="I1059" s="4">
        <v>11745150.44</v>
      </c>
      <c r="J1059" s="4"/>
      <c r="K1059" s="4"/>
      <c r="L1059" s="517">
        <v>0</v>
      </c>
      <c r="M1059" s="4"/>
      <c r="N1059" s="4"/>
      <c r="O1059" s="4">
        <v>0</v>
      </c>
      <c r="P1059" s="4"/>
      <c r="Q1059" s="4"/>
      <c r="R1059" s="4"/>
      <c r="S1059" s="4"/>
      <c r="T1059" s="4"/>
      <c r="U1059" s="4"/>
      <c r="V1059" s="4"/>
      <c r="W1059" s="4"/>
      <c r="X1059" s="4"/>
      <c r="Y1059" s="4"/>
      <c r="Z1059" s="4"/>
      <c r="AA1059" s="4"/>
      <c r="AB1059" s="4"/>
    </row>
    <row r="1060" customHeight="1" spans="1:28">
      <c r="A1060" s="4" t="s">
        <v>1394</v>
      </c>
      <c r="B1060" s="4"/>
      <c r="C1060" s="510" t="s">
        <v>1305</v>
      </c>
      <c r="D1060" s="4" t="s">
        <v>3697</v>
      </c>
      <c r="E1060" s="4"/>
      <c r="F1060" s="4" t="s">
        <v>195</v>
      </c>
      <c r="G1060" s="4">
        <v>1</v>
      </c>
      <c r="H1060" s="4"/>
      <c r="I1060" s="4"/>
      <c r="J1060" s="4"/>
      <c r="K1060" s="4"/>
      <c r="L1060" s="517"/>
      <c r="M1060" s="4"/>
      <c r="N1060" s="4"/>
      <c r="O1060" s="4">
        <v>0</v>
      </c>
      <c r="P1060" s="4"/>
      <c r="Q1060" s="4"/>
      <c r="R1060" s="4"/>
      <c r="S1060" s="4"/>
      <c r="T1060" s="4"/>
      <c r="U1060" s="4"/>
      <c r="V1060" s="4"/>
      <c r="W1060" s="4"/>
      <c r="X1060" s="4"/>
      <c r="Y1060" s="4"/>
      <c r="Z1060" s="4"/>
      <c r="AA1060" s="4"/>
      <c r="AB1060" s="4"/>
    </row>
    <row r="1061" customHeight="1" spans="1:28">
      <c r="A1061" s="4" t="s">
        <v>3698</v>
      </c>
      <c r="B1061" s="4"/>
      <c r="C1061" s="510" t="s">
        <v>1305</v>
      </c>
      <c r="D1061" s="4" t="s">
        <v>1393</v>
      </c>
      <c r="E1061" s="4" t="s">
        <v>3699</v>
      </c>
      <c r="F1061" s="4"/>
      <c r="G1061" s="4"/>
      <c r="H1061" s="4"/>
      <c r="I1061" s="4">
        <v>0</v>
      </c>
      <c r="J1061" s="4"/>
      <c r="K1061" s="4"/>
      <c r="L1061" s="517"/>
      <c r="M1061" s="4"/>
      <c r="N1061" s="4"/>
      <c r="O1061" s="4">
        <v>0</v>
      </c>
      <c r="P1061" s="4"/>
      <c r="Q1061" s="4"/>
      <c r="R1061" s="4"/>
      <c r="S1061" s="4"/>
      <c r="T1061" s="4"/>
      <c r="U1061" s="4"/>
      <c r="V1061" s="4"/>
      <c r="W1061" s="4"/>
      <c r="X1061" s="4"/>
      <c r="Y1061" s="4"/>
      <c r="Z1061" s="4"/>
      <c r="AA1061" s="4"/>
      <c r="AB1061" s="4"/>
    </row>
    <row r="1062" customHeight="1" spans="1:28">
      <c r="A1062" s="4" t="s">
        <v>3700</v>
      </c>
      <c r="B1062" s="4"/>
      <c r="C1062" s="510" t="s">
        <v>1305</v>
      </c>
      <c r="D1062" s="4" t="s">
        <v>1285</v>
      </c>
      <c r="E1062" s="4"/>
      <c r="F1062" s="4"/>
      <c r="G1062" s="4"/>
      <c r="H1062" s="4"/>
      <c r="I1062" s="4">
        <f>(I1039+I1035+I6)*0.09</f>
        <v>15432487.550866</v>
      </c>
      <c r="J1062" s="4"/>
      <c r="K1062" s="4"/>
      <c r="L1062" s="517">
        <v>0</v>
      </c>
      <c r="M1062" s="4"/>
      <c r="N1062" s="4"/>
      <c r="O1062" s="4">
        <v>0</v>
      </c>
      <c r="P1062" s="4"/>
      <c r="Q1062" s="4"/>
      <c r="R1062" s="4"/>
      <c r="S1062" s="4"/>
      <c r="T1062" s="4"/>
      <c r="U1062" s="4"/>
      <c r="V1062" s="4"/>
      <c r="W1062" s="4"/>
      <c r="X1062" s="4"/>
      <c r="Y1062" s="4"/>
      <c r="Z1062" s="4"/>
      <c r="AA1062" s="4"/>
      <c r="AB1062" s="4"/>
    </row>
  </sheetData>
  <sheetProtection formatCells="0" formatColumns="0" formatRows="0" insertRows="0" deleteRows="0" autoFilter="0"/>
  <autoFilter xmlns:etc="http://www.wps.cn/officeDocument/2017/etCustomData" ref="A4:P1062" etc:filterBottomFollowUsedRange="0">
    <extLst/>
  </autoFilter>
  <conditionalFormatting sqref="V9">
    <cfRule type="expression" dxfId="53" priority="2">
      <formula>$C9="单位"</formula>
    </cfRule>
    <cfRule type="expression" dxfId="52" priority="1">
      <formula>$C9="分项"</formula>
    </cfRule>
  </conditionalFormatting>
  <conditionalFormatting sqref="A6:AB8 A9:U9 W9:AB9 A10:AB1062">
    <cfRule type="expression" dxfId="53" priority="4">
      <formula>$C6="单位"</formula>
    </cfRule>
    <cfRule type="expression" dxfId="52" priority="3">
      <formula>$C6="分项"</formula>
    </cfRule>
  </conditionalFormatting>
  <dataValidations count="2">
    <dataValidation type="list" allowBlank="1" showInputMessage="1" showErrorMessage="1" sqref="D142 D144 D195 D197 D199 D201 D328 D330 D394 D396 D398 D400 D419 D421 D437 D490 D492 D494 D496 D499 D501 D503 D505 D507 D509 D511 D513 D516 D518 D520 D522 D524 D526 D528 D530 D538 D597 D599 D601 D603 D605 D607 D609 D611 D614 D616 D618 D620 D622 D624 D626 D628 D709 D759 D761 D763 D783 D802 D804 D806 D808 D819 D827 D829 D831 D833 D835 D837 D839 D841 D843 D845 D857 D889 D891 D893 D895 D904 D906 D908 D910 D923 D925 D927 D956 D961 D963 D973 D1014 D1016 D1018 D1026 D1028 D1030 D1032 D1034 D1051 D9:D17 D19:D24 D26:D30 D32:D36 D38:D42 D44:D51 D53:D57 D59:D63 D65:D69 D71:D75 D77:D81 D83:D87 D89:D92 D94:D98 D100:D104 D106:D110 D112:D116 D118:D121 D123:D127 D129:D134 D136:D140 D146:D147 D149:D150 D152:D153 D155:D156 D158:D159 D161:D165 D167:D171 D173:D174 D176:D179 D181:D184 D186:D193 D203:D206 D208:D209 D211:D231 D234:D242 D244:D249 D251:D255 D257:D261 D263:D267 D269:D282 D284:D286 D288:D292 D294:D298 D300:D304 D306:D309 D311:D315 D317:D320 D322:D326 D332:D333 D335:D336 D338:D339 D341:D342 D344:D345 D347:D348 D350:D351 D353:D357 D359:D360 D362:D364 D366:D367 D369:D370 D372:D373 D375:D378 D380:D383 D385:D392 D402:D405 D407:D408 D410:D416 D424:D425 D427:D430 D432:D435 D439:D441 D443:D451 D453:D470 D472:D479 D481:D482 D484:D487 D533:D536 D540:D542 D544:D546 D548:D554 D556:D562 D564:D570 D572:D576 D578:D583 D585:D587 D589:D594 D631:D637 D639:D644 D646:D650 D652:D656 D658:D667 D669:D673 D675:D679 D681:D682 D684:D685 D687:D688 D690:D691 D693:D694 D696:D697 D699:D701 D703:D707 D711:D714 D716:D719 D721:D725 D727:D731 D733:D736 D738:D739 D741:D745 D747:D751 D753:D757 D765:D769 D771:D774 D776:D781 D786:D794 D796:D800 D810:D814 D816:D817 D821:D822 D824:D825 D847:D848 D850:D855 D860:D868 D870:D875 D877:D881 D883:D887 D898:D902 D913:D915 D917:D918 D920:D921 D929:D935 D937:D943 D945:D951 D953:D954 D958:D959 D965:D967 D969:D970 D975:D976 D978:D979 D981:D982 D984:D985 D987:D988 D990:D991 D993:D994 D996:D997 D999:D1000 D1002:D1003 D1005:D1006 D1008:D1009 D1011:D1012 D1020:D1021 D1023:D1024 D1043:D1049 D1054:D1058">
      <formula1>INDIRECT(C9&amp;"下拉")</formula1>
    </dataValidation>
    <dataValidation type="list" allowBlank="1" showInputMessage="1" showErrorMessage="1" sqref="C6:C106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4.25"/>
  <cols>
    <col min="1" max="1" width="5.375" style="1" customWidth="1"/>
    <col min="2" max="2" width="16.875" style="1" customWidth="1"/>
    <col min="3" max="3" width="9" style="1" hidden="1" customWidth="1"/>
    <col min="4" max="4" width="5.875" style="1" hidden="1" customWidth="1"/>
    <col min="5" max="5" width="7.125" style="1" hidden="1" customWidth="1"/>
    <col min="6" max="6" width="14" style="240" customWidth="1"/>
    <col min="7" max="7" width="12.625" style="1" customWidth="1"/>
    <col min="8" max="8" width="15" style="1" customWidth="1"/>
    <col min="9" max="9" width="10.5" style="1" customWidth="1"/>
    <col min="10" max="10" width="11.625" style="1" customWidth="1"/>
    <col min="11" max="11" width="18.25" style="1" customWidth="1"/>
    <col min="12" max="12" width="26.625" style="1" customWidth="1"/>
    <col min="13" max="13" width="7.25" style="1" customWidth="1"/>
    <col min="14" max="14" width="12.25" style="1" customWidth="1"/>
    <col min="15" max="15" width="12.625" style="1" customWidth="1"/>
    <col min="16" max="17" width="11.625" style="1" customWidth="1"/>
    <col min="18" max="18" width="13.875" style="1" customWidth="1"/>
    <col min="19" max="19" width="7.875" style="1" customWidth="1"/>
    <col min="20" max="20" width="11.625" style="1" customWidth="1"/>
    <col min="21" max="21" width="13" style="1" customWidth="1"/>
    <col min="22" max="22" width="9" style="1" hidden="1" customWidth="1"/>
    <col min="23" max="23" width="5.875" style="1" hidden="1" customWidth="1"/>
    <col min="24" max="24" width="11.375" style="1" hidden="1" customWidth="1"/>
    <col min="25" max="25" width="6.125" style="1" customWidth="1"/>
    <col min="26" max="26" width="12.875" style="1" customWidth="1" outlineLevel="1"/>
    <col min="27" max="28" width="9.375" style="1" customWidth="1" outlineLevel="1"/>
    <col min="29" max="16384" width="8.875" style="1"/>
  </cols>
  <sheetData>
    <row r="1" ht="25.15" customHeight="1" spans="2:28">
      <c r="B1" s="323"/>
      <c r="C1" s="323"/>
      <c r="D1" s="323"/>
      <c r="E1" s="323"/>
      <c r="F1" s="324"/>
      <c r="G1" s="323"/>
      <c r="H1" s="323"/>
      <c r="I1" s="323"/>
      <c r="J1" s="323"/>
      <c r="K1" s="323"/>
      <c r="L1" s="368" t="s">
        <v>3701</v>
      </c>
      <c r="M1" s="323"/>
      <c r="N1" s="323"/>
      <c r="O1" s="323"/>
      <c r="P1" s="323"/>
      <c r="Q1" s="323"/>
      <c r="R1" s="323"/>
      <c r="S1" s="323"/>
      <c r="T1" s="417"/>
      <c r="U1" s="323"/>
      <c r="V1" s="323"/>
      <c r="W1" s="323"/>
      <c r="X1" s="323"/>
      <c r="Y1" s="323"/>
      <c r="Z1" s="323"/>
      <c r="AA1" s="323"/>
      <c r="AB1" s="323"/>
    </row>
    <row r="2" ht="23.25" spans="1:26">
      <c r="A2" s="325"/>
      <c r="B2" s="326"/>
      <c r="C2" s="326"/>
      <c r="D2" s="326"/>
      <c r="E2" s="326"/>
      <c r="F2" s="327"/>
      <c r="G2" s="326"/>
      <c r="H2" s="328"/>
      <c r="I2" s="328"/>
      <c r="J2" s="328"/>
      <c r="K2" s="369"/>
      <c r="L2" s="326"/>
      <c r="P2" s="370"/>
      <c r="Q2" s="418"/>
      <c r="R2" s="418"/>
      <c r="S2" s="418"/>
      <c r="T2" s="419"/>
      <c r="U2" s="370" t="s">
        <v>3702</v>
      </c>
      <c r="V2" s="418"/>
      <c r="Z2" s="442" t="s">
        <v>3703</v>
      </c>
    </row>
    <row r="3" ht="21" customHeight="1" spans="1:28">
      <c r="A3" s="329" t="s">
        <v>3704</v>
      </c>
      <c r="B3" s="330"/>
      <c r="C3" s="330"/>
      <c r="D3" s="330"/>
      <c r="E3" s="330"/>
      <c r="F3" s="331"/>
      <c r="G3" s="330"/>
      <c r="H3" s="330"/>
      <c r="I3" s="330"/>
      <c r="J3" s="330"/>
      <c r="K3" s="330"/>
      <c r="L3" s="330"/>
      <c r="M3" s="330"/>
      <c r="N3" s="330"/>
      <c r="O3" s="371"/>
      <c r="P3" s="372" t="s">
        <v>3705</v>
      </c>
      <c r="Q3" s="372"/>
      <c r="R3" s="372"/>
      <c r="S3" s="372"/>
      <c r="T3" s="420" t="s">
        <v>3706</v>
      </c>
      <c r="U3" s="420"/>
      <c r="V3" s="372" t="s">
        <v>3707</v>
      </c>
      <c r="W3" s="372"/>
      <c r="X3" s="372"/>
      <c r="Y3" s="443" t="s">
        <v>3708</v>
      </c>
      <c r="Z3" s="443" t="s">
        <v>3709</v>
      </c>
      <c r="AA3" s="443"/>
      <c r="AB3" s="443"/>
    </row>
    <row r="4" ht="17.1" customHeight="1" spans="1:28">
      <c r="A4" s="332"/>
      <c r="B4" s="333"/>
      <c r="C4" s="333"/>
      <c r="D4" s="333"/>
      <c r="E4" s="333"/>
      <c r="F4" s="334"/>
      <c r="G4" s="333"/>
      <c r="H4" s="333"/>
      <c r="I4" s="333"/>
      <c r="J4" s="333"/>
      <c r="K4" s="333"/>
      <c r="L4" s="333"/>
      <c r="M4" s="333"/>
      <c r="N4" s="333"/>
      <c r="O4" s="373"/>
      <c r="P4" s="374"/>
      <c r="Q4" s="374"/>
      <c r="R4" s="374"/>
      <c r="S4" s="374"/>
      <c r="T4" s="421"/>
      <c r="U4" s="421"/>
      <c r="V4" s="374"/>
      <c r="W4" s="374"/>
      <c r="X4" s="374"/>
      <c r="Y4" s="444"/>
      <c r="Z4" s="444"/>
      <c r="AA4" s="445">
        <v>45536</v>
      </c>
      <c r="AB4" s="374"/>
    </row>
    <row r="5" ht="33" customHeight="1" spans="1:28">
      <c r="A5" s="335" t="s">
        <v>1253</v>
      </c>
      <c r="B5" s="336" t="s">
        <v>3710</v>
      </c>
      <c r="C5" s="336" t="s">
        <v>3711</v>
      </c>
      <c r="D5" s="336" t="s">
        <v>3712</v>
      </c>
      <c r="E5" s="336" t="s">
        <v>3713</v>
      </c>
      <c r="F5" s="336" t="s">
        <v>3714</v>
      </c>
      <c r="G5" s="336" t="s">
        <v>3704</v>
      </c>
      <c r="H5" s="336" t="s">
        <v>3715</v>
      </c>
      <c r="I5" s="336" t="s">
        <v>3716</v>
      </c>
      <c r="J5" s="336" t="s">
        <v>3717</v>
      </c>
      <c r="K5" s="375" t="s">
        <v>3718</v>
      </c>
      <c r="L5" s="336" t="s">
        <v>3719</v>
      </c>
      <c r="M5" s="336" t="s">
        <v>60</v>
      </c>
      <c r="N5" s="376" t="s">
        <v>3720</v>
      </c>
      <c r="O5" s="336" t="s">
        <v>3721</v>
      </c>
      <c r="P5" s="336" t="s">
        <v>2449</v>
      </c>
      <c r="Q5" s="422" t="s">
        <v>3722</v>
      </c>
      <c r="R5" s="336" t="s">
        <v>3723</v>
      </c>
      <c r="S5" s="423" t="s">
        <v>3724</v>
      </c>
      <c r="T5" s="424" t="s">
        <v>3725</v>
      </c>
      <c r="U5" s="336" t="s">
        <v>3726</v>
      </c>
      <c r="V5" s="425" t="s">
        <v>3727</v>
      </c>
      <c r="W5" s="425" t="s">
        <v>2449</v>
      </c>
      <c r="X5" s="425" t="s">
        <v>3722</v>
      </c>
      <c r="Y5" s="446"/>
      <c r="Z5" s="446"/>
      <c r="AA5" s="425" t="s">
        <v>2449</v>
      </c>
      <c r="AB5" s="425" t="s">
        <v>3722</v>
      </c>
    </row>
    <row r="6" ht="27" customHeight="1" spans="1:28">
      <c r="A6" s="337"/>
      <c r="B6" s="338"/>
      <c r="C6" s="338"/>
      <c r="D6" s="338"/>
      <c r="E6" s="338"/>
      <c r="F6" s="338"/>
      <c r="G6" s="338"/>
      <c r="H6" s="338"/>
      <c r="I6" s="338"/>
      <c r="J6" s="338"/>
      <c r="K6" s="377"/>
      <c r="L6" s="377"/>
      <c r="M6" s="338"/>
      <c r="N6" s="378" t="s">
        <v>3728</v>
      </c>
      <c r="O6" s="379" t="s">
        <v>3729</v>
      </c>
      <c r="P6" s="337" t="s">
        <v>3730</v>
      </c>
      <c r="Q6" s="426"/>
      <c r="R6" s="338" t="s">
        <v>3731</v>
      </c>
      <c r="S6" s="427" t="s">
        <v>3732</v>
      </c>
      <c r="T6" s="428" t="s">
        <v>3733</v>
      </c>
      <c r="U6" s="428"/>
      <c r="V6" s="338"/>
      <c r="W6" s="338"/>
      <c r="X6" s="338"/>
      <c r="Y6" s="338"/>
      <c r="Z6" s="338"/>
      <c r="AA6" s="338"/>
      <c r="AB6" s="338"/>
    </row>
    <row r="7" s="321" customFormat="1" ht="24.95" customHeight="1" spans="1:28">
      <c r="A7" s="339"/>
      <c r="B7" s="340" t="s">
        <v>3734</v>
      </c>
      <c r="C7" s="340"/>
      <c r="D7" s="341"/>
      <c r="E7" s="341"/>
      <c r="F7" s="340"/>
      <c r="G7" s="340"/>
      <c r="H7" s="340">
        <f>+H8+H26+H31</f>
        <v>4309658</v>
      </c>
      <c r="I7" s="340"/>
      <c r="J7" s="340"/>
      <c r="K7" s="380"/>
      <c r="L7" s="380"/>
      <c r="M7" s="340"/>
      <c r="N7" s="381"/>
      <c r="O7" s="382"/>
      <c r="P7" s="383"/>
      <c r="Q7" s="340">
        <f>+Q8+Q26+Q31</f>
        <v>1330257.4</v>
      </c>
      <c r="R7" s="383"/>
      <c r="S7" s="429"/>
      <c r="T7" s="430"/>
      <c r="U7" s="340">
        <f ca="1">+U8+U26+U31</f>
        <v>2654539.83565618</v>
      </c>
      <c r="V7" s="341"/>
      <c r="W7" s="341"/>
      <c r="X7" s="340">
        <f>+X8+X26+X31</f>
        <v>0</v>
      </c>
      <c r="Y7" s="341"/>
      <c r="Z7" s="341"/>
      <c r="AA7" s="341"/>
      <c r="AB7" s="341"/>
    </row>
    <row r="8" s="322" customFormat="1" ht="30.95" customHeight="1" outlineLevel="1" spans="1:28">
      <c r="A8" s="342">
        <v>1</v>
      </c>
      <c r="B8" s="343" t="s">
        <v>3735</v>
      </c>
      <c r="C8" s="343"/>
      <c r="D8" s="344"/>
      <c r="E8" s="344"/>
      <c r="F8" s="343" t="s">
        <v>3736</v>
      </c>
      <c r="G8" s="343" t="s">
        <v>3737</v>
      </c>
      <c r="H8" s="343">
        <f>SUM(H9:H25)</f>
        <v>1013358</v>
      </c>
      <c r="I8" s="343"/>
      <c r="J8" s="343"/>
      <c r="K8" s="384" t="s">
        <v>3738</v>
      </c>
      <c r="L8" s="384"/>
      <c r="M8" s="343"/>
      <c r="N8" s="385"/>
      <c r="O8" s="386"/>
      <c r="P8" s="387"/>
      <c r="Q8" s="387">
        <f>SUM(Q9:Q25)</f>
        <v>304007.4</v>
      </c>
      <c r="R8" s="387"/>
      <c r="S8" s="431"/>
      <c r="T8" s="432"/>
      <c r="U8" s="387">
        <f>SUM(U9:U25)</f>
        <v>304007.4</v>
      </c>
      <c r="V8" s="344"/>
      <c r="W8" s="344"/>
      <c r="X8" s="433">
        <f>SUM(X9:X25)</f>
        <v>0</v>
      </c>
      <c r="Y8" s="344"/>
      <c r="Z8" s="344"/>
      <c r="AA8" s="344"/>
      <c r="AB8" s="433">
        <f>SUM(AB9:AB25)</f>
        <v>304007.4</v>
      </c>
    </row>
    <row r="9" ht="24.95" customHeight="1" outlineLevel="4" spans="1:28">
      <c r="A9" s="345"/>
      <c r="B9" s="346" t="s">
        <v>3739</v>
      </c>
      <c r="C9" s="346"/>
      <c r="D9" s="347"/>
      <c r="E9" s="347"/>
      <c r="F9" s="345" t="s">
        <v>1613</v>
      </c>
      <c r="G9" s="345"/>
      <c r="H9" s="345">
        <f t="shared" ref="H9:H25" si="0">+O9*N9</f>
        <v>80000</v>
      </c>
      <c r="I9" s="346"/>
      <c r="J9" s="388">
        <f>COUNTIFS(K:K,K9,E:E,E9)</f>
        <v>0</v>
      </c>
      <c r="K9" s="389" t="s">
        <v>1615</v>
      </c>
      <c r="L9" s="390" t="s">
        <v>3740</v>
      </c>
      <c r="M9" s="391" t="s">
        <v>72</v>
      </c>
      <c r="N9" s="391">
        <v>400</v>
      </c>
      <c r="O9" s="391">
        <v>200</v>
      </c>
      <c r="P9" s="392">
        <f t="shared" ref="P9:P25" si="1">SUMIF($Z$5:$AB$5,P$5,Z9:AB9)</f>
        <v>60</v>
      </c>
      <c r="Q9" s="392">
        <f t="shared" ref="Q9:Q25" si="2">SUMIF($Z$5:$AB$5,Q$5,Z9:AC9)</f>
        <v>24000</v>
      </c>
      <c r="R9" s="392">
        <f t="shared" ref="R9:R25" si="3">IFERROR(-P9+O9,"")</f>
        <v>140</v>
      </c>
      <c r="S9" s="434">
        <f>IFERROR(+P9/O9,"")</f>
        <v>0.3</v>
      </c>
      <c r="T9" s="435">
        <f>+P9</f>
        <v>60</v>
      </c>
      <c r="U9" s="436">
        <f t="shared" ref="U9:U25" si="4">T9*N9</f>
        <v>24000</v>
      </c>
      <c r="V9" s="347"/>
      <c r="W9" s="347"/>
      <c r="X9" s="347"/>
      <c r="Y9" s="347"/>
      <c r="Z9" s="347"/>
      <c r="AA9" s="347">
        <f>+O9*0.3</f>
        <v>60</v>
      </c>
      <c r="AB9" s="347">
        <f>+AA9*N9</f>
        <v>24000</v>
      </c>
    </row>
    <row r="10" ht="24.95" customHeight="1" outlineLevel="4" spans="1:28">
      <c r="A10" s="345"/>
      <c r="B10" s="346"/>
      <c r="C10" s="348"/>
      <c r="D10" s="348"/>
      <c r="E10" s="348"/>
      <c r="F10" s="345" t="s">
        <v>1613</v>
      </c>
      <c r="G10" s="345"/>
      <c r="H10" s="345">
        <f t="shared" si="0"/>
        <v>80000</v>
      </c>
      <c r="I10" s="348"/>
      <c r="J10" s="393"/>
      <c r="K10" s="389" t="s">
        <v>1615</v>
      </c>
      <c r="L10" s="394" t="s">
        <v>3741</v>
      </c>
      <c r="M10" s="391" t="s">
        <v>3742</v>
      </c>
      <c r="N10" s="391">
        <v>200</v>
      </c>
      <c r="O10" s="391">
        <v>400</v>
      </c>
      <c r="P10" s="392">
        <f t="shared" si="1"/>
        <v>120</v>
      </c>
      <c r="Q10" s="392">
        <f t="shared" si="2"/>
        <v>24000</v>
      </c>
      <c r="R10" s="392">
        <f t="shared" si="3"/>
        <v>280</v>
      </c>
      <c r="S10" s="434">
        <f t="shared" ref="S10:S25" si="5">IFERROR(+P10/O10,"")</f>
        <v>0.3</v>
      </c>
      <c r="T10" s="435">
        <f t="shared" ref="T10:T25" si="6">+P10</f>
        <v>120</v>
      </c>
      <c r="U10" s="436">
        <f t="shared" si="4"/>
        <v>24000</v>
      </c>
      <c r="V10" s="348"/>
      <c r="W10" s="348"/>
      <c r="X10" s="348"/>
      <c r="Y10" s="348"/>
      <c r="Z10" s="348"/>
      <c r="AA10" s="347">
        <f t="shared" ref="AA10:AA25" si="7">+O10*0.3</f>
        <v>120</v>
      </c>
      <c r="AB10" s="347">
        <f t="shared" ref="AB10:AB40" si="8">+AA10*N10</f>
        <v>24000</v>
      </c>
    </row>
    <row r="11" ht="24.95" customHeight="1" outlineLevel="4" spans="1:28">
      <c r="A11" s="345"/>
      <c r="B11" s="346"/>
      <c r="C11" s="348"/>
      <c r="D11" s="348"/>
      <c r="E11" s="348"/>
      <c r="F11" s="345" t="s">
        <v>1613</v>
      </c>
      <c r="G11" s="345"/>
      <c r="H11" s="345">
        <f t="shared" si="0"/>
        <v>12600</v>
      </c>
      <c r="I11" s="348"/>
      <c r="J11" s="393"/>
      <c r="K11" s="389" t="s">
        <v>1615</v>
      </c>
      <c r="L11" s="390" t="s">
        <v>3743</v>
      </c>
      <c r="M11" s="391" t="s">
        <v>69</v>
      </c>
      <c r="N11" s="391">
        <v>35</v>
      </c>
      <c r="O11" s="391">
        <v>360</v>
      </c>
      <c r="P11" s="392">
        <f t="shared" si="1"/>
        <v>108</v>
      </c>
      <c r="Q11" s="392">
        <f t="shared" si="2"/>
        <v>3780</v>
      </c>
      <c r="R11" s="392">
        <f t="shared" si="3"/>
        <v>252</v>
      </c>
      <c r="S11" s="434">
        <f t="shared" si="5"/>
        <v>0.3</v>
      </c>
      <c r="T11" s="435">
        <f t="shared" si="6"/>
        <v>108</v>
      </c>
      <c r="U11" s="436">
        <f t="shared" si="4"/>
        <v>3780</v>
      </c>
      <c r="V11" s="348"/>
      <c r="W11" s="348"/>
      <c r="X11" s="348"/>
      <c r="Y11" s="348"/>
      <c r="Z11" s="348"/>
      <c r="AA11" s="347">
        <f t="shared" si="7"/>
        <v>108</v>
      </c>
      <c r="AB11" s="347">
        <f t="shared" si="8"/>
        <v>3780</v>
      </c>
    </row>
    <row r="12" ht="24.95" customHeight="1" outlineLevel="4" spans="1:28">
      <c r="A12" s="345"/>
      <c r="B12" s="346"/>
      <c r="C12" s="348"/>
      <c r="D12" s="348"/>
      <c r="E12" s="348"/>
      <c r="F12" s="345" t="s">
        <v>1613</v>
      </c>
      <c r="G12" s="345"/>
      <c r="H12" s="345">
        <f t="shared" si="0"/>
        <v>9390</v>
      </c>
      <c r="I12" s="348"/>
      <c r="J12" s="393"/>
      <c r="K12" s="389" t="s">
        <v>1615</v>
      </c>
      <c r="L12" s="390" t="s">
        <v>3744</v>
      </c>
      <c r="M12" s="391" t="s">
        <v>76</v>
      </c>
      <c r="N12" s="391">
        <v>15</v>
      </c>
      <c r="O12" s="391">
        <v>626</v>
      </c>
      <c r="P12" s="392">
        <f t="shared" si="1"/>
        <v>187.8</v>
      </c>
      <c r="Q12" s="392">
        <f t="shared" si="2"/>
        <v>2817</v>
      </c>
      <c r="R12" s="392">
        <f t="shared" si="3"/>
        <v>438.2</v>
      </c>
      <c r="S12" s="434">
        <f t="shared" si="5"/>
        <v>0.3</v>
      </c>
      <c r="T12" s="435">
        <f t="shared" si="6"/>
        <v>187.8</v>
      </c>
      <c r="U12" s="436">
        <f t="shared" si="4"/>
        <v>2817</v>
      </c>
      <c r="V12" s="348"/>
      <c r="W12" s="348"/>
      <c r="X12" s="348"/>
      <c r="Y12" s="348"/>
      <c r="Z12" s="348"/>
      <c r="AA12" s="347">
        <f t="shared" si="7"/>
        <v>187.8</v>
      </c>
      <c r="AB12" s="347">
        <f t="shared" si="8"/>
        <v>2817</v>
      </c>
    </row>
    <row r="13" ht="24.95" customHeight="1" outlineLevel="4" spans="1:28">
      <c r="A13" s="345"/>
      <c r="B13" s="346"/>
      <c r="C13" s="348"/>
      <c r="D13" s="348"/>
      <c r="E13" s="348"/>
      <c r="F13" s="345" t="s">
        <v>1613</v>
      </c>
      <c r="G13" s="345"/>
      <c r="H13" s="345">
        <f t="shared" si="0"/>
        <v>26310</v>
      </c>
      <c r="I13" s="348"/>
      <c r="J13" s="393"/>
      <c r="K13" s="389" t="s">
        <v>1615</v>
      </c>
      <c r="L13" s="390" t="s">
        <v>1843</v>
      </c>
      <c r="M13" s="391" t="s">
        <v>69</v>
      </c>
      <c r="N13" s="391">
        <v>30</v>
      </c>
      <c r="O13" s="391">
        <v>877</v>
      </c>
      <c r="P13" s="392">
        <f t="shared" si="1"/>
        <v>263.1</v>
      </c>
      <c r="Q13" s="392">
        <f t="shared" si="2"/>
        <v>7893</v>
      </c>
      <c r="R13" s="392">
        <f t="shared" si="3"/>
        <v>613.9</v>
      </c>
      <c r="S13" s="434">
        <f t="shared" si="5"/>
        <v>0.3</v>
      </c>
      <c r="T13" s="435">
        <f t="shared" si="6"/>
        <v>263.1</v>
      </c>
      <c r="U13" s="436">
        <f t="shared" si="4"/>
        <v>7893</v>
      </c>
      <c r="V13" s="348"/>
      <c r="W13" s="348"/>
      <c r="X13" s="348"/>
      <c r="Y13" s="348"/>
      <c r="Z13" s="348"/>
      <c r="AA13" s="347">
        <f t="shared" si="7"/>
        <v>263.1</v>
      </c>
      <c r="AB13" s="347">
        <f t="shared" si="8"/>
        <v>7893</v>
      </c>
    </row>
    <row r="14" ht="24.95" customHeight="1" outlineLevel="4" spans="1:28">
      <c r="A14" s="345"/>
      <c r="B14" s="346"/>
      <c r="C14" s="348"/>
      <c r="D14" s="348"/>
      <c r="E14" s="348"/>
      <c r="F14" s="345" t="s">
        <v>1613</v>
      </c>
      <c r="G14" s="345"/>
      <c r="H14" s="345">
        <f t="shared" si="0"/>
        <v>13600</v>
      </c>
      <c r="I14" s="348"/>
      <c r="J14" s="393"/>
      <c r="K14" s="389" t="s">
        <v>1625</v>
      </c>
      <c r="L14" s="390" t="s">
        <v>3745</v>
      </c>
      <c r="M14" s="391" t="s">
        <v>69</v>
      </c>
      <c r="N14" s="391">
        <v>68</v>
      </c>
      <c r="O14" s="391">
        <v>200</v>
      </c>
      <c r="P14" s="392">
        <f t="shared" si="1"/>
        <v>60</v>
      </c>
      <c r="Q14" s="392">
        <f t="shared" si="2"/>
        <v>4080</v>
      </c>
      <c r="R14" s="392">
        <f t="shared" si="3"/>
        <v>140</v>
      </c>
      <c r="S14" s="434">
        <f t="shared" si="5"/>
        <v>0.3</v>
      </c>
      <c r="T14" s="435">
        <f t="shared" si="6"/>
        <v>60</v>
      </c>
      <c r="U14" s="436">
        <f t="shared" si="4"/>
        <v>4080</v>
      </c>
      <c r="V14" s="348"/>
      <c r="W14" s="348"/>
      <c r="X14" s="348"/>
      <c r="Y14" s="348"/>
      <c r="Z14" s="348"/>
      <c r="AA14" s="347">
        <f t="shared" si="7"/>
        <v>60</v>
      </c>
      <c r="AB14" s="347">
        <f t="shared" si="8"/>
        <v>4080</v>
      </c>
    </row>
    <row r="15" ht="24.95" customHeight="1" outlineLevel="4" spans="1:28">
      <c r="A15" s="345"/>
      <c r="B15" s="346"/>
      <c r="C15" s="348"/>
      <c r="D15" s="348"/>
      <c r="E15" s="348"/>
      <c r="F15" s="345" t="s">
        <v>1613</v>
      </c>
      <c r="G15" s="345"/>
      <c r="H15" s="345">
        <f t="shared" si="0"/>
        <v>16500</v>
      </c>
      <c r="I15" s="348"/>
      <c r="J15" s="393"/>
      <c r="K15" s="389" t="s">
        <v>1625</v>
      </c>
      <c r="L15" s="390" t="s">
        <v>3746</v>
      </c>
      <c r="M15" s="391" t="s">
        <v>82</v>
      </c>
      <c r="N15" s="391">
        <v>1100</v>
      </c>
      <c r="O15" s="391">
        <v>15</v>
      </c>
      <c r="P15" s="392">
        <f t="shared" si="1"/>
        <v>4.5</v>
      </c>
      <c r="Q15" s="392">
        <f t="shared" si="2"/>
        <v>4950</v>
      </c>
      <c r="R15" s="392">
        <f t="shared" si="3"/>
        <v>10.5</v>
      </c>
      <c r="S15" s="434">
        <f t="shared" si="5"/>
        <v>0.3</v>
      </c>
      <c r="T15" s="435">
        <f t="shared" si="6"/>
        <v>4.5</v>
      </c>
      <c r="U15" s="436">
        <f t="shared" si="4"/>
        <v>4950</v>
      </c>
      <c r="V15" s="348"/>
      <c r="W15" s="348"/>
      <c r="X15" s="348"/>
      <c r="Y15" s="348"/>
      <c r="Z15" s="348"/>
      <c r="AA15" s="347">
        <f t="shared" si="7"/>
        <v>4.5</v>
      </c>
      <c r="AB15" s="347">
        <f t="shared" si="8"/>
        <v>4950</v>
      </c>
    </row>
    <row r="16" ht="24.95" customHeight="1" outlineLevel="4" spans="1:28">
      <c r="A16" s="345"/>
      <c r="B16" s="346"/>
      <c r="C16" s="348"/>
      <c r="D16" s="348"/>
      <c r="E16" s="348"/>
      <c r="F16" s="345" t="s">
        <v>1613</v>
      </c>
      <c r="G16" s="345"/>
      <c r="H16" s="345">
        <f t="shared" si="0"/>
        <v>84700</v>
      </c>
      <c r="I16" s="348"/>
      <c r="J16" s="393"/>
      <c r="K16" s="389" t="s">
        <v>1625</v>
      </c>
      <c r="L16" s="390" t="s">
        <v>3747</v>
      </c>
      <c r="M16" s="391" t="s">
        <v>82</v>
      </c>
      <c r="N16" s="391">
        <v>1100</v>
      </c>
      <c r="O16" s="391">
        <v>77</v>
      </c>
      <c r="P16" s="392">
        <f t="shared" si="1"/>
        <v>23.1</v>
      </c>
      <c r="Q16" s="392">
        <f t="shared" si="2"/>
        <v>25410</v>
      </c>
      <c r="R16" s="392">
        <f t="shared" si="3"/>
        <v>53.9</v>
      </c>
      <c r="S16" s="434">
        <f t="shared" si="5"/>
        <v>0.3</v>
      </c>
      <c r="T16" s="435">
        <f t="shared" si="6"/>
        <v>23.1</v>
      </c>
      <c r="U16" s="436">
        <f t="shared" si="4"/>
        <v>25410</v>
      </c>
      <c r="V16" s="348"/>
      <c r="W16" s="348"/>
      <c r="X16" s="348"/>
      <c r="Y16" s="348"/>
      <c r="Z16" s="348"/>
      <c r="AA16" s="347">
        <f t="shared" si="7"/>
        <v>23.1</v>
      </c>
      <c r="AB16" s="347">
        <f t="shared" si="8"/>
        <v>25410</v>
      </c>
    </row>
    <row r="17" ht="24.95" customHeight="1" outlineLevel="4" spans="1:28">
      <c r="A17" s="345"/>
      <c r="B17" s="346"/>
      <c r="C17" s="348"/>
      <c r="D17" s="348"/>
      <c r="E17" s="348"/>
      <c r="F17" s="345" t="s">
        <v>1613</v>
      </c>
      <c r="G17" s="345"/>
      <c r="H17" s="345">
        <f t="shared" si="0"/>
        <v>16692</v>
      </c>
      <c r="I17" s="348"/>
      <c r="J17" s="393"/>
      <c r="K17" s="389" t="s">
        <v>1625</v>
      </c>
      <c r="L17" s="390" t="s">
        <v>3748</v>
      </c>
      <c r="M17" s="391" t="s">
        <v>69</v>
      </c>
      <c r="N17" s="391">
        <v>26</v>
      </c>
      <c r="O17" s="391">
        <v>642</v>
      </c>
      <c r="P17" s="392">
        <f t="shared" si="1"/>
        <v>192.6</v>
      </c>
      <c r="Q17" s="392">
        <f t="shared" si="2"/>
        <v>5007.6</v>
      </c>
      <c r="R17" s="392">
        <f t="shared" si="3"/>
        <v>449.4</v>
      </c>
      <c r="S17" s="434">
        <f t="shared" si="5"/>
        <v>0.3</v>
      </c>
      <c r="T17" s="435">
        <f t="shared" si="6"/>
        <v>192.6</v>
      </c>
      <c r="U17" s="436">
        <f t="shared" si="4"/>
        <v>5007.6</v>
      </c>
      <c r="V17" s="348"/>
      <c r="W17" s="348"/>
      <c r="X17" s="348"/>
      <c r="Y17" s="348"/>
      <c r="Z17" s="348"/>
      <c r="AA17" s="347">
        <f t="shared" si="7"/>
        <v>192.6</v>
      </c>
      <c r="AB17" s="347">
        <f t="shared" si="8"/>
        <v>5007.6</v>
      </c>
    </row>
    <row r="18" ht="24.95" customHeight="1" outlineLevel="4" spans="1:28">
      <c r="A18" s="345"/>
      <c r="B18" s="346"/>
      <c r="C18" s="348"/>
      <c r="D18" s="348"/>
      <c r="E18" s="348"/>
      <c r="F18" s="345" t="s">
        <v>1613</v>
      </c>
      <c r="G18" s="345"/>
      <c r="H18" s="345">
        <f t="shared" si="0"/>
        <v>20000</v>
      </c>
      <c r="I18" s="348"/>
      <c r="J18" s="393"/>
      <c r="K18" s="389" t="s">
        <v>3749</v>
      </c>
      <c r="L18" s="390" t="s">
        <v>3750</v>
      </c>
      <c r="M18" s="391" t="s">
        <v>69</v>
      </c>
      <c r="N18" s="391">
        <v>5</v>
      </c>
      <c r="O18" s="391">
        <v>4000</v>
      </c>
      <c r="P18" s="392">
        <f t="shared" si="1"/>
        <v>1200</v>
      </c>
      <c r="Q18" s="392">
        <f t="shared" si="2"/>
        <v>6000</v>
      </c>
      <c r="R18" s="392">
        <f t="shared" si="3"/>
        <v>2800</v>
      </c>
      <c r="S18" s="434">
        <f t="shared" si="5"/>
        <v>0.3</v>
      </c>
      <c r="T18" s="435">
        <f t="shared" si="6"/>
        <v>1200</v>
      </c>
      <c r="U18" s="436">
        <f t="shared" si="4"/>
        <v>6000</v>
      </c>
      <c r="V18" s="348"/>
      <c r="W18" s="348"/>
      <c r="X18" s="348"/>
      <c r="Y18" s="348"/>
      <c r="Z18" s="348"/>
      <c r="AA18" s="347">
        <f t="shared" si="7"/>
        <v>1200</v>
      </c>
      <c r="AB18" s="347">
        <f t="shared" si="8"/>
        <v>6000</v>
      </c>
    </row>
    <row r="19" ht="24.95" customHeight="1" outlineLevel="4" spans="1:28">
      <c r="A19" s="345"/>
      <c r="B19" s="346"/>
      <c r="C19" s="348"/>
      <c r="D19" s="348"/>
      <c r="E19" s="348"/>
      <c r="F19" s="345" t="s">
        <v>1613</v>
      </c>
      <c r="G19" s="345"/>
      <c r="H19" s="345">
        <f t="shared" si="0"/>
        <v>96000</v>
      </c>
      <c r="I19" s="348"/>
      <c r="J19" s="393"/>
      <c r="K19" s="389" t="s">
        <v>3751</v>
      </c>
      <c r="L19" s="390" t="s">
        <v>3752</v>
      </c>
      <c r="M19" s="391" t="s">
        <v>72</v>
      </c>
      <c r="N19" s="391">
        <v>400</v>
      </c>
      <c r="O19" s="391">
        <v>240</v>
      </c>
      <c r="P19" s="392">
        <f t="shared" si="1"/>
        <v>72</v>
      </c>
      <c r="Q19" s="392">
        <f t="shared" si="2"/>
        <v>28800</v>
      </c>
      <c r="R19" s="392">
        <f t="shared" si="3"/>
        <v>168</v>
      </c>
      <c r="S19" s="434">
        <f t="shared" si="5"/>
        <v>0.3</v>
      </c>
      <c r="T19" s="435">
        <f t="shared" si="6"/>
        <v>72</v>
      </c>
      <c r="U19" s="436">
        <f t="shared" si="4"/>
        <v>28800</v>
      </c>
      <c r="V19" s="348"/>
      <c r="W19" s="348"/>
      <c r="X19" s="348"/>
      <c r="Y19" s="348"/>
      <c r="Z19" s="348"/>
      <c r="AA19" s="347">
        <f t="shared" si="7"/>
        <v>72</v>
      </c>
      <c r="AB19" s="347">
        <f t="shared" si="8"/>
        <v>28800</v>
      </c>
    </row>
    <row r="20" ht="24.95" customHeight="1" outlineLevel="4" spans="1:28">
      <c r="A20" s="345"/>
      <c r="B20" s="346"/>
      <c r="C20" s="348"/>
      <c r="D20" s="348"/>
      <c r="E20" s="348"/>
      <c r="F20" s="345" t="s">
        <v>1613</v>
      </c>
      <c r="G20" s="345"/>
      <c r="H20" s="345">
        <f t="shared" si="0"/>
        <v>7800</v>
      </c>
      <c r="I20" s="348"/>
      <c r="J20" s="393"/>
      <c r="K20" s="389" t="s">
        <v>3751</v>
      </c>
      <c r="L20" s="390" t="s">
        <v>3753</v>
      </c>
      <c r="M20" s="391" t="s">
        <v>69</v>
      </c>
      <c r="N20" s="391">
        <v>26</v>
      </c>
      <c r="O20" s="391">
        <v>300</v>
      </c>
      <c r="P20" s="392">
        <f t="shared" si="1"/>
        <v>90</v>
      </c>
      <c r="Q20" s="392">
        <f t="shared" si="2"/>
        <v>2340</v>
      </c>
      <c r="R20" s="392">
        <f t="shared" si="3"/>
        <v>210</v>
      </c>
      <c r="S20" s="434">
        <f t="shared" si="5"/>
        <v>0.3</v>
      </c>
      <c r="T20" s="435">
        <f t="shared" si="6"/>
        <v>90</v>
      </c>
      <c r="U20" s="436">
        <f t="shared" si="4"/>
        <v>2340</v>
      </c>
      <c r="V20" s="348"/>
      <c r="W20" s="348"/>
      <c r="X20" s="348"/>
      <c r="Y20" s="348"/>
      <c r="Z20" s="348"/>
      <c r="AA20" s="347">
        <f t="shared" si="7"/>
        <v>90</v>
      </c>
      <c r="AB20" s="347">
        <f t="shared" si="8"/>
        <v>2340</v>
      </c>
    </row>
    <row r="21" ht="24.95" customHeight="1" outlineLevel="4" spans="1:28">
      <c r="A21" s="345"/>
      <c r="B21" s="346"/>
      <c r="C21" s="348"/>
      <c r="D21" s="348"/>
      <c r="E21" s="348"/>
      <c r="F21" s="345" t="s">
        <v>1613</v>
      </c>
      <c r="G21" s="345"/>
      <c r="H21" s="345">
        <f t="shared" si="0"/>
        <v>180070</v>
      </c>
      <c r="I21" s="348"/>
      <c r="J21" s="393"/>
      <c r="K21" s="389" t="s">
        <v>3751</v>
      </c>
      <c r="L21" s="390" t="s">
        <v>3754</v>
      </c>
      <c r="M21" s="391" t="s">
        <v>72</v>
      </c>
      <c r="N21" s="391">
        <v>110</v>
      </c>
      <c r="O21" s="391">
        <v>1637</v>
      </c>
      <c r="P21" s="392">
        <f t="shared" si="1"/>
        <v>491.1</v>
      </c>
      <c r="Q21" s="392">
        <f t="shared" si="2"/>
        <v>54021</v>
      </c>
      <c r="R21" s="392">
        <f t="shared" si="3"/>
        <v>1145.9</v>
      </c>
      <c r="S21" s="434">
        <f t="shared" si="5"/>
        <v>0.3</v>
      </c>
      <c r="T21" s="435">
        <f t="shared" si="6"/>
        <v>491.1</v>
      </c>
      <c r="U21" s="436">
        <f t="shared" si="4"/>
        <v>54021</v>
      </c>
      <c r="V21" s="348"/>
      <c r="W21" s="348"/>
      <c r="X21" s="348"/>
      <c r="Y21" s="348"/>
      <c r="Z21" s="348"/>
      <c r="AA21" s="347">
        <f t="shared" si="7"/>
        <v>491.1</v>
      </c>
      <c r="AB21" s="347">
        <f t="shared" si="8"/>
        <v>54021</v>
      </c>
    </row>
    <row r="22" ht="24.95" customHeight="1" outlineLevel="4" spans="1:28">
      <c r="A22" s="345"/>
      <c r="B22" s="346"/>
      <c r="C22" s="348"/>
      <c r="D22" s="348"/>
      <c r="E22" s="348"/>
      <c r="F22" s="345" t="s">
        <v>1613</v>
      </c>
      <c r="G22" s="345"/>
      <c r="H22" s="345">
        <f t="shared" si="0"/>
        <v>54400</v>
      </c>
      <c r="I22" s="348"/>
      <c r="J22" s="393"/>
      <c r="K22" s="389" t="s">
        <v>3751</v>
      </c>
      <c r="L22" s="390" t="s">
        <v>3755</v>
      </c>
      <c r="M22" s="391" t="s">
        <v>69</v>
      </c>
      <c r="N22" s="391">
        <v>68</v>
      </c>
      <c r="O22" s="391">
        <v>800</v>
      </c>
      <c r="P22" s="392">
        <f t="shared" si="1"/>
        <v>240</v>
      </c>
      <c r="Q22" s="392">
        <f t="shared" si="2"/>
        <v>16320</v>
      </c>
      <c r="R22" s="392">
        <f t="shared" si="3"/>
        <v>560</v>
      </c>
      <c r="S22" s="434">
        <f t="shared" si="5"/>
        <v>0.3</v>
      </c>
      <c r="T22" s="435">
        <f t="shared" si="6"/>
        <v>240</v>
      </c>
      <c r="U22" s="436">
        <f t="shared" si="4"/>
        <v>16320</v>
      </c>
      <c r="V22" s="348"/>
      <c r="W22" s="348"/>
      <c r="X22" s="348"/>
      <c r="Y22" s="348"/>
      <c r="Z22" s="348"/>
      <c r="AA22" s="347">
        <f t="shared" si="7"/>
        <v>240</v>
      </c>
      <c r="AB22" s="347">
        <f t="shared" si="8"/>
        <v>16320</v>
      </c>
    </row>
    <row r="23" ht="24.95" customHeight="1" outlineLevel="4" spans="1:28">
      <c r="A23" s="345"/>
      <c r="B23" s="346"/>
      <c r="C23" s="348"/>
      <c r="D23" s="348"/>
      <c r="E23" s="348"/>
      <c r="F23" s="345" t="s">
        <v>1613</v>
      </c>
      <c r="G23" s="345"/>
      <c r="H23" s="345">
        <f t="shared" si="0"/>
        <v>48000</v>
      </c>
      <c r="I23" s="348"/>
      <c r="J23" s="393"/>
      <c r="K23" s="389" t="s">
        <v>1615</v>
      </c>
      <c r="L23" s="390" t="s">
        <v>3756</v>
      </c>
      <c r="M23" s="391" t="s">
        <v>76</v>
      </c>
      <c r="N23" s="391">
        <v>120</v>
      </c>
      <c r="O23" s="391">
        <v>400</v>
      </c>
      <c r="P23" s="392">
        <f t="shared" si="1"/>
        <v>120</v>
      </c>
      <c r="Q23" s="392">
        <f t="shared" si="2"/>
        <v>14400</v>
      </c>
      <c r="R23" s="392">
        <f t="shared" si="3"/>
        <v>280</v>
      </c>
      <c r="S23" s="434">
        <f t="shared" si="5"/>
        <v>0.3</v>
      </c>
      <c r="T23" s="435">
        <f t="shared" si="6"/>
        <v>120</v>
      </c>
      <c r="U23" s="436">
        <f t="shared" si="4"/>
        <v>14400</v>
      </c>
      <c r="V23" s="348"/>
      <c r="W23" s="348"/>
      <c r="X23" s="348"/>
      <c r="Y23" s="348"/>
      <c r="Z23" s="348"/>
      <c r="AA23" s="347">
        <f t="shared" si="7"/>
        <v>120</v>
      </c>
      <c r="AB23" s="347">
        <f t="shared" si="8"/>
        <v>14400</v>
      </c>
    </row>
    <row r="24" ht="29.1" customHeight="1" outlineLevel="4" spans="1:28">
      <c r="A24" s="345"/>
      <c r="B24" s="346"/>
      <c r="C24" s="348"/>
      <c r="D24" s="348"/>
      <c r="E24" s="348"/>
      <c r="F24" s="345" t="s">
        <v>1613</v>
      </c>
      <c r="G24" s="345"/>
      <c r="H24" s="345">
        <f t="shared" si="0"/>
        <v>135296</v>
      </c>
      <c r="I24" s="348"/>
      <c r="J24" s="393"/>
      <c r="K24" s="389" t="s">
        <v>3751</v>
      </c>
      <c r="L24" s="390" t="s">
        <v>3757</v>
      </c>
      <c r="M24" s="391" t="s">
        <v>69</v>
      </c>
      <c r="N24" s="391">
        <v>32</v>
      </c>
      <c r="O24" s="391">
        <v>4228</v>
      </c>
      <c r="P24" s="392">
        <f t="shared" si="1"/>
        <v>1268.4</v>
      </c>
      <c r="Q24" s="392">
        <f t="shared" si="2"/>
        <v>40588.8</v>
      </c>
      <c r="R24" s="392">
        <f t="shared" si="3"/>
        <v>2959.6</v>
      </c>
      <c r="S24" s="434">
        <f t="shared" si="5"/>
        <v>0.3</v>
      </c>
      <c r="T24" s="435">
        <f t="shared" si="6"/>
        <v>1268.4</v>
      </c>
      <c r="U24" s="436">
        <f t="shared" si="4"/>
        <v>40588.8</v>
      </c>
      <c r="V24" s="348"/>
      <c r="W24" s="348"/>
      <c r="X24" s="348"/>
      <c r="Y24" s="348"/>
      <c r="Z24" s="348"/>
      <c r="AA24" s="347">
        <f t="shared" si="7"/>
        <v>1268.4</v>
      </c>
      <c r="AB24" s="347">
        <f t="shared" si="8"/>
        <v>40588.8</v>
      </c>
    </row>
    <row r="25" ht="29.1" customHeight="1" outlineLevel="4" spans="1:28">
      <c r="A25" s="345"/>
      <c r="B25" s="346"/>
      <c r="C25" s="348"/>
      <c r="D25" s="348"/>
      <c r="E25" s="348"/>
      <c r="F25" s="345" t="s">
        <v>1613</v>
      </c>
      <c r="G25" s="345"/>
      <c r="H25" s="345">
        <f t="shared" si="0"/>
        <v>132000</v>
      </c>
      <c r="I25" s="348"/>
      <c r="J25" s="393"/>
      <c r="K25" s="389" t="s">
        <v>1615</v>
      </c>
      <c r="L25" s="390" t="s">
        <v>3758</v>
      </c>
      <c r="M25" s="391" t="s">
        <v>69</v>
      </c>
      <c r="N25" s="391">
        <v>88</v>
      </c>
      <c r="O25" s="391">
        <v>1500</v>
      </c>
      <c r="P25" s="392">
        <f t="shared" si="1"/>
        <v>450</v>
      </c>
      <c r="Q25" s="392">
        <f t="shared" si="2"/>
        <v>39600</v>
      </c>
      <c r="R25" s="392">
        <f t="shared" si="3"/>
        <v>1050</v>
      </c>
      <c r="S25" s="434">
        <f t="shared" si="5"/>
        <v>0.3</v>
      </c>
      <c r="T25" s="435">
        <f t="shared" si="6"/>
        <v>450</v>
      </c>
      <c r="U25" s="436">
        <f t="shared" si="4"/>
        <v>39600</v>
      </c>
      <c r="V25" s="348"/>
      <c r="W25" s="348"/>
      <c r="X25" s="348"/>
      <c r="Y25" s="348"/>
      <c r="Z25" s="348"/>
      <c r="AA25" s="347">
        <f t="shared" si="7"/>
        <v>450</v>
      </c>
      <c r="AB25" s="347">
        <f t="shared" si="8"/>
        <v>39600</v>
      </c>
    </row>
    <row r="26" ht="24.95" customHeight="1" outlineLevel="2" spans="1:28">
      <c r="A26" s="349">
        <v>2</v>
      </c>
      <c r="B26" s="348" t="s">
        <v>3759</v>
      </c>
      <c r="C26" s="348"/>
      <c r="D26" s="348"/>
      <c r="E26" s="348"/>
      <c r="F26" s="350" t="s">
        <v>64</v>
      </c>
      <c r="G26" s="348"/>
      <c r="H26" s="348">
        <f>SUM(H27:H30)</f>
        <v>1605000</v>
      </c>
      <c r="I26" s="348"/>
      <c r="J26" s="345">
        <f>COUNTIFS(K:K,K26,E:E,E26)</f>
        <v>0</v>
      </c>
      <c r="K26" s="389"/>
      <c r="L26" s="4"/>
      <c r="M26" s="4"/>
      <c r="N26" s="4"/>
      <c r="O26" s="4"/>
      <c r="P26" s="392"/>
      <c r="Q26" s="348">
        <f>SUM(Q27:Q30)</f>
        <v>323000</v>
      </c>
      <c r="R26" s="392" t="str">
        <f>IFERROR(-P26+#REF!,"")</f>
        <v/>
      </c>
      <c r="S26" s="434" t="str">
        <f>IFERROR(+P26/#REF!,"")</f>
        <v/>
      </c>
      <c r="T26" s="435"/>
      <c r="U26" s="348">
        <f ca="1">SUM(U27:U30)</f>
        <v>0</v>
      </c>
      <c r="V26" s="348"/>
      <c r="W26" s="348"/>
      <c r="X26" s="348"/>
      <c r="Y26" s="348"/>
      <c r="Z26" s="348"/>
      <c r="AA26" s="348"/>
      <c r="AB26" s="447">
        <f>SUM(AB27:AB30)</f>
        <v>323000</v>
      </c>
    </row>
    <row r="27" ht="24.95" customHeight="1" outlineLevel="3" spans="1:28">
      <c r="A27" s="349"/>
      <c r="B27" s="348"/>
      <c r="C27" s="348"/>
      <c r="D27" s="348"/>
      <c r="E27" s="348"/>
      <c r="F27" s="350" t="s">
        <v>64</v>
      </c>
      <c r="G27" s="348"/>
      <c r="H27" s="345">
        <f>+O27*N27</f>
        <v>27500</v>
      </c>
      <c r="I27" s="348"/>
      <c r="J27" s="345">
        <f>COUNTIFS(K:K,K27,E:E,E27)</f>
        <v>0</v>
      </c>
      <c r="K27" s="389" t="s">
        <v>252</v>
      </c>
      <c r="L27" s="389" t="s">
        <v>252</v>
      </c>
      <c r="M27" s="395" t="s">
        <v>72</v>
      </c>
      <c r="N27" s="396">
        <v>50</v>
      </c>
      <c r="O27" s="388">
        <v>550</v>
      </c>
      <c r="P27" s="392">
        <f>SUMIF($Z$5:$AB$5,P$5,Z27:AB27)</f>
        <v>300</v>
      </c>
      <c r="Q27" s="392">
        <f>SUMIF($Z$5:$AB$5,Q$5,Z27:AC27)</f>
        <v>15000</v>
      </c>
      <c r="R27" s="392">
        <f>IFERROR(-P27+O28,"")</f>
        <v>4200</v>
      </c>
      <c r="S27" s="434">
        <f>IFERROR(+P27/O27,"")</f>
        <v>0.545454545454545</v>
      </c>
      <c r="T27" s="435">
        <f ca="1">SUMIFS('01工程产值对比表'!V:V,'01工程产值对比表'!C:C,F36,'01工程产值对比表'!D:D,K36)</f>
        <v>0</v>
      </c>
      <c r="U27" s="436">
        <f ca="1" t="shared" ref="U27:U36" si="9">T27*N28</f>
        <v>0</v>
      </c>
      <c r="V27" s="348"/>
      <c r="W27" s="348"/>
      <c r="X27" s="348"/>
      <c r="Y27" s="348"/>
      <c r="Z27" s="348"/>
      <c r="AA27" s="348">
        <v>300</v>
      </c>
      <c r="AB27" s="347">
        <f t="shared" si="8"/>
        <v>15000</v>
      </c>
    </row>
    <row r="28" ht="24.95" customHeight="1" outlineLevel="3" spans="1:28">
      <c r="A28" s="349"/>
      <c r="B28" s="348"/>
      <c r="C28" s="348"/>
      <c r="D28" s="348"/>
      <c r="E28" s="348"/>
      <c r="F28" s="350" t="s">
        <v>64</v>
      </c>
      <c r="G28" s="348"/>
      <c r="H28" s="345">
        <f>+O28*N28</f>
        <v>1260000</v>
      </c>
      <c r="I28" s="348"/>
      <c r="J28" s="345">
        <f>COUNTIFS(K:K,K28,E:E,E28)</f>
        <v>0</v>
      </c>
      <c r="K28" s="389" t="s">
        <v>486</v>
      </c>
      <c r="L28" s="389" t="s">
        <v>486</v>
      </c>
      <c r="M28" s="395" t="s">
        <v>72</v>
      </c>
      <c r="N28" s="396">
        <v>280</v>
      </c>
      <c r="O28" s="388">
        <v>4500</v>
      </c>
      <c r="P28" s="392">
        <f>SUMIF($Z$5:$AB$5,P$5,Z28:AB28)</f>
        <v>600</v>
      </c>
      <c r="Q28" s="392">
        <f>SUMIF($Z$5:$AB$5,Q$5,Z28:AC28)</f>
        <v>168000</v>
      </c>
      <c r="R28" s="392">
        <f>IFERROR(-P28+O29,"")</f>
        <v>-275</v>
      </c>
      <c r="S28" s="434">
        <f>IFERROR(+P28/O28,"")</f>
        <v>0.133333333333333</v>
      </c>
      <c r="T28" s="435">
        <f ca="1">SUMIFS('01工程产值对比表'!V:V,'01工程产值对比表'!C:C,F37,'01工程产值对比表'!D:D,K37)</f>
        <v>0</v>
      </c>
      <c r="U28" s="436">
        <f ca="1" t="shared" si="9"/>
        <v>0</v>
      </c>
      <c r="V28" s="348"/>
      <c r="W28" s="348"/>
      <c r="X28" s="348"/>
      <c r="Y28" s="348"/>
      <c r="Z28" s="348"/>
      <c r="AA28" s="348">
        <v>600</v>
      </c>
      <c r="AB28" s="347">
        <f t="shared" si="8"/>
        <v>168000</v>
      </c>
    </row>
    <row r="29" ht="24.95" customHeight="1" outlineLevel="3" spans="1:28">
      <c r="A29" s="349"/>
      <c r="B29" s="348"/>
      <c r="C29" s="348"/>
      <c r="D29" s="348"/>
      <c r="E29" s="348"/>
      <c r="F29" s="350" t="s">
        <v>64</v>
      </c>
      <c r="G29" s="348"/>
      <c r="H29" s="345">
        <f>+O29*N29</f>
        <v>292500</v>
      </c>
      <c r="I29" s="348"/>
      <c r="J29" s="345">
        <f>COUNTIFS(K:K,K29,E:E,E29)</f>
        <v>0</v>
      </c>
      <c r="K29" s="389" t="s">
        <v>308</v>
      </c>
      <c r="L29" s="389" t="s">
        <v>308</v>
      </c>
      <c r="M29" s="395" t="s">
        <v>82</v>
      </c>
      <c r="N29" s="396">
        <v>900</v>
      </c>
      <c r="O29" s="388">
        <v>325</v>
      </c>
      <c r="P29" s="392">
        <f>SUMIF($Z$5:$AB$5,P$5,Z29:AB29)</f>
        <v>150</v>
      </c>
      <c r="Q29" s="392">
        <f>SUMIF($Z$5:$AB$5,Q$5,Z29:AC29)</f>
        <v>135000</v>
      </c>
      <c r="R29" s="392">
        <f t="shared" ref="R29:R35" si="10">IFERROR(-P29+O30,"")</f>
        <v>-50</v>
      </c>
      <c r="S29" s="434">
        <f>IFERROR(+P29/O29,"")</f>
        <v>0.461538461538462</v>
      </c>
      <c r="T29" s="435">
        <f ca="1">SUMIFS('01工程产值对比表'!V:V,'01工程产值对比表'!C:C,F38,'01工程产值对比表'!D:D,K38)</f>
        <v>0</v>
      </c>
      <c r="U29" s="436">
        <f ca="1" t="shared" si="9"/>
        <v>0</v>
      </c>
      <c r="V29" s="348"/>
      <c r="W29" s="348"/>
      <c r="X29" s="348"/>
      <c r="Y29" s="348"/>
      <c r="Z29" s="348"/>
      <c r="AA29" s="348">
        <v>150</v>
      </c>
      <c r="AB29" s="347">
        <f t="shared" si="8"/>
        <v>135000</v>
      </c>
    </row>
    <row r="30" ht="24.95" customHeight="1" outlineLevel="3" spans="1:28">
      <c r="A30" s="349"/>
      <c r="B30" s="348"/>
      <c r="C30" s="348"/>
      <c r="D30" s="348"/>
      <c r="E30" s="348"/>
      <c r="F30" s="350" t="s">
        <v>2424</v>
      </c>
      <c r="G30" s="348"/>
      <c r="H30" s="345">
        <f>+O30*N30</f>
        <v>25000</v>
      </c>
      <c r="I30" s="348"/>
      <c r="J30" s="345"/>
      <c r="K30" s="389" t="s">
        <v>447</v>
      </c>
      <c r="L30" s="389" t="s">
        <v>3760</v>
      </c>
      <c r="M30" s="395" t="s">
        <v>3742</v>
      </c>
      <c r="N30" s="396">
        <v>250</v>
      </c>
      <c r="O30" s="388">
        <v>100</v>
      </c>
      <c r="P30" s="392">
        <f>SUMIF($Z$5:$AB$5,P$5,Z30:AB30)</f>
        <v>20</v>
      </c>
      <c r="Q30" s="392">
        <f>SUMIF($Z$5:$AB$5,Q$5,Z30:AC30)</f>
        <v>5000</v>
      </c>
      <c r="R30" s="392">
        <f t="shared" si="10"/>
        <v>-20</v>
      </c>
      <c r="S30" s="434">
        <f>IFERROR(+P30/O30,"")</f>
        <v>0.2</v>
      </c>
      <c r="T30" s="435">
        <f ca="1">SUMIFS('01工程产值对比表'!V:V,'01工程产值对比表'!C:C,F39,'01工程产值对比表'!D:D,K39)</f>
        <v>0</v>
      </c>
      <c r="U30" s="436">
        <f ca="1" t="shared" si="9"/>
        <v>0</v>
      </c>
      <c r="V30" s="348"/>
      <c r="W30" s="348"/>
      <c r="X30" s="348"/>
      <c r="Y30" s="348"/>
      <c r="Z30" s="348"/>
      <c r="AA30" s="348">
        <v>20</v>
      </c>
      <c r="AB30" s="347">
        <f t="shared" si="8"/>
        <v>5000</v>
      </c>
    </row>
    <row r="31" ht="24.95" customHeight="1" outlineLevel="3" spans="1:28">
      <c r="A31" s="349">
        <v>3</v>
      </c>
      <c r="B31" s="348" t="s">
        <v>3761</v>
      </c>
      <c r="C31" s="348"/>
      <c r="D31" s="348"/>
      <c r="E31" s="348"/>
      <c r="F31" s="350" t="s">
        <v>64</v>
      </c>
      <c r="G31" s="348"/>
      <c r="H31" s="348">
        <f>SUM(H32:H36)</f>
        <v>1691300</v>
      </c>
      <c r="I31" s="348"/>
      <c r="J31" s="345"/>
      <c r="K31" s="389"/>
      <c r="L31" s="389"/>
      <c r="M31" s="395"/>
      <c r="N31" s="396"/>
      <c r="O31" s="388"/>
      <c r="P31" s="392"/>
      <c r="Q31" s="348">
        <f>SUM(Q32:Q36)</f>
        <v>703250</v>
      </c>
      <c r="R31" s="392"/>
      <c r="S31" s="434"/>
      <c r="T31" s="435"/>
      <c r="U31" s="348">
        <f ca="1">SUM(U32:U36)</f>
        <v>2350532.43565618</v>
      </c>
      <c r="V31" s="348"/>
      <c r="W31" s="348"/>
      <c r="X31" s="348"/>
      <c r="Y31" s="348"/>
      <c r="Z31" s="348"/>
      <c r="AA31" s="348"/>
      <c r="AB31" s="448">
        <f>SUM(AB32:AB36)</f>
        <v>703250</v>
      </c>
    </row>
    <row r="32" ht="24.95" customHeight="1" outlineLevel="3" spans="1:28">
      <c r="A32" s="349"/>
      <c r="B32" s="346" t="s">
        <v>3762</v>
      </c>
      <c r="C32" s="348"/>
      <c r="D32" s="348"/>
      <c r="E32" s="348"/>
      <c r="F32" s="350" t="s">
        <v>64</v>
      </c>
      <c r="G32" s="348"/>
      <c r="H32" s="345">
        <f>+O32*N32</f>
        <v>231000</v>
      </c>
      <c r="I32" s="348"/>
      <c r="J32" s="345"/>
      <c r="K32" s="389" t="s">
        <v>296</v>
      </c>
      <c r="L32" s="397" t="s">
        <v>3763</v>
      </c>
      <c r="M32" s="397" t="s">
        <v>3764</v>
      </c>
      <c r="N32" s="398">
        <v>700</v>
      </c>
      <c r="O32" s="388">
        <v>330</v>
      </c>
      <c r="P32" s="392">
        <f>SUMIF($Z$5:$AB$5,P$5,Z32:AB32)</f>
        <v>155</v>
      </c>
      <c r="Q32" s="392">
        <f>SUMIF($Z$5:$AB$5,Q$5,Z32:AC32)</f>
        <v>108500</v>
      </c>
      <c r="R32" s="392">
        <f t="shared" si="10"/>
        <v>17595</v>
      </c>
      <c r="S32" s="434">
        <f>IFERROR(+P32/O32,"")</f>
        <v>0.46969696969697</v>
      </c>
      <c r="T32" s="435">
        <f ca="1">SUMIFS('01工程产值对比表'!V:V,'01工程产值对比表'!C:C,F32,'01工程产值对比表'!D:D,K32)</f>
        <v>39175.5405942697</v>
      </c>
      <c r="U32" s="436">
        <f ca="1" t="shared" si="9"/>
        <v>2350532.43565618</v>
      </c>
      <c r="V32" s="348"/>
      <c r="W32" s="348"/>
      <c r="X32" s="348"/>
      <c r="Y32" s="348"/>
      <c r="Z32" s="348"/>
      <c r="AA32" s="348">
        <v>155</v>
      </c>
      <c r="AB32" s="347">
        <f t="shared" si="8"/>
        <v>108500</v>
      </c>
    </row>
    <row r="33" ht="24.95" customHeight="1" outlineLevel="3" spans="1:28">
      <c r="A33" s="349"/>
      <c r="B33" s="348"/>
      <c r="C33" s="348"/>
      <c r="D33" s="348"/>
      <c r="E33" s="348"/>
      <c r="F33" s="350" t="s">
        <v>64</v>
      </c>
      <c r="G33" s="348"/>
      <c r="H33" s="345">
        <f>+O33*N33</f>
        <v>1065000</v>
      </c>
      <c r="I33" s="348"/>
      <c r="J33" s="345"/>
      <c r="K33" s="389" t="s">
        <v>165</v>
      </c>
      <c r="L33" s="399" t="s">
        <v>165</v>
      </c>
      <c r="M33" s="399" t="s">
        <v>3765</v>
      </c>
      <c r="N33" s="400">
        <v>60</v>
      </c>
      <c r="O33" s="388">
        <v>17750</v>
      </c>
      <c r="P33" s="392">
        <f>SUMIF($Z$5:$AB$5,P$5,Z33:AB33)</f>
        <v>8000</v>
      </c>
      <c r="Q33" s="392">
        <f>SUMIF($Z$5:$AB$5,Q$5,Z33:AC33)</f>
        <v>480000</v>
      </c>
      <c r="R33" s="392">
        <f t="shared" si="10"/>
        <v>74300</v>
      </c>
      <c r="S33" s="434">
        <f>IFERROR(+P33/O33,"")</f>
        <v>0.450704225352113</v>
      </c>
      <c r="T33" s="435">
        <f ca="1">SUMIFS('01工程产值对比表'!V:V,'01工程产值对比表'!C:C,F42,'01工程产值对比表'!D:D,K42)</f>
        <v>0</v>
      </c>
      <c r="U33" s="436">
        <f ca="1" t="shared" si="9"/>
        <v>0</v>
      </c>
      <c r="V33" s="348"/>
      <c r="W33" s="348"/>
      <c r="X33" s="348"/>
      <c r="Y33" s="348"/>
      <c r="Z33" s="348"/>
      <c r="AA33" s="348">
        <v>8000</v>
      </c>
      <c r="AB33" s="347">
        <f t="shared" si="8"/>
        <v>480000</v>
      </c>
    </row>
    <row r="34" ht="24.95" customHeight="1" outlineLevel="3" spans="1:28">
      <c r="A34" s="349"/>
      <c r="B34" s="348"/>
      <c r="C34" s="348"/>
      <c r="D34" s="348"/>
      <c r="E34" s="348"/>
      <c r="F34" s="350" t="s">
        <v>64</v>
      </c>
      <c r="G34" s="348"/>
      <c r="H34" s="345">
        <f>+O34*N34</f>
        <v>82300</v>
      </c>
      <c r="I34" s="348"/>
      <c r="J34" s="345"/>
      <c r="K34" s="389" t="s">
        <v>514</v>
      </c>
      <c r="L34" s="399" t="s">
        <v>3766</v>
      </c>
      <c r="M34" s="399" t="s">
        <v>3767</v>
      </c>
      <c r="N34" s="400">
        <v>1</v>
      </c>
      <c r="O34" s="388">
        <v>82300</v>
      </c>
      <c r="P34" s="392">
        <f>SUMIF($Z$5:$AB$5,P$5,Z34:AB34)</f>
        <v>15000</v>
      </c>
      <c r="Q34" s="392">
        <f>SUMIF($Z$5:$AB$5,Q$5,Z34:AC34)</f>
        <v>15000</v>
      </c>
      <c r="R34" s="392">
        <f t="shared" si="10"/>
        <v>-13800</v>
      </c>
      <c r="S34" s="434">
        <f>IFERROR(+P34/O34,"")</f>
        <v>0.182260024301337</v>
      </c>
      <c r="T34" s="435">
        <f ca="1">SUMIFS('01工程产值对比表'!V:V,'01工程产值对比表'!C:C,F43,'01工程产值对比表'!D:D,K43)</f>
        <v>0</v>
      </c>
      <c r="U34" s="436">
        <f ca="1" t="shared" si="9"/>
        <v>0</v>
      </c>
      <c r="V34" s="348"/>
      <c r="W34" s="348"/>
      <c r="X34" s="348"/>
      <c r="Y34" s="348"/>
      <c r="Z34" s="348"/>
      <c r="AA34" s="348">
        <v>15000</v>
      </c>
      <c r="AB34" s="347">
        <f t="shared" si="8"/>
        <v>15000</v>
      </c>
    </row>
    <row r="35" ht="24.95" customHeight="1" outlineLevel="3" spans="1:28">
      <c r="A35" s="349"/>
      <c r="B35" s="348"/>
      <c r="C35" s="348"/>
      <c r="D35" s="348"/>
      <c r="E35" s="348"/>
      <c r="F35" s="350" t="s">
        <v>64</v>
      </c>
      <c r="G35" s="348"/>
      <c r="H35" s="345">
        <f>+O35*N35</f>
        <v>288000</v>
      </c>
      <c r="I35" s="348"/>
      <c r="J35" s="345"/>
      <c r="K35" s="389" t="s">
        <v>821</v>
      </c>
      <c r="L35" s="397" t="s">
        <v>3768</v>
      </c>
      <c r="M35" s="397" t="s">
        <v>3769</v>
      </c>
      <c r="N35" s="398">
        <v>240</v>
      </c>
      <c r="O35" s="388">
        <v>1200</v>
      </c>
      <c r="P35" s="392">
        <f>SUMIF($Z$5:$AB$5,P$5,Z35:AB35)</f>
        <v>400</v>
      </c>
      <c r="Q35" s="392">
        <f>SUMIF($Z$5:$AB$5,Q$5,Z35:AC35)</f>
        <v>96000</v>
      </c>
      <c r="R35" s="392">
        <f t="shared" si="10"/>
        <v>-300</v>
      </c>
      <c r="S35" s="434">
        <f>IFERROR(+P35/O35,"")</f>
        <v>0.333333333333333</v>
      </c>
      <c r="T35" s="435">
        <f ca="1">SUMIFS('01工程产值对比表'!V:V,'01工程产值对比表'!C:C,F44,'01工程产值对比表'!D:D,K44)</f>
        <v>0</v>
      </c>
      <c r="U35" s="436">
        <f ca="1" t="shared" si="9"/>
        <v>0</v>
      </c>
      <c r="V35" s="348"/>
      <c r="W35" s="348"/>
      <c r="X35" s="348"/>
      <c r="Y35" s="348"/>
      <c r="Z35" s="348"/>
      <c r="AA35" s="348">
        <v>400</v>
      </c>
      <c r="AB35" s="347">
        <f t="shared" si="8"/>
        <v>96000</v>
      </c>
    </row>
    <row r="36" ht="24.95" customHeight="1" outlineLevel="1" spans="1:28">
      <c r="A36" s="349"/>
      <c r="B36" s="345"/>
      <c r="C36" s="345"/>
      <c r="D36" s="351"/>
      <c r="E36" s="345"/>
      <c r="F36" s="350" t="s">
        <v>2424</v>
      </c>
      <c r="G36" s="352"/>
      <c r="H36" s="345">
        <f>+O36*N36</f>
        <v>25000</v>
      </c>
      <c r="I36" s="401"/>
      <c r="J36" s="345">
        <f>COUNTIFS(K:K,K36,E:E,E36)</f>
        <v>0</v>
      </c>
      <c r="K36" s="389" t="s">
        <v>447</v>
      </c>
      <c r="L36" s="389" t="s">
        <v>3760</v>
      </c>
      <c r="M36" s="395" t="s">
        <v>3742</v>
      </c>
      <c r="N36" s="396">
        <v>250</v>
      </c>
      <c r="O36" s="388">
        <v>100</v>
      </c>
      <c r="P36" s="392">
        <f>SUMIF($Z$5:$AB$5,P$5,Z36:AB36)</f>
        <v>15</v>
      </c>
      <c r="Q36" s="392">
        <f>SUMIF($Z$5:$AB$5,Q$5,Z36:AC36)</f>
        <v>3750</v>
      </c>
      <c r="R36" s="392">
        <f>IFERROR(-P36+O36,"")</f>
        <v>85</v>
      </c>
      <c r="S36" s="434">
        <f>IFERROR(+P36/O36,"")</f>
        <v>0.15</v>
      </c>
      <c r="T36" s="435">
        <f ca="1">SUMIFS('01工程产值对比表'!V:V,'01工程产值对比表'!C:C,F45,'01工程产值对比表'!D:D,K45)</f>
        <v>0</v>
      </c>
      <c r="U36" s="436">
        <f ca="1" t="shared" si="9"/>
        <v>0</v>
      </c>
      <c r="V36" s="358"/>
      <c r="W36" s="358"/>
      <c r="X36" s="358"/>
      <c r="Y36" s="358"/>
      <c r="Z36" s="358"/>
      <c r="AA36" s="358">
        <v>15</v>
      </c>
      <c r="AB36" s="347">
        <f t="shared" si="8"/>
        <v>3750</v>
      </c>
    </row>
    <row r="37" s="321" customFormat="1" ht="24.95" customHeight="1" spans="1:28">
      <c r="A37" s="339"/>
      <c r="B37" s="340" t="s">
        <v>3770</v>
      </c>
      <c r="C37" s="353"/>
      <c r="D37" s="354"/>
      <c r="E37" s="353"/>
      <c r="F37" s="355"/>
      <c r="G37" s="356"/>
      <c r="H37" s="357">
        <f>+H38+H41+H43+H46+H48</f>
        <v>19044370</v>
      </c>
      <c r="I37" s="357"/>
      <c r="J37" s="353"/>
      <c r="K37" s="402"/>
      <c r="L37" s="403"/>
      <c r="M37" s="404"/>
      <c r="N37" s="405"/>
      <c r="O37" s="406"/>
      <c r="P37" s="383"/>
      <c r="Q37" s="357">
        <f>+Q38+Q41+Q43+Q46+Q48</f>
        <v>0</v>
      </c>
      <c r="R37" s="437"/>
      <c r="S37" s="429"/>
      <c r="T37" s="438"/>
      <c r="U37" s="357">
        <f ca="1">+U38+U41+U43+U46+U48</f>
        <v>0</v>
      </c>
      <c r="V37" s="439"/>
      <c r="W37" s="439"/>
      <c r="X37" s="357" t="e">
        <f>#REF!+#REF!+#REF!+#REF!+#REF!+#REF!++#REF!+#REF!+#REF!+#REF!+#REF!+#REF!+#REF!+#REF!+#REF!+#REF!+#REF!+#REF!+#REF!+#REF!+#REF!+#REF!</f>
        <v>#REF!</v>
      </c>
      <c r="Y37" s="439"/>
      <c r="Z37" s="439"/>
      <c r="AA37" s="439"/>
      <c r="AB37" s="357">
        <f>+AB38+AB41+AB43+AB46+AB48</f>
        <v>0</v>
      </c>
    </row>
    <row r="38" ht="24.95" customHeight="1" outlineLevel="1" spans="1:28">
      <c r="A38" s="349">
        <v>1</v>
      </c>
      <c r="B38" s="346" t="s">
        <v>2098</v>
      </c>
      <c r="C38" s="346"/>
      <c r="D38" s="348"/>
      <c r="E38" s="346"/>
      <c r="F38" s="350"/>
      <c r="G38" s="350"/>
      <c r="H38" s="348">
        <f>SUM(H39:H40)</f>
        <v>3765870</v>
      </c>
      <c r="I38" s="358"/>
      <c r="J38" s="346"/>
      <c r="K38" s="407"/>
      <c r="L38" s="408"/>
      <c r="M38" s="409"/>
      <c r="N38" s="410"/>
      <c r="O38" s="411"/>
      <c r="P38" s="392"/>
      <c r="Q38" s="348">
        <f>SUM(Q39:Q40)</f>
        <v>0</v>
      </c>
      <c r="R38" s="348"/>
      <c r="S38" s="434"/>
      <c r="T38" s="435">
        <f ca="1">SUMIFS('01工程产值对比表'!V:V,'01工程产值对比表'!C:C,F47,'01工程产值对比表'!D:D,K47)</f>
        <v>0</v>
      </c>
      <c r="U38" s="348">
        <f ca="1">SUM(U39:U40)</f>
        <v>0</v>
      </c>
      <c r="V38" s="358"/>
      <c r="W38" s="358"/>
      <c r="X38" s="358"/>
      <c r="Y38" s="358"/>
      <c r="Z38" s="358"/>
      <c r="AA38" s="358"/>
      <c r="AB38" s="447">
        <f>SUM(AB39:AB40)</f>
        <v>0</v>
      </c>
    </row>
    <row r="39" ht="24.95" customHeight="1" outlineLevel="1" spans="1:28">
      <c r="A39" s="349"/>
      <c r="B39" s="346" t="s">
        <v>3771</v>
      </c>
      <c r="C39" s="346"/>
      <c r="D39" s="348"/>
      <c r="E39" s="346"/>
      <c r="F39" s="350"/>
      <c r="G39" s="350"/>
      <c r="H39" s="345">
        <f>+O39*N39</f>
        <v>2378000</v>
      </c>
      <c r="I39" s="358"/>
      <c r="J39" s="346"/>
      <c r="K39" s="407" t="s">
        <v>2098</v>
      </c>
      <c r="L39" s="408" t="s">
        <v>35</v>
      </c>
      <c r="M39" s="409" t="s">
        <v>82</v>
      </c>
      <c r="N39" s="410">
        <v>410</v>
      </c>
      <c r="O39" s="411">
        <f>7500-1700</f>
        <v>5800</v>
      </c>
      <c r="P39" s="392">
        <f t="shared" ref="P39:P45" si="11">SUMIF($Z$5:$AB$5,P$5,Z39:AB39)</f>
        <v>0</v>
      </c>
      <c r="Q39" s="392">
        <f t="shared" ref="Q39:Q45" si="12">SUMIF($Z$5:$AB$5,Q$5,Z39:AC39)</f>
        <v>0</v>
      </c>
      <c r="R39" s="392">
        <f t="shared" ref="R39:R45" si="13">IFERROR(-P39+O39,"")</f>
        <v>5800</v>
      </c>
      <c r="S39" s="434">
        <f>IFERROR(+P39/O39,"")</f>
        <v>0</v>
      </c>
      <c r="T39" s="435">
        <f ca="1">SUMIFS('01工程产值对比表'!V:V,'01工程产值对比表'!C:C,#REF!,'01工程产值对比表'!D:D,#REF!)</f>
        <v>0</v>
      </c>
      <c r="U39" s="436">
        <f ca="1">T39*N40</f>
        <v>0</v>
      </c>
      <c r="V39" s="358"/>
      <c r="W39" s="358"/>
      <c r="X39" s="358"/>
      <c r="Y39" s="358"/>
      <c r="Z39" s="358"/>
      <c r="AA39" s="358"/>
      <c r="AB39" s="347">
        <f t="shared" si="8"/>
        <v>0</v>
      </c>
    </row>
    <row r="40" ht="24.95" customHeight="1" outlineLevel="1" spans="1:28">
      <c r="A40" s="349"/>
      <c r="B40" s="346"/>
      <c r="C40" s="346"/>
      <c r="D40" s="348"/>
      <c r="E40" s="346"/>
      <c r="F40" s="350"/>
      <c r="G40" s="350"/>
      <c r="H40" s="345">
        <f>+O40*N40</f>
        <v>1387870</v>
      </c>
      <c r="I40" s="358"/>
      <c r="J40" s="346"/>
      <c r="K40" s="407" t="s">
        <v>2098</v>
      </c>
      <c r="L40" s="408" t="s">
        <v>3772</v>
      </c>
      <c r="M40" s="409" t="s">
        <v>82</v>
      </c>
      <c r="N40" s="410">
        <v>370</v>
      </c>
      <c r="O40" s="411">
        <f>2051+1700</f>
        <v>3751</v>
      </c>
      <c r="P40" s="392">
        <f t="shared" si="11"/>
        <v>0</v>
      </c>
      <c r="Q40" s="392">
        <f t="shared" si="12"/>
        <v>0</v>
      </c>
      <c r="R40" s="392">
        <f t="shared" si="13"/>
        <v>3751</v>
      </c>
      <c r="S40" s="434">
        <f>IFERROR(+P40/O40,"")</f>
        <v>0</v>
      </c>
      <c r="T40" s="435">
        <f ca="1">SUMIFS('01工程产值对比表'!V:V,'01工程产值对比表'!C:C,F53,'01工程产值对比表'!D:D,K53)</f>
        <v>0</v>
      </c>
      <c r="U40" s="436">
        <f ca="1">T40*N41</f>
        <v>0</v>
      </c>
      <c r="V40" s="358"/>
      <c r="W40" s="358"/>
      <c r="X40" s="358"/>
      <c r="Y40" s="358"/>
      <c r="Z40" s="358"/>
      <c r="AA40" s="358"/>
      <c r="AB40" s="347">
        <f t="shared" si="8"/>
        <v>0</v>
      </c>
    </row>
    <row r="41" ht="24.95" customHeight="1" outlineLevel="1" spans="1:28">
      <c r="A41" s="349">
        <v>2</v>
      </c>
      <c r="B41" s="346" t="s">
        <v>3773</v>
      </c>
      <c r="C41" s="346"/>
      <c r="D41" s="348"/>
      <c r="E41" s="346"/>
      <c r="F41" s="350"/>
      <c r="G41" s="350"/>
      <c r="H41" s="348">
        <f>SUM(H42)</f>
        <v>2300000</v>
      </c>
      <c r="I41" s="358"/>
      <c r="J41" s="346"/>
      <c r="K41" s="407"/>
      <c r="L41" s="408"/>
      <c r="M41" s="409"/>
      <c r="N41" s="410"/>
      <c r="O41" s="411"/>
      <c r="P41" s="392"/>
      <c r="Q41" s="348">
        <f>SUM(Q42)</f>
        <v>0</v>
      </c>
      <c r="R41" s="348"/>
      <c r="S41" s="434"/>
      <c r="T41" s="435"/>
      <c r="U41" s="348">
        <f ca="1">SUM(U42)</f>
        <v>0</v>
      </c>
      <c r="V41" s="358"/>
      <c r="W41" s="358"/>
      <c r="X41" s="358"/>
      <c r="Y41" s="358"/>
      <c r="Z41" s="358"/>
      <c r="AA41" s="358"/>
      <c r="AB41" s="448">
        <f>SUM(AB42)</f>
        <v>0</v>
      </c>
    </row>
    <row r="42" ht="24.95" customHeight="1" outlineLevel="1" spans="1:28">
      <c r="A42" s="349"/>
      <c r="B42" s="346" t="s">
        <v>3762</v>
      </c>
      <c r="C42" s="346"/>
      <c r="D42" s="348"/>
      <c r="E42" s="346"/>
      <c r="F42" s="350"/>
      <c r="G42" s="350"/>
      <c r="H42" s="345">
        <f>+O42*N42</f>
        <v>2300000</v>
      </c>
      <c r="I42" s="358"/>
      <c r="J42" s="346"/>
      <c r="K42" s="407" t="s">
        <v>3773</v>
      </c>
      <c r="L42" s="407" t="s">
        <v>3774</v>
      </c>
      <c r="M42" s="409" t="s">
        <v>82</v>
      </c>
      <c r="N42" s="410">
        <v>200</v>
      </c>
      <c r="O42" s="411">
        <v>11500</v>
      </c>
      <c r="P42" s="392">
        <f t="shared" si="11"/>
        <v>0</v>
      </c>
      <c r="Q42" s="392">
        <f t="shared" si="12"/>
        <v>0</v>
      </c>
      <c r="R42" s="392">
        <f t="shared" si="13"/>
        <v>11500</v>
      </c>
      <c r="S42" s="434">
        <f>IFERROR(+P42/O42,"")</f>
        <v>0</v>
      </c>
      <c r="T42" s="435">
        <f ca="1">SUMIFS('01工程产值对比表'!V:V,'01工程产值对比表'!C:C,F55,'01工程产值对比表'!D:D,K55)</f>
        <v>0</v>
      </c>
      <c r="U42" s="436">
        <f ca="1">T42*N43</f>
        <v>0</v>
      </c>
      <c r="V42" s="358"/>
      <c r="W42" s="358"/>
      <c r="X42" s="358"/>
      <c r="Y42" s="358"/>
      <c r="Z42" s="358"/>
      <c r="AA42" s="358"/>
      <c r="AB42" s="347">
        <f t="shared" ref="AB42:AB70" si="14">+AA42*N42</f>
        <v>0</v>
      </c>
    </row>
    <row r="43" ht="24.95" customHeight="1" outlineLevel="1" spans="1:28">
      <c r="A43" s="349">
        <v>3</v>
      </c>
      <c r="B43" s="346" t="s">
        <v>2095</v>
      </c>
      <c r="C43" s="346"/>
      <c r="D43" s="348"/>
      <c r="E43" s="346"/>
      <c r="F43" s="350"/>
      <c r="G43" s="350"/>
      <c r="H43" s="348">
        <f>SUM(H44:H45)</f>
        <v>2599000</v>
      </c>
      <c r="I43" s="358"/>
      <c r="J43" s="346"/>
      <c r="K43" s="407"/>
      <c r="L43" s="408"/>
      <c r="M43" s="409"/>
      <c r="N43" s="410"/>
      <c r="O43" s="411"/>
      <c r="P43" s="392"/>
      <c r="Q43" s="348">
        <f>SUM(Q44:Q45)</f>
        <v>0</v>
      </c>
      <c r="R43" s="348"/>
      <c r="S43" s="434"/>
      <c r="T43" s="435"/>
      <c r="U43" s="348">
        <f ca="1">SUM(U44:U45)</f>
        <v>0</v>
      </c>
      <c r="V43" s="358"/>
      <c r="W43" s="358"/>
      <c r="X43" s="358"/>
      <c r="Y43" s="358"/>
      <c r="Z43" s="358"/>
      <c r="AA43" s="358"/>
      <c r="AB43" s="448">
        <f>SUM(AB44:AB45)</f>
        <v>0</v>
      </c>
    </row>
    <row r="44" ht="24.95" customHeight="1" outlineLevel="1" spans="1:28">
      <c r="A44" s="349"/>
      <c r="B44" s="346" t="s">
        <v>3762</v>
      </c>
      <c r="C44" s="346"/>
      <c r="D44" s="348"/>
      <c r="E44" s="346"/>
      <c r="F44" s="350"/>
      <c r="G44" s="350"/>
      <c r="H44" s="345">
        <f>+O44*N44</f>
        <v>1000000</v>
      </c>
      <c r="I44" s="358"/>
      <c r="J44" s="346"/>
      <c r="K44" s="407" t="s">
        <v>2095</v>
      </c>
      <c r="L44" s="408" t="s">
        <v>3775</v>
      </c>
      <c r="M44" s="409" t="s">
        <v>82</v>
      </c>
      <c r="N44" s="396">
        <v>4000</v>
      </c>
      <c r="O44" s="396">
        <v>250</v>
      </c>
      <c r="P44" s="392">
        <f t="shared" si="11"/>
        <v>0</v>
      </c>
      <c r="Q44" s="392">
        <f t="shared" si="12"/>
        <v>0</v>
      </c>
      <c r="R44" s="392">
        <f t="shared" si="13"/>
        <v>250</v>
      </c>
      <c r="S44" s="434">
        <f>IFERROR(+P44/O44,"")</f>
        <v>0</v>
      </c>
      <c r="T44" s="435">
        <f ca="1">SUMIFS('01工程产值对比表'!V:V,'01工程产值对比表'!C:C,F57,'01工程产值对比表'!D:D,K57)</f>
        <v>0</v>
      </c>
      <c r="U44" s="436">
        <f ca="1">T44*N45</f>
        <v>0</v>
      </c>
      <c r="V44" s="358"/>
      <c r="W44" s="358"/>
      <c r="X44" s="358"/>
      <c r="Y44" s="358"/>
      <c r="Z44" s="358"/>
      <c r="AA44" s="358"/>
      <c r="AB44" s="347">
        <f t="shared" si="14"/>
        <v>0</v>
      </c>
    </row>
    <row r="45" ht="24.95" customHeight="1" outlineLevel="1" spans="1:28">
      <c r="A45" s="349"/>
      <c r="B45" s="346"/>
      <c r="C45" s="346"/>
      <c r="D45" s="348"/>
      <c r="E45" s="346"/>
      <c r="F45" s="350"/>
      <c r="G45" s="350"/>
      <c r="H45" s="345">
        <f>+O45*N45</f>
        <v>1599000</v>
      </c>
      <c r="I45" s="358"/>
      <c r="J45" s="346"/>
      <c r="K45" s="407" t="s">
        <v>2095</v>
      </c>
      <c r="L45" s="408" t="s">
        <v>3776</v>
      </c>
      <c r="M45" s="409" t="s">
        <v>82</v>
      </c>
      <c r="N45" s="396">
        <v>3900</v>
      </c>
      <c r="O45" s="396">
        <f>660-250</f>
        <v>410</v>
      </c>
      <c r="P45" s="392">
        <f t="shared" si="11"/>
        <v>0</v>
      </c>
      <c r="Q45" s="392">
        <f t="shared" si="12"/>
        <v>0</v>
      </c>
      <c r="R45" s="392">
        <f t="shared" si="13"/>
        <v>410</v>
      </c>
      <c r="S45" s="434">
        <f>IFERROR(+P45/O45,"")</f>
        <v>0</v>
      </c>
      <c r="T45" s="435">
        <f ca="1">SUMIFS('01工程产值对比表'!V:V,'01工程产值对比表'!C:C,F58,'01工程产值对比表'!D:D,K58)</f>
        <v>0</v>
      </c>
      <c r="U45" s="436">
        <f ca="1">T45*N46</f>
        <v>0</v>
      </c>
      <c r="V45" s="358"/>
      <c r="W45" s="358"/>
      <c r="X45" s="358"/>
      <c r="Y45" s="358"/>
      <c r="Z45" s="358"/>
      <c r="AA45" s="358"/>
      <c r="AB45" s="347">
        <f t="shared" si="14"/>
        <v>0</v>
      </c>
    </row>
    <row r="46" ht="24.95" customHeight="1" outlineLevel="1" spans="1:28">
      <c r="A46" s="349">
        <v>4</v>
      </c>
      <c r="B46" s="346" t="s">
        <v>529</v>
      </c>
      <c r="C46" s="346"/>
      <c r="D46" s="348"/>
      <c r="E46" s="346"/>
      <c r="F46" s="350"/>
      <c r="G46" s="350"/>
      <c r="H46" s="348">
        <f>SUM(H47)</f>
        <v>264000</v>
      </c>
      <c r="I46" s="358"/>
      <c r="J46" s="346"/>
      <c r="K46" s="407"/>
      <c r="L46" s="408"/>
      <c r="M46" s="409"/>
      <c r="N46" s="396"/>
      <c r="O46" s="388"/>
      <c r="P46" s="392"/>
      <c r="Q46" s="348">
        <f>SUM(Q47)</f>
        <v>0</v>
      </c>
      <c r="R46" s="348"/>
      <c r="S46" s="434"/>
      <c r="T46" s="435"/>
      <c r="U46" s="348">
        <f ca="1">SUM(U47)</f>
        <v>0</v>
      </c>
      <c r="V46" s="358"/>
      <c r="W46" s="358"/>
      <c r="X46" s="358"/>
      <c r="Y46" s="358"/>
      <c r="Z46" s="358"/>
      <c r="AA46" s="358"/>
      <c r="AB46" s="447">
        <f>SUM(AB47)</f>
        <v>0</v>
      </c>
    </row>
    <row r="47" ht="24.95" customHeight="1" outlineLevel="1" spans="1:28">
      <c r="A47" s="349"/>
      <c r="B47" s="346" t="s">
        <v>3762</v>
      </c>
      <c r="C47" s="346"/>
      <c r="D47" s="348"/>
      <c r="E47" s="346"/>
      <c r="F47" s="350"/>
      <c r="G47" s="350"/>
      <c r="H47" s="345">
        <f>+O47*N47</f>
        <v>264000</v>
      </c>
      <c r="I47" s="358"/>
      <c r="J47" s="346"/>
      <c r="K47" s="407" t="s">
        <v>529</v>
      </c>
      <c r="L47" s="407" t="s">
        <v>529</v>
      </c>
      <c r="M47" s="409" t="s">
        <v>69</v>
      </c>
      <c r="N47" s="396">
        <v>2.2</v>
      </c>
      <c r="O47" s="388">
        <v>120000</v>
      </c>
      <c r="P47" s="392">
        <f>SUMIF($Z$5:$AB$5,P$5,Z47:AB47)</f>
        <v>0</v>
      </c>
      <c r="Q47" s="392">
        <f>SUMIF($Z$5:$AB$5,Q$5,Z47:AC47)</f>
        <v>0</v>
      </c>
      <c r="R47" s="392">
        <f>IFERROR(-P47+O47,"")</f>
        <v>120000</v>
      </c>
      <c r="S47" s="434">
        <f t="shared" ref="S47:S52" si="15">IFERROR(+P47/O47,"")</f>
        <v>0</v>
      </c>
      <c r="T47" s="435">
        <f ca="1">SUMIFS('01工程产值对比表'!V:V,'01工程产值对比表'!C:C,F60,'01工程产值对比表'!D:D,K60)</f>
        <v>0</v>
      </c>
      <c r="U47" s="436">
        <f ca="1">T47*N48</f>
        <v>0</v>
      </c>
      <c r="V47" s="358"/>
      <c r="W47" s="358"/>
      <c r="X47" s="358"/>
      <c r="Y47" s="358"/>
      <c r="Z47" s="358"/>
      <c r="AA47" s="358"/>
      <c r="AB47" s="347">
        <f t="shared" si="14"/>
        <v>0</v>
      </c>
    </row>
    <row r="48" ht="24.95" customHeight="1" outlineLevel="1" spans="1:28">
      <c r="A48" s="349">
        <v>5</v>
      </c>
      <c r="B48" s="346" t="s">
        <v>2085</v>
      </c>
      <c r="C48" s="346"/>
      <c r="D48" s="348"/>
      <c r="E48" s="346"/>
      <c r="F48" s="350"/>
      <c r="G48" s="350"/>
      <c r="H48" s="348">
        <f>SUM(H49:H52)</f>
        <v>10115500</v>
      </c>
      <c r="I48" s="358"/>
      <c r="J48" s="346"/>
      <c r="K48" s="407"/>
      <c r="L48" s="407"/>
      <c r="M48" s="409"/>
      <c r="N48" s="396"/>
      <c r="O48" s="388"/>
      <c r="P48" s="392"/>
      <c r="Q48" s="348">
        <f>SUM(Q49:Q52)</f>
        <v>0</v>
      </c>
      <c r="R48" s="392"/>
      <c r="S48" s="434" t="str">
        <f t="shared" si="15"/>
        <v/>
      </c>
      <c r="T48" s="435"/>
      <c r="U48" s="348">
        <f ca="1">SUM(U49:U52)</f>
        <v>0</v>
      </c>
      <c r="V48" s="358"/>
      <c r="W48" s="358"/>
      <c r="X48" s="358"/>
      <c r="Y48" s="358"/>
      <c r="Z48" s="358"/>
      <c r="AA48" s="358"/>
      <c r="AB48" s="447">
        <f>SUM(AB49:AB52)</f>
        <v>0</v>
      </c>
    </row>
    <row r="49" ht="24.95" customHeight="1" outlineLevel="1" spans="1:28">
      <c r="A49" s="349"/>
      <c r="B49" s="346" t="s">
        <v>3762</v>
      </c>
      <c r="C49" s="346"/>
      <c r="D49" s="348"/>
      <c r="E49" s="346"/>
      <c r="F49" s="350"/>
      <c r="G49" s="350"/>
      <c r="H49" s="345">
        <f>+O49*N49</f>
        <v>5120000</v>
      </c>
      <c r="I49" s="358"/>
      <c r="J49" s="346"/>
      <c r="K49" s="407" t="s">
        <v>2085</v>
      </c>
      <c r="L49" s="407" t="s">
        <v>37</v>
      </c>
      <c r="M49" s="409" t="s">
        <v>82</v>
      </c>
      <c r="N49" s="396">
        <v>160</v>
      </c>
      <c r="O49" s="388">
        <v>32000</v>
      </c>
      <c r="P49" s="392">
        <f>SUMIF($Z$5:$AB$5,P$5,Z49:AB49)</f>
        <v>0</v>
      </c>
      <c r="Q49" s="392">
        <f>SUMIF($Z$5:$AB$5,Q$5,Z49:AC49)</f>
        <v>0</v>
      </c>
      <c r="R49" s="392">
        <f>IFERROR(-P49+O49,"")</f>
        <v>32000</v>
      </c>
      <c r="S49" s="434">
        <f t="shared" si="15"/>
        <v>0</v>
      </c>
      <c r="T49" s="435">
        <f ca="1">SUMIFS('01工程产值对比表'!V:V,'01工程产值对比表'!C:C,F62,'01工程产值对比表'!D:D,K62)</f>
        <v>0</v>
      </c>
      <c r="U49" s="436">
        <f ca="1">T49*N54</f>
        <v>0</v>
      </c>
      <c r="V49" s="358"/>
      <c r="W49" s="358"/>
      <c r="X49" s="358"/>
      <c r="Y49" s="358"/>
      <c r="Z49" s="358"/>
      <c r="AA49" s="358"/>
      <c r="AB49" s="347">
        <f t="shared" si="14"/>
        <v>0</v>
      </c>
    </row>
    <row r="50" ht="24.95" customHeight="1" outlineLevel="1" spans="1:28">
      <c r="A50" s="349"/>
      <c r="B50" s="346"/>
      <c r="C50" s="346"/>
      <c r="D50" s="348"/>
      <c r="E50" s="346"/>
      <c r="F50" s="350"/>
      <c r="G50" s="350"/>
      <c r="H50" s="345">
        <f>+O50*N50</f>
        <v>3386500</v>
      </c>
      <c r="I50" s="358"/>
      <c r="J50" s="346"/>
      <c r="K50" s="407" t="s">
        <v>2085</v>
      </c>
      <c r="L50" s="407" t="s">
        <v>47</v>
      </c>
      <c r="M50" s="409" t="s">
        <v>82</v>
      </c>
      <c r="N50" s="396">
        <v>130</v>
      </c>
      <c r="O50" s="388">
        <f>25000+1050</f>
        <v>26050</v>
      </c>
      <c r="P50" s="392">
        <f>SUMIF($Z$5:$AB$5,P$5,Z50:AB50)</f>
        <v>0</v>
      </c>
      <c r="Q50" s="392">
        <f>SUMIF($Z$5:$AB$5,Q$5,Z50:AC50)</f>
        <v>0</v>
      </c>
      <c r="R50" s="392">
        <f>IFERROR(-P50+O50,"")</f>
        <v>26050</v>
      </c>
      <c r="S50" s="434">
        <f t="shared" si="15"/>
        <v>0</v>
      </c>
      <c r="T50" s="435">
        <f ca="1">SUMIFS('01工程产值对比表'!V:V,'01工程产值对比表'!C:C,F63,'01工程产值对比表'!D:D,K63)</f>
        <v>0</v>
      </c>
      <c r="U50" s="436">
        <f ca="1">T50*N55</f>
        <v>0</v>
      </c>
      <c r="V50" s="358"/>
      <c r="W50" s="358"/>
      <c r="X50" s="358"/>
      <c r="Y50" s="358"/>
      <c r="Z50" s="358"/>
      <c r="AA50" s="358"/>
      <c r="AB50" s="347">
        <f t="shared" si="14"/>
        <v>0</v>
      </c>
    </row>
    <row r="51" ht="24.95" customHeight="1" outlineLevel="1" spans="1:28">
      <c r="A51" s="349"/>
      <c r="B51" s="346"/>
      <c r="C51" s="346"/>
      <c r="D51" s="348"/>
      <c r="E51" s="346"/>
      <c r="F51" s="350"/>
      <c r="G51" s="350"/>
      <c r="H51" s="345">
        <f>+O51*N51</f>
        <v>297000</v>
      </c>
      <c r="I51" s="358"/>
      <c r="J51" s="346"/>
      <c r="K51" s="407"/>
      <c r="L51" s="407" t="s">
        <v>3777</v>
      </c>
      <c r="M51" s="409" t="s">
        <v>82</v>
      </c>
      <c r="N51" s="396">
        <v>90</v>
      </c>
      <c r="O51" s="388">
        <v>3300</v>
      </c>
      <c r="P51" s="392">
        <f>SUMIF($Z$5:$AB$5,P$5,Z51:AB51)</f>
        <v>0</v>
      </c>
      <c r="Q51" s="392">
        <f>SUMIF($Z$5:$AB$5,Q$5,Z51:AC51)</f>
        <v>0</v>
      </c>
      <c r="R51" s="392">
        <f>IFERROR(-P51+O51,"")</f>
        <v>3300</v>
      </c>
      <c r="S51" s="434">
        <f t="shared" si="15"/>
        <v>0</v>
      </c>
      <c r="T51" s="435">
        <f ca="1">SUMIFS('01工程产值对比表'!V:V,'01工程产值对比表'!C:C,F74,'01工程产值对比表'!D:D,K74)</f>
        <v>0</v>
      </c>
      <c r="U51" s="436">
        <f ca="1">T51*N56</f>
        <v>0</v>
      </c>
      <c r="V51" s="358"/>
      <c r="W51" s="358"/>
      <c r="X51" s="358"/>
      <c r="Y51" s="358"/>
      <c r="Z51" s="358"/>
      <c r="AA51" s="358"/>
      <c r="AB51" s="347">
        <f t="shared" si="14"/>
        <v>0</v>
      </c>
    </row>
    <row r="52" ht="24.95" customHeight="1" outlineLevel="1" spans="1:28">
      <c r="A52" s="349"/>
      <c r="B52" s="346"/>
      <c r="C52" s="346"/>
      <c r="D52" s="348"/>
      <c r="E52" s="346"/>
      <c r="F52" s="350"/>
      <c r="G52" s="350"/>
      <c r="H52" s="345">
        <f>+O52*N52</f>
        <v>1312000</v>
      </c>
      <c r="I52" s="358"/>
      <c r="J52" s="346"/>
      <c r="K52" s="407"/>
      <c r="L52" s="407" t="s">
        <v>3778</v>
      </c>
      <c r="M52" s="409" t="s">
        <v>82</v>
      </c>
      <c r="N52" s="396">
        <v>80</v>
      </c>
      <c r="O52" s="388">
        <v>16400</v>
      </c>
      <c r="P52" s="392">
        <f>SUMIF($Z$5:$AB$5,P$5,Z52:AB52)</f>
        <v>0</v>
      </c>
      <c r="Q52" s="392">
        <f>SUMIF($Z$5:$AB$5,Q$5,Z52:AC52)</f>
        <v>0</v>
      </c>
      <c r="R52" s="392">
        <f>IFERROR(-P52+O52,"")</f>
        <v>16400</v>
      </c>
      <c r="S52" s="434">
        <f t="shared" si="15"/>
        <v>0</v>
      </c>
      <c r="T52" s="435">
        <f ca="1">SUMIFS('01工程产值对比表'!V:V,'01工程产值对比表'!C:C,F75,'01工程产值对比表'!D:D,K75)</f>
        <v>0</v>
      </c>
      <c r="U52" s="436">
        <f ca="1">T52*N57</f>
        <v>0</v>
      </c>
      <c r="V52" s="358"/>
      <c r="W52" s="358"/>
      <c r="X52" s="358"/>
      <c r="Y52" s="358"/>
      <c r="Z52" s="358"/>
      <c r="AA52" s="358"/>
      <c r="AB52" s="347">
        <f t="shared" si="14"/>
        <v>0</v>
      </c>
    </row>
    <row r="53" ht="24.95" customHeight="1" outlineLevel="1" spans="1:28">
      <c r="A53" s="349"/>
      <c r="B53" s="346"/>
      <c r="C53" s="346"/>
      <c r="D53" s="348"/>
      <c r="E53" s="346"/>
      <c r="F53" s="350"/>
      <c r="G53" s="350"/>
      <c r="H53" s="345"/>
      <c r="I53" s="358"/>
      <c r="J53" s="346"/>
      <c r="K53" s="407"/>
      <c r="L53" s="408"/>
      <c r="M53" s="409"/>
      <c r="N53" s="396"/>
      <c r="O53" s="388"/>
      <c r="P53" s="392"/>
      <c r="Q53" s="392"/>
      <c r="R53" s="392"/>
      <c r="S53" s="434"/>
      <c r="T53" s="435"/>
      <c r="U53" s="436"/>
      <c r="V53" s="358"/>
      <c r="W53" s="358"/>
      <c r="X53" s="358"/>
      <c r="Y53" s="358"/>
      <c r="Z53" s="358"/>
      <c r="AA53" s="358"/>
      <c r="AB53" s="347">
        <f t="shared" si="14"/>
        <v>0</v>
      </c>
    </row>
    <row r="54" ht="24.95" customHeight="1" outlineLevel="1" spans="1:28">
      <c r="A54" s="349"/>
      <c r="B54" s="346"/>
      <c r="C54" s="346"/>
      <c r="D54" s="348"/>
      <c r="E54" s="346"/>
      <c r="F54" s="350"/>
      <c r="G54" s="350"/>
      <c r="H54" s="358"/>
      <c r="I54" s="358"/>
      <c r="J54" s="346"/>
      <c r="K54" s="407"/>
      <c r="L54" s="408"/>
      <c r="M54" s="409"/>
      <c r="N54" s="396"/>
      <c r="O54" s="388"/>
      <c r="P54" s="392"/>
      <c r="Q54" s="392"/>
      <c r="R54" s="392"/>
      <c r="S54" s="434"/>
      <c r="T54" s="435"/>
      <c r="U54" s="436"/>
      <c r="V54" s="358"/>
      <c r="W54" s="358"/>
      <c r="X54" s="358"/>
      <c r="Y54" s="358"/>
      <c r="Z54" s="358"/>
      <c r="AA54" s="358"/>
      <c r="AB54" s="347">
        <f t="shared" si="14"/>
        <v>0</v>
      </c>
    </row>
    <row r="55" s="321" customFormat="1" ht="29.1" customHeight="1" spans="1:28">
      <c r="A55" s="339"/>
      <c r="B55" s="340" t="s">
        <v>3779</v>
      </c>
      <c r="C55" s="340"/>
      <c r="D55" s="359"/>
      <c r="E55" s="359"/>
      <c r="F55" s="355"/>
      <c r="G55" s="359"/>
      <c r="H55" s="360">
        <f>+H56+H65</f>
        <v>1947860</v>
      </c>
      <c r="I55" s="359"/>
      <c r="J55" s="359"/>
      <c r="K55" s="402"/>
      <c r="L55" s="380"/>
      <c r="M55" s="340"/>
      <c r="N55" s="381"/>
      <c r="O55" s="382"/>
      <c r="P55" s="383"/>
      <c r="Q55" s="360">
        <f>+Q56+Q65</f>
        <v>0</v>
      </c>
      <c r="R55" s="359"/>
      <c r="S55" s="429" t="str">
        <f t="shared" ref="S55:S64" si="16">IFERROR(+P55/O55,"")</f>
        <v/>
      </c>
      <c r="T55" s="430"/>
      <c r="U55" s="360">
        <f>+U56+U65</f>
        <v>0</v>
      </c>
      <c r="V55" s="359"/>
      <c r="W55" s="359"/>
      <c r="X55" s="360">
        <f>+X56+X65</f>
        <v>0</v>
      </c>
      <c r="Y55" s="359"/>
      <c r="Z55" s="359"/>
      <c r="AA55" s="359"/>
      <c r="AB55" s="449">
        <f>+AB56+AB65</f>
        <v>0</v>
      </c>
    </row>
    <row r="56" s="322" customFormat="1" ht="38.1" customHeight="1" outlineLevel="1" spans="1:28">
      <c r="A56" s="361">
        <v>1</v>
      </c>
      <c r="B56" s="343" t="s">
        <v>3780</v>
      </c>
      <c r="C56" s="343"/>
      <c r="D56" s="362"/>
      <c r="E56" s="362"/>
      <c r="F56" s="362"/>
      <c r="G56" s="362" t="s">
        <v>3781</v>
      </c>
      <c r="H56" s="362">
        <f>SUM(H57:H64)</f>
        <v>1393360</v>
      </c>
      <c r="I56" s="412"/>
      <c r="J56" s="412"/>
      <c r="K56" s="413"/>
      <c r="L56" s="384"/>
      <c r="M56" s="343"/>
      <c r="N56" s="385"/>
      <c r="O56" s="386"/>
      <c r="P56" s="387"/>
      <c r="Q56" s="362">
        <f>SUM(Q57:Q64)</f>
        <v>0</v>
      </c>
      <c r="R56" s="387"/>
      <c r="S56" s="431" t="str">
        <f t="shared" si="16"/>
        <v/>
      </c>
      <c r="T56" s="432"/>
      <c r="U56" s="362">
        <f>SUM(U57:U64)</f>
        <v>0</v>
      </c>
      <c r="V56" s="362"/>
      <c r="W56" s="362"/>
      <c r="X56" s="362">
        <f>SUM(X57:X64)</f>
        <v>0</v>
      </c>
      <c r="Y56" s="362"/>
      <c r="Z56" s="362"/>
      <c r="AA56" s="362"/>
      <c r="AB56" s="450">
        <f>SUM(AB57:AB64)</f>
        <v>0</v>
      </c>
    </row>
    <row r="57" ht="29.1" customHeight="1" outlineLevel="2" spans="1:28">
      <c r="A57" s="349"/>
      <c r="B57" s="346" t="s">
        <v>3780</v>
      </c>
      <c r="C57" s="346"/>
      <c r="D57" s="348"/>
      <c r="E57" s="348"/>
      <c r="F57" s="348"/>
      <c r="G57" s="348"/>
      <c r="H57" s="345">
        <f t="shared" ref="H57:H70" si="17">+O57*N57</f>
        <v>291200</v>
      </c>
      <c r="I57" s="364"/>
      <c r="J57" s="364"/>
      <c r="K57" s="407" t="s">
        <v>406</v>
      </c>
      <c r="L57" s="389" t="s">
        <v>3782</v>
      </c>
      <c r="M57" s="346" t="s">
        <v>72</v>
      </c>
      <c r="N57" s="396">
        <v>16</v>
      </c>
      <c r="O57" s="388">
        <f>18200</f>
        <v>18200</v>
      </c>
      <c r="P57" s="392">
        <f t="shared" ref="P57:P70" si="18">SUMIF($Z$5:$AB$5,P$5,Z57:AB57)</f>
        <v>0</v>
      </c>
      <c r="Q57" s="440">
        <f t="shared" ref="Q57:Q70" si="19">SUMIF($Z$5:$AB$5,Q$5,Z57:AC57)</f>
        <v>0</v>
      </c>
      <c r="R57" s="392">
        <f>IFERROR(-P57+O57,"")</f>
        <v>18200</v>
      </c>
      <c r="S57" s="434">
        <f t="shared" si="16"/>
        <v>0</v>
      </c>
      <c r="T57" s="435"/>
      <c r="U57" s="436">
        <f t="shared" ref="U57:U70" si="20">T57*N57</f>
        <v>0</v>
      </c>
      <c r="V57" s="348"/>
      <c r="W57" s="348"/>
      <c r="X57" s="348"/>
      <c r="Y57" s="348"/>
      <c r="Z57" s="348"/>
      <c r="AA57" s="348"/>
      <c r="AB57" s="347">
        <f t="shared" si="14"/>
        <v>0</v>
      </c>
    </row>
    <row r="58" ht="29.1" customHeight="1" outlineLevel="2" spans="1:28">
      <c r="A58" s="349"/>
      <c r="B58" s="346"/>
      <c r="C58" s="363"/>
      <c r="D58" s="364"/>
      <c r="E58" s="364"/>
      <c r="F58" s="348"/>
      <c r="G58" s="364"/>
      <c r="H58" s="345">
        <f t="shared" si="17"/>
        <v>75000</v>
      </c>
      <c r="I58" s="364"/>
      <c r="J58" s="364"/>
      <c r="K58" s="407" t="s">
        <v>513</v>
      </c>
      <c r="L58" s="389" t="s">
        <v>3783</v>
      </c>
      <c r="M58" s="346" t="s">
        <v>72</v>
      </c>
      <c r="N58" s="396">
        <v>15</v>
      </c>
      <c r="O58" s="388">
        <v>5000</v>
      </c>
      <c r="P58" s="392">
        <f t="shared" si="18"/>
        <v>0</v>
      </c>
      <c r="Q58" s="440">
        <f t="shared" si="19"/>
        <v>0</v>
      </c>
      <c r="R58" s="392">
        <f>IFERROR(-P58+O58,"")</f>
        <v>5000</v>
      </c>
      <c r="S58" s="434">
        <f t="shared" si="16"/>
        <v>0</v>
      </c>
      <c r="T58" s="435"/>
      <c r="U58" s="436">
        <f t="shared" si="20"/>
        <v>0</v>
      </c>
      <c r="V58" s="348"/>
      <c r="W58" s="348"/>
      <c r="X58" s="348"/>
      <c r="Y58" s="348"/>
      <c r="Z58" s="348"/>
      <c r="AA58" s="348"/>
      <c r="AB58" s="347">
        <f t="shared" si="14"/>
        <v>0</v>
      </c>
    </row>
    <row r="59" ht="29.1" customHeight="1" outlineLevel="2" spans="1:28">
      <c r="A59" s="349"/>
      <c r="B59" s="346"/>
      <c r="C59" s="363"/>
      <c r="D59" s="364"/>
      <c r="E59" s="364"/>
      <c r="F59" s="348"/>
      <c r="G59" s="364"/>
      <c r="H59" s="345">
        <f t="shared" si="17"/>
        <v>200200</v>
      </c>
      <c r="I59" s="364"/>
      <c r="J59" s="364"/>
      <c r="K59" s="407" t="s">
        <v>390</v>
      </c>
      <c r="L59" s="389" t="s">
        <v>3784</v>
      </c>
      <c r="M59" s="346" t="s">
        <v>72</v>
      </c>
      <c r="N59" s="396">
        <v>11</v>
      </c>
      <c r="O59" s="388">
        <v>18200</v>
      </c>
      <c r="P59" s="392">
        <f t="shared" si="18"/>
        <v>0</v>
      </c>
      <c r="Q59" s="440">
        <f t="shared" si="19"/>
        <v>0</v>
      </c>
      <c r="R59" s="392">
        <f>IFERROR(-P59+O59,"")</f>
        <v>18200</v>
      </c>
      <c r="S59" s="434">
        <f t="shared" si="16"/>
        <v>0</v>
      </c>
      <c r="T59" s="435"/>
      <c r="U59" s="436">
        <f t="shared" si="20"/>
        <v>0</v>
      </c>
      <c r="V59" s="348"/>
      <c r="W59" s="348"/>
      <c r="X59" s="348"/>
      <c r="Y59" s="348"/>
      <c r="Z59" s="348"/>
      <c r="AA59" s="348"/>
      <c r="AB59" s="347">
        <f t="shared" si="14"/>
        <v>0</v>
      </c>
    </row>
    <row r="60" ht="29.1" customHeight="1" outlineLevel="2" spans="1:28">
      <c r="A60" s="349"/>
      <c r="B60" s="346"/>
      <c r="C60" s="363"/>
      <c r="D60" s="364"/>
      <c r="E60" s="364"/>
      <c r="F60" s="348"/>
      <c r="G60" s="364"/>
      <c r="H60" s="345">
        <f t="shared" si="17"/>
        <v>100000</v>
      </c>
      <c r="I60" s="364"/>
      <c r="J60" s="364"/>
      <c r="K60" s="407"/>
      <c r="L60" s="414" t="s">
        <v>3785</v>
      </c>
      <c r="M60" s="348" t="s">
        <v>195</v>
      </c>
      <c r="N60" s="415">
        <v>100000</v>
      </c>
      <c r="O60" s="416">
        <v>1</v>
      </c>
      <c r="P60" s="392">
        <f t="shared" si="18"/>
        <v>0</v>
      </c>
      <c r="Q60" s="440">
        <f t="shared" si="19"/>
        <v>0</v>
      </c>
      <c r="R60" s="392">
        <f>IFERROR(-P60+O60,"")</f>
        <v>1</v>
      </c>
      <c r="S60" s="434">
        <f t="shared" si="16"/>
        <v>0</v>
      </c>
      <c r="T60" s="435"/>
      <c r="U60" s="436">
        <f t="shared" si="20"/>
        <v>0</v>
      </c>
      <c r="V60" s="348"/>
      <c r="W60" s="348"/>
      <c r="X60" s="348"/>
      <c r="Y60" s="348"/>
      <c r="Z60" s="348"/>
      <c r="AA60" s="348"/>
      <c r="AB60" s="347">
        <f t="shared" si="14"/>
        <v>0</v>
      </c>
    </row>
    <row r="61" ht="29.1" customHeight="1" outlineLevel="2" spans="1:28">
      <c r="A61" s="349"/>
      <c r="B61" s="346"/>
      <c r="C61" s="363"/>
      <c r="D61" s="364"/>
      <c r="E61" s="364"/>
      <c r="F61" s="348"/>
      <c r="G61" s="364"/>
      <c r="H61" s="345">
        <f t="shared" si="17"/>
        <v>154700</v>
      </c>
      <c r="I61" s="364"/>
      <c r="J61" s="364"/>
      <c r="K61" s="407" t="s">
        <v>2284</v>
      </c>
      <c r="L61" s="414" t="s">
        <v>3786</v>
      </c>
      <c r="M61" s="346" t="s">
        <v>72</v>
      </c>
      <c r="N61" s="415">
        <v>8.5</v>
      </c>
      <c r="O61" s="416">
        <v>18200</v>
      </c>
      <c r="P61" s="392">
        <f t="shared" si="18"/>
        <v>0</v>
      </c>
      <c r="Q61" s="440">
        <f t="shared" si="19"/>
        <v>0</v>
      </c>
      <c r="R61" s="392">
        <f t="shared" ref="R61:R70" si="21">IFERROR(-P61+O61,"")</f>
        <v>18200</v>
      </c>
      <c r="S61" s="434">
        <f t="shared" si="16"/>
        <v>0</v>
      </c>
      <c r="T61" s="435"/>
      <c r="U61" s="436">
        <f t="shared" si="20"/>
        <v>0</v>
      </c>
      <c r="V61" s="348"/>
      <c r="W61" s="348"/>
      <c r="X61" s="348"/>
      <c r="Y61" s="348"/>
      <c r="Z61" s="348"/>
      <c r="AA61" s="348"/>
      <c r="AB61" s="347">
        <f t="shared" si="14"/>
        <v>0</v>
      </c>
    </row>
    <row r="62" ht="29.1" customHeight="1" outlineLevel="2" spans="1:28">
      <c r="A62" s="349"/>
      <c r="B62" s="346"/>
      <c r="C62" s="363"/>
      <c r="D62" s="364"/>
      <c r="E62" s="364"/>
      <c r="F62" s="348"/>
      <c r="G62" s="364"/>
      <c r="H62" s="345">
        <f t="shared" si="17"/>
        <v>123760</v>
      </c>
      <c r="I62" s="364"/>
      <c r="J62" s="364"/>
      <c r="K62" s="407" t="s">
        <v>2284</v>
      </c>
      <c r="L62" s="414" t="s">
        <v>3787</v>
      </c>
      <c r="M62" s="346" t="s">
        <v>72</v>
      </c>
      <c r="N62" s="415">
        <v>6.8</v>
      </c>
      <c r="O62" s="416">
        <v>18200</v>
      </c>
      <c r="P62" s="392">
        <f t="shared" si="18"/>
        <v>0</v>
      </c>
      <c r="Q62" s="440">
        <f t="shared" si="19"/>
        <v>0</v>
      </c>
      <c r="R62" s="392">
        <f t="shared" si="21"/>
        <v>18200</v>
      </c>
      <c r="S62" s="434">
        <f t="shared" si="16"/>
        <v>0</v>
      </c>
      <c r="T62" s="435"/>
      <c r="U62" s="436">
        <f t="shared" si="20"/>
        <v>0</v>
      </c>
      <c r="V62" s="348"/>
      <c r="W62" s="348"/>
      <c r="X62" s="348"/>
      <c r="Y62" s="348"/>
      <c r="Z62" s="348"/>
      <c r="AA62" s="348"/>
      <c r="AB62" s="347">
        <f t="shared" si="14"/>
        <v>0</v>
      </c>
    </row>
    <row r="63" ht="29.1" customHeight="1" outlineLevel="1" spans="1:28">
      <c r="A63" s="365"/>
      <c r="B63" s="366"/>
      <c r="C63" s="367"/>
      <c r="D63" s="367"/>
      <c r="E63" s="367"/>
      <c r="F63" s="367"/>
      <c r="G63" s="367"/>
      <c r="H63" s="345">
        <f t="shared" si="17"/>
        <v>75000</v>
      </c>
      <c r="I63" s="348"/>
      <c r="J63" s="348"/>
      <c r="K63" s="407" t="s">
        <v>2284</v>
      </c>
      <c r="L63" s="414" t="s">
        <v>3788</v>
      </c>
      <c r="M63" s="346" t="s">
        <v>72</v>
      </c>
      <c r="N63" s="415">
        <v>15</v>
      </c>
      <c r="O63" s="416">
        <v>5000</v>
      </c>
      <c r="P63" s="392">
        <f t="shared" si="18"/>
        <v>0</v>
      </c>
      <c r="Q63" s="440">
        <f t="shared" si="19"/>
        <v>0</v>
      </c>
      <c r="R63" s="392">
        <f t="shared" si="21"/>
        <v>5000</v>
      </c>
      <c r="S63" s="434">
        <f t="shared" si="16"/>
        <v>0</v>
      </c>
      <c r="T63" s="435"/>
      <c r="U63" s="436">
        <f t="shared" si="20"/>
        <v>0</v>
      </c>
      <c r="V63" s="393"/>
      <c r="W63" s="393"/>
      <c r="X63" s="393"/>
      <c r="Y63" s="348"/>
      <c r="Z63" s="348"/>
      <c r="AA63" s="348"/>
      <c r="AB63" s="347">
        <f t="shared" si="14"/>
        <v>0</v>
      </c>
    </row>
    <row r="64" ht="29.1" customHeight="1" outlineLevel="1" spans="1:28">
      <c r="A64" s="365"/>
      <c r="B64" s="366"/>
      <c r="C64" s="367"/>
      <c r="D64" s="367"/>
      <c r="E64" s="367"/>
      <c r="F64" s="367"/>
      <c r="G64" s="367"/>
      <c r="H64" s="345">
        <f t="shared" si="17"/>
        <v>373500</v>
      </c>
      <c r="I64" s="348"/>
      <c r="J64" s="348"/>
      <c r="K64" s="407" t="s">
        <v>3789</v>
      </c>
      <c r="L64" s="414" t="s">
        <v>1209</v>
      </c>
      <c r="M64" s="348" t="s">
        <v>69</v>
      </c>
      <c r="N64" s="415">
        <v>4.5</v>
      </c>
      <c r="O64" s="416">
        <v>83000</v>
      </c>
      <c r="P64" s="392">
        <f t="shared" si="18"/>
        <v>0</v>
      </c>
      <c r="Q64" s="440">
        <f t="shared" si="19"/>
        <v>0</v>
      </c>
      <c r="R64" s="392">
        <f t="shared" si="21"/>
        <v>83000</v>
      </c>
      <c r="S64" s="434">
        <f t="shared" si="16"/>
        <v>0</v>
      </c>
      <c r="T64" s="435"/>
      <c r="U64" s="436">
        <f t="shared" si="20"/>
        <v>0</v>
      </c>
      <c r="V64" s="441"/>
      <c r="W64" s="393"/>
      <c r="X64" s="393"/>
      <c r="Y64" s="348"/>
      <c r="Z64" s="348"/>
      <c r="AA64" s="348"/>
      <c r="AB64" s="347">
        <f t="shared" si="14"/>
        <v>0</v>
      </c>
    </row>
    <row r="65" ht="29.1" customHeight="1" outlineLevel="1" spans="1:28">
      <c r="A65" s="367">
        <v>2</v>
      </c>
      <c r="B65" s="367" t="s">
        <v>3790</v>
      </c>
      <c r="C65" s="367"/>
      <c r="D65" s="367"/>
      <c r="E65" s="367"/>
      <c r="F65" s="367"/>
      <c r="G65" s="367"/>
      <c r="H65" s="362">
        <f>SUM(H66:H70)</f>
        <v>554500</v>
      </c>
      <c r="I65" s="348"/>
      <c r="J65" s="348"/>
      <c r="K65" s="407"/>
      <c r="L65" s="414"/>
      <c r="M65" s="348"/>
      <c r="N65" s="415"/>
      <c r="O65" s="416"/>
      <c r="P65" s="392"/>
      <c r="Q65" s="362">
        <f>SUM(Q66:Q69)</f>
        <v>0</v>
      </c>
      <c r="R65" s="392"/>
      <c r="S65" s="434"/>
      <c r="T65" s="435"/>
      <c r="U65" s="362">
        <f>SUM(U66:U69)</f>
        <v>0</v>
      </c>
      <c r="V65" s="441"/>
      <c r="W65" s="393"/>
      <c r="X65" s="393"/>
      <c r="Y65" s="348"/>
      <c r="Z65" s="348"/>
      <c r="AA65" s="348"/>
      <c r="AB65" s="450">
        <f>SUM(AB66:AB69)</f>
        <v>0</v>
      </c>
    </row>
    <row r="66" ht="29.1" customHeight="1" outlineLevel="1" spans="1:28">
      <c r="A66" s="367"/>
      <c r="B66" s="367" t="s">
        <v>3762</v>
      </c>
      <c r="C66" s="367"/>
      <c r="D66" s="367"/>
      <c r="E66" s="367"/>
      <c r="F66" s="367"/>
      <c r="G66" s="367"/>
      <c r="H66" s="345">
        <f t="shared" si="17"/>
        <v>124500</v>
      </c>
      <c r="I66" s="348"/>
      <c r="J66" s="348"/>
      <c r="K66" s="407" t="s">
        <v>3791</v>
      </c>
      <c r="L66" s="414" t="s">
        <v>3792</v>
      </c>
      <c r="M66" s="348" t="s">
        <v>69</v>
      </c>
      <c r="N66" s="415">
        <v>1.5</v>
      </c>
      <c r="O66" s="416">
        <v>83000</v>
      </c>
      <c r="P66" s="392">
        <f t="shared" si="18"/>
        <v>0</v>
      </c>
      <c r="Q66" s="440">
        <f t="shared" si="19"/>
        <v>0</v>
      </c>
      <c r="R66" s="392">
        <f t="shared" si="21"/>
        <v>83000</v>
      </c>
      <c r="S66" s="434">
        <f>IFERROR(+P66/O66,"")</f>
        <v>0</v>
      </c>
      <c r="T66" s="435"/>
      <c r="U66" s="436">
        <f t="shared" si="20"/>
        <v>0</v>
      </c>
      <c r="V66" s="441"/>
      <c r="W66" s="393"/>
      <c r="X66" s="393"/>
      <c r="Y66" s="348"/>
      <c r="Z66" s="348"/>
      <c r="AA66" s="348"/>
      <c r="AB66" s="347">
        <f t="shared" si="14"/>
        <v>0</v>
      </c>
    </row>
    <row r="67" ht="29.1" customHeight="1" outlineLevel="1" spans="1:28">
      <c r="A67" s="367"/>
      <c r="B67" s="367"/>
      <c r="C67" s="367"/>
      <c r="D67" s="367"/>
      <c r="E67" s="367"/>
      <c r="F67" s="367"/>
      <c r="G67" s="367"/>
      <c r="H67" s="345">
        <f t="shared" si="17"/>
        <v>240000</v>
      </c>
      <c r="I67" s="348"/>
      <c r="J67" s="348"/>
      <c r="K67" s="407" t="s">
        <v>3793</v>
      </c>
      <c r="L67" s="414" t="s">
        <v>632</v>
      </c>
      <c r="M67" s="348" t="s">
        <v>72</v>
      </c>
      <c r="N67" s="415">
        <v>6</v>
      </c>
      <c r="O67" s="416">
        <v>40000</v>
      </c>
      <c r="P67" s="392">
        <f t="shared" si="18"/>
        <v>0</v>
      </c>
      <c r="Q67" s="440">
        <f t="shared" si="19"/>
        <v>0</v>
      </c>
      <c r="R67" s="392">
        <f t="shared" si="21"/>
        <v>40000</v>
      </c>
      <c r="S67" s="434">
        <f>IFERROR(+P67/O67,"")</f>
        <v>0</v>
      </c>
      <c r="T67" s="435"/>
      <c r="U67" s="436">
        <f t="shared" si="20"/>
        <v>0</v>
      </c>
      <c r="V67" s="441"/>
      <c r="W67" s="393"/>
      <c r="X67" s="393"/>
      <c r="Y67" s="348"/>
      <c r="Z67" s="348"/>
      <c r="AA67" s="348"/>
      <c r="AB67" s="347">
        <f t="shared" si="14"/>
        <v>0</v>
      </c>
    </row>
    <row r="68" ht="29.1" customHeight="1" outlineLevel="1" spans="1:28">
      <c r="A68" s="367"/>
      <c r="B68" s="367"/>
      <c r="C68" s="367"/>
      <c r="D68" s="367"/>
      <c r="E68" s="367"/>
      <c r="F68" s="367"/>
      <c r="G68" s="367"/>
      <c r="H68" s="345">
        <f t="shared" si="17"/>
        <v>52500</v>
      </c>
      <c r="I68" s="348"/>
      <c r="J68" s="348"/>
      <c r="K68" s="407" t="s">
        <v>3794</v>
      </c>
      <c r="L68" s="414" t="s">
        <v>3795</v>
      </c>
      <c r="M68" s="348" t="s">
        <v>72</v>
      </c>
      <c r="N68" s="415">
        <v>4.2</v>
      </c>
      <c r="O68" s="416">
        <v>12500</v>
      </c>
      <c r="P68" s="392">
        <f t="shared" si="18"/>
        <v>0</v>
      </c>
      <c r="Q68" s="440">
        <f t="shared" si="19"/>
        <v>0</v>
      </c>
      <c r="R68" s="392">
        <f t="shared" si="21"/>
        <v>12500</v>
      </c>
      <c r="S68" s="434">
        <f>IFERROR(+P68/O68,"")</f>
        <v>0</v>
      </c>
      <c r="T68" s="435"/>
      <c r="U68" s="436">
        <f t="shared" si="20"/>
        <v>0</v>
      </c>
      <c r="V68" s="441"/>
      <c r="W68" s="393"/>
      <c r="X68" s="393"/>
      <c r="Y68" s="348"/>
      <c r="Z68" s="348"/>
      <c r="AA68" s="348"/>
      <c r="AB68" s="347">
        <f t="shared" si="14"/>
        <v>0</v>
      </c>
    </row>
    <row r="69" ht="29.1" customHeight="1" outlineLevel="1" spans="1:28">
      <c r="A69" s="367"/>
      <c r="B69" s="367"/>
      <c r="C69" s="367"/>
      <c r="D69" s="367"/>
      <c r="E69" s="367"/>
      <c r="F69" s="367"/>
      <c r="G69" s="367"/>
      <c r="H69" s="345">
        <f t="shared" si="17"/>
        <v>95000</v>
      </c>
      <c r="I69" s="348"/>
      <c r="J69" s="348"/>
      <c r="K69" s="407" t="s">
        <v>2097</v>
      </c>
      <c r="L69" s="414" t="s">
        <v>801</v>
      </c>
      <c r="M69" s="348" t="s">
        <v>72</v>
      </c>
      <c r="N69" s="415">
        <v>5</v>
      </c>
      <c r="O69" s="416">
        <v>19000</v>
      </c>
      <c r="P69" s="392">
        <f t="shared" si="18"/>
        <v>0</v>
      </c>
      <c r="Q69" s="440">
        <f t="shared" si="19"/>
        <v>0</v>
      </c>
      <c r="R69" s="392">
        <f t="shared" si="21"/>
        <v>19000</v>
      </c>
      <c r="S69" s="434">
        <f>IFERROR(+P69/O69,"")</f>
        <v>0</v>
      </c>
      <c r="T69" s="435"/>
      <c r="U69" s="436">
        <f t="shared" si="20"/>
        <v>0</v>
      </c>
      <c r="V69" s="441"/>
      <c r="W69" s="393"/>
      <c r="X69" s="393"/>
      <c r="Y69" s="348"/>
      <c r="Z69" s="348"/>
      <c r="AA69" s="348"/>
      <c r="AB69" s="347">
        <f t="shared" si="14"/>
        <v>0</v>
      </c>
    </row>
    <row r="70" ht="29.1" customHeight="1" outlineLevel="1" spans="1:28">
      <c r="A70" s="367"/>
      <c r="B70" s="367"/>
      <c r="C70" s="367"/>
      <c r="D70" s="367"/>
      <c r="E70" s="367"/>
      <c r="F70" s="367"/>
      <c r="G70" s="367"/>
      <c r="H70" s="345">
        <f t="shared" si="17"/>
        <v>42500</v>
      </c>
      <c r="I70" s="348"/>
      <c r="J70" s="348"/>
      <c r="K70" s="407" t="s">
        <v>3796</v>
      </c>
      <c r="L70" s="414" t="s">
        <v>344</v>
      </c>
      <c r="M70" s="348" t="s">
        <v>72</v>
      </c>
      <c r="N70" s="415">
        <v>3.4</v>
      </c>
      <c r="O70" s="416">
        <v>12500</v>
      </c>
      <c r="P70" s="392">
        <f t="shared" si="18"/>
        <v>0</v>
      </c>
      <c r="Q70" s="440">
        <f t="shared" si="19"/>
        <v>0</v>
      </c>
      <c r="R70" s="392">
        <f t="shared" si="21"/>
        <v>12500</v>
      </c>
      <c r="S70" s="434">
        <f>IFERROR(+P70/O70,"")</f>
        <v>0</v>
      </c>
      <c r="T70" s="435"/>
      <c r="U70" s="436">
        <f t="shared" si="20"/>
        <v>0</v>
      </c>
      <c r="V70" s="441"/>
      <c r="W70" s="393"/>
      <c r="X70" s="393"/>
      <c r="Y70" s="348"/>
      <c r="Z70" s="348"/>
      <c r="AA70" s="348"/>
      <c r="AB70" s="347">
        <f t="shared" si="14"/>
        <v>0</v>
      </c>
    </row>
    <row r="71" ht="29.1" customHeight="1" outlineLevel="1" spans="1:28">
      <c r="A71" s="367"/>
      <c r="B71" s="367"/>
      <c r="C71" s="367"/>
      <c r="D71" s="367"/>
      <c r="E71" s="367"/>
      <c r="F71" s="367"/>
      <c r="G71" s="367"/>
      <c r="H71" s="367"/>
      <c r="I71" s="348"/>
      <c r="J71" s="348"/>
      <c r="K71" s="407"/>
      <c r="L71" s="414"/>
      <c r="M71" s="348"/>
      <c r="N71" s="415"/>
      <c r="O71" s="416"/>
      <c r="P71" s="392"/>
      <c r="Q71" s="440"/>
      <c r="R71" s="392"/>
      <c r="S71" s="434"/>
      <c r="T71" s="435"/>
      <c r="U71" s="436"/>
      <c r="V71" s="441"/>
      <c r="W71" s="393"/>
      <c r="X71" s="393"/>
      <c r="Y71" s="348"/>
      <c r="Z71" s="348"/>
      <c r="AA71" s="348"/>
      <c r="AB71" s="348"/>
    </row>
    <row r="72" ht="29.1" customHeight="1" outlineLevel="1" spans="1:28">
      <c r="A72" s="367"/>
      <c r="B72" s="367"/>
      <c r="C72" s="367"/>
      <c r="D72" s="367"/>
      <c r="E72" s="367"/>
      <c r="F72" s="367"/>
      <c r="G72" s="367"/>
      <c r="H72" s="367"/>
      <c r="I72" s="348"/>
      <c r="J72" s="348"/>
      <c r="K72" s="407"/>
      <c r="L72" s="414"/>
      <c r="M72" s="348"/>
      <c r="N72" s="415"/>
      <c r="O72" s="416"/>
      <c r="P72" s="392"/>
      <c r="Q72" s="440"/>
      <c r="R72" s="392"/>
      <c r="S72" s="434"/>
      <c r="T72" s="435"/>
      <c r="U72" s="436"/>
      <c r="V72" s="441"/>
      <c r="W72" s="393"/>
      <c r="X72" s="393"/>
      <c r="Y72" s="348"/>
      <c r="Z72" s="348"/>
      <c r="AA72" s="348"/>
      <c r="AB72" s="348"/>
    </row>
    <row r="73" ht="29.1" customHeight="1" outlineLevel="1" spans="1:28">
      <c r="A73" s="367"/>
      <c r="B73" s="367"/>
      <c r="C73" s="367"/>
      <c r="D73" s="367"/>
      <c r="E73" s="367"/>
      <c r="F73" s="367"/>
      <c r="G73" s="367"/>
      <c r="H73" s="367"/>
      <c r="I73" s="348"/>
      <c r="J73" s="348"/>
      <c r="K73" s="407"/>
      <c r="L73" s="414"/>
      <c r="M73" s="348"/>
      <c r="N73" s="415"/>
      <c r="O73" s="416"/>
      <c r="P73" s="392"/>
      <c r="Q73" s="440"/>
      <c r="R73" s="392"/>
      <c r="S73" s="434"/>
      <c r="T73" s="435"/>
      <c r="U73" s="436"/>
      <c r="V73" s="441"/>
      <c r="W73" s="393"/>
      <c r="X73" s="393"/>
      <c r="Y73" s="348"/>
      <c r="Z73" s="348"/>
      <c r="AA73" s="348"/>
      <c r="AB73" s="348"/>
    </row>
    <row r="74" ht="29.1" customHeight="1" outlineLevel="1" spans="1:28">
      <c r="A74" s="367"/>
      <c r="B74" s="367"/>
      <c r="C74" s="367"/>
      <c r="D74" s="367"/>
      <c r="E74" s="367"/>
      <c r="F74" s="367"/>
      <c r="G74" s="367"/>
      <c r="H74" s="367"/>
      <c r="I74" s="348"/>
      <c r="J74" s="348"/>
      <c r="K74" s="407"/>
      <c r="L74" s="414"/>
      <c r="M74" s="348"/>
      <c r="N74" s="415"/>
      <c r="O74" s="416"/>
      <c r="P74" s="392"/>
      <c r="Q74" s="440"/>
      <c r="R74" s="392"/>
      <c r="S74" s="434"/>
      <c r="T74" s="435"/>
      <c r="U74" s="436"/>
      <c r="V74" s="441"/>
      <c r="W74" s="393"/>
      <c r="X74" s="393"/>
      <c r="Y74" s="348"/>
      <c r="Z74" s="348"/>
      <c r="AA74" s="348"/>
      <c r="AB74" s="348"/>
    </row>
    <row r="75" s="321" customFormat="1" ht="29.1" customHeight="1" spans="1:28">
      <c r="A75" s="451"/>
      <c r="B75" s="359" t="s">
        <v>3797</v>
      </c>
      <c r="C75" s="359"/>
      <c r="D75" s="359"/>
      <c r="E75" s="359"/>
      <c r="F75" s="359"/>
      <c r="G75" s="359"/>
      <c r="H75" s="452"/>
      <c r="I75" s="359"/>
      <c r="J75" s="359"/>
      <c r="K75" s="404"/>
      <c r="L75" s="456"/>
      <c r="M75" s="359"/>
      <c r="N75" s="457"/>
      <c r="O75" s="452"/>
      <c r="P75" s="383"/>
      <c r="Q75" s="360"/>
      <c r="R75" s="359"/>
      <c r="S75" s="429"/>
      <c r="T75" s="438"/>
      <c r="U75" s="462"/>
      <c r="V75" s="463"/>
      <c r="W75" s="464"/>
      <c r="X75" s="449"/>
      <c r="Y75" s="359"/>
      <c r="Z75" s="359"/>
      <c r="AA75" s="359"/>
      <c r="AB75" s="359"/>
    </row>
    <row r="76" ht="29.1" customHeight="1" spans="1:28">
      <c r="A76" s="365"/>
      <c r="B76" s="348"/>
      <c r="C76" s="348"/>
      <c r="D76" s="348"/>
      <c r="E76" s="348"/>
      <c r="F76" s="348"/>
      <c r="G76" s="348"/>
      <c r="H76" s="348"/>
      <c r="I76" s="348"/>
      <c r="J76" s="348"/>
      <c r="K76" s="407"/>
      <c r="L76" s="414"/>
      <c r="M76" s="348"/>
      <c r="N76" s="415"/>
      <c r="O76" s="416"/>
      <c r="P76" s="392"/>
      <c r="Q76" s="392"/>
      <c r="R76" s="392"/>
      <c r="S76" s="434"/>
      <c r="T76" s="435"/>
      <c r="U76" s="465"/>
      <c r="V76" s="441"/>
      <c r="W76" s="393"/>
      <c r="X76" s="393"/>
      <c r="Y76" s="348"/>
      <c r="Z76" s="348"/>
      <c r="AA76" s="348"/>
      <c r="AB76" s="348"/>
    </row>
    <row r="77" s="322" customFormat="1" ht="29.1" customHeight="1" spans="1:28">
      <c r="A77" s="453"/>
      <c r="B77" s="454" t="s">
        <v>3798</v>
      </c>
      <c r="C77" s="362"/>
      <c r="D77" s="362"/>
      <c r="E77" s="362"/>
      <c r="F77" s="362"/>
      <c r="G77" s="362"/>
      <c r="H77" s="362"/>
      <c r="I77" s="362"/>
      <c r="J77" s="362"/>
      <c r="K77" s="458"/>
      <c r="L77" s="459"/>
      <c r="M77" s="362"/>
      <c r="N77" s="460"/>
      <c r="O77" s="461"/>
      <c r="P77" s="387"/>
      <c r="Q77" s="387" t="e">
        <f>Q7+Q37+Q55+#REF!</f>
        <v>#REF!</v>
      </c>
      <c r="R77" s="387"/>
      <c r="S77" s="431" t="str">
        <f>IFERROR(+P77/O77,"")</f>
        <v/>
      </c>
      <c r="T77" s="431"/>
      <c r="U77" s="466">
        <f ca="1">SUM(U7:U76)</f>
        <v>7963619.50696854</v>
      </c>
      <c r="V77" s="467"/>
      <c r="W77" s="453"/>
      <c r="X77" s="453"/>
      <c r="Y77" s="362"/>
      <c r="Z77" s="362"/>
      <c r="AA77" s="362"/>
      <c r="AB77" s="362"/>
    </row>
    <row r="78" ht="29.1" customHeight="1" spans="1:1">
      <c r="A78" s="455" t="s">
        <v>3799</v>
      </c>
    </row>
    <row r="79" ht="29.1" customHeight="1" spans="1:13">
      <c r="A79" s="455" t="s">
        <v>3800</v>
      </c>
      <c r="L79" s="455"/>
      <c r="M79" s="455"/>
    </row>
    <row r="80" ht="18.95" customHeight="1" spans="1:13">
      <c r="A80" s="455" t="s">
        <v>3801</v>
      </c>
      <c r="L80" s="455"/>
      <c r="M80" s="455"/>
    </row>
    <row r="81" ht="18.95" customHeight="1" spans="1:13">
      <c r="A81" s="455" t="s">
        <v>3802</v>
      </c>
      <c r="L81" s="455"/>
      <c r="M81" s="455"/>
    </row>
    <row r="82" ht="18.95" customHeight="1" spans="1:13">
      <c r="A82" s="455" t="s">
        <v>3803</v>
      </c>
      <c r="L82" s="455"/>
      <c r="M82" s="455"/>
    </row>
    <row r="83" ht="24.95" customHeight="1" spans="1:13">
      <c r="A83" s="455" t="s">
        <v>3804</v>
      </c>
      <c r="L83" s="455"/>
      <c r="M83" s="455"/>
    </row>
    <row r="84" ht="24.95" customHeight="1" spans="1:13">
      <c r="A84" s="455" t="s">
        <v>3805</v>
      </c>
      <c r="L84" s="455"/>
      <c r="M84" s="455"/>
    </row>
    <row r="85" ht="24.95" customHeight="1" spans="1:13">
      <c r="A85" s="455" t="s">
        <v>3806</v>
      </c>
      <c r="L85" s="455"/>
      <c r="M85" s="455"/>
    </row>
    <row r="86" ht="24.95" customHeight="1" spans="1:13">
      <c r="A86" s="455" t="s">
        <v>3807</v>
      </c>
      <c r="L86" s="455"/>
      <c r="M86" s="455"/>
    </row>
    <row r="87" ht="24.95" customHeight="1" spans="1:1">
      <c r="A87" s="455" t="s">
        <v>3808</v>
      </c>
    </row>
    <row r="88" ht="24.95" customHeight="1" spans="1:1">
      <c r="A88" s="183" t="s">
        <v>3809</v>
      </c>
    </row>
    <row r="89" ht="24.95" customHeight="1"/>
    <row r="90" ht="24.95" customHeight="1" spans="11:11">
      <c r="K90" s="1"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4.25"/>
  <cols>
    <col min="1" max="1" width="9.875" style="1" customWidth="1"/>
    <col min="2" max="2" width="10.25" style="1" customWidth="1"/>
    <col min="3" max="3" width="14.125" style="1" customWidth="1"/>
    <col min="4" max="4" width="25.25" style="1" customWidth="1"/>
    <col min="5" max="5" width="9.375" style="1" customWidth="1"/>
    <col min="6" max="6" width="6.625" style="240" customWidth="1"/>
    <col min="7" max="7" width="10" style="1" customWidth="1"/>
    <col min="8" max="8" width="9.375" style="1" customWidth="1"/>
    <col min="9" max="9" width="12.875" style="1" customWidth="1"/>
    <col min="10" max="10" width="9.875" style="1" customWidth="1"/>
    <col min="11" max="11" width="11.75" style="1" customWidth="1"/>
    <col min="12" max="12" width="11.25" style="1" customWidth="1"/>
    <col min="13" max="14" width="12.125" style="1" customWidth="1"/>
    <col min="15" max="15" width="10.75" style="1" customWidth="1"/>
    <col min="16" max="16" width="10.625" style="1" customWidth="1"/>
    <col min="17" max="17" width="12.125" style="1" customWidth="1"/>
    <col min="18" max="18" width="11.375" style="1" customWidth="1"/>
    <col min="19" max="19" width="11.625" style="1" customWidth="1"/>
    <col min="20" max="20" width="8.875" style="1" customWidth="1"/>
    <col min="21" max="21" width="11.25" style="1" customWidth="1"/>
    <col min="22" max="22" width="9" style="1"/>
    <col min="23" max="23" width="10.75" style="1" customWidth="1"/>
    <col min="24" max="16384" width="9" style="1"/>
  </cols>
  <sheetData>
    <row r="1" ht="31.15" customHeight="1" spans="1:20">
      <c r="A1" s="115" t="s">
        <v>3810</v>
      </c>
      <c r="B1" s="278"/>
      <c r="C1" s="115"/>
      <c r="D1" s="115"/>
      <c r="E1" s="115"/>
      <c r="F1" s="244"/>
      <c r="G1" s="115"/>
      <c r="H1" s="115"/>
      <c r="I1" s="208" t="s">
        <v>3811</v>
      </c>
      <c r="J1" s="208" t="s">
        <v>3812</v>
      </c>
      <c r="K1" s="209" t="s">
        <v>3813</v>
      </c>
      <c r="L1" s="115"/>
      <c r="M1" s="115"/>
      <c r="N1" s="258"/>
      <c r="O1" s="258"/>
      <c r="P1" s="115"/>
      <c r="Q1" s="271"/>
      <c r="R1" s="271"/>
      <c r="S1" s="272" t="s">
        <v>3814</v>
      </c>
      <c r="T1" s="271"/>
    </row>
    <row r="2" s="189" customFormat="1" ht="15" spans="1:20">
      <c r="A2" s="190" t="str">
        <f t="shared" ref="A2:A19" si="0">$A$6&amp;TEXT(ROW()-6,"000")</f>
        <v>B01-004</v>
      </c>
      <c r="C2" s="191" t="e">
        <f>IF(F2="","单位","分项")</f>
        <v>#N/A</v>
      </c>
      <c r="F2" s="245" t="e">
        <f>VLOOKUP($D2,人工[],2,FALSE)</f>
        <v>#N/A</v>
      </c>
      <c r="G2" s="192" t="e">
        <f>VLOOKUP($D2,人工[],4,FALSE)</f>
        <v>#N/A</v>
      </c>
      <c r="H2" s="192" t="e">
        <f>VLOOKUP($D2,人工[],3,FALSE)</f>
        <v>#N/A</v>
      </c>
      <c r="I2" s="192" t="e">
        <f t="shared" ref="I2:I19" si="1">+G2*H2</f>
        <v>#N/A</v>
      </c>
      <c r="J2" s="192">
        <f ca="1">SUMIFS('01工程产值对比表'!V:V,'01工程产值对比表'!$C:$C,"人工",'01工程产值对比表'!$D:$D,$D2)</f>
        <v>0</v>
      </c>
      <c r="K2" s="192">
        <f>IFERROR(SUMIFS('02综合台帐（人材机）'!O:O,'02综合台帐（人材机）'!$F:$F,"人工",'02综合台帐（人材机）'!$K:$K,$D2)*I2/SUMIF($D:$D,$D2,I:I),0)</f>
        <v>0</v>
      </c>
      <c r="L2" s="210">
        <f ca="1">IFERROR(SUMIFS('02综合台帐（人材机）'!P:P,'02综合台帐（人材机）'!$F:$F,"人工",'02综合台帐（人材机）'!$K:$K,$D2)*J2/SUMIF($D:$D,$D2,J:J),0)</f>
        <v>0</v>
      </c>
      <c r="M2" s="210">
        <f ca="1" t="shared" ref="M2:M19" si="2">IFERROR(+N2/L2,0)</f>
        <v>0</v>
      </c>
      <c r="N2" s="211">
        <f ca="1">IFERROR(SUMIFS('02综合台帐（人材机）'!Q:Q,'02综合台帐（人材机）'!$F:$F,"人工",'02综合台帐（人材机）'!$K:$K,$D2)*J2/SUMIF($D:$D,$D2,J:J),0)</f>
        <v>0</v>
      </c>
      <c r="O2" s="189">
        <f ca="1">IFERROR(SUMIFS('02综合台帐（人材机）'!T:T,'02综合台帐（人材机）'!$F:$F,"人工",'02综合台帐（人材机）'!$K:$K,$D2)*J2/SUMIF($D:$D,$D2,J:J),0)</f>
        <v>0</v>
      </c>
      <c r="P2" s="210">
        <f ca="1">IFERROR(SUMIFS('02综合台帐（人材机）'!U:U,'02综合台帐（人材机）'!$F:$F,"人工",'02综合台帐（人材机）'!$K:$K,$D2)*J2/SUMIF($D:$D,$D2,J:J),0)</f>
        <v>0</v>
      </c>
      <c r="Q2" s="210" t="e">
        <f ca="1">-M2*J2+H2*J2</f>
        <v>#N/A</v>
      </c>
      <c r="R2" s="210">
        <f ca="1">IFERROR(-O2*M2+M2*J2,0)</f>
        <v>0</v>
      </c>
      <c r="S2" s="189">
        <f ca="1" t="shared" ref="S2:S19" si="3">IFERROR(K2-P2,0)</f>
        <v>0</v>
      </c>
      <c r="T2" s="210"/>
    </row>
    <row r="3" ht="21" customHeight="1" spans="1:22">
      <c r="A3" s="300"/>
      <c r="B3" s="301"/>
      <c r="C3" s="302"/>
      <c r="D3" s="302"/>
      <c r="E3" s="302"/>
      <c r="F3" s="302"/>
      <c r="G3" s="303" t="s">
        <v>3815</v>
      </c>
      <c r="H3" s="304"/>
      <c r="I3" s="308"/>
      <c r="J3" s="303" t="s">
        <v>3816</v>
      </c>
      <c r="K3" s="309"/>
      <c r="L3" s="310" t="s">
        <v>3817</v>
      </c>
      <c r="M3" s="310"/>
      <c r="N3" s="311"/>
      <c r="O3" s="312" t="s">
        <v>3818</v>
      </c>
      <c r="P3" s="310"/>
      <c r="Q3" s="303" t="s">
        <v>3819</v>
      </c>
      <c r="R3" s="303"/>
      <c r="S3" s="303"/>
      <c r="T3" s="281"/>
      <c r="U3" s="281"/>
      <c r="V3" s="297"/>
    </row>
    <row r="4" ht="28.15" customHeight="1" spans="1:22">
      <c r="A4" s="305" t="s">
        <v>1253</v>
      </c>
      <c r="B4" s="306" t="s">
        <v>1290</v>
      </c>
      <c r="C4" s="306" t="s">
        <v>3820</v>
      </c>
      <c r="D4" s="306" t="s">
        <v>1398</v>
      </c>
      <c r="E4" s="306" t="s">
        <v>1293</v>
      </c>
      <c r="F4" s="306" t="s">
        <v>60</v>
      </c>
      <c r="G4" s="307" t="s">
        <v>3821</v>
      </c>
      <c r="H4" s="307" t="s">
        <v>88</v>
      </c>
      <c r="I4" s="313" t="s">
        <v>3822</v>
      </c>
      <c r="J4" s="307" t="s">
        <v>3823</v>
      </c>
      <c r="K4" s="307" t="s">
        <v>3824</v>
      </c>
      <c r="L4" s="307" t="s">
        <v>2453</v>
      </c>
      <c r="M4" s="307" t="s">
        <v>94</v>
      </c>
      <c r="N4" s="314" t="s">
        <v>3825</v>
      </c>
      <c r="O4" s="314" t="s">
        <v>2455</v>
      </c>
      <c r="P4" s="307" t="s">
        <v>3826</v>
      </c>
      <c r="Q4" s="307" t="s">
        <v>3827</v>
      </c>
      <c r="R4" s="307" t="s">
        <v>3828</v>
      </c>
      <c r="S4" s="307" t="s">
        <v>3829</v>
      </c>
      <c r="T4" s="319" t="s">
        <v>1261</v>
      </c>
      <c r="U4" s="319" t="s">
        <v>3830</v>
      </c>
      <c r="V4" s="320" t="s">
        <v>3831</v>
      </c>
    </row>
    <row r="5" ht="24" customHeight="1" spans="1:22">
      <c r="A5" s="204" t="str">
        <f t="shared" si="0"/>
        <v>B01-001</v>
      </c>
      <c r="B5" s="203"/>
      <c r="C5" s="203"/>
      <c r="D5" s="203"/>
      <c r="E5" s="203"/>
      <c r="F5" s="204" t="e">
        <f>VLOOKUP($D5,人工[],2,FALSE)</f>
        <v>#N/A</v>
      </c>
      <c r="G5" s="204" t="e">
        <f>VLOOKUP($D5,人工[],4,FALSE)</f>
        <v>#N/A</v>
      </c>
      <c r="H5" s="204" t="e">
        <f>VLOOKUP($D5,人工[],3,FALSE)</f>
        <v>#N/A</v>
      </c>
      <c r="I5" s="222" t="e">
        <f t="shared" si="1"/>
        <v>#N/A</v>
      </c>
      <c r="J5" s="204">
        <f ca="1">SUMIFS('01工程产值对比表'!V:V,'01工程产值对比表'!$C:$C,"人工",'01工程产值对比表'!$D:$D,$D5)</f>
        <v>0</v>
      </c>
      <c r="K5" s="315" t="e">
        <f ca="1" t="shared" ref="K5:K19" si="4">+J5*H5</f>
        <v>#N/A</v>
      </c>
      <c r="L5" s="224">
        <f ca="1">IFERROR(SUMIFS('02综合台帐（人材机）'!P:P,'02综合台帐（人材机）'!$F:$F,"人工",'02综合台帐（人材机）'!$K:$K,$D5)*J5/SUMIF($D:$D,$D5,J:J),0)</f>
        <v>0</v>
      </c>
      <c r="M5" s="225">
        <f ca="1" t="shared" si="2"/>
        <v>0</v>
      </c>
      <c r="N5" s="225">
        <f ca="1">IFERROR(SUMIFS('02综合台帐（人材机）'!Q:Q,'02综合台帐（人材机）'!$F:$F,"人工",'02综合台帐（人材机）'!$K:$K,$D5)*J5/SUMIF($D:$D,$D5,J:J),0)</f>
        <v>0</v>
      </c>
      <c r="O5" s="225">
        <f ca="1">IFERROR(SUMIFS('02综合台帐（人材机）'!T:T,'02综合台帐（人材机）'!$F:$F,"人工",'02综合台帐（人材机）'!$K:$K,$D5)*J5/SUMIF($D:$D,$D5,J:J),0)</f>
        <v>0</v>
      </c>
      <c r="P5" s="315">
        <f ca="1">IFERROR(SUMIFS('02综合台帐（人材机）'!U:U,'02综合台帐（人材机）'!$F:$F,"人工",'02综合台帐（人材机）'!$K:$K,$D5)*J5/SUMIF($D:$D,$D5,J:J),0)</f>
        <v>0</v>
      </c>
      <c r="Q5" s="315">
        <f t="shared" ref="Q5:Q19" si="5">SUM(Q6:Q1922)</f>
        <v>0</v>
      </c>
      <c r="R5" s="225">
        <f t="shared" ref="R5:R19" si="6">SUM(R6:R1922)</f>
        <v>0</v>
      </c>
      <c r="S5" s="225">
        <f ca="1" t="shared" si="3"/>
        <v>0</v>
      </c>
      <c r="T5" s="236"/>
      <c r="U5" s="236"/>
      <c r="V5" s="236"/>
    </row>
    <row r="6" ht="18" customHeight="1" spans="1:22">
      <c r="A6" s="203" t="s">
        <v>1405</v>
      </c>
      <c r="B6" s="203"/>
      <c r="C6" s="203" t="s">
        <v>1305</v>
      </c>
      <c r="D6" s="203" t="s">
        <v>1406</v>
      </c>
      <c r="E6" s="203"/>
      <c r="F6" s="203"/>
      <c r="G6" s="203"/>
      <c r="H6" s="203"/>
      <c r="I6" s="316">
        <f>SUM(I7:I2000)</f>
        <v>6209287.9217</v>
      </c>
      <c r="J6" s="203"/>
      <c r="K6" s="316">
        <f>SUM(K7:K2000)</f>
        <v>3416487.472</v>
      </c>
      <c r="L6" s="227"/>
      <c r="M6" s="228"/>
      <c r="N6" s="316">
        <f ca="1">SUM(N7:N2000)</f>
        <v>921500</v>
      </c>
      <c r="O6" s="228"/>
      <c r="P6" s="316">
        <f ca="1">SUM(P7:P2000)</f>
        <v>2350532.43565618</v>
      </c>
      <c r="Q6" s="316">
        <f>SUM(Q7:Q2000)</f>
        <v>0</v>
      </c>
      <c r="R6" s="316">
        <f>SUM(R7:R2000)</f>
        <v>0</v>
      </c>
      <c r="S6" s="316">
        <f ca="1">SUM(S7:S2000)</f>
        <v>1065955.03634382</v>
      </c>
      <c r="T6" s="236"/>
      <c r="U6" s="236"/>
      <c r="V6" s="236"/>
    </row>
    <row r="7" spans="1:22">
      <c r="A7" s="206" t="str">
        <f t="shared" si="0"/>
        <v>B01001</v>
      </c>
      <c r="B7" s="206"/>
      <c r="C7" s="206"/>
      <c r="D7" s="206" t="s">
        <v>735</v>
      </c>
      <c r="E7" s="206"/>
      <c r="F7" s="256" t="str">
        <f>IFERROR(VLOOKUP($D7,人工[],2,FALSE),"")</f>
        <v>m2</v>
      </c>
      <c r="G7" s="206">
        <v>82569.74</v>
      </c>
      <c r="H7" s="206">
        <f>IFERROR(VLOOKUP($D7,人工[],3,FALSE),"")</f>
        <v>32.8</v>
      </c>
      <c r="I7" s="317">
        <f t="shared" si="1"/>
        <v>2708287.472</v>
      </c>
      <c r="J7" s="206">
        <v>82569.74</v>
      </c>
      <c r="K7" s="232">
        <f t="shared" si="4"/>
        <v>2708287.472</v>
      </c>
      <c r="L7" s="206">
        <f ca="1">IFERROR(SUMIFS('02综合台帐（人材机）'!P:P,'02综合台帐（人材机）'!$F:$F,"人工",'02综合台帐（人材机）'!$K:$K,$D7)*J7/SUMIF($D:$D,$D7,J:J),0)</f>
        <v>0</v>
      </c>
      <c r="M7" s="206">
        <f ca="1" t="shared" si="2"/>
        <v>0</v>
      </c>
      <c r="N7" s="318">
        <f ca="1">IFERROR(SUMIFS('02综合台帐（人材机）'!Q:Q,'02综合台帐（人材机）'!$F:$F,"人工",'02综合台帐（人材机）'!$K:$K,$D7)*J7/SUMIF($D:$D,$D7,J:J),0)</f>
        <v>0</v>
      </c>
      <c r="O7" s="318">
        <f ca="1">IFERROR(SUMIFS('02综合台帐（人材机）'!T:T,'02综合台帐（人材机）'!$F:$F,"人工",'02综合台帐（人材机）'!$K:$K,$D7)*J7/SUMIF($D:$D,$D7,J:J),0)</f>
        <v>0</v>
      </c>
      <c r="P7" s="232">
        <f ca="1">IFERROR(SUMIFS('02综合台帐（人材机）'!U:U,'02综合台帐（人材机）'!$F:$F,"人工",'02综合台帐（人材机）'!$K:$K,$D7)*J7/SUMIF($D:$D,$D7,J:J),0)</f>
        <v>0</v>
      </c>
      <c r="Q7" s="232">
        <f t="shared" si="5"/>
        <v>0</v>
      </c>
      <c r="R7" s="232">
        <f t="shared" si="6"/>
        <v>0</v>
      </c>
      <c r="S7" s="232">
        <f ca="1" t="shared" si="3"/>
        <v>2708287.472</v>
      </c>
      <c r="T7" s="206"/>
      <c r="U7" s="206"/>
      <c r="V7" s="206"/>
    </row>
    <row r="8" spans="1:22">
      <c r="A8" s="206" t="str">
        <f t="shared" si="0"/>
        <v>B01002</v>
      </c>
      <c r="B8" s="206"/>
      <c r="C8" s="206"/>
      <c r="D8" s="206" t="s">
        <v>252</v>
      </c>
      <c r="E8" s="206"/>
      <c r="F8" s="256" t="str">
        <f>IFERROR(VLOOKUP($D8,人工[],2,FALSE),"")</f>
        <v>m3</v>
      </c>
      <c r="G8" s="206">
        <v>600.6546</v>
      </c>
      <c r="H8" s="206">
        <f>IFERROR(VLOOKUP($D8,人工[],3,FALSE),"")</f>
        <v>50</v>
      </c>
      <c r="I8" s="317">
        <f t="shared" si="1"/>
        <v>30032.73</v>
      </c>
      <c r="J8" s="206">
        <v>300</v>
      </c>
      <c r="K8" s="232">
        <f t="shared" si="4"/>
        <v>15000</v>
      </c>
      <c r="L8" s="206">
        <f ca="1">IFERROR(SUMIFS('02综合台帐（人材机）'!P:P,'02综合台帐（人材机）'!$F:$F,"人工",'02综合台帐（人材机）'!$K:$K,$D8)*J8/SUMIF($D:$D,$D8,J:J),0)</f>
        <v>300</v>
      </c>
      <c r="M8" s="206">
        <f ca="1" t="shared" si="2"/>
        <v>50</v>
      </c>
      <c r="N8" s="318">
        <f ca="1">IFERROR(SUMIFS('02综合台帐（人材机）'!Q:Q,'02综合台帐（人材机）'!$F:$F,"人工",'02综合台帐（人材机）'!$K:$K,$D8)*J8/SUMIF($D:$D,$D8,J:J),0)</f>
        <v>15000</v>
      </c>
      <c r="O8" s="318">
        <f ca="1">IFERROR(SUMIFS('02综合台帐（人材机）'!T:T,'02综合台帐（人材机）'!$F:$F,"人工",'02综合台帐（人材机）'!$K:$K,$D8)*J8/SUMIF($D:$D,$D8,J:J),0)</f>
        <v>0</v>
      </c>
      <c r="P8" s="232">
        <f ca="1">IFERROR(SUMIFS('02综合台帐（人材机）'!U:U,'02综合台帐（人材机）'!$F:$F,"人工",'02综合台帐（人材机）'!$K:$K,$D8)*J8/SUMIF($D:$D,$D8,J:J),0)</f>
        <v>0</v>
      </c>
      <c r="Q8" s="232">
        <f t="shared" si="5"/>
        <v>0</v>
      </c>
      <c r="R8" s="232">
        <f t="shared" si="6"/>
        <v>0</v>
      </c>
      <c r="S8" s="232">
        <f ca="1" t="shared" si="3"/>
        <v>15000</v>
      </c>
      <c r="T8" s="206"/>
      <c r="U8" s="206"/>
      <c r="V8" s="206"/>
    </row>
    <row r="9" spans="1:22">
      <c r="A9" s="206" t="str">
        <f t="shared" si="0"/>
        <v>B01003</v>
      </c>
      <c r="B9" s="206"/>
      <c r="C9" s="206"/>
      <c r="D9" s="206" t="s">
        <v>522</v>
      </c>
      <c r="E9" s="206"/>
      <c r="F9" s="256" t="str">
        <f>IFERROR(VLOOKUP($D9,人工[],2,FALSE),"")</f>
        <v>m3</v>
      </c>
      <c r="G9" s="206">
        <v>308.2346</v>
      </c>
      <c r="H9" s="206">
        <f>IFERROR(VLOOKUP($D9,人工[],3,FALSE),"")</f>
        <v>14.5</v>
      </c>
      <c r="I9" s="317">
        <f t="shared" si="1"/>
        <v>4469.4017</v>
      </c>
      <c r="J9" s="206">
        <v>0</v>
      </c>
      <c r="K9" s="232">
        <f t="shared" si="4"/>
        <v>0</v>
      </c>
      <c r="L9" s="206">
        <f ca="1">IFERROR(SUMIFS('02综合台帐（人材机）'!P:P,'02综合台帐（人材机）'!$F:$F,"人工",'02综合台帐（人材机）'!$K:$K,$D9)*J9/SUMIF($D:$D,$D9,J:J),0)</f>
        <v>0</v>
      </c>
      <c r="M9" s="206">
        <f ca="1" t="shared" si="2"/>
        <v>0</v>
      </c>
      <c r="N9" s="318">
        <f ca="1">IFERROR(SUMIFS('02综合台帐（人材机）'!Q:Q,'02综合台帐（人材机）'!$F:$F,"人工",'02综合台帐（人材机）'!$K:$K,$D9)*J9/SUMIF($D:$D,$D9,J:J),0)</f>
        <v>0</v>
      </c>
      <c r="O9" s="318">
        <f ca="1">IFERROR(SUMIFS('02综合台帐（人材机）'!T:T,'02综合台帐（人材机）'!$F:$F,"人工",'02综合台帐（人材机）'!$K:$K,$D9)*J9/SUMIF($D:$D,$D9,J:J),0)</f>
        <v>0</v>
      </c>
      <c r="P9" s="232">
        <f ca="1">IFERROR(SUMIFS('02综合台帐（人材机）'!U:U,'02综合台帐（人材机）'!$F:$F,"人工",'02综合台帐（人材机）'!$K:$K,$D9)*J9/SUMIF($D:$D,$D9,J:J),0)</f>
        <v>0</v>
      </c>
      <c r="Q9" s="232">
        <f t="shared" si="5"/>
        <v>0</v>
      </c>
      <c r="R9" s="232">
        <f t="shared" si="6"/>
        <v>0</v>
      </c>
      <c r="S9" s="232">
        <f ca="1" t="shared" si="3"/>
        <v>0</v>
      </c>
      <c r="T9" s="206"/>
      <c r="U9" s="206"/>
      <c r="V9" s="206"/>
    </row>
    <row r="10" spans="1:22">
      <c r="A10" s="206" t="str">
        <f t="shared" si="0"/>
        <v>B01004</v>
      </c>
      <c r="B10" s="206"/>
      <c r="C10" s="206"/>
      <c r="D10" s="206" t="s">
        <v>308</v>
      </c>
      <c r="E10" s="206"/>
      <c r="F10" s="256" t="str">
        <f>IFERROR(VLOOKUP($D10,人工[],2,FALSE),"")</f>
        <v>t</v>
      </c>
      <c r="G10" s="206">
        <v>381.9946</v>
      </c>
      <c r="H10" s="206">
        <f>IFERROR(VLOOKUP($D10,人工[],3,FALSE),"")</f>
        <v>970</v>
      </c>
      <c r="I10" s="317">
        <f t="shared" si="1"/>
        <v>370534.762</v>
      </c>
      <c r="J10" s="206">
        <v>120</v>
      </c>
      <c r="K10" s="232">
        <f t="shared" si="4"/>
        <v>116400</v>
      </c>
      <c r="L10" s="206">
        <f ca="1">IFERROR(SUMIFS('02综合台帐（人材机）'!P:P,'02综合台帐（人材机）'!$F:$F,"人工",'02综合台帐（人材机）'!$K:$K,$D10)*J10/SUMIF($D:$D,$D10,J:J),0)</f>
        <v>150</v>
      </c>
      <c r="M10" s="206">
        <f ca="1" t="shared" si="2"/>
        <v>900</v>
      </c>
      <c r="N10" s="318">
        <f ca="1">IFERROR(SUMIFS('02综合台帐（人材机）'!Q:Q,'02综合台帐（人材机）'!$F:$F,"人工",'02综合台帐（人材机）'!$K:$K,$D10)*J10/SUMIF($D:$D,$D10,J:J),0)</f>
        <v>135000</v>
      </c>
      <c r="O10" s="318">
        <f ca="1">IFERROR(SUMIFS('02综合台帐（人材机）'!T:T,'02综合台帐（人材机）'!$F:$F,"人工",'02综合台帐（人材机）'!$K:$K,$D10)*J10/SUMIF($D:$D,$D10,J:J),0)</f>
        <v>0</v>
      </c>
      <c r="P10" s="232">
        <f ca="1">IFERROR(SUMIFS('02综合台帐（人材机）'!U:U,'02综合台帐（人材机）'!$F:$F,"人工",'02综合台帐（人材机）'!$K:$K,$D10)*J10/SUMIF($D:$D,$D10,J:J),0)</f>
        <v>0</v>
      </c>
      <c r="Q10" s="232">
        <f t="shared" si="5"/>
        <v>0</v>
      </c>
      <c r="R10" s="232">
        <f t="shared" si="6"/>
        <v>0</v>
      </c>
      <c r="S10" s="232">
        <f ca="1" t="shared" si="3"/>
        <v>116400</v>
      </c>
      <c r="T10" s="206"/>
      <c r="U10" s="206"/>
      <c r="V10" s="206"/>
    </row>
    <row r="11" spans="1:22">
      <c r="A11" s="206" t="str">
        <f t="shared" si="0"/>
        <v>B01005</v>
      </c>
      <c r="B11" s="206"/>
      <c r="C11" s="206"/>
      <c r="D11" s="206" t="s">
        <v>514</v>
      </c>
      <c r="E11" s="206"/>
      <c r="F11" s="256" t="str">
        <f>IFERROR(VLOOKUP($D11,人工[],2,FALSE),"")</f>
        <v>m2</v>
      </c>
      <c r="G11" s="206">
        <v>2</v>
      </c>
      <c r="H11" s="206">
        <f>IFERROR(VLOOKUP($D11,人工[],3,FALSE),"")</f>
        <v>1</v>
      </c>
      <c r="I11" s="317">
        <f t="shared" si="1"/>
        <v>2</v>
      </c>
      <c r="J11" s="206">
        <v>15000</v>
      </c>
      <c r="K11" s="232">
        <f t="shared" si="4"/>
        <v>15000</v>
      </c>
      <c r="L11" s="206">
        <f ca="1">IFERROR(SUMIFS('02综合台帐（人材机）'!P:P,'02综合台帐（人材机）'!$F:$F,"人工",'02综合台帐（人材机）'!$K:$K,$D11)*J11/SUMIF($D:$D,$D11,J:J),0)</f>
        <v>15000</v>
      </c>
      <c r="M11" s="206">
        <f ca="1" t="shared" si="2"/>
        <v>1</v>
      </c>
      <c r="N11" s="318">
        <f ca="1">IFERROR(SUMIFS('02综合台帐（人材机）'!Q:Q,'02综合台帐（人材机）'!$F:$F,"人工",'02综合台帐（人材机）'!$K:$K,$D11)*J11/SUMIF($D:$D,$D11,J:J),0)</f>
        <v>15000</v>
      </c>
      <c r="O11" s="318">
        <f ca="1">IFERROR(SUMIFS('02综合台帐（人材机）'!T:T,'02综合台帐（人材机）'!$F:$F,"人工",'02综合台帐（人材机）'!$K:$K,$D11)*J11/SUMIF($D:$D,$D11,J:J),0)</f>
        <v>0</v>
      </c>
      <c r="P11" s="232">
        <f ca="1">IFERROR(SUMIFS('02综合台帐（人材机）'!U:U,'02综合台帐（人材机）'!$F:$F,"人工",'02综合台帐（人材机）'!$K:$K,$D11)*J11/SUMIF($D:$D,$D11,J:J),0)</f>
        <v>0</v>
      </c>
      <c r="Q11" s="232">
        <f t="shared" si="5"/>
        <v>0</v>
      </c>
      <c r="R11" s="232">
        <f t="shared" si="6"/>
        <v>0</v>
      </c>
      <c r="S11" s="232">
        <f ca="1" t="shared" si="3"/>
        <v>15000</v>
      </c>
      <c r="T11" s="206"/>
      <c r="U11" s="206"/>
      <c r="V11" s="206"/>
    </row>
    <row r="12" spans="1:22">
      <c r="A12" s="206" t="str">
        <f t="shared" si="0"/>
        <v>B01006</v>
      </c>
      <c r="B12" s="206"/>
      <c r="C12" s="206"/>
      <c r="D12" s="206" t="s">
        <v>165</v>
      </c>
      <c r="E12" s="206"/>
      <c r="F12" s="256" t="str">
        <f>IFERROR(VLOOKUP($D12,人工[],2,FALSE),"")</f>
        <v>m3</v>
      </c>
      <c r="G12" s="206">
        <v>17728.3398</v>
      </c>
      <c r="H12" s="206">
        <f>IFERROR(VLOOKUP($D12,人工[],3,FALSE),"")</f>
        <v>60</v>
      </c>
      <c r="I12" s="317">
        <f t="shared" si="1"/>
        <v>1063700.388</v>
      </c>
      <c r="J12" s="206">
        <v>3300</v>
      </c>
      <c r="K12" s="232">
        <f t="shared" si="4"/>
        <v>198000</v>
      </c>
      <c r="L12" s="206">
        <f ca="1">IFERROR(SUMIFS('02综合台帐（人材机）'!P:P,'02综合台帐（人材机）'!$F:$F,"人工",'02综合台帐（人材机）'!$K:$K,$D12)*J12/SUMIF($D:$D,$D12,J:J),0)</f>
        <v>8000</v>
      </c>
      <c r="M12" s="206">
        <f ca="1" t="shared" si="2"/>
        <v>60</v>
      </c>
      <c r="N12" s="318">
        <f ca="1">IFERROR(SUMIFS('02综合台帐（人材机）'!Q:Q,'02综合台帐（人材机）'!$F:$F,"人工",'02综合台帐（人材机）'!$K:$K,$D12)*J12/SUMIF($D:$D,$D12,J:J),0)</f>
        <v>480000</v>
      </c>
      <c r="O12" s="318">
        <f ca="1">IFERROR(SUMIFS('02综合台帐（人材机）'!T:T,'02综合台帐（人材机）'!$F:$F,"人工",'02综合台帐（人材机）'!$K:$K,$D12)*J12/SUMIF($D:$D,$D12,J:J),0)</f>
        <v>0</v>
      </c>
      <c r="P12" s="232">
        <f ca="1">IFERROR(SUMIFS('02综合台帐（人材机）'!U:U,'02综合台帐（人材机）'!$F:$F,"人工",'02综合台帐（人材机）'!$K:$K,$D12)*J12/SUMIF($D:$D,$D12,J:J),0)</f>
        <v>0</v>
      </c>
      <c r="Q12" s="232">
        <f t="shared" si="5"/>
        <v>0</v>
      </c>
      <c r="R12" s="232">
        <f t="shared" si="6"/>
        <v>0</v>
      </c>
      <c r="S12" s="232">
        <f ca="1" t="shared" si="3"/>
        <v>198000</v>
      </c>
      <c r="T12" s="206"/>
      <c r="U12" s="206"/>
      <c r="V12" s="206"/>
    </row>
    <row r="13" spans="1:22">
      <c r="A13" s="206" t="str">
        <f t="shared" si="0"/>
        <v>B01007</v>
      </c>
      <c r="B13" s="206"/>
      <c r="C13" s="206"/>
      <c r="D13" s="206" t="s">
        <v>163</v>
      </c>
      <c r="E13" s="206"/>
      <c r="F13" s="256" t="str">
        <f>IFERROR(VLOOKUP($D13,人工[],2,FALSE),"")</f>
        <v>m</v>
      </c>
      <c r="G13" s="206">
        <v>127802.09</v>
      </c>
      <c r="H13" s="206">
        <f>IFERROR(VLOOKUP($D13,人工[],3,FALSE),"")</f>
        <v>0.2</v>
      </c>
      <c r="I13" s="317">
        <f t="shared" si="1"/>
        <v>25560.418</v>
      </c>
      <c r="J13" s="206">
        <v>21500</v>
      </c>
      <c r="K13" s="232">
        <f t="shared" si="4"/>
        <v>4300</v>
      </c>
      <c r="L13" s="206">
        <f ca="1">IFERROR(SUMIFS('02综合台帐（人材机）'!P:P,'02综合台帐（人材机）'!$F:$F,"人工",'02综合台帐（人材机）'!$K:$K,$D13)*J13/SUMIF($D:$D,$D13,J:J),0)</f>
        <v>0</v>
      </c>
      <c r="M13" s="206">
        <f ca="1" t="shared" si="2"/>
        <v>0</v>
      </c>
      <c r="N13" s="318">
        <f ca="1">IFERROR(SUMIFS('02综合台帐（人材机）'!Q:Q,'02综合台帐（人材机）'!$F:$F,"人工",'02综合台帐（人材机）'!$K:$K,$D13)*J13/SUMIF($D:$D,$D13,J:J),0)</f>
        <v>0</v>
      </c>
      <c r="O13" s="318">
        <f ca="1">IFERROR(SUMIFS('02综合台帐（人材机）'!T:T,'02综合台帐（人材机）'!$F:$F,"人工",'02综合台帐（人材机）'!$K:$K,$D13)*J13/SUMIF($D:$D,$D13,J:J),0)</f>
        <v>0</v>
      </c>
      <c r="P13" s="232">
        <f ca="1">IFERROR(SUMIFS('02综合台帐（人材机）'!U:U,'02综合台帐（人材机）'!$F:$F,"人工",'02综合台帐（人材机）'!$K:$K,$D13)*J13/SUMIF($D:$D,$D13,J:J),0)</f>
        <v>0</v>
      </c>
      <c r="Q13" s="232">
        <f t="shared" si="5"/>
        <v>0</v>
      </c>
      <c r="R13" s="232">
        <f t="shared" si="6"/>
        <v>0</v>
      </c>
      <c r="S13" s="232">
        <f ca="1" t="shared" si="3"/>
        <v>4300</v>
      </c>
      <c r="T13" s="206"/>
      <c r="U13" s="206"/>
      <c r="V13" s="206"/>
    </row>
    <row r="14" spans="1:22">
      <c r="A14" s="206" t="str">
        <f t="shared" si="0"/>
        <v>B01008</v>
      </c>
      <c r="B14" s="206"/>
      <c r="C14" s="206"/>
      <c r="D14" s="206" t="s">
        <v>178</v>
      </c>
      <c r="E14" s="206"/>
      <c r="F14" s="256" t="str">
        <f>IFERROR(VLOOKUP($D14,人工[],2,FALSE),"")</f>
        <v>m</v>
      </c>
      <c r="G14" s="206">
        <v>47171</v>
      </c>
      <c r="H14" s="206">
        <f>IFERROR(VLOOKUP($D14,人工[],3,FALSE),"")</f>
        <v>7</v>
      </c>
      <c r="I14" s="317">
        <f t="shared" si="1"/>
        <v>330197</v>
      </c>
      <c r="J14" s="206">
        <v>3000</v>
      </c>
      <c r="K14" s="232">
        <f t="shared" si="4"/>
        <v>21000</v>
      </c>
      <c r="L14" s="206">
        <f ca="1">IFERROR(SUMIFS('02综合台帐（人材机）'!P:P,'02综合台帐（人材机）'!$F:$F,"人工",'02综合台帐（人材机）'!$K:$K,$D14)*J14/SUMIF($D:$D,$D14,J:J),0)</f>
        <v>0</v>
      </c>
      <c r="M14" s="206">
        <f ca="1" t="shared" si="2"/>
        <v>0</v>
      </c>
      <c r="N14" s="318">
        <f ca="1">IFERROR(SUMIFS('02综合台帐（人材机）'!Q:Q,'02综合台帐（人材机）'!$F:$F,"人工",'02综合台帐（人材机）'!$K:$K,$D14)*J14/SUMIF($D:$D,$D14,J:J),0)</f>
        <v>0</v>
      </c>
      <c r="O14" s="318">
        <f ca="1">IFERROR(SUMIFS('02综合台帐（人材机）'!T:T,'02综合台帐（人材机）'!$F:$F,"人工",'02综合台帐（人材机）'!$K:$K,$D14)*J14/SUMIF($D:$D,$D14,J:J),0)</f>
        <v>0</v>
      </c>
      <c r="P14" s="232">
        <f ca="1">IFERROR(SUMIFS('02综合台帐（人材机）'!U:U,'02综合台帐（人材机）'!$F:$F,"人工",'02综合台帐（人材机）'!$K:$K,$D14)*J14/SUMIF($D:$D,$D14,J:J),0)</f>
        <v>0</v>
      </c>
      <c r="Q14" s="232">
        <f t="shared" si="5"/>
        <v>0</v>
      </c>
      <c r="R14" s="232">
        <f t="shared" si="6"/>
        <v>0</v>
      </c>
      <c r="S14" s="232">
        <f ca="1" t="shared" si="3"/>
        <v>21000</v>
      </c>
      <c r="T14" s="206"/>
      <c r="U14" s="206"/>
      <c r="V14" s="206"/>
    </row>
    <row r="15" spans="1:22">
      <c r="A15" s="206" t="str">
        <f t="shared" si="0"/>
        <v>B01009</v>
      </c>
      <c r="B15" s="206"/>
      <c r="C15" s="206"/>
      <c r="D15" s="206" t="s">
        <v>341</v>
      </c>
      <c r="E15" s="206"/>
      <c r="F15" s="256" t="str">
        <f>IFERROR(VLOOKUP($D15,人工[],2,FALSE),"")</f>
        <v>套</v>
      </c>
      <c r="G15" s="206">
        <v>120</v>
      </c>
      <c r="H15" s="206">
        <f>IFERROR(VLOOKUP($D15,人工[],3,FALSE),"")</f>
        <v>100</v>
      </c>
      <c r="I15" s="317">
        <f t="shared" si="1"/>
        <v>12000</v>
      </c>
      <c r="J15" s="206">
        <v>0</v>
      </c>
      <c r="K15" s="232">
        <f t="shared" si="4"/>
        <v>0</v>
      </c>
      <c r="L15" s="206">
        <f ca="1">IFERROR(SUMIFS('02综合台帐（人材机）'!P:P,'02综合台帐（人材机）'!$F:$F,"人工",'02综合台帐（人材机）'!$K:$K,$D15)*J15/SUMIF($D:$D,$D15,J:J),0)</f>
        <v>0</v>
      </c>
      <c r="M15" s="206">
        <f ca="1" t="shared" si="2"/>
        <v>0</v>
      </c>
      <c r="N15" s="318">
        <f ca="1">IFERROR(SUMIFS('02综合台帐（人材机）'!Q:Q,'02综合台帐（人材机）'!$F:$F,"人工",'02综合台帐（人材机）'!$K:$K,$D15)*J15/SUMIF($D:$D,$D15,J:J),0)</f>
        <v>0</v>
      </c>
      <c r="O15" s="318">
        <f ca="1">IFERROR(SUMIFS('02综合台帐（人材机）'!T:T,'02综合台帐（人材机）'!$F:$F,"人工",'02综合台帐（人材机）'!$K:$K,$D15)*J15/SUMIF($D:$D,$D15,J:J),0)</f>
        <v>0</v>
      </c>
      <c r="P15" s="232">
        <f ca="1">IFERROR(SUMIFS('02综合台帐（人材机）'!U:U,'02综合台帐（人材机）'!$F:$F,"人工",'02综合台帐（人材机）'!$K:$K,$D15)*J15/SUMIF($D:$D,$D15,J:J),0)</f>
        <v>0</v>
      </c>
      <c r="Q15" s="232">
        <f t="shared" si="5"/>
        <v>0</v>
      </c>
      <c r="R15" s="232">
        <f t="shared" si="6"/>
        <v>0</v>
      </c>
      <c r="S15" s="232">
        <f ca="1" t="shared" si="3"/>
        <v>0</v>
      </c>
      <c r="T15" s="206"/>
      <c r="U15" s="206"/>
      <c r="V15" s="206"/>
    </row>
    <row r="16" spans="1:22">
      <c r="A16" s="206" t="str">
        <f t="shared" si="0"/>
        <v>B01010</v>
      </c>
      <c r="B16" s="206"/>
      <c r="C16" s="206"/>
      <c r="D16" s="206" t="s">
        <v>691</v>
      </c>
      <c r="E16" s="206"/>
      <c r="F16" s="256" t="str">
        <f>IFERROR(VLOOKUP($D16,人工[],2,FALSE),"")</f>
        <v>m2</v>
      </c>
      <c r="G16" s="206">
        <v>10500</v>
      </c>
      <c r="H16" s="206">
        <f>IFERROR(VLOOKUP($D16,人工[],3,FALSE),"")</f>
        <v>13</v>
      </c>
      <c r="I16" s="317">
        <f t="shared" si="1"/>
        <v>136500</v>
      </c>
      <c r="J16" s="206">
        <v>0</v>
      </c>
      <c r="K16" s="232">
        <f t="shared" si="4"/>
        <v>0</v>
      </c>
      <c r="L16" s="206">
        <f ca="1">IFERROR(SUMIFS('02综合台帐（人材机）'!P:P,'02综合台帐（人材机）'!$F:$F,"人工",'02综合台帐（人材机）'!$K:$K,$D16)*J16/SUMIF($D:$D,$D16,J:J),0)</f>
        <v>0</v>
      </c>
      <c r="M16" s="206">
        <f ca="1" t="shared" si="2"/>
        <v>0</v>
      </c>
      <c r="N16" s="318">
        <f ca="1">IFERROR(SUMIFS('02综合台帐（人材机）'!Q:Q,'02综合台帐（人材机）'!$F:$F,"人工",'02综合台帐（人材机）'!$K:$K,$D16)*J16/SUMIF($D:$D,$D16,J:J),0)</f>
        <v>0</v>
      </c>
      <c r="O16" s="318">
        <f ca="1">IFERROR(SUMIFS('02综合台帐（人材机）'!T:T,'02综合台帐（人材机）'!$F:$F,"人工",'02综合台帐（人材机）'!$K:$K,$D16)*J16/SUMIF($D:$D,$D16,J:J),0)</f>
        <v>0</v>
      </c>
      <c r="P16" s="232">
        <f ca="1">IFERROR(SUMIFS('02综合台帐（人材机）'!U:U,'02综合台帐（人材机）'!$F:$F,"人工",'02综合台帐（人材机）'!$K:$K,$D16)*J16/SUMIF($D:$D,$D16,J:J),0)</f>
        <v>0</v>
      </c>
      <c r="Q16" s="232">
        <f t="shared" si="5"/>
        <v>0</v>
      </c>
      <c r="R16" s="232">
        <f t="shared" si="6"/>
        <v>0</v>
      </c>
      <c r="S16" s="232">
        <f ca="1" t="shared" si="3"/>
        <v>0</v>
      </c>
      <c r="T16" s="206"/>
      <c r="U16" s="206"/>
      <c r="V16" s="206"/>
    </row>
    <row r="17" spans="1:22">
      <c r="A17" s="206" t="str">
        <f t="shared" si="0"/>
        <v>B01011</v>
      </c>
      <c r="B17" s="206"/>
      <c r="C17" s="206"/>
      <c r="D17" s="206" t="s">
        <v>486</v>
      </c>
      <c r="E17" s="206"/>
      <c r="F17" s="256" t="str">
        <f>IFERROR(VLOOKUP($D17,人工[],2,FALSE),"")</f>
        <v>m3</v>
      </c>
      <c r="G17" s="206">
        <v>4397.13</v>
      </c>
      <c r="H17" s="206">
        <f>IFERROR(VLOOKUP($D17,人工[],3,FALSE),"")</f>
        <v>200</v>
      </c>
      <c r="I17" s="317">
        <f t="shared" si="1"/>
        <v>879426</v>
      </c>
      <c r="J17" s="206">
        <v>1500</v>
      </c>
      <c r="K17" s="232">
        <f t="shared" si="4"/>
        <v>300000</v>
      </c>
      <c r="L17" s="206">
        <f ca="1">IFERROR(SUMIFS('02综合台帐（人材机）'!P:P,'02综合台帐（人材机）'!$F:$F,"人工",'02综合台帐（人材机）'!$K:$K,$D17)*J17/SUMIF($D:$D,$D17,J:J),0)</f>
        <v>600</v>
      </c>
      <c r="M17" s="206">
        <f ca="1" t="shared" si="2"/>
        <v>280</v>
      </c>
      <c r="N17" s="318">
        <f ca="1">IFERROR(SUMIFS('02综合台帐（人材机）'!Q:Q,'02综合台帐（人材机）'!$F:$F,"人工",'02综合台帐（人材机）'!$K:$K,$D17)*J17/SUMIF($D:$D,$D17,J:J),0)</f>
        <v>168000</v>
      </c>
      <c r="O17" s="318">
        <f ca="1">IFERROR(SUMIFS('02综合台帐（人材机）'!T:T,'02综合台帐（人材机）'!$F:$F,"人工",'02综合台帐（人材机）'!$K:$K,$D17)*J17/SUMIF($D:$D,$D17,J:J),0)</f>
        <v>0</v>
      </c>
      <c r="P17" s="232">
        <f ca="1">IFERROR(SUMIFS('02综合台帐（人材机）'!U:U,'02综合台帐（人材机）'!$F:$F,"人工",'02综合台帐（人材机）'!$K:$K,$D17)*J17/SUMIF($D:$D,$D17,J:J),0)</f>
        <v>0</v>
      </c>
      <c r="Q17" s="232">
        <f t="shared" si="5"/>
        <v>0</v>
      </c>
      <c r="R17" s="232">
        <f t="shared" si="6"/>
        <v>0</v>
      </c>
      <c r="S17" s="232">
        <f ca="1" t="shared" si="3"/>
        <v>300000</v>
      </c>
      <c r="T17" s="206"/>
      <c r="U17" s="206"/>
      <c r="V17" s="206"/>
    </row>
    <row r="18" spans="1:22">
      <c r="A18" s="206" t="str">
        <f t="shared" si="0"/>
        <v>B01012</v>
      </c>
      <c r="B18" s="206"/>
      <c r="C18" s="206"/>
      <c r="D18" s="206" t="s">
        <v>296</v>
      </c>
      <c r="E18" s="206"/>
      <c r="F18" s="256" t="str">
        <f>IFERROR(VLOOKUP($D18,人工[],2,FALSE),"")</f>
        <v>t</v>
      </c>
      <c r="G18" s="206">
        <v>329.47</v>
      </c>
      <c r="H18" s="206">
        <f>IFERROR(VLOOKUP($D18,人工[],3,FALSE),"")</f>
        <v>700</v>
      </c>
      <c r="I18" s="317">
        <f t="shared" si="1"/>
        <v>230629</v>
      </c>
      <c r="J18" s="206">
        <v>55</v>
      </c>
      <c r="K18" s="232">
        <f t="shared" si="4"/>
        <v>38500</v>
      </c>
      <c r="L18" s="206">
        <f ca="1">IFERROR(SUMIFS('02综合台帐（人材机）'!P:P,'02综合台帐（人材机）'!$F:$F,"人工",'02综合台帐（人材机）'!$K:$K,$D18)*J18/SUMIF($D:$D,$D18,J:J),0)</f>
        <v>155</v>
      </c>
      <c r="M18" s="206">
        <f ca="1" t="shared" si="2"/>
        <v>700</v>
      </c>
      <c r="N18" s="318">
        <f ca="1">IFERROR(SUMIFS('02综合台帐（人材机）'!Q:Q,'02综合台帐（人材机）'!$F:$F,"人工",'02综合台帐（人材机）'!$K:$K,$D18)*J18/SUMIF($D:$D,$D18,J:J),0)</f>
        <v>108500</v>
      </c>
      <c r="O18" s="318">
        <f ca="1">IFERROR(SUMIFS('02综合台帐（人材机）'!T:T,'02综合台帐（人材机）'!$F:$F,"人工",'02综合台帐（人材机）'!$K:$K,$D18)*J18/SUMIF($D:$D,$D18,J:J),0)</f>
        <v>39175.5405942697</v>
      </c>
      <c r="P18" s="232">
        <f ca="1">IFERROR(SUMIFS('02综合台帐（人材机）'!U:U,'02综合台帐（人材机）'!$F:$F,"人工",'02综合台帐（人材机）'!$K:$K,$D18)*J18/SUMIF($D:$D,$D18,J:J),0)</f>
        <v>2350532.43565618</v>
      </c>
      <c r="Q18" s="232">
        <f t="shared" si="5"/>
        <v>0</v>
      </c>
      <c r="R18" s="232">
        <f t="shared" si="6"/>
        <v>0</v>
      </c>
      <c r="S18" s="232">
        <f ca="1" t="shared" si="3"/>
        <v>-2312032.43565618</v>
      </c>
      <c r="T18" s="206"/>
      <c r="U18" s="206"/>
      <c r="V18" s="206"/>
    </row>
    <row r="19" spans="1:22">
      <c r="A19" s="206" t="str">
        <f t="shared" si="0"/>
        <v>B01013</v>
      </c>
      <c r="B19" s="206"/>
      <c r="C19" s="206"/>
      <c r="D19" s="206" t="s">
        <v>703</v>
      </c>
      <c r="E19" s="206"/>
      <c r="F19" s="256" t="str">
        <f>IFERROR(VLOOKUP($D19,人工[],2,FALSE),"")</f>
        <v>m2</v>
      </c>
      <c r="G19" s="206">
        <v>3343.59</v>
      </c>
      <c r="H19" s="206">
        <f>IFERROR(VLOOKUP($D19,人工[],3,FALSE),"")</f>
        <v>125</v>
      </c>
      <c r="I19" s="317">
        <f t="shared" si="1"/>
        <v>417948.75</v>
      </c>
      <c r="J19" s="206">
        <v>0</v>
      </c>
      <c r="K19" s="232">
        <f t="shared" si="4"/>
        <v>0</v>
      </c>
      <c r="L19" s="206">
        <f ca="1">IFERROR(SUMIFS('02综合台帐（人材机）'!P:P,'02综合台帐（人材机）'!$F:$F,"人工",'02综合台帐（人材机）'!$K:$K,$D19)*J19/SUMIF($D:$D,$D19,J:J),0)</f>
        <v>0</v>
      </c>
      <c r="M19" s="206">
        <f ca="1" t="shared" si="2"/>
        <v>0</v>
      </c>
      <c r="N19" s="318">
        <f ca="1">IFERROR(SUMIFS('02综合台帐（人材机）'!Q:Q,'02综合台帐（人材机）'!$F:$F,"人工",'02综合台帐（人材机）'!$K:$K,$D19)*J19/SUMIF($D:$D,$D19,J:J),0)</f>
        <v>0</v>
      </c>
      <c r="O19" s="318">
        <f ca="1">IFERROR(SUMIFS('02综合台帐（人材机）'!T:T,'02综合台帐（人材机）'!$F:$F,"人工",'02综合台帐（人材机）'!$K:$K,$D19)*J19/SUMIF($D:$D,$D19,J:J),0)</f>
        <v>0</v>
      </c>
      <c r="P19" s="232">
        <f ca="1">IFERROR(SUMIFS('02综合台帐（人材机）'!U:U,'02综合台帐（人材机）'!$F:$F,"人工",'02综合台帐（人材机）'!$K:$K,$D19)*J19/SUMIF($D:$D,$D19,J:J),0)</f>
        <v>0</v>
      </c>
      <c r="Q19" s="232">
        <f t="shared" si="5"/>
        <v>0</v>
      </c>
      <c r="R19" s="232">
        <f t="shared" si="6"/>
        <v>0</v>
      </c>
      <c r="S19" s="232">
        <f ca="1" t="shared" si="3"/>
        <v>0</v>
      </c>
      <c r="T19" s="206"/>
      <c r="U19" s="206"/>
      <c r="V19" s="206"/>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4.25"/>
  <cols>
    <col min="1" max="1" width="9.25" style="1" customWidth="1"/>
    <col min="2" max="2" width="10.25" style="1" customWidth="1"/>
    <col min="3" max="3" width="13.25" style="1" customWidth="1"/>
    <col min="4" max="4" width="25.25" style="1" customWidth="1"/>
    <col min="5" max="5" width="9.375" style="1" customWidth="1"/>
    <col min="6" max="6" width="8.375" style="240" customWidth="1"/>
    <col min="7" max="7" width="12.625" style="1" customWidth="1"/>
    <col min="8" max="8" width="10.75" style="152" customWidth="1"/>
    <col min="9" max="9" width="15.625" style="1" customWidth="1"/>
    <col min="10" max="10" width="10.75" style="1" customWidth="1"/>
    <col min="11" max="11" width="14.875" style="1" customWidth="1"/>
    <col min="12" max="12" width="9.875" style="1" customWidth="1"/>
    <col min="13" max="13" width="12.25" style="1" customWidth="1"/>
    <col min="14" max="14" width="13.625" style="1" customWidth="1"/>
    <col min="15" max="15" width="11" style="1" customWidth="1"/>
    <col min="16" max="16" width="13.625" style="1" customWidth="1"/>
    <col min="17" max="17" width="14.5" style="1" customWidth="1"/>
    <col min="18" max="18" width="11.375" style="1" customWidth="1"/>
    <col min="19" max="19" width="14.5" style="1" customWidth="1"/>
    <col min="20" max="20" width="7.875" style="1" customWidth="1"/>
    <col min="21" max="21" width="11.25" style="1" customWidth="1"/>
    <col min="22" max="22" width="13.25" style="1" customWidth="1"/>
    <col min="23" max="16384" width="9" style="1"/>
  </cols>
  <sheetData>
    <row r="1" ht="22.5" spans="1:20">
      <c r="A1" s="115" t="s">
        <v>3832</v>
      </c>
      <c r="B1" s="278"/>
      <c r="C1" s="115"/>
      <c r="D1" s="115"/>
      <c r="E1" s="115"/>
      <c r="F1" s="244"/>
      <c r="G1" s="115"/>
      <c r="H1" s="279"/>
      <c r="I1" s="207" t="s">
        <v>3811</v>
      </c>
      <c r="J1" s="208" t="s">
        <v>3812</v>
      </c>
      <c r="K1" s="209" t="s">
        <v>3813</v>
      </c>
      <c r="L1" s="115"/>
      <c r="M1" s="115"/>
      <c r="N1" s="258"/>
      <c r="O1" s="258"/>
      <c r="P1" s="115"/>
      <c r="Q1" s="271"/>
      <c r="R1" s="271"/>
      <c r="S1" s="271"/>
      <c r="T1" s="271"/>
    </row>
    <row r="2" s="189" customFormat="1" ht="20.1" customHeight="1" spans="1:20">
      <c r="A2" s="190" t="str">
        <f t="shared" ref="A2:A18" si="0">$A$6&amp;TEXT(ROW()-6,"000")</f>
        <v>C01-004</v>
      </c>
      <c r="C2" s="191" t="e">
        <f>IF(F2="","单位","分项")</f>
        <v>#N/A</v>
      </c>
      <c r="F2" s="192" t="e">
        <f>VLOOKUP($D2,材料[],2,FALSE)</f>
        <v>#N/A</v>
      </c>
      <c r="G2" s="192" t="e">
        <f>VLOOKUP($D2,材料[],4,FALSE)</f>
        <v>#N/A</v>
      </c>
      <c r="H2" s="192" t="e">
        <f>VLOOKUP($D2,材料[],3,FALSE)</f>
        <v>#N/A</v>
      </c>
      <c r="I2" s="192" t="e">
        <f t="shared" ref="I2:I18" si="1">+G2*H2</f>
        <v>#N/A</v>
      </c>
      <c r="J2" s="192">
        <f ca="1">SUMIFS('01工程产值对比表'!T:T,'01工程产值对比表'!$C:$C,"材料2",'01工程产值对比表'!$D:$D,$D2)</f>
        <v>0</v>
      </c>
      <c r="K2" s="192" t="e">
        <f ca="1" t="shared" ref="K2:K18" si="2">+J2*H2</f>
        <v>#N/A</v>
      </c>
      <c r="L2" s="210">
        <f ca="1">IFERROR(SUMIFS('02综合台帐（人材机）'!P:P,'02综合台帐（人材机）'!$F:$F,"材料2",'02综合台帐（人材机）'!$K:$K,$D2)*J2/SUMIF($D:$D,$D2,J:J),0)</f>
        <v>0</v>
      </c>
      <c r="M2" s="210">
        <f ca="1" t="shared" ref="M2:M18" si="3">IFERROR(+N2/L2,0)</f>
        <v>0</v>
      </c>
      <c r="N2" s="211">
        <f ca="1">IFERROR(SUMIFS('02综合台帐（人材机）'!Q:Q,'02综合台帐（人材机）'!$F:$F,"材料2",'02综合台帐（人材机）'!$K:$K,$D2)*J2/SUMIF($D:$D,$D2,J:J),0)</f>
        <v>0</v>
      </c>
      <c r="O2" s="189">
        <f ca="1">IFERROR(SUMIFS('02综合台帐（人材机）'!T:T,'02综合台帐（人材机）'!$F:$F,"材料2",'02综合台帐（人材机）'!$K:$K,$D2)*J2/SUMIF($D:$D,$D2,J:J),0)</f>
        <v>0</v>
      </c>
      <c r="P2" s="210">
        <f ca="1">IFERROR(SUMIFS('02综合台帐（人材机）'!U:U,'02综合台帐（人材机）'!$F:$F,"材料2",'02综合台帐（人材机）'!$K:$K,$D2)*J2/SUMIF($D:$D,$D2,J:J),0)</f>
        <v>0</v>
      </c>
      <c r="Q2" s="210" t="e">
        <f ca="1" t="shared" ref="Q2:Q18" si="4">-M2*J2+H2*J2</f>
        <v>#N/A</v>
      </c>
      <c r="R2" s="210">
        <f ca="1" t="shared" ref="R2:R18" si="5">IFERROR(-O2*M2+M2*J2,0)</f>
        <v>0</v>
      </c>
      <c r="S2" s="189">
        <f ca="1" t="shared" ref="S2:S18" si="6">IFERROR(K2-P2,0)</f>
        <v>0</v>
      </c>
      <c r="T2" s="210"/>
    </row>
    <row r="3" ht="15" spans="1:22">
      <c r="A3" s="280"/>
      <c r="B3" s="281"/>
      <c r="C3" s="282"/>
      <c r="D3" s="283"/>
      <c r="E3" s="284"/>
      <c r="F3" s="285"/>
      <c r="G3" s="283" t="s">
        <v>3815</v>
      </c>
      <c r="H3" s="284"/>
      <c r="I3" s="285"/>
      <c r="J3" s="288" t="s">
        <v>3816</v>
      </c>
      <c r="K3" s="288"/>
      <c r="L3" s="282" t="s">
        <v>3817</v>
      </c>
      <c r="M3" s="289"/>
      <c r="N3" s="289"/>
      <c r="O3" s="290" t="s">
        <v>3818</v>
      </c>
      <c r="P3" s="291"/>
      <c r="Q3" s="296" t="s">
        <v>3819</v>
      </c>
      <c r="R3" s="296"/>
      <c r="S3" s="296"/>
      <c r="T3" s="281"/>
      <c r="U3" s="281"/>
      <c r="V3" s="297"/>
    </row>
    <row r="4" ht="28.5" spans="1:22">
      <c r="A4" s="286" t="s">
        <v>1253</v>
      </c>
      <c r="B4" s="286" t="s">
        <v>1290</v>
      </c>
      <c r="C4" s="286" t="s">
        <v>3820</v>
      </c>
      <c r="D4" s="201" t="s">
        <v>1398</v>
      </c>
      <c r="E4" s="201" t="s">
        <v>1293</v>
      </c>
      <c r="F4" s="201" t="s">
        <v>60</v>
      </c>
      <c r="G4" s="220" t="s">
        <v>3821</v>
      </c>
      <c r="H4" s="220" t="s">
        <v>88</v>
      </c>
      <c r="I4" s="292" t="s">
        <v>3822</v>
      </c>
      <c r="J4" s="293" t="s">
        <v>3823</v>
      </c>
      <c r="K4" s="202" t="s">
        <v>3824</v>
      </c>
      <c r="L4" s="202" t="s">
        <v>2453</v>
      </c>
      <c r="M4" s="221" t="s">
        <v>94</v>
      </c>
      <c r="N4" s="294" t="s">
        <v>3825</v>
      </c>
      <c r="O4" s="294" t="s">
        <v>2455</v>
      </c>
      <c r="P4" s="295" t="s">
        <v>3826</v>
      </c>
      <c r="Q4" s="295" t="s">
        <v>3827</v>
      </c>
      <c r="R4" s="295" t="s">
        <v>3828</v>
      </c>
      <c r="S4" s="295" t="s">
        <v>3829</v>
      </c>
      <c r="T4" s="298" t="s">
        <v>1261</v>
      </c>
      <c r="U4" s="298" t="s">
        <v>3830</v>
      </c>
      <c r="V4" s="299" t="s">
        <v>3831</v>
      </c>
    </row>
    <row r="5" ht="21.95" customHeight="1" spans="1:22">
      <c r="A5" s="204" t="str">
        <f t="shared" si="0"/>
        <v>C01-001</v>
      </c>
      <c r="B5" s="203"/>
      <c r="C5" s="203"/>
      <c r="D5" s="203"/>
      <c r="E5" s="203"/>
      <c r="F5" s="204" t="e">
        <f>VLOOKUP($D5,材料[],2,FALSE)</f>
        <v>#N/A</v>
      </c>
      <c r="G5" s="204" t="e">
        <f>VLOOKUP($D5,材料[],4,FALSE)</f>
        <v>#N/A</v>
      </c>
      <c r="H5" s="204" t="e">
        <f>VLOOKUP($D5,材料[],3,FALSE)</f>
        <v>#N/A</v>
      </c>
      <c r="I5" s="222" t="e">
        <f t="shared" si="1"/>
        <v>#N/A</v>
      </c>
      <c r="J5" s="204">
        <f ca="1">SUMIFS('01工程产值对比表'!T:T,'01工程产值对比表'!$C:$C,"材料2",'01工程产值对比表'!$D:$D,$D5)</f>
        <v>0</v>
      </c>
      <c r="K5" s="223" t="e">
        <f ca="1" t="shared" si="2"/>
        <v>#N/A</v>
      </c>
      <c r="L5" s="224">
        <f ca="1">IFERROR(SUMIFS('02综合台帐（人材机）'!P:P,'02综合台帐（人材机）'!$F:$F,"材料2",'02综合台帐（人材机）'!$K:$K,$D5)*J5/SUMIF($D:$D,$D5,J:J),0)</f>
        <v>0</v>
      </c>
      <c r="M5" s="225">
        <f ca="1" t="shared" si="3"/>
        <v>0</v>
      </c>
      <c r="N5" s="225">
        <f ca="1">IFERROR(SUMIFS('02综合台帐（人材机）'!Q:Q,'02综合台帐（人材机）'!$F:$F,"材料2",'02综合台帐（人材机）'!$K:$K,$D5)*J5/SUMIF($D:$D,$D5,J:J),0)</f>
        <v>0</v>
      </c>
      <c r="O5" s="225">
        <f ca="1">IFERROR(SUMIFS('02综合台帐（人材机）'!T:T,'02综合台帐（人材机）'!$F:$F,"材料2",'02综合台帐（人材机）'!$K:$K,$D5)*J5/SUMIF($D:$D,$D5,J:J),0)</f>
        <v>0</v>
      </c>
      <c r="P5" s="223">
        <f ca="1">IFERROR(SUMIFS('02综合台帐（人材机）'!U:U,'02综合台帐（人材机）'!$F:$F,"材料2",'02综合台帐（人材机）'!$K:$K,$D5)*J5/SUMIF($D:$D,$D5,J:J),0)</f>
        <v>0</v>
      </c>
      <c r="Q5" s="224" t="e">
        <f ca="1" t="shared" si="4"/>
        <v>#N/A</v>
      </c>
      <c r="R5" s="235">
        <f ca="1" t="shared" si="5"/>
        <v>0</v>
      </c>
      <c r="S5" s="235">
        <f ca="1" t="shared" si="6"/>
        <v>0</v>
      </c>
      <c r="T5" s="236"/>
      <c r="U5" s="236"/>
      <c r="V5" s="236"/>
    </row>
    <row r="6" ht="21.95" customHeight="1" spans="1:22">
      <c r="A6" s="203" t="s">
        <v>1270</v>
      </c>
      <c r="B6" s="203"/>
      <c r="C6" s="203" t="s">
        <v>1305</v>
      </c>
      <c r="D6" s="203" t="s">
        <v>59</v>
      </c>
      <c r="E6" s="203"/>
      <c r="F6" s="203"/>
      <c r="G6" s="203"/>
      <c r="H6" s="205"/>
      <c r="I6" s="226">
        <f>SUM(I7:I2000)</f>
        <v>29331230.5831834</v>
      </c>
      <c r="J6" s="203"/>
      <c r="K6" s="226">
        <f>SUM(K7:K2000)</f>
        <v>25104497.7063746</v>
      </c>
      <c r="L6" s="227"/>
      <c r="M6" s="228"/>
      <c r="N6" s="228">
        <f ca="1">SUM(N7:N2000)</f>
        <v>0</v>
      </c>
      <c r="O6" s="228"/>
      <c r="P6" s="228">
        <f ca="1">SUM(P7:P2000)</f>
        <v>0</v>
      </c>
      <c r="Q6" s="238">
        <f ca="1">SUM(Q7:Q2000)</f>
        <v>25104497.7063746</v>
      </c>
      <c r="R6" s="239">
        <f ca="1">SUM(R7:R2000)</f>
        <v>0</v>
      </c>
      <c r="S6" s="239">
        <f ca="1">SUM(S7:S2000)</f>
        <v>25104497.7063746</v>
      </c>
      <c r="T6" s="236"/>
      <c r="U6" s="236"/>
      <c r="V6" s="236"/>
    </row>
    <row r="7" spans="1:22">
      <c r="A7" s="206" t="str">
        <f t="shared" si="0"/>
        <v>C01001</v>
      </c>
      <c r="B7" s="206"/>
      <c r="C7" s="206"/>
      <c r="D7" s="206" t="s">
        <v>35</v>
      </c>
      <c r="E7" s="206"/>
      <c r="F7" s="256" t="s">
        <v>82</v>
      </c>
      <c r="G7" s="206">
        <v>14774.217072</v>
      </c>
      <c r="H7" s="287">
        <v>415.929203539823</v>
      </c>
      <c r="I7" s="206">
        <f t="shared" si="1"/>
        <v>6145028.33968142</v>
      </c>
      <c r="J7" s="206">
        <v>14759.569572</v>
      </c>
      <c r="K7" s="206">
        <f t="shared" si="2"/>
        <v>6138936.01667257</v>
      </c>
      <c r="L7" s="206">
        <f ca="1">IFERROR(SUMIFS('02综合台帐（人材机）'!P:P,'02综合台帐（人材机）'!$F:$F,"材料2",'02综合台帐（人材机）'!$K:$K,$D7)*J7/SUMIF($D:$D,$D7,J:J),0)</f>
        <v>0</v>
      </c>
      <c r="M7" s="206">
        <f ca="1" t="shared" si="3"/>
        <v>0</v>
      </c>
      <c r="N7" s="206">
        <f ca="1">IFERROR(SUMIFS('02综合台帐（人材机）'!Q:Q,'02综合台帐（人材机）'!$F:$F,"材料2",'02综合台帐（人材机）'!$K:$K,$D7)*J7/SUMIF($D:$D,$D7,J:J),0)</f>
        <v>0</v>
      </c>
      <c r="O7" s="206">
        <f ca="1">IFERROR(SUMIFS('02综合台帐（人材机）'!T:T,'02综合台帐（人材机）'!$F:$F,"材料2",'02综合台帐（人材机）'!$K:$K,$D7)*J7/SUMIF($D:$D,$D7,J:J),0)</f>
        <v>0</v>
      </c>
      <c r="P7" s="232">
        <f ca="1">IFERROR(SUMIFS('02综合台帐（人材机）'!U:U,'02综合台帐（人材机）'!$F:$F,"材料2",'02综合台帐（人材机）'!$K:$K,$D7)*J7/SUMIF($D:$D,$D7,J:J),0)</f>
        <v>0</v>
      </c>
      <c r="Q7" s="206">
        <f ca="1" t="shared" si="4"/>
        <v>6138936.01667257</v>
      </c>
      <c r="R7" s="206">
        <f ca="1" t="shared" si="5"/>
        <v>0</v>
      </c>
      <c r="S7" s="206">
        <f ca="1" t="shared" si="6"/>
        <v>6138936.01667257</v>
      </c>
      <c r="T7" s="206"/>
      <c r="U7" s="206"/>
      <c r="V7" s="206"/>
    </row>
    <row r="8" spans="1:22">
      <c r="A8" s="206" t="str">
        <f t="shared" si="0"/>
        <v>C01002</v>
      </c>
      <c r="B8" s="206"/>
      <c r="C8" s="206"/>
      <c r="D8" s="206" t="s">
        <v>36</v>
      </c>
      <c r="E8" s="206"/>
      <c r="F8" s="256" t="s">
        <v>82</v>
      </c>
      <c r="G8" s="206">
        <v>25588.0789408</v>
      </c>
      <c r="H8" s="287">
        <v>127</v>
      </c>
      <c r="I8" s="206">
        <f t="shared" si="1"/>
        <v>3249686.0254816</v>
      </c>
      <c r="J8" s="206">
        <v>25434.9855408</v>
      </c>
      <c r="K8" s="206">
        <f t="shared" si="2"/>
        <v>3230243.1636816</v>
      </c>
      <c r="L8" s="206">
        <f ca="1">IFERROR(SUMIFS('02综合台帐（人材机）'!P:P,'02综合台帐（人材机）'!$F:$F,"材料2",'02综合台帐（人材机）'!$K:$K,$D8)*J8/SUMIF($D:$D,$D8,J:J),0)</f>
        <v>0</v>
      </c>
      <c r="M8" s="206">
        <f ca="1" t="shared" si="3"/>
        <v>0</v>
      </c>
      <c r="N8" s="206">
        <f ca="1">IFERROR(SUMIFS('02综合台帐（人材机）'!Q:Q,'02综合台帐（人材机）'!$F:$F,"材料2",'02综合台帐（人材机）'!$K:$K,$D8)*J8/SUMIF($D:$D,$D8,J:J),0)</f>
        <v>0</v>
      </c>
      <c r="O8" s="206">
        <f ca="1">IFERROR(SUMIFS('02综合台帐（人材机）'!T:T,'02综合台帐（人材机）'!$F:$F,"材料2",'02综合台帐（人材机）'!$K:$K,$D8)*J8/SUMIF($D:$D,$D8,J:J),0)</f>
        <v>0</v>
      </c>
      <c r="P8" s="232">
        <f ca="1">IFERROR(SUMIFS('02综合台帐（人材机）'!U:U,'02综合台帐（人材机）'!$F:$F,"材料2",'02综合台帐（人材机）'!$K:$K,$D8)*J8/SUMIF($D:$D,$D8,J:J),0)</f>
        <v>0</v>
      </c>
      <c r="Q8" s="206">
        <f ca="1" t="shared" si="4"/>
        <v>3230243.1636816</v>
      </c>
      <c r="R8" s="206">
        <f ca="1" t="shared" si="5"/>
        <v>0</v>
      </c>
      <c r="S8" s="206">
        <f ca="1" t="shared" si="6"/>
        <v>3230243.1636816</v>
      </c>
      <c r="T8" s="206"/>
      <c r="U8" s="206"/>
      <c r="V8" s="206"/>
    </row>
    <row r="9" spans="1:22">
      <c r="A9" s="206" t="str">
        <f t="shared" si="0"/>
        <v>C01003</v>
      </c>
      <c r="B9" s="206"/>
      <c r="C9" s="206"/>
      <c r="D9" s="206" t="s">
        <v>37</v>
      </c>
      <c r="E9" s="206"/>
      <c r="F9" s="256" t="s">
        <v>82</v>
      </c>
      <c r="G9" s="206">
        <v>45321.5340452</v>
      </c>
      <c r="H9" s="287">
        <v>127</v>
      </c>
      <c r="I9" s="206">
        <f t="shared" si="1"/>
        <v>5755834.8237404</v>
      </c>
      <c r="J9" s="206">
        <v>45275.2290452</v>
      </c>
      <c r="K9" s="206">
        <f t="shared" si="2"/>
        <v>5749954.0887404</v>
      </c>
      <c r="L9" s="206">
        <f ca="1">IFERROR(SUMIFS('02综合台帐（人材机）'!P:P,'02综合台帐（人材机）'!$F:$F,"材料2",'02综合台帐（人材机）'!$K:$K,$D9)*J9/SUMIF($D:$D,$D9,J:J),0)</f>
        <v>0</v>
      </c>
      <c r="M9" s="206">
        <f ca="1" t="shared" si="3"/>
        <v>0</v>
      </c>
      <c r="N9" s="206">
        <f ca="1">IFERROR(SUMIFS('02综合台帐（人材机）'!Q:Q,'02综合台帐（人材机）'!$F:$F,"材料2",'02综合台帐（人材机）'!$K:$K,$D9)*J9/SUMIF($D:$D,$D9,J:J),0)</f>
        <v>0</v>
      </c>
      <c r="O9" s="206">
        <f ca="1">IFERROR(SUMIFS('02综合台帐（人材机）'!T:T,'02综合台帐（人材机）'!$F:$F,"材料2",'02综合台帐（人材机）'!$K:$K,$D9)*J9/SUMIF($D:$D,$D9,J:J),0)</f>
        <v>0</v>
      </c>
      <c r="P9" s="232">
        <f ca="1">IFERROR(SUMIFS('02综合台帐（人材机）'!U:U,'02综合台帐（人材机）'!$F:$F,"材料2",'02综合台帐（人材机）'!$K:$K,$D9)*J9/SUMIF($D:$D,$D9,J:J),0)</f>
        <v>0</v>
      </c>
      <c r="Q9" s="206">
        <f ca="1" t="shared" si="4"/>
        <v>5749954.0887404</v>
      </c>
      <c r="R9" s="206">
        <f ca="1" t="shared" si="5"/>
        <v>0</v>
      </c>
      <c r="S9" s="206">
        <f ca="1" t="shared" si="6"/>
        <v>5749954.0887404</v>
      </c>
      <c r="T9" s="206"/>
      <c r="U9" s="206"/>
      <c r="V9" s="206"/>
    </row>
    <row r="10" spans="1:22">
      <c r="A10" s="206" t="str">
        <f t="shared" si="0"/>
        <v>C01004</v>
      </c>
      <c r="B10" s="206"/>
      <c r="C10" s="206"/>
      <c r="D10" s="206" t="s">
        <v>37</v>
      </c>
      <c r="E10" s="206"/>
      <c r="F10" s="256" t="s">
        <v>82</v>
      </c>
      <c r="G10" s="206">
        <v>29621.2772806</v>
      </c>
      <c r="H10" s="287">
        <v>300</v>
      </c>
      <c r="I10" s="206">
        <f t="shared" si="1"/>
        <v>8886383.18418</v>
      </c>
      <c r="J10" s="206">
        <v>29590.1395306</v>
      </c>
      <c r="K10" s="206">
        <f t="shared" si="2"/>
        <v>8877041.85918</v>
      </c>
      <c r="L10" s="206">
        <f ca="1">IFERROR(SUMIFS('02综合台帐（人材机）'!P:P,'02综合台帐（人材机）'!$F:$F,"材料2",'02综合台帐（人材机）'!$K:$K,$D10)*J10/SUMIF($D:$D,$D10,J:J),0)</f>
        <v>0</v>
      </c>
      <c r="M10" s="206">
        <f ca="1" t="shared" si="3"/>
        <v>0</v>
      </c>
      <c r="N10" s="206">
        <f ca="1">IFERROR(SUMIFS('02综合台帐（人材机）'!Q:Q,'02综合台帐（人材机）'!$F:$F,"材料2",'02综合台帐（人材机）'!$K:$K,$D10)*J10/SUMIF($D:$D,$D10,J:J),0)</f>
        <v>0</v>
      </c>
      <c r="O10" s="206">
        <f ca="1">IFERROR(SUMIFS('02综合台帐（人材机）'!T:T,'02综合台帐（人材机）'!$F:$F,"材料2",'02综合台帐（人材机）'!$K:$K,$D10)*J10/SUMIF($D:$D,$D10,J:J),0)</f>
        <v>0</v>
      </c>
      <c r="P10" s="232">
        <f ca="1">IFERROR(SUMIFS('02综合台帐（人材机）'!U:U,'02综合台帐（人材机）'!$F:$F,"材料2",'02综合台帐（人材机）'!$K:$K,$D10)*J10/SUMIF($D:$D,$D10,J:J),0)</f>
        <v>0</v>
      </c>
      <c r="Q10" s="206">
        <f ca="1" t="shared" si="4"/>
        <v>8877041.85918</v>
      </c>
      <c r="R10" s="206">
        <f ca="1" t="shared" si="5"/>
        <v>0</v>
      </c>
      <c r="S10" s="206">
        <f ca="1" t="shared" si="6"/>
        <v>8877041.85918</v>
      </c>
      <c r="T10" s="206"/>
      <c r="U10" s="206"/>
      <c r="V10" s="206"/>
    </row>
    <row r="11" spans="1:22">
      <c r="A11" s="206" t="str">
        <f t="shared" si="0"/>
        <v>C01005</v>
      </c>
      <c r="B11" s="206"/>
      <c r="C11" s="206"/>
      <c r="D11" s="206" t="s">
        <v>38</v>
      </c>
      <c r="E11" s="206"/>
      <c r="F11" s="256" t="s">
        <v>82</v>
      </c>
      <c r="G11" s="206">
        <v>3300.24595</v>
      </c>
      <c r="H11" s="287">
        <v>90</v>
      </c>
      <c r="I11" s="206">
        <f t="shared" si="1"/>
        <v>297022.1355</v>
      </c>
      <c r="J11" s="206">
        <v>3227.85115</v>
      </c>
      <c r="K11" s="206">
        <f t="shared" si="2"/>
        <v>290506.6035</v>
      </c>
      <c r="L11" s="206">
        <f ca="1">IFERROR(SUMIFS('02综合台帐（人材机）'!P:P,'02综合台帐（人材机）'!$F:$F,"材料2",'02综合台帐（人材机）'!$K:$K,$D11)*J11/SUMIF($D:$D,$D11,J:J),0)</f>
        <v>0</v>
      </c>
      <c r="M11" s="206">
        <f ca="1" t="shared" si="3"/>
        <v>0</v>
      </c>
      <c r="N11" s="206">
        <f ca="1">IFERROR(SUMIFS('02综合台帐（人材机）'!Q:Q,'02综合台帐（人材机）'!$F:$F,"材料2",'02综合台帐（人材机）'!$K:$K,$D11)*J11/SUMIF($D:$D,$D11,J:J),0)</f>
        <v>0</v>
      </c>
      <c r="O11" s="206">
        <f ca="1">IFERROR(SUMIFS('02综合台帐（人材机）'!T:T,'02综合台帐（人材机）'!$F:$F,"材料2",'02综合台帐（人材机）'!$K:$K,$D11)*J11/SUMIF($D:$D,$D11,J:J),0)</f>
        <v>0</v>
      </c>
      <c r="P11" s="232">
        <f ca="1">IFERROR(SUMIFS('02综合台帐（人材机）'!U:U,'02综合台帐（人材机）'!$F:$F,"材料2",'02综合台帐（人材机）'!$K:$K,$D11)*J11/SUMIF($D:$D,$D11,J:J),0)</f>
        <v>0</v>
      </c>
      <c r="Q11" s="206">
        <f ca="1" t="shared" si="4"/>
        <v>290506.6035</v>
      </c>
      <c r="R11" s="206">
        <f ca="1" t="shared" si="5"/>
        <v>0</v>
      </c>
      <c r="S11" s="206">
        <f ca="1" t="shared" si="6"/>
        <v>290506.6035</v>
      </c>
      <c r="T11" s="206"/>
      <c r="U11" s="206"/>
      <c r="V11" s="206"/>
    </row>
    <row r="12" spans="1:22">
      <c r="A12" s="206" t="str">
        <f t="shared" si="0"/>
        <v>C01006</v>
      </c>
      <c r="B12" s="206"/>
      <c r="C12" s="206"/>
      <c r="D12" s="206" t="s">
        <v>40</v>
      </c>
      <c r="E12" s="206"/>
      <c r="F12" s="256" t="s">
        <v>82</v>
      </c>
      <c r="G12" s="206">
        <v>4.29221</v>
      </c>
      <c r="H12" s="287">
        <v>260</v>
      </c>
      <c r="I12" s="206">
        <f t="shared" si="1"/>
        <v>1115.9746</v>
      </c>
      <c r="J12" s="206">
        <v>4.29221</v>
      </c>
      <c r="K12" s="206">
        <f t="shared" si="2"/>
        <v>1115.9746</v>
      </c>
      <c r="L12" s="206">
        <f ca="1">IFERROR(SUMIFS('02综合台帐（人材机）'!P:P,'02综合台帐（人材机）'!$F:$F,"材料2",'02综合台帐（人材机）'!$K:$K,$D12)*J12/SUMIF($D:$D,$D12,J:J),0)</f>
        <v>0</v>
      </c>
      <c r="M12" s="206">
        <f ca="1" t="shared" si="3"/>
        <v>0</v>
      </c>
      <c r="N12" s="206">
        <f ca="1">IFERROR(SUMIFS('02综合台帐（人材机）'!Q:Q,'02综合台帐（人材机）'!$F:$F,"材料2",'02综合台帐（人材机）'!$K:$K,$D12)*J12/SUMIF($D:$D,$D12,J:J),0)</f>
        <v>0</v>
      </c>
      <c r="O12" s="206">
        <f ca="1">IFERROR(SUMIFS('02综合台帐（人材机）'!T:T,'02综合台帐（人材机）'!$F:$F,"材料2",'02综合台帐（人材机）'!$K:$K,$D12)*J12/SUMIF($D:$D,$D12,J:J),0)</f>
        <v>0</v>
      </c>
      <c r="P12" s="232">
        <f ca="1">IFERROR(SUMIFS('02综合台帐（人材机）'!U:U,'02综合台帐（人材机）'!$F:$F,"材料2",'02综合台帐（人材机）'!$K:$K,$D12)*J12/SUMIF($D:$D,$D12,J:J),0)</f>
        <v>0</v>
      </c>
      <c r="Q12" s="206">
        <f ca="1" t="shared" si="4"/>
        <v>1115.9746</v>
      </c>
      <c r="R12" s="206">
        <f ca="1" t="shared" si="5"/>
        <v>0</v>
      </c>
      <c r="S12" s="206">
        <f ca="1" t="shared" si="6"/>
        <v>1115.9746</v>
      </c>
      <c r="T12" s="206"/>
      <c r="U12" s="206"/>
      <c r="V12" s="206"/>
    </row>
    <row r="13" spans="1:22">
      <c r="A13" s="206" t="str">
        <f t="shared" si="0"/>
        <v>C01007</v>
      </c>
      <c r="B13" s="206"/>
      <c r="C13" s="206"/>
      <c r="D13" s="206" t="s">
        <v>389</v>
      </c>
      <c r="E13" s="206"/>
      <c r="F13" s="256" t="str">
        <f>IFERROR(VLOOKUP($D13,材料[],2,FALSE),"")</f>
        <v>t</v>
      </c>
      <c r="G13" s="206">
        <v>329.47</v>
      </c>
      <c r="H13" s="287">
        <f>IFERROR(VLOOKUP($D13,材料[],3,FALSE),"")</f>
        <v>5000</v>
      </c>
      <c r="I13" s="206">
        <f t="shared" si="1"/>
        <v>1647350</v>
      </c>
      <c r="J13" s="206">
        <v>0</v>
      </c>
      <c r="K13" s="206">
        <f t="shared" si="2"/>
        <v>0</v>
      </c>
      <c r="L13" s="206">
        <f ca="1">IFERROR(SUMIFS('02综合台帐（人材机）'!P:P,'02综合台帐（人材机）'!$F:$F,"材料2",'02综合台帐（人材机）'!$K:$K,$D13)*J13/SUMIF($D:$D,$D13,J:J),0)</f>
        <v>0</v>
      </c>
      <c r="M13" s="206">
        <f ca="1" t="shared" si="3"/>
        <v>0</v>
      </c>
      <c r="N13" s="206">
        <f ca="1">IFERROR(SUMIFS('02综合台帐（人材机）'!Q:Q,'02综合台帐（人材机）'!$F:$F,"材料2",'02综合台帐（人材机）'!$K:$K,$D13)*J13/SUMIF($D:$D,$D13,J:J),0)</f>
        <v>0</v>
      </c>
      <c r="O13" s="206">
        <f ca="1">IFERROR(SUMIFS('02综合台帐（人材机）'!T:T,'02综合台帐（人材机）'!$F:$F,"材料2",'02综合台帐（人材机）'!$K:$K,$D13)*J13/SUMIF($D:$D,$D13,J:J),0)</f>
        <v>0</v>
      </c>
      <c r="P13" s="232">
        <f ca="1">IFERROR(SUMIFS('02综合台帐（人材机）'!U:U,'02综合台帐（人材机）'!$F:$F,"材料2",'02综合台帐（人材机）'!$K:$K,$D13)*J13/SUMIF($D:$D,$D13,J:J),0)</f>
        <v>0</v>
      </c>
      <c r="Q13" s="206">
        <f ca="1" t="shared" si="4"/>
        <v>0</v>
      </c>
      <c r="R13" s="206">
        <f ca="1" t="shared" si="5"/>
        <v>0</v>
      </c>
      <c r="S13" s="206">
        <f ca="1" t="shared" si="6"/>
        <v>0</v>
      </c>
      <c r="T13" s="206"/>
      <c r="U13" s="206"/>
      <c r="V13" s="206"/>
    </row>
    <row r="14" spans="1:22">
      <c r="A14" s="206" t="str">
        <f t="shared" si="0"/>
        <v>C01008</v>
      </c>
      <c r="B14" s="206"/>
      <c r="C14" s="206"/>
      <c r="D14" s="206" t="s">
        <v>529</v>
      </c>
      <c r="E14" s="206"/>
      <c r="F14" s="256" t="str">
        <f>IFERROR(VLOOKUP($D14,材料[],2,FALSE),"")</f>
        <v>m2</v>
      </c>
      <c r="G14" s="206">
        <v>2</v>
      </c>
      <c r="H14" s="287">
        <f>IFERROR(VLOOKUP($D14,材料[],3,FALSE),"")</f>
        <v>2.5</v>
      </c>
      <c r="I14" s="206">
        <f t="shared" si="1"/>
        <v>5</v>
      </c>
      <c r="J14" s="206">
        <v>15000</v>
      </c>
      <c r="K14" s="206">
        <f t="shared" si="2"/>
        <v>37500</v>
      </c>
      <c r="L14" s="206">
        <f ca="1">IFERROR(SUMIFS('02综合台帐（人材机）'!P:P,'02综合台帐（人材机）'!$F:$F,"材料2",'02综合台帐（人材机）'!$K:$K,$D14)*J14/SUMIF($D:$D,$D14,J:J),0)</f>
        <v>0</v>
      </c>
      <c r="M14" s="206">
        <f ca="1" t="shared" si="3"/>
        <v>0</v>
      </c>
      <c r="N14" s="206">
        <f ca="1">IFERROR(SUMIFS('02综合台帐（人材机）'!Q:Q,'02综合台帐（人材机）'!$F:$F,"材料2",'02综合台帐（人材机）'!$K:$K,$D14)*J14/SUMIF($D:$D,$D14,J:J),0)</f>
        <v>0</v>
      </c>
      <c r="O14" s="206">
        <f ca="1">IFERROR(SUMIFS('02综合台帐（人材机）'!T:T,'02综合台帐（人材机）'!$F:$F,"材料2",'02综合台帐（人材机）'!$K:$K,$D14)*J14/SUMIF($D:$D,$D14,J:J),0)</f>
        <v>0</v>
      </c>
      <c r="P14" s="232">
        <f ca="1">IFERROR(SUMIFS('02综合台帐（人材机）'!U:U,'02综合台帐（人材机）'!$F:$F,"材料2",'02综合台帐（人材机）'!$K:$K,$D14)*J14/SUMIF($D:$D,$D14,J:J),0)</f>
        <v>0</v>
      </c>
      <c r="Q14" s="206">
        <f ca="1" t="shared" si="4"/>
        <v>37500</v>
      </c>
      <c r="R14" s="206">
        <f ca="1" t="shared" si="5"/>
        <v>0</v>
      </c>
      <c r="S14" s="206">
        <f ca="1" t="shared" si="6"/>
        <v>37500</v>
      </c>
      <c r="T14" s="206"/>
      <c r="U14" s="206"/>
      <c r="V14" s="206"/>
    </row>
    <row r="15" spans="1:22">
      <c r="A15" s="206" t="str">
        <f t="shared" si="0"/>
        <v>C01009</v>
      </c>
      <c r="B15" s="206"/>
      <c r="C15" s="206"/>
      <c r="D15" s="206" t="s">
        <v>397</v>
      </c>
      <c r="E15" s="206"/>
      <c r="F15" s="256" t="str">
        <f>IFERROR(VLOOKUP($D15,材料[],2,FALSE),"")</f>
        <v>t</v>
      </c>
      <c r="G15" s="206">
        <v>652.16</v>
      </c>
      <c r="H15" s="287">
        <f>IFERROR(VLOOKUP($D15,材料[],3,FALSE),"")</f>
        <v>4000</v>
      </c>
      <c r="I15" s="206">
        <f t="shared" si="1"/>
        <v>2608640</v>
      </c>
      <c r="J15" s="206">
        <v>175</v>
      </c>
      <c r="K15" s="206">
        <f t="shared" si="2"/>
        <v>700000</v>
      </c>
      <c r="L15" s="206">
        <f ca="1">IFERROR(SUMIFS('02综合台帐（人材机）'!P:P,'02综合台帐（人材机）'!$F:$F,"材料2",'02综合台帐（人材机）'!$K:$K,$D15)*J15/SUMIF($D:$D,$D15,J:J),0)</f>
        <v>0</v>
      </c>
      <c r="M15" s="206">
        <f ca="1" t="shared" si="3"/>
        <v>0</v>
      </c>
      <c r="N15" s="206">
        <f ca="1">IFERROR(SUMIFS('02综合台帐（人材机）'!Q:Q,'02综合台帐（人材机）'!$F:$F,"材料2",'02综合台帐（人材机）'!$K:$K,$D15)*J15/SUMIF($D:$D,$D15,J:J),0)</f>
        <v>0</v>
      </c>
      <c r="O15" s="206">
        <f ca="1">IFERROR(SUMIFS('02综合台帐（人材机）'!T:T,'02综合台帐（人材机）'!$F:$F,"材料2",'02综合台帐（人材机）'!$K:$K,$D15)*J15/SUMIF($D:$D,$D15,J:J),0)</f>
        <v>0</v>
      </c>
      <c r="P15" s="232">
        <f ca="1">IFERROR(SUMIFS('02综合台帐（人材机）'!U:U,'02综合台帐（人材机）'!$F:$F,"材料2",'02综合台帐（人材机）'!$K:$K,$D15)*J15/SUMIF($D:$D,$D15,J:J),0)</f>
        <v>0</v>
      </c>
      <c r="Q15" s="206">
        <f ca="1" t="shared" si="4"/>
        <v>700000</v>
      </c>
      <c r="R15" s="206">
        <f ca="1" t="shared" si="5"/>
        <v>0</v>
      </c>
      <c r="S15" s="206">
        <f ca="1" t="shared" si="6"/>
        <v>700000</v>
      </c>
      <c r="T15" s="206"/>
      <c r="U15" s="206"/>
      <c r="V15" s="206"/>
    </row>
    <row r="16" spans="1:22">
      <c r="A16" s="206" t="str">
        <f t="shared" si="0"/>
        <v>C01010</v>
      </c>
      <c r="B16" s="206"/>
      <c r="C16" s="206"/>
      <c r="D16" s="206" t="s">
        <v>870</v>
      </c>
      <c r="E16" s="206"/>
      <c r="F16" s="256" t="str">
        <f>IFERROR(VLOOKUP($D16,材料[],2,FALSE),"")</f>
        <v>m3</v>
      </c>
      <c r="G16" s="206">
        <v>1045.53</v>
      </c>
      <c r="H16" s="287">
        <f>IFERROR(VLOOKUP($D16,材料[],3,FALSE),"")</f>
        <v>130</v>
      </c>
      <c r="I16" s="206">
        <f t="shared" si="1"/>
        <v>135918.9</v>
      </c>
      <c r="J16" s="206">
        <v>600</v>
      </c>
      <c r="K16" s="206">
        <f t="shared" si="2"/>
        <v>78000</v>
      </c>
      <c r="L16" s="206">
        <f ca="1">IFERROR(SUMIFS('02综合台帐（人材机）'!P:P,'02综合台帐（人材机）'!$F:$F,"材料2",'02综合台帐（人材机）'!$K:$K,$D16)*J16/SUMIF($D:$D,$D16,J:J),0)</f>
        <v>0</v>
      </c>
      <c r="M16" s="206">
        <f ca="1" t="shared" si="3"/>
        <v>0</v>
      </c>
      <c r="N16" s="206">
        <f ca="1">IFERROR(SUMIFS('02综合台帐（人材机）'!Q:Q,'02综合台帐（人材机）'!$F:$F,"材料2",'02综合台帐（人材机）'!$K:$K,$D16)*J16/SUMIF($D:$D,$D16,J:J),0)</f>
        <v>0</v>
      </c>
      <c r="O16" s="206">
        <f ca="1">IFERROR(SUMIFS('02综合台帐（人材机）'!T:T,'02综合台帐（人材机）'!$F:$F,"材料2",'02综合台帐（人材机）'!$K:$K,$D16)*J16/SUMIF($D:$D,$D16,J:J),0)</f>
        <v>0</v>
      </c>
      <c r="P16" s="232">
        <f ca="1">IFERROR(SUMIFS('02综合台帐（人材机）'!U:U,'02综合台帐（人材机）'!$F:$F,"材料2",'02综合台帐（人材机）'!$K:$K,$D16)*J16/SUMIF($D:$D,$D16,J:J),0)</f>
        <v>0</v>
      </c>
      <c r="Q16" s="206">
        <f ca="1" t="shared" si="4"/>
        <v>78000</v>
      </c>
      <c r="R16" s="206">
        <f ca="1" t="shared" si="5"/>
        <v>0</v>
      </c>
      <c r="S16" s="206">
        <f ca="1" t="shared" si="6"/>
        <v>78000</v>
      </c>
      <c r="T16" s="206"/>
      <c r="U16" s="206"/>
      <c r="V16" s="206"/>
    </row>
    <row r="17" spans="1:22">
      <c r="A17" s="206" t="str">
        <f t="shared" si="0"/>
        <v>C01011</v>
      </c>
      <c r="B17" s="206"/>
      <c r="C17" s="206"/>
      <c r="D17" s="206" t="s">
        <v>885</v>
      </c>
      <c r="E17" s="206"/>
      <c r="F17" s="256" t="str">
        <f>IFERROR(VLOOKUP($D17,材料[],2,FALSE),"")</f>
        <v>m2</v>
      </c>
      <c r="G17" s="206">
        <v>3343.59</v>
      </c>
      <c r="H17" s="287">
        <f>IFERROR(VLOOKUP($D17,材料[],3,FALSE),"")</f>
        <v>180</v>
      </c>
      <c r="I17" s="206">
        <f t="shared" si="1"/>
        <v>601846.2</v>
      </c>
      <c r="J17" s="206">
        <v>0</v>
      </c>
      <c r="K17" s="206">
        <f t="shared" si="2"/>
        <v>0</v>
      </c>
      <c r="L17" s="206">
        <f ca="1">IFERROR(SUMIFS('02综合台帐（人材机）'!P:P,'02综合台帐（人材机）'!$F:$F,"材料2",'02综合台帐（人材机）'!$K:$K,$D17)*J17/SUMIF($D:$D,$D17,J:J),0)</f>
        <v>0</v>
      </c>
      <c r="M17" s="206">
        <f ca="1" t="shared" si="3"/>
        <v>0</v>
      </c>
      <c r="N17" s="206">
        <f ca="1">IFERROR(SUMIFS('02综合台帐（人材机）'!Q:Q,'02综合台帐（人材机）'!$F:$F,"材料2",'02综合台帐（人材机）'!$K:$K,$D17)*J17/SUMIF($D:$D,$D17,J:J),0)</f>
        <v>0</v>
      </c>
      <c r="O17" s="206">
        <f ca="1">IFERROR(SUMIFS('02综合台帐（人材机）'!T:T,'02综合台帐（人材机）'!$F:$F,"材料2",'02综合台帐（人材机）'!$K:$K,$D17)*J17/SUMIF($D:$D,$D17,J:J),0)</f>
        <v>0</v>
      </c>
      <c r="P17" s="232">
        <f ca="1">IFERROR(SUMIFS('02综合台帐（人材机）'!U:U,'02综合台帐（人材机）'!$F:$F,"材料2",'02综合台帐（人材机）'!$K:$K,$D17)*J17/SUMIF($D:$D,$D17,J:J),0)</f>
        <v>0</v>
      </c>
      <c r="Q17" s="206">
        <f ca="1" t="shared" si="4"/>
        <v>0</v>
      </c>
      <c r="R17" s="206">
        <f ca="1" t="shared" si="5"/>
        <v>0</v>
      </c>
      <c r="S17" s="206">
        <f ca="1" t="shared" si="6"/>
        <v>0</v>
      </c>
      <c r="T17" s="206"/>
      <c r="U17" s="206"/>
      <c r="V17" s="206"/>
    </row>
    <row r="18" spans="1:22">
      <c r="A18" s="206" t="str">
        <f t="shared" si="0"/>
        <v>C01012</v>
      </c>
      <c r="B18" s="206"/>
      <c r="C18" s="206"/>
      <c r="D18" s="206" t="s">
        <v>635</v>
      </c>
      <c r="E18" s="206"/>
      <c r="F18" s="256" t="str">
        <f>IFERROR(VLOOKUP($D18,材料[],2,FALSE),"")</f>
        <v>m2</v>
      </c>
      <c r="G18" s="206">
        <v>2</v>
      </c>
      <c r="H18" s="287">
        <f>IFERROR(VLOOKUP($D18,材料[],3,FALSE),"")</f>
        <v>1200</v>
      </c>
      <c r="I18" s="206">
        <f t="shared" si="1"/>
        <v>2400</v>
      </c>
      <c r="J18" s="206">
        <v>1</v>
      </c>
      <c r="K18" s="206">
        <f t="shared" si="2"/>
        <v>1200</v>
      </c>
      <c r="L18" s="206">
        <f ca="1">IFERROR(SUMIFS('02综合台帐（人材机）'!P:P,'02综合台帐（人材机）'!$F:$F,"材料2",'02综合台帐（人材机）'!$K:$K,$D18)*J18/SUMIF($D:$D,$D18,J:J),0)</f>
        <v>0</v>
      </c>
      <c r="M18" s="206">
        <f ca="1" t="shared" si="3"/>
        <v>0</v>
      </c>
      <c r="N18" s="206">
        <f ca="1">IFERROR(SUMIFS('02综合台帐（人材机）'!Q:Q,'02综合台帐（人材机）'!$F:$F,"材料2",'02综合台帐（人材机）'!$K:$K,$D18)*J18/SUMIF($D:$D,$D18,J:J),0)</f>
        <v>0</v>
      </c>
      <c r="O18" s="206">
        <f ca="1">IFERROR(SUMIFS('02综合台帐（人材机）'!T:T,'02综合台帐（人材机）'!$F:$F,"材料2",'02综合台帐（人材机）'!$K:$K,$D18)*J18/SUMIF($D:$D,$D18,J:J),0)</f>
        <v>0</v>
      </c>
      <c r="P18" s="232">
        <f ca="1">IFERROR(SUMIFS('02综合台帐（人材机）'!U:U,'02综合台帐（人材机）'!$F:$F,"材料2",'02综合台帐（人材机）'!$K:$K,$D18)*J18/SUMIF($D:$D,$D18,J:J),0)</f>
        <v>0</v>
      </c>
      <c r="Q18" s="206">
        <f ca="1" t="shared" si="4"/>
        <v>1200</v>
      </c>
      <c r="R18" s="206">
        <f ca="1" t="shared" si="5"/>
        <v>0</v>
      </c>
      <c r="S18" s="206">
        <f ca="1" t="shared" si="6"/>
        <v>1200</v>
      </c>
      <c r="T18" s="206"/>
      <c r="U18" s="206"/>
      <c r="V18" s="206"/>
    </row>
    <row r="529" spans="1:1">
      <c r="A529" s="1"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4.25"/>
  <cols>
    <col min="1" max="1" width="9.75" style="1" customWidth="1"/>
    <col min="2" max="2" width="10" style="1" customWidth="1"/>
    <col min="3" max="3" width="10.25" style="240" customWidth="1"/>
    <col min="4" max="4" width="23.5" style="241" customWidth="1"/>
    <col min="5" max="5" width="15.375" style="1" customWidth="1"/>
    <col min="6" max="6" width="6.125" style="240" customWidth="1"/>
    <col min="7" max="7" width="11.375" style="1" customWidth="1"/>
    <col min="8" max="8" width="9.375" style="1" customWidth="1"/>
    <col min="9" max="9" width="13.375" style="1" customWidth="1"/>
    <col min="10" max="10" width="9.125" style="1" customWidth="1"/>
    <col min="11" max="11" width="11.75" style="1" customWidth="1"/>
    <col min="12" max="12" width="9.375" style="1" customWidth="1"/>
    <col min="13" max="13" width="10.25" style="1" customWidth="1"/>
    <col min="14" max="14" width="9.875" style="1" customWidth="1"/>
    <col min="15" max="15" width="8.875" style="1" customWidth="1"/>
    <col min="16" max="16" width="11.875" style="1" customWidth="1"/>
    <col min="17" max="17" width="10" style="1" customWidth="1"/>
    <col min="18" max="18" width="11.75" style="1" customWidth="1"/>
    <col min="19" max="19" width="14.125" style="1" customWidth="1"/>
    <col min="20" max="20" width="8.5" style="1" customWidth="1"/>
    <col min="21" max="21" width="9.875" style="1" customWidth="1"/>
    <col min="22" max="22" width="9" style="1"/>
    <col min="23" max="23" width="10.375" style="1" customWidth="1"/>
    <col min="24" max="24" width="8.5" style="1" customWidth="1"/>
    <col min="25" max="16384" width="9" style="1"/>
  </cols>
  <sheetData>
    <row r="1" ht="31.15" customHeight="1" spans="1:20">
      <c r="A1" s="242" t="s">
        <v>3833</v>
      </c>
      <c r="B1" s="243"/>
      <c r="C1" s="244"/>
      <c r="D1" s="243"/>
      <c r="E1" s="115"/>
      <c r="F1" s="244"/>
      <c r="G1" s="115"/>
      <c r="H1" s="115"/>
      <c r="I1" s="207" t="s">
        <v>3811</v>
      </c>
      <c r="J1" s="208" t="s">
        <v>3812</v>
      </c>
      <c r="K1" s="209" t="s">
        <v>3813</v>
      </c>
      <c r="L1" s="115"/>
      <c r="M1" s="258"/>
      <c r="N1" s="115"/>
      <c r="O1" s="115"/>
      <c r="P1" s="115"/>
      <c r="Q1" s="271"/>
      <c r="R1" s="271"/>
      <c r="S1" s="272" t="s">
        <v>3834</v>
      </c>
      <c r="T1" s="271"/>
    </row>
    <row r="2" s="189" customFormat="1" ht="15" spans="1:20">
      <c r="A2" s="190" t="str">
        <f t="shared" ref="A2:A12" si="0">$A$6&amp;TEXT(ROW()-6,"000")</f>
        <v>D01-004</v>
      </c>
      <c r="C2" s="245" t="e">
        <f>IF(F2="","单位","分项")</f>
        <v>#N/A</v>
      </c>
      <c r="D2" s="246"/>
      <c r="F2" s="245" t="e">
        <f>VLOOKUP($D2,机械[],2,FALSE)</f>
        <v>#N/A</v>
      </c>
      <c r="G2" s="192" t="e">
        <f>VLOOKUP($D2,机械[],4,FALSE)</f>
        <v>#N/A</v>
      </c>
      <c r="H2" s="192" t="e">
        <f>VLOOKUP($D2,机械[],3,FALSE)</f>
        <v>#N/A</v>
      </c>
      <c r="I2" s="192" t="e">
        <f t="shared" ref="I2:I12" si="1">+G2*H2</f>
        <v>#N/A</v>
      </c>
      <c r="J2" s="192">
        <f ca="1">SUMIFS('01工程产值对比表'!T:T,'01工程产值对比表'!$C:$C,"机械",'01工程产值对比表'!$D:$D,$D2)</f>
        <v>0</v>
      </c>
      <c r="K2" s="192" t="e">
        <f ca="1" t="shared" ref="K2:K12" si="2">+J2*H2</f>
        <v>#N/A</v>
      </c>
      <c r="L2" s="210">
        <f ca="1">IFERROR(SUMIFS('02综合台帐（人材机）'!P:P,'02综合台帐（人材机）'!$F:$F,"机械",'02综合台帐（人材机）'!$K:$K,$D2)*J2/SUMIF($D:$D,$D2,J:J),0)</f>
        <v>0</v>
      </c>
      <c r="M2" s="210">
        <f ca="1" t="shared" ref="M2:M12" si="3">IFERROR(+N2/L2,0)</f>
        <v>0</v>
      </c>
      <c r="N2" s="211">
        <f ca="1">IFERROR(SUMIFS('02综合台帐（人材机）'!Q:Q,'02综合台帐（人材机）'!$F:$F,"机械",'02综合台帐（人材机）'!$K:$K,$D2)*J2/SUMIF($D:$D,$D2,J:J),0)</f>
        <v>0</v>
      </c>
      <c r="O2" s="189">
        <f ca="1">IFERROR(SUMIFS('02综合台帐（人材机）'!T:T,'02综合台帐（人材机）'!$F:$F,"机械",'02综合台帐（人材机）'!$K:$K,$D2)*J2/SUMIF($D:$D,$D2,J:J),0)</f>
        <v>0</v>
      </c>
      <c r="P2" s="210">
        <f ca="1">IFERROR(SUMIFS('02综合台帐（人材机）'!U:U,'02综合台帐（人材机）'!$F:$F,"机械",'02综合台帐（人材机）'!$K:$K,$D2)*J2/SUMIF($D:$D,$D2,J:J),0)</f>
        <v>0</v>
      </c>
      <c r="Q2" s="210" t="e">
        <f ca="1" t="shared" ref="Q2:Q12" si="4">-M2*J2+H2*J2</f>
        <v>#N/A</v>
      </c>
      <c r="R2" s="210">
        <f ca="1" t="shared" ref="R2:R12" si="5">IFERROR(-O2*M2+M2*J2,0)</f>
        <v>0</v>
      </c>
      <c r="S2" s="189">
        <f ca="1" t="shared" ref="S2:S12" si="6">IFERROR(K2-P2,0)</f>
        <v>0</v>
      </c>
      <c r="T2" s="210"/>
    </row>
    <row r="3" ht="21" customHeight="1" spans="1:22">
      <c r="A3" s="247"/>
      <c r="B3" s="248"/>
      <c r="C3" s="249"/>
      <c r="D3" s="249"/>
      <c r="E3" s="249"/>
      <c r="F3" s="249"/>
      <c r="G3" s="250" t="s">
        <v>3815</v>
      </c>
      <c r="H3" s="251"/>
      <c r="I3" s="259"/>
      <c r="J3" s="250" t="s">
        <v>3816</v>
      </c>
      <c r="K3" s="251"/>
      <c r="L3" s="260" t="s">
        <v>3817</v>
      </c>
      <c r="M3" s="261"/>
      <c r="N3" s="262"/>
      <c r="O3" s="263" t="s">
        <v>3818</v>
      </c>
      <c r="P3" s="251"/>
      <c r="Q3" s="250" t="s">
        <v>3819</v>
      </c>
      <c r="R3" s="251"/>
      <c r="S3" s="250"/>
      <c r="T3" s="273"/>
      <c r="U3" s="273"/>
      <c r="V3" s="274"/>
    </row>
    <row r="4" ht="31.15" customHeight="1" spans="1:24">
      <c r="A4" s="252" t="s">
        <v>1253</v>
      </c>
      <c r="B4" s="253" t="s">
        <v>1290</v>
      </c>
      <c r="C4" s="253" t="s">
        <v>3820</v>
      </c>
      <c r="D4" s="253" t="s">
        <v>1398</v>
      </c>
      <c r="E4" s="253" t="s">
        <v>1293</v>
      </c>
      <c r="F4" s="253" t="s">
        <v>60</v>
      </c>
      <c r="G4" s="254" t="s">
        <v>3821</v>
      </c>
      <c r="H4" s="254" t="s">
        <v>88</v>
      </c>
      <c r="I4" s="264" t="s">
        <v>3822</v>
      </c>
      <c r="J4" s="265" t="s">
        <v>3823</v>
      </c>
      <c r="K4" s="254" t="s">
        <v>3824</v>
      </c>
      <c r="L4" s="254" t="s">
        <v>2453</v>
      </c>
      <c r="M4" s="266" t="s">
        <v>94</v>
      </c>
      <c r="N4" s="254" t="s">
        <v>3825</v>
      </c>
      <c r="O4" s="254" t="s">
        <v>2455</v>
      </c>
      <c r="P4" s="254" t="s">
        <v>3826</v>
      </c>
      <c r="Q4" s="254" t="s">
        <v>3827</v>
      </c>
      <c r="R4" s="254" t="s">
        <v>3828</v>
      </c>
      <c r="S4" s="254" t="s">
        <v>3829</v>
      </c>
      <c r="T4" s="253" t="s">
        <v>1261</v>
      </c>
      <c r="U4" s="253" t="s">
        <v>3830</v>
      </c>
      <c r="V4" s="275" t="s">
        <v>3831</v>
      </c>
      <c r="X4" s="1" t="s">
        <v>3835</v>
      </c>
    </row>
    <row r="5" ht="27" customHeight="1" spans="1:22">
      <c r="A5" s="255" t="str">
        <f t="shared" si="0"/>
        <v>D01-001</v>
      </c>
      <c r="B5" s="255"/>
      <c r="C5" s="255"/>
      <c r="D5" s="255"/>
      <c r="E5" s="255"/>
      <c r="F5" s="255" t="e">
        <f>VLOOKUP($D5,机械[],2,FALSE)</f>
        <v>#N/A</v>
      </c>
      <c r="G5" s="255" t="e">
        <f>VLOOKUP($D5,机械[],4,FALSE)</f>
        <v>#N/A</v>
      </c>
      <c r="H5" s="255" t="e">
        <f>VLOOKUP($D5,机械[],3,FALSE)</f>
        <v>#N/A</v>
      </c>
      <c r="I5" s="267" t="e">
        <f t="shared" si="1"/>
        <v>#N/A</v>
      </c>
      <c r="J5" s="255">
        <f ca="1">SUMIFS('01工程产值对比表'!T:T,'01工程产值对比表'!$C:$C,"机械",'01工程产值对比表'!$D:$D,$D5)</f>
        <v>0</v>
      </c>
      <c r="K5" s="268" t="e">
        <f ca="1" t="shared" si="2"/>
        <v>#N/A</v>
      </c>
      <c r="L5" s="269">
        <f ca="1">IFERROR(SUMIFS('02综合台帐（人材机）'!P:P,'02综合台帐（人材机）'!$F:$F,"机械",'02综合台帐（人材机）'!$K:$K,$D5)*J5/SUMIF($D:$D,$D5,J:J),0)</f>
        <v>0</v>
      </c>
      <c r="M5" s="270">
        <f ca="1" t="shared" si="3"/>
        <v>0</v>
      </c>
      <c r="N5" s="270">
        <f ca="1">IFERROR(SUMIFS('02综合台帐（人材机）'!Q:Q,'02综合台帐（人材机）'!$F:$F,"机械",'02综合台帐（人材机）'!$K:$K,$D5)*J5/SUMIF($D:$D,$D5,J:J),0)</f>
        <v>0</v>
      </c>
      <c r="O5" s="270">
        <f ca="1">IFERROR(SUMIFS('02综合台帐（人材机）'!T:T,'02综合台帐（人材机）'!$F:$F,"机械",'02综合台帐（人材机）'!$K:$K,$D5)*J5/SUMIF($D:$D,$D5,J:J),0)</f>
        <v>0</v>
      </c>
      <c r="P5" s="268">
        <f ca="1">IFERROR(SUMIFS('02综合台帐（人材机）'!U:U,'02综合台帐（人材机）'!$F:$F,"机械",'02综合台帐（人材机）'!$K:$K,$D5)*J5/SUMIF($D:$D,$D5,J:J),0)</f>
        <v>0</v>
      </c>
      <c r="Q5" s="269" t="e">
        <f ca="1" t="shared" si="4"/>
        <v>#N/A</v>
      </c>
      <c r="R5" s="276">
        <f ca="1" t="shared" si="5"/>
        <v>0</v>
      </c>
      <c r="S5" s="276">
        <f ca="1" t="shared" si="6"/>
        <v>0</v>
      </c>
      <c r="T5" s="277"/>
      <c r="U5" s="277"/>
      <c r="V5" s="277"/>
    </row>
    <row r="6" spans="1:22">
      <c r="A6" s="203" t="s">
        <v>1422</v>
      </c>
      <c r="B6" s="203"/>
      <c r="C6" s="203" t="s">
        <v>1305</v>
      </c>
      <c r="D6" s="203" t="s">
        <v>63</v>
      </c>
      <c r="E6" s="203"/>
      <c r="F6" s="203"/>
      <c r="G6" s="203"/>
      <c r="H6" s="205"/>
      <c r="I6" s="226">
        <f>SUM(I7:I2000)</f>
        <v>3039331.1842</v>
      </c>
      <c r="J6" s="203"/>
      <c r="K6" s="226">
        <f>SUM(K7:K2000)</f>
        <v>673546</v>
      </c>
      <c r="L6" s="227"/>
      <c r="M6" s="228"/>
      <c r="N6" s="228">
        <f ca="1">SUM(N7:N2000)</f>
        <v>0</v>
      </c>
      <c r="O6" s="228"/>
      <c r="P6" s="228">
        <f ca="1">SUM(P7:P2000)</f>
        <v>0</v>
      </c>
      <c r="Q6" s="238">
        <f ca="1">SUM(Q7:Q2000)</f>
        <v>673546</v>
      </c>
      <c r="R6" s="239">
        <f ca="1">SUM(R7:R2000)</f>
        <v>0</v>
      </c>
      <c r="S6" s="239">
        <f ca="1">SUM(S7:S2000)</f>
        <v>673546</v>
      </c>
      <c r="T6" s="236"/>
      <c r="U6" s="236"/>
      <c r="V6" s="236"/>
    </row>
    <row r="7" spans="1:22">
      <c r="A7" s="206" t="str">
        <f t="shared" si="0"/>
        <v>D01001</v>
      </c>
      <c r="B7" s="206"/>
      <c r="C7" s="256"/>
      <c r="D7" s="257" t="s">
        <v>856</v>
      </c>
      <c r="E7" s="206"/>
      <c r="F7" s="256" t="str">
        <f>IFERROR(VLOOKUP($D7,机械[],2,FALSE),"")</f>
        <v>m3</v>
      </c>
      <c r="G7" s="206">
        <v>22915.7498</v>
      </c>
      <c r="H7" s="206">
        <f>IFERROR(VLOOKUP($D7,机械[],3,FALSE),"")</f>
        <v>109</v>
      </c>
      <c r="I7" s="206">
        <f t="shared" si="1"/>
        <v>2497816.7282</v>
      </c>
      <c r="J7" s="206">
        <v>5100</v>
      </c>
      <c r="K7" s="206">
        <f t="shared" si="2"/>
        <v>555900</v>
      </c>
      <c r="L7" s="206">
        <f ca="1">IFERROR(SUMIFS('02综合台帐（人材机）'!P:P,'02综合台帐（人材机）'!$F:$F,"机械",'02综合台帐（人材机）'!$K:$K,$D7)*J7/SUMIF($D:$D,$D7,J:J),0)</f>
        <v>0</v>
      </c>
      <c r="M7" s="206">
        <f ca="1" t="shared" si="3"/>
        <v>0</v>
      </c>
      <c r="N7" s="206">
        <f ca="1">IFERROR(SUMIFS('02综合台帐（人材机）'!Q:Q,'02综合台帐（人材机）'!$F:$F,"机械",'02综合台帐（人材机）'!$K:$K,$D7)*J7/SUMIF($D:$D,$D7,J:J),0)</f>
        <v>0</v>
      </c>
      <c r="O7" s="206">
        <f ca="1">IFERROR(SUMIFS('02综合台帐（人材机）'!T:T,'02综合台帐（人材机）'!$F:$F,"机械",'02综合台帐（人材机）'!$K:$K,$D7)*J7/SUMIF($D:$D,$D7,J:J),0)</f>
        <v>0</v>
      </c>
      <c r="P7" s="232">
        <f ca="1">IFERROR(SUMIFS('02综合台帐（人材机）'!U:U,'02综合台帐（人材机）'!$F:$F,"机械",'02综合台帐（人材机）'!$K:$K,$D7)*J7/SUMIF($D:$D,$D7,J:J),0)</f>
        <v>0</v>
      </c>
      <c r="Q7" s="206">
        <f ca="1" t="shared" si="4"/>
        <v>555900</v>
      </c>
      <c r="R7" s="206">
        <f ca="1" t="shared" si="5"/>
        <v>0</v>
      </c>
      <c r="S7" s="206">
        <f ca="1" t="shared" si="6"/>
        <v>555900</v>
      </c>
      <c r="T7" s="206"/>
      <c r="U7" s="206"/>
      <c r="V7" s="206"/>
    </row>
    <row r="8" spans="1:22">
      <c r="A8" s="206" t="str">
        <f t="shared" si="0"/>
        <v>D01002</v>
      </c>
      <c r="B8" s="206"/>
      <c r="C8" s="256"/>
      <c r="D8" s="257" t="s">
        <v>402</v>
      </c>
      <c r="E8" s="206"/>
      <c r="F8" s="256" t="str">
        <f>IFERROR(VLOOKUP($D8,机械[],2,FALSE),"")</f>
        <v>m3</v>
      </c>
      <c r="G8" s="206">
        <v>18623.5398</v>
      </c>
      <c r="H8" s="206">
        <f>IFERROR(VLOOKUP($D8,机械[],3,FALSE),"")</f>
        <v>6</v>
      </c>
      <c r="I8" s="206">
        <f t="shared" si="1"/>
        <v>111741.2388</v>
      </c>
      <c r="J8" s="206">
        <v>3600</v>
      </c>
      <c r="K8" s="206">
        <f t="shared" si="2"/>
        <v>21600</v>
      </c>
      <c r="L8" s="206">
        <f ca="1">IFERROR(SUMIFS('02综合台帐（人材机）'!P:P,'02综合台帐（人材机）'!$F:$F,"机械",'02综合台帐（人材机）'!$K:$K,$D8)*J8/SUMIF($D:$D,$D8,J:J),0)</f>
        <v>0</v>
      </c>
      <c r="M8" s="206">
        <f ca="1" t="shared" si="3"/>
        <v>0</v>
      </c>
      <c r="N8" s="206">
        <f ca="1">IFERROR(SUMIFS('02综合台帐（人材机）'!Q:Q,'02综合台帐（人材机）'!$F:$F,"机械",'02综合台帐（人材机）'!$K:$K,$D8)*J8/SUMIF($D:$D,$D8,J:J),0)</f>
        <v>0</v>
      </c>
      <c r="O8" s="206">
        <f ca="1">IFERROR(SUMIFS('02综合台帐（人材机）'!T:T,'02综合台帐（人材机）'!$F:$F,"机械",'02综合台帐（人材机）'!$K:$K,$D8)*J8/SUMIF($D:$D,$D8,J:J),0)</f>
        <v>0</v>
      </c>
      <c r="P8" s="232">
        <f ca="1">IFERROR(SUMIFS('02综合台帐（人材机）'!U:U,'02综合台帐（人材机）'!$F:$F,"机械",'02综合台帐（人材机）'!$K:$K,$D8)*J8/SUMIF($D:$D,$D8,J:J),0)</f>
        <v>0</v>
      </c>
      <c r="Q8" s="206">
        <f ca="1" t="shared" si="4"/>
        <v>21600</v>
      </c>
      <c r="R8" s="206">
        <f ca="1" t="shared" si="5"/>
        <v>0</v>
      </c>
      <c r="S8" s="206">
        <f ca="1" t="shared" si="6"/>
        <v>21600</v>
      </c>
      <c r="T8" s="206"/>
      <c r="U8" s="206"/>
      <c r="V8" s="206"/>
    </row>
    <row r="9" spans="1:22">
      <c r="A9" s="206" t="str">
        <f t="shared" si="0"/>
        <v>D01003</v>
      </c>
      <c r="B9" s="206"/>
      <c r="C9" s="256"/>
      <c r="D9" s="257" t="s">
        <v>632</v>
      </c>
      <c r="E9" s="206"/>
      <c r="F9" s="256" t="str">
        <f>IFERROR(VLOOKUP($D9,机械[],2,FALSE),"")</f>
        <v>m3</v>
      </c>
      <c r="G9" s="206">
        <v>38508.5332</v>
      </c>
      <c r="H9" s="206">
        <f>IFERROR(VLOOKUP($D9,机械[],3,FALSE),"")</f>
        <v>5</v>
      </c>
      <c r="I9" s="206">
        <f t="shared" si="1"/>
        <v>192542.666</v>
      </c>
      <c r="J9" s="206">
        <v>8000</v>
      </c>
      <c r="K9" s="206">
        <f t="shared" si="2"/>
        <v>40000</v>
      </c>
      <c r="L9" s="206">
        <f ca="1">IFERROR(SUMIFS('02综合台帐（人材机）'!P:P,'02综合台帐（人材机）'!$F:$F,"机械",'02综合台帐（人材机）'!$K:$K,$D9)*J9/SUMIF($D:$D,$D9,J:J),0)</f>
        <v>0</v>
      </c>
      <c r="M9" s="206">
        <f ca="1" t="shared" si="3"/>
        <v>0</v>
      </c>
      <c r="N9" s="206">
        <f ca="1">IFERROR(SUMIFS('02综合台帐（人材机）'!Q:Q,'02综合台帐（人材机）'!$F:$F,"机械",'02综合台帐（人材机）'!$K:$K,$D9)*J9/SUMIF($D:$D,$D9,J:J),0)</f>
        <v>0</v>
      </c>
      <c r="O9" s="206">
        <f ca="1">IFERROR(SUMIFS('02综合台帐（人材机）'!T:T,'02综合台帐（人材机）'!$F:$F,"机械",'02综合台帐（人材机）'!$K:$K,$D9)*J9/SUMIF($D:$D,$D9,J:J),0)</f>
        <v>0</v>
      </c>
      <c r="P9" s="232">
        <f ca="1">IFERROR(SUMIFS('02综合台帐（人材机）'!U:U,'02综合台帐（人材机）'!$F:$F,"机械",'02综合台帐（人材机）'!$K:$K,$D9)*J9/SUMIF($D:$D,$D9,J:J),0)</f>
        <v>0</v>
      </c>
      <c r="Q9" s="206">
        <f ca="1" t="shared" si="4"/>
        <v>40000</v>
      </c>
      <c r="R9" s="206">
        <f ca="1" t="shared" si="5"/>
        <v>0</v>
      </c>
      <c r="S9" s="206">
        <f ca="1" t="shared" si="6"/>
        <v>40000</v>
      </c>
      <c r="T9" s="206"/>
      <c r="U9" s="206"/>
      <c r="V9" s="206"/>
    </row>
    <row r="10" spans="1:22">
      <c r="A10" s="206" t="str">
        <f t="shared" si="0"/>
        <v>D01004</v>
      </c>
      <c r="B10" s="206"/>
      <c r="C10" s="256"/>
      <c r="D10" s="257" t="s">
        <v>344</v>
      </c>
      <c r="E10" s="206"/>
      <c r="F10" s="256" t="str">
        <f>IFERROR(VLOOKUP($D10,机械[],2,FALSE),"")</f>
        <v>m3</v>
      </c>
      <c r="G10" s="206">
        <v>12340.41</v>
      </c>
      <c r="H10" s="206">
        <f>IFERROR(VLOOKUP($D10,机械[],3,FALSE),"")</f>
        <v>5</v>
      </c>
      <c r="I10" s="206">
        <f t="shared" si="1"/>
        <v>61702.05</v>
      </c>
      <c r="J10" s="206">
        <v>6000</v>
      </c>
      <c r="K10" s="206">
        <f t="shared" si="2"/>
        <v>30000</v>
      </c>
      <c r="L10" s="206">
        <f ca="1">IFERROR(SUMIFS('02综合台帐（人材机）'!P:P,'02综合台帐（人材机）'!$F:$F,"机械",'02综合台帐（人材机）'!$K:$K,$D10)*J10/SUMIF($D:$D,$D10,J:J),0)</f>
        <v>0</v>
      </c>
      <c r="M10" s="206">
        <f ca="1" t="shared" si="3"/>
        <v>0</v>
      </c>
      <c r="N10" s="206">
        <f ca="1">IFERROR(SUMIFS('02综合台帐（人材机）'!Q:Q,'02综合台帐（人材机）'!$F:$F,"机械",'02综合台帐（人材机）'!$K:$K,$D10)*J10/SUMIF($D:$D,$D10,J:J),0)</f>
        <v>0</v>
      </c>
      <c r="O10" s="206">
        <f ca="1">IFERROR(SUMIFS('02综合台帐（人材机）'!T:T,'02综合台帐（人材机）'!$F:$F,"机械",'02综合台帐（人材机）'!$K:$K,$D10)*J10/SUMIF($D:$D,$D10,J:J),0)</f>
        <v>0</v>
      </c>
      <c r="P10" s="232">
        <f ca="1">IFERROR(SUMIFS('02综合台帐（人材机）'!U:U,'02综合台帐（人材机）'!$F:$F,"机械",'02综合台帐（人材机）'!$K:$K,$D10)*J10/SUMIF($D:$D,$D10,J:J),0)</f>
        <v>0</v>
      </c>
      <c r="Q10" s="206">
        <f ca="1" t="shared" si="4"/>
        <v>30000</v>
      </c>
      <c r="R10" s="206">
        <f ca="1" t="shared" si="5"/>
        <v>0</v>
      </c>
      <c r="S10" s="206">
        <f ca="1" t="shared" si="6"/>
        <v>30000</v>
      </c>
      <c r="T10" s="206"/>
      <c r="U10" s="206"/>
      <c r="V10" s="206"/>
    </row>
    <row r="11" spans="1:22">
      <c r="A11" s="206" t="str">
        <f t="shared" si="0"/>
        <v>D01005</v>
      </c>
      <c r="B11" s="206"/>
      <c r="C11" s="256"/>
      <c r="D11" s="257" t="s">
        <v>801</v>
      </c>
      <c r="E11" s="206"/>
      <c r="F11" s="256" t="str">
        <f>IFERROR(VLOOKUP($D11,机械[],2,FALSE),"")</f>
        <v>m3</v>
      </c>
      <c r="G11" s="206">
        <v>18806.32</v>
      </c>
      <c r="H11" s="206">
        <f>IFERROR(VLOOKUP($D11,机械[],3,FALSE),"")</f>
        <v>5.91</v>
      </c>
      <c r="I11" s="206">
        <f t="shared" si="1"/>
        <v>111145.3512</v>
      </c>
      <c r="J11" s="206">
        <v>600</v>
      </c>
      <c r="K11" s="206">
        <f t="shared" si="2"/>
        <v>3546</v>
      </c>
      <c r="L11" s="206">
        <f ca="1">IFERROR(SUMIFS('02综合台帐（人材机）'!P:P,'02综合台帐（人材机）'!$F:$F,"机械",'02综合台帐（人材机）'!$K:$K,$D11)*J11/SUMIF($D:$D,$D11,J:J),0)</f>
        <v>0</v>
      </c>
      <c r="M11" s="206">
        <f ca="1" t="shared" si="3"/>
        <v>0</v>
      </c>
      <c r="N11" s="206">
        <f ca="1">IFERROR(SUMIFS('02综合台帐（人材机）'!Q:Q,'02综合台帐（人材机）'!$F:$F,"机械",'02综合台帐（人材机）'!$K:$K,$D11)*J11/SUMIF($D:$D,$D11,J:J),0)</f>
        <v>0</v>
      </c>
      <c r="O11" s="206">
        <f ca="1">IFERROR(SUMIFS('02综合台帐（人材机）'!T:T,'02综合台帐（人材机）'!$F:$F,"机械",'02综合台帐（人材机）'!$K:$K,$D11)*J11/SUMIF($D:$D,$D11,J:J),0)</f>
        <v>0</v>
      </c>
      <c r="P11" s="232">
        <f ca="1">IFERROR(SUMIFS('02综合台帐（人材机）'!U:U,'02综合台帐（人材机）'!$F:$F,"机械",'02综合台帐（人材机）'!$K:$K,$D11)*J11/SUMIF($D:$D,$D11,J:J),0)</f>
        <v>0</v>
      </c>
      <c r="Q11" s="206">
        <f ca="1" t="shared" si="4"/>
        <v>3546</v>
      </c>
      <c r="R11" s="206">
        <f ca="1" t="shared" si="5"/>
        <v>0</v>
      </c>
      <c r="S11" s="206">
        <f ca="1" t="shared" si="6"/>
        <v>3546</v>
      </c>
      <c r="T11" s="206"/>
      <c r="U11" s="206"/>
      <c r="V11" s="206"/>
    </row>
    <row r="12" spans="1:22">
      <c r="A12" s="206" t="str">
        <f t="shared" si="0"/>
        <v>D01006</v>
      </c>
      <c r="B12" s="206"/>
      <c r="C12" s="256"/>
      <c r="D12" s="257" t="s">
        <v>410</v>
      </c>
      <c r="E12" s="206"/>
      <c r="F12" s="256" t="str">
        <f>IFERROR(VLOOKUP($D12,机械[],2,FALSE),"")</f>
        <v>m3</v>
      </c>
      <c r="G12" s="206">
        <v>4292.21</v>
      </c>
      <c r="H12" s="206">
        <f>IFERROR(VLOOKUP($D12,机械[],3,FALSE),"")</f>
        <v>15</v>
      </c>
      <c r="I12" s="206">
        <f t="shared" si="1"/>
        <v>64383.15</v>
      </c>
      <c r="J12" s="206">
        <v>1500</v>
      </c>
      <c r="K12" s="206">
        <f t="shared" si="2"/>
        <v>22500</v>
      </c>
      <c r="L12" s="206">
        <f ca="1">IFERROR(SUMIFS('02综合台帐（人材机）'!P:P,'02综合台帐（人材机）'!$F:$F,"机械",'02综合台帐（人材机）'!$K:$K,$D12)*J12/SUMIF($D:$D,$D12,J:J),0)</f>
        <v>0</v>
      </c>
      <c r="M12" s="206">
        <f ca="1" t="shared" si="3"/>
        <v>0</v>
      </c>
      <c r="N12" s="206">
        <f ca="1">IFERROR(SUMIFS('02综合台帐（人材机）'!Q:Q,'02综合台帐（人材机）'!$F:$F,"机械",'02综合台帐（人材机）'!$K:$K,$D12)*J12/SUMIF($D:$D,$D12,J:J),0)</f>
        <v>0</v>
      </c>
      <c r="O12" s="206">
        <f ca="1">IFERROR(SUMIFS('02综合台帐（人材机）'!T:T,'02综合台帐（人材机）'!$F:$F,"机械",'02综合台帐（人材机）'!$K:$K,$D12)*J12/SUMIF($D:$D,$D12,J:J),0)</f>
        <v>0</v>
      </c>
      <c r="P12" s="232">
        <f ca="1">IFERROR(SUMIFS('02综合台帐（人材机）'!U:U,'02综合台帐（人材机）'!$F:$F,"机械",'02综合台帐（人材机）'!$K:$K,$D12)*J12/SUMIF($D:$D,$D12,J:J),0)</f>
        <v>0</v>
      </c>
      <c r="Q12" s="206">
        <f ca="1" t="shared" si="4"/>
        <v>22500</v>
      </c>
      <c r="R12" s="206">
        <f ca="1" t="shared" si="5"/>
        <v>0</v>
      </c>
      <c r="S12" s="206">
        <f ca="1" t="shared" si="6"/>
        <v>22500</v>
      </c>
      <c r="T12" s="206"/>
      <c r="U12" s="206"/>
      <c r="V12" s="206"/>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4.25" outlineLevelRow="6"/>
  <cols>
    <col min="1" max="1" width="6" style="1" customWidth="1"/>
    <col min="2" max="2" width="9.75" style="1" customWidth="1"/>
    <col min="3" max="3" width="14.125" style="1" customWidth="1"/>
    <col min="4" max="4" width="20" style="1" customWidth="1"/>
    <col min="5" max="5" width="9.375" style="1" customWidth="1"/>
    <col min="6" max="6" width="8.25" style="1" customWidth="1"/>
    <col min="7" max="7" width="8.125" style="1" customWidth="1"/>
    <col min="8" max="8" width="11.625" style="1" customWidth="1"/>
    <col min="9" max="9" width="14.375" style="1" customWidth="1"/>
    <col min="10" max="10" width="9.5" style="1" customWidth="1"/>
    <col min="11" max="11" width="11.75" style="1" customWidth="1"/>
    <col min="12" max="12" width="8" style="1" customWidth="1"/>
    <col min="13" max="13" width="10.75" style="1" customWidth="1"/>
    <col min="14" max="14" width="9.875" style="1" customWidth="1"/>
    <col min="15" max="20" width="10.5" style="1" customWidth="1"/>
    <col min="21" max="21" width="13.75" style="1" customWidth="1"/>
    <col min="22" max="22" width="9" style="1"/>
    <col min="23" max="24" width="9" style="1" hidden="1" customWidth="1"/>
    <col min="25" max="16384" width="9" style="1"/>
  </cols>
  <sheetData>
    <row r="1" ht="36" customHeight="1" spans="1:20">
      <c r="A1" s="115" t="s">
        <v>3836</v>
      </c>
      <c r="B1" s="115"/>
      <c r="C1" s="115"/>
      <c r="D1" s="115"/>
      <c r="E1" s="115"/>
      <c r="F1" s="115"/>
      <c r="G1" s="115"/>
      <c r="H1" s="115"/>
      <c r="I1" s="207" t="s">
        <v>3811</v>
      </c>
      <c r="J1" s="208" t="s">
        <v>3812</v>
      </c>
      <c r="K1" s="209" t="s">
        <v>3813</v>
      </c>
      <c r="L1" s="115"/>
      <c r="M1" s="115"/>
      <c r="N1" s="115"/>
      <c r="O1" s="115"/>
      <c r="P1" s="115"/>
      <c r="Q1" s="115"/>
      <c r="R1" s="115"/>
      <c r="S1" s="115"/>
      <c r="T1" s="115"/>
    </row>
    <row r="2" s="189" customFormat="1" ht="15" spans="1:20">
      <c r="A2" s="190" t="str">
        <f>A6&amp;TEXT(ROW()-6,"000")</f>
        <v>E01-004</v>
      </c>
      <c r="C2" s="191" t="e">
        <f>IF(F2="","单位","分项")</f>
        <v>#N/A</v>
      </c>
      <c r="F2" s="192" t="e">
        <f>VLOOKUP($D2,分包[],2,FALSE)</f>
        <v>#N/A</v>
      </c>
      <c r="G2" s="192" t="e">
        <f>VLOOKUP($D2,分包[],4,FALSE)</f>
        <v>#N/A</v>
      </c>
      <c r="H2" s="192" t="e">
        <f>VLOOKUP($D2,分包[],3,FALSE)</f>
        <v>#N/A</v>
      </c>
      <c r="I2" s="192" t="e">
        <f t="shared" ref="I2:I7" si="0">+G2*H2</f>
        <v>#N/A</v>
      </c>
      <c r="J2" s="192">
        <f ca="1">SUMIFS('01工程产值对比表'!T:T,'01工程产值对比表'!$C:$C,"分包",'01工程产值对比表'!$D:$D,$D2)</f>
        <v>0</v>
      </c>
      <c r="K2" s="192" t="e">
        <f ca="1" t="shared" ref="K2:K7" si="1">+J2*H2</f>
        <v>#N/A</v>
      </c>
      <c r="L2" s="210">
        <f ca="1">IFERROR(SUMIFS('02综合台帐（人材机）'!P:P,'02综合台帐（人材机）'!$F:$F,"分包",'02综合台帐（人材机）'!$K:$K,$D2)*J2/SUMIF($D:$D,$D2,J:J),0)</f>
        <v>0</v>
      </c>
      <c r="M2" s="210">
        <f ca="1" t="shared" ref="M2:M7" si="2">IFERROR(+N2/L2,0)</f>
        <v>0</v>
      </c>
      <c r="N2" s="211">
        <f ca="1">IFERROR(SUMIFS('02综合台帐（人材机）'!Q:Q,'02综合台帐（人材机）'!$F:$F,"分包",'02综合台帐（人材机）'!$K:$K,$D2)*J2/SUMIF($D:$D,$D2,J:J),0)</f>
        <v>0</v>
      </c>
      <c r="O2" s="189">
        <f ca="1">IFERROR(SUMIFS('02综合台帐（人材机）'!T:T,'02综合台帐（人材机）'!$F:$F,"分包",'02综合台帐（人材机）'!$K:$K,$D2)*J2/SUMIF($D:$D,$D2,J:J),0)</f>
        <v>0</v>
      </c>
      <c r="P2" s="210">
        <f ca="1">IFERROR(SUMIFS('02综合台帐（人材机）'!U:U,'02综合台帐（人材机）'!$F:$F,"分包",'02综合台帐（人材机）'!$K:$K,$D2)*J2/SUMIF($D:$D,$D2,J:J),0)</f>
        <v>0</v>
      </c>
      <c r="Q2" s="210" t="e">
        <f ca="1" t="shared" ref="Q2:Q7" si="3">-M2*J2+H2*J2</f>
        <v>#N/A</v>
      </c>
      <c r="R2" s="210">
        <f ca="1" t="shared" ref="R2:R7" si="4">IFERROR(-O2*M2+M2*J2,0)</f>
        <v>0</v>
      </c>
      <c r="S2" s="189">
        <f ca="1" t="shared" ref="S2:S7" si="5">IFERROR(K2-P2,0)</f>
        <v>0</v>
      </c>
      <c r="T2" s="210"/>
    </row>
    <row r="3" ht="21" customHeight="1" spans="1:22">
      <c r="A3" s="193"/>
      <c r="B3" s="194"/>
      <c r="C3" s="195"/>
      <c r="D3" s="195"/>
      <c r="E3" s="195"/>
      <c r="F3" s="196"/>
      <c r="G3" s="197" t="s">
        <v>3815</v>
      </c>
      <c r="H3" s="198"/>
      <c r="I3" s="212"/>
      <c r="J3" s="213" t="s">
        <v>3816</v>
      </c>
      <c r="K3" s="214"/>
      <c r="L3" s="215" t="s">
        <v>3817</v>
      </c>
      <c r="M3" s="216"/>
      <c r="N3" s="217"/>
      <c r="O3" s="215" t="s">
        <v>3818</v>
      </c>
      <c r="P3" s="216"/>
      <c r="Q3" s="197" t="s">
        <v>3819</v>
      </c>
      <c r="R3" s="216"/>
      <c r="S3" s="197"/>
      <c r="T3" s="196"/>
      <c r="U3" s="196"/>
      <c r="V3" s="233"/>
    </row>
    <row r="4" ht="31.15" customHeight="1" spans="1:22">
      <c r="A4" s="199" t="s">
        <v>1253</v>
      </c>
      <c r="B4" s="200" t="s">
        <v>1290</v>
      </c>
      <c r="C4" s="201" t="s">
        <v>3820</v>
      </c>
      <c r="D4" s="201" t="s">
        <v>1398</v>
      </c>
      <c r="E4" s="201" t="s">
        <v>1293</v>
      </c>
      <c r="F4" s="201" t="s">
        <v>60</v>
      </c>
      <c r="G4" s="202" t="s">
        <v>3821</v>
      </c>
      <c r="H4" s="202" t="s">
        <v>88</v>
      </c>
      <c r="I4" s="218" t="s">
        <v>3822</v>
      </c>
      <c r="J4" s="219" t="s">
        <v>3823</v>
      </c>
      <c r="K4" s="220" t="s">
        <v>3824</v>
      </c>
      <c r="L4" s="202" t="s">
        <v>2453</v>
      </c>
      <c r="M4" s="221" t="s">
        <v>94</v>
      </c>
      <c r="N4" s="202" t="s">
        <v>3825</v>
      </c>
      <c r="O4" s="202" t="s">
        <v>2455</v>
      </c>
      <c r="P4" s="202" t="s">
        <v>3826</v>
      </c>
      <c r="Q4" s="202" t="s">
        <v>3827</v>
      </c>
      <c r="R4" s="202" t="s">
        <v>3828</v>
      </c>
      <c r="S4" s="202" t="s">
        <v>3829</v>
      </c>
      <c r="T4" s="201" t="s">
        <v>1261</v>
      </c>
      <c r="U4" s="201" t="s">
        <v>3837</v>
      </c>
      <c r="V4" s="234" t="s">
        <v>3831</v>
      </c>
    </row>
    <row r="5" ht="24" customHeight="1" spans="1:22">
      <c r="A5" s="203"/>
      <c r="B5" s="203"/>
      <c r="C5" s="203"/>
      <c r="D5" s="203"/>
      <c r="E5" s="203"/>
      <c r="F5" s="204" t="e">
        <f>VLOOKUP($D5,分包[],2,FALSE)</f>
        <v>#N/A</v>
      </c>
      <c r="G5" s="204" t="e">
        <f>VLOOKUP($D5,分包[],4,FALSE)</f>
        <v>#N/A</v>
      </c>
      <c r="H5" s="204" t="e">
        <f>VLOOKUP($D5,分包[],3,FALSE)</f>
        <v>#N/A</v>
      </c>
      <c r="I5" s="222" t="e">
        <f t="shared" si="0"/>
        <v>#N/A</v>
      </c>
      <c r="J5" s="204">
        <f ca="1">SUMIFS('01工程产值对比表'!T:T,'01工程产值对比表'!$C:$C,"分包",'01工程产值对比表'!$D:$D,$D5)</f>
        <v>0</v>
      </c>
      <c r="K5" s="223" t="e">
        <f ca="1" t="shared" si="1"/>
        <v>#N/A</v>
      </c>
      <c r="L5" s="224">
        <f ca="1">IFERROR(SUMIFS('02综合台帐（人材机）'!P:P,'02综合台帐（人材机）'!$F:$F,"分包",'02综合台帐（人材机）'!$K:$K,$D5)*J5/SUMIF($D:$D,$D5,J:J),0)</f>
        <v>0</v>
      </c>
      <c r="M5" s="225">
        <f ca="1" t="shared" si="2"/>
        <v>0</v>
      </c>
      <c r="N5" s="225">
        <f ca="1">IFERROR(SUMIFS('02综合台帐（人材机）'!Q:Q,'02综合台帐（人材机）'!$F:$F,"分包",'02综合台帐（人材机）'!$K:$K,$D5)*J5/SUMIF($D:$D,$D5,J:J),0)</f>
        <v>0</v>
      </c>
      <c r="O5" s="225">
        <f ca="1">IFERROR(SUMIFS('02综合台帐（人材机）'!T:T,'02综合台帐（人材机）'!$F:$F,"分包",'02综合台帐（人材机）'!$K:$K,$D5)*J5/SUMIF($D:$D,$D5,J:J),0)</f>
        <v>0</v>
      </c>
      <c r="P5" s="223">
        <f ca="1">IFERROR(SUMIFS('02综合台帐（人材机）'!U:U,'02综合台帐（人材机）'!$F:$F,"分包",'02综合台帐（人材机）'!$K:$K,$D5)*J5/SUMIF($D:$D,$D5,J:J),0)</f>
        <v>0</v>
      </c>
      <c r="Q5" s="224" t="e">
        <f ca="1" t="shared" si="3"/>
        <v>#N/A</v>
      </c>
      <c r="R5" s="235">
        <f ca="1" t="shared" si="4"/>
        <v>0</v>
      </c>
      <c r="S5" s="235">
        <f ca="1" t="shared" si="5"/>
        <v>0</v>
      </c>
      <c r="T5" s="236"/>
      <c r="U5" s="236"/>
      <c r="V5" s="237"/>
    </row>
    <row r="6" spans="1:22">
      <c r="A6" s="203" t="s">
        <v>1429</v>
      </c>
      <c r="B6" s="203"/>
      <c r="C6" s="203" t="s">
        <v>1305</v>
      </c>
      <c r="D6" s="203" t="s">
        <v>65</v>
      </c>
      <c r="E6" s="203"/>
      <c r="F6" s="203"/>
      <c r="G6" s="203"/>
      <c r="H6" s="205"/>
      <c r="I6" s="226">
        <f>SUM(I7:I7)</f>
        <v>8000</v>
      </c>
      <c r="J6" s="203"/>
      <c r="K6" s="226">
        <f>SUM(K7:K7)</f>
        <v>4000</v>
      </c>
      <c r="L6" s="227"/>
      <c r="M6" s="228"/>
      <c r="N6" s="228">
        <f ca="1">SUM(N7:N7)</f>
        <v>0</v>
      </c>
      <c r="O6" s="228"/>
      <c r="P6" s="229">
        <f ca="1">SUM(P7:P7)</f>
        <v>0</v>
      </c>
      <c r="Q6" s="238">
        <f ca="1">SUM(Q7:Q7)</f>
        <v>4000</v>
      </c>
      <c r="R6" s="239">
        <f ca="1">SUM(R7:R7)</f>
        <v>0</v>
      </c>
      <c r="S6" s="239">
        <f ca="1">SUM(S7:S7)</f>
        <v>4000</v>
      </c>
      <c r="T6" s="236"/>
      <c r="U6" s="236"/>
      <c r="V6" s="236"/>
    </row>
    <row r="7" spans="1:22">
      <c r="A7" s="206"/>
      <c r="B7" s="206"/>
      <c r="C7" s="206"/>
      <c r="D7" s="206" t="s">
        <v>309</v>
      </c>
      <c r="E7" s="206"/>
      <c r="F7" s="206" t="str">
        <f>IFERROR(VLOOKUP($D7,分包[],2,FALSE),"")</f>
        <v>m2</v>
      </c>
      <c r="G7" s="206">
        <v>2</v>
      </c>
      <c r="H7" s="206">
        <f>IFERROR(VLOOKUP($D7,分包[],3,FALSE),"")</f>
        <v>4000</v>
      </c>
      <c r="I7" s="206">
        <f t="shared" si="0"/>
        <v>8000</v>
      </c>
      <c r="J7" s="230">
        <v>1</v>
      </c>
      <c r="K7" s="231">
        <f t="shared" si="1"/>
        <v>4000</v>
      </c>
      <c r="L7" s="232">
        <f ca="1">IFERROR(SUMIFS('02综合台帐（人材机）'!P:P,'02综合台帐（人材机）'!$F:$F,"分包",'02综合台帐（人材机）'!$K:$K,$D7)*J7/SUMIF($D:$D,$D7,J:J),0)</f>
        <v>0</v>
      </c>
      <c r="M7" s="206">
        <f ca="1" t="shared" si="2"/>
        <v>0</v>
      </c>
      <c r="N7" s="206">
        <f ca="1">IFERROR(SUMIFS('02综合台帐（人材机）'!Q:Q,'02综合台帐（人材机）'!$F:$F,"分包",'02综合台帐（人材机）'!$K:$K,$D7)*J7/SUMIF($D:$D,$D7,J:J),0)</f>
        <v>0</v>
      </c>
      <c r="O7" s="206">
        <f ca="1">IFERROR(SUMIFS('02综合台帐（人材机）'!T:T,'02综合台帐（人材机）'!$F:$F,"分包",'02综合台帐（人材机）'!$K:$K,$D7)*J7/SUMIF($D:$D,$D7,J:J),0)</f>
        <v>0</v>
      </c>
      <c r="P7" s="206">
        <f ca="1">IFERROR(SUMIFS('02综合台帐（人材机）'!U:U,'02综合台帐（人材机）'!$F:$F,"分包",'02综合台帐（人材机）'!$K:$K,$D7)*J7/SUMIF($D:$D,$D7,J:J),0)</f>
        <v>0</v>
      </c>
      <c r="Q7" s="206">
        <f ca="1" t="shared" si="3"/>
        <v>4000</v>
      </c>
      <c r="R7" s="206">
        <f ca="1" t="shared" si="4"/>
        <v>0</v>
      </c>
      <c r="S7" s="206">
        <f ca="1" t="shared" si="5"/>
        <v>4000</v>
      </c>
      <c r="T7" s="206"/>
      <c r="U7" s="206"/>
      <c r="V7" s="206"/>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4.25"/>
  <cols>
    <col min="1" max="1" width="9.25" style="113" customWidth="1"/>
    <col min="2" max="2" width="6.125" style="1" customWidth="1"/>
    <col min="3" max="3" width="14.125" style="1" customWidth="1"/>
    <col min="4" max="4" width="38" style="1" customWidth="1"/>
    <col min="5" max="5" width="25.5" style="1" customWidth="1"/>
    <col min="6" max="6" width="10.375" style="1" customWidth="1"/>
    <col min="7" max="8" width="10.375" style="1" hidden="1" customWidth="1"/>
    <col min="9" max="9" width="15" style="1" customWidth="1"/>
    <col min="10" max="10" width="12.875" style="1" customWidth="1"/>
    <col min="11" max="11" width="15.875" style="1" customWidth="1"/>
    <col min="12" max="12" width="4.125" style="1" hidden="1" customWidth="1"/>
    <col min="13" max="13" width="9.75" style="1" hidden="1" customWidth="1"/>
    <col min="14" max="14" width="17.5" style="1" customWidth="1"/>
    <col min="15" max="15" width="5.25" style="1" hidden="1" customWidth="1"/>
    <col min="16" max="16" width="16.75" style="1" customWidth="1"/>
    <col min="17" max="18" width="16.75" style="1" hidden="1" customWidth="1"/>
    <col min="19" max="19" width="12.875" style="1" customWidth="1"/>
    <col min="20" max="20" width="17.875" style="1" customWidth="1"/>
    <col min="21" max="21" width="15.375" style="1" customWidth="1"/>
    <col min="22" max="16384" width="9" style="1"/>
  </cols>
  <sheetData>
    <row r="1" ht="36" customHeight="1" spans="1:20">
      <c r="A1" s="114" t="s">
        <v>3838</v>
      </c>
      <c r="B1" s="115"/>
      <c r="C1" s="115"/>
      <c r="D1" s="115"/>
      <c r="E1" s="115"/>
      <c r="F1" s="115"/>
      <c r="G1" s="115"/>
      <c r="H1" s="116"/>
      <c r="I1" s="155"/>
      <c r="J1" s="115"/>
      <c r="K1" s="115"/>
      <c r="L1" s="115"/>
      <c r="M1" s="115"/>
      <c r="N1" s="115"/>
      <c r="O1" s="115"/>
      <c r="P1" s="115"/>
      <c r="Q1" s="115"/>
      <c r="R1" s="115"/>
      <c r="S1" s="116"/>
      <c r="T1" s="115"/>
    </row>
    <row r="2" ht="21" customHeight="1" spans="1:20">
      <c r="A2" s="117"/>
      <c r="B2" s="118"/>
      <c r="C2" s="42" t="s">
        <v>3813</v>
      </c>
      <c r="D2" s="118"/>
      <c r="E2" s="118"/>
      <c r="F2" s="118"/>
      <c r="G2" s="118"/>
      <c r="H2" s="119"/>
      <c r="I2" s="156"/>
      <c r="J2" s="118"/>
      <c r="K2" s="157"/>
      <c r="L2" s="157"/>
      <c r="M2" s="157"/>
      <c r="N2" s="158">
        <f>SUMIFS('02综合台帐（人材机）'!Q:Q,'02综合台帐（人材机）'!F:F,C2,'02综合台帐（人材机）'!K:K,D2)</f>
        <v>0</v>
      </c>
      <c r="O2" s="157"/>
      <c r="P2" s="157"/>
      <c r="Q2" s="157"/>
      <c r="R2" s="157"/>
      <c r="S2" s="119"/>
      <c r="T2" s="157" t="s">
        <v>3839</v>
      </c>
    </row>
    <row r="3" ht="9" hidden="1" customHeight="1" spans="1:20">
      <c r="A3" s="120"/>
      <c r="B3" s="121"/>
      <c r="C3" s="122"/>
      <c r="D3" s="121"/>
      <c r="E3" s="121"/>
      <c r="F3" s="121"/>
      <c r="G3" s="121"/>
      <c r="H3" s="123"/>
      <c r="I3" s="159"/>
      <c r="J3" s="121"/>
      <c r="K3" s="160"/>
      <c r="L3" s="160"/>
      <c r="M3" s="160"/>
      <c r="N3" s="160"/>
      <c r="O3" s="160"/>
      <c r="P3" s="160"/>
      <c r="Q3" s="160"/>
      <c r="R3" s="160"/>
      <c r="S3" s="123"/>
      <c r="T3" s="179"/>
    </row>
    <row r="4" ht="39" customHeight="1" spans="1:20">
      <c r="A4" s="124" t="s">
        <v>1253</v>
      </c>
      <c r="B4" s="125" t="s">
        <v>1290</v>
      </c>
      <c r="C4" s="125" t="s">
        <v>3820</v>
      </c>
      <c r="D4" s="126" t="s">
        <v>1398</v>
      </c>
      <c r="E4" s="126" t="s">
        <v>1293</v>
      </c>
      <c r="F4" s="125" t="s">
        <v>60</v>
      </c>
      <c r="G4" s="127" t="s">
        <v>3840</v>
      </c>
      <c r="H4" s="128"/>
      <c r="I4" s="161" t="s">
        <v>3841</v>
      </c>
      <c r="J4" s="162" t="s">
        <v>3842</v>
      </c>
      <c r="K4" s="125" t="s">
        <v>3843</v>
      </c>
      <c r="L4" s="163" t="s">
        <v>3844</v>
      </c>
      <c r="M4" s="164"/>
      <c r="N4" s="125" t="s">
        <v>2409</v>
      </c>
      <c r="O4" s="165" t="s">
        <v>3840</v>
      </c>
      <c r="P4" s="125" t="s">
        <v>2410</v>
      </c>
      <c r="Q4" s="125"/>
      <c r="R4" s="125"/>
      <c r="S4" s="180" t="s">
        <v>3845</v>
      </c>
      <c r="T4" s="181" t="s">
        <v>1261</v>
      </c>
    </row>
    <row r="5" ht="25.15" customHeight="1" spans="1:20">
      <c r="A5" s="129"/>
      <c r="B5" s="130"/>
      <c r="C5" s="130"/>
      <c r="D5" s="131"/>
      <c r="E5" s="131"/>
      <c r="F5" s="132"/>
      <c r="G5" s="132"/>
      <c r="H5" s="133"/>
      <c r="I5" s="166"/>
      <c r="J5" s="167">
        <v>0.896294437753551</v>
      </c>
      <c r="K5" s="130">
        <v>0</v>
      </c>
      <c r="L5" s="130"/>
      <c r="M5" s="130"/>
      <c r="N5" s="130"/>
      <c r="O5" s="168"/>
      <c r="P5" s="168"/>
      <c r="Q5" s="168"/>
      <c r="R5" s="168"/>
      <c r="S5" s="182">
        <f>-N5+K5</f>
        <v>0</v>
      </c>
      <c r="T5" s="132"/>
    </row>
    <row r="6" ht="25.15" customHeight="1" spans="1:20">
      <c r="A6" s="129" t="s">
        <v>1432</v>
      </c>
      <c r="B6" s="130"/>
      <c r="C6" s="130"/>
      <c r="D6" s="130" t="s">
        <v>2422</v>
      </c>
      <c r="E6" s="131"/>
      <c r="F6" s="132"/>
      <c r="G6" s="134"/>
      <c r="H6" s="135"/>
      <c r="I6" s="166">
        <f>SUMPRODUCT((LEFT($A7:$A$62,LEN($A6))=$A6)*1,(LEN($A7:$A$62)=LEN($A6)+3)*1,I7:I$62)</f>
        <v>95760653.50932</v>
      </c>
      <c r="J6" s="167"/>
      <c r="K6" s="130">
        <f>SUMPRODUCT((LEFT($A7:$A$62,LEN($A6))=$A6)*1,(LEN($A7:$A$62)=LEN($A6)+3)*1,K7:K$62)</f>
        <v>85829741.0960487</v>
      </c>
      <c r="L6" s="130"/>
      <c r="M6" s="130"/>
      <c r="N6" s="130">
        <f>SUMPRODUCT((LEFT($A7:$A$62,LEN($A6))=$A6)*1,(LEN($A7:$A$62)=LEN($A6)+3)*1,N7:N$62)</f>
        <v>164687.6</v>
      </c>
      <c r="O6" s="130">
        <f>SUMPRODUCT((LEFT($A7:$A$62,LEN($A6))=$A6)*1,(LEN($A7:$A$62)=LEN($A6)+3)*1,O7:O$62)</f>
        <v>0</v>
      </c>
      <c r="P6" s="130">
        <f>SUMPRODUCT((LEFT($A7:$A$62,LEN($A6))=$A6)*1,(LEN($A7:$A$62)=LEN($A6)+3)*1,P7:P$62)</f>
        <v>0</v>
      </c>
      <c r="Q6" s="130"/>
      <c r="R6" s="130"/>
      <c r="S6" s="182">
        <f>SUMPRODUCT((LEFT($A7:$A$62,LEN($A6))=$A6)*1,(LEN($A7:$A$62)=LEN($A6)+3)*1,S7:S$62)</f>
        <v>85829741.0960486</v>
      </c>
      <c r="T6" s="132"/>
    </row>
    <row r="7" ht="25.15" customHeight="1" spans="1:22">
      <c r="A7" s="136" t="s">
        <v>1434</v>
      </c>
      <c r="B7" s="137"/>
      <c r="C7" s="137"/>
      <c r="D7" s="138" t="s">
        <v>1613</v>
      </c>
      <c r="E7" s="138"/>
      <c r="F7" s="139"/>
      <c r="G7" s="140"/>
      <c r="H7" s="141"/>
      <c r="I7" s="169">
        <f>SUMPRODUCT((LEFT($A8:$A$27,LEN($A7))=$A7)*1,(LEN($A8:$A$27)=LEN($A7)+3)*1,I8:I$27)</f>
        <v>13870000</v>
      </c>
      <c r="J7" s="170">
        <v>0.896294437753551</v>
      </c>
      <c r="K7" s="137">
        <v>12431603.8516418</v>
      </c>
      <c r="L7" s="137"/>
      <c r="M7" s="137"/>
      <c r="N7" s="171">
        <f>SUMPRODUCT((LEFT($A8:$A$27,LEN($A7))=$A7)*1,(LEN($A8:$A$27)=LEN($A7)+3)*1,N8:N$27)</f>
        <v>155937.6</v>
      </c>
      <c r="O7" s="137">
        <f>SUM(O8:O16)</f>
        <v>0</v>
      </c>
      <c r="P7" s="171">
        <f>SUMPRODUCT((LEFT($A8:$A$27,LEN($A7))=$A7)*1,(LEN($A8:$A$27)=LEN($A7)+3)*1,P8:P$27)</f>
        <v>0</v>
      </c>
      <c r="Q7" s="171"/>
      <c r="R7" s="171"/>
      <c r="S7" s="171">
        <f>SUMPRODUCT((LEFT($A8:$A$16,LEN($A7))=$A7)*1,(LEN($A8:$A$16)=LEN($A7)+3)*1,S8:S$16)</f>
        <v>12431603.8516418</v>
      </c>
      <c r="T7" s="139"/>
      <c r="U7" s="183"/>
      <c r="V7" s="183"/>
    </row>
    <row r="8" ht="56.1" customHeight="1" outlineLevel="1" spans="1:22">
      <c r="A8" s="136" t="s">
        <v>3846</v>
      </c>
      <c r="B8" s="137"/>
      <c r="C8" s="137" t="s">
        <v>1613</v>
      </c>
      <c r="D8" s="138" t="s">
        <v>1615</v>
      </c>
      <c r="E8" s="142" t="s">
        <v>3847</v>
      </c>
      <c r="F8" s="139" t="s">
        <v>195</v>
      </c>
      <c r="G8" s="140"/>
      <c r="H8" s="141"/>
      <c r="I8" s="169">
        <f>7900000-2110000-250000-100000-200000/2</f>
        <v>5340000</v>
      </c>
      <c r="J8" s="170">
        <v>0.896294437753551</v>
      </c>
      <c r="K8" s="137">
        <v>4786212.29760396</v>
      </c>
      <c r="L8" s="137"/>
      <c r="M8" s="137"/>
      <c r="N8" s="137">
        <f>SUMIFS('02综合台帐（人材机）'!Q:Q,'02综合台帐（人材机）'!F:F,C8,'02综合台帐（人材机）'!K:K,D8)</f>
        <v>116490</v>
      </c>
      <c r="O8" s="172"/>
      <c r="P8" s="172"/>
      <c r="Q8" s="172"/>
      <c r="R8" s="172"/>
      <c r="S8" s="184">
        <f>-P8+K8</f>
        <v>4786212.29760396</v>
      </c>
      <c r="T8" s="139"/>
      <c r="U8" s="183">
        <f>SUMIFS('02综合台帐（人材机）'!Q:Q,'02综合台帐（人材机）'!F:F,C8,'02综合台帐（人材机）'!K:K,D8)</f>
        <v>116490</v>
      </c>
      <c r="V8" s="183"/>
    </row>
    <row r="9" ht="25.15" customHeight="1" outlineLevel="1" spans="1:22">
      <c r="A9" s="136" t="s">
        <v>3848</v>
      </c>
      <c r="B9" s="137"/>
      <c r="C9" s="137" t="s">
        <v>1613</v>
      </c>
      <c r="D9" s="138" t="s">
        <v>1617</v>
      </c>
      <c r="E9" s="142"/>
      <c r="F9" s="139" t="s">
        <v>195</v>
      </c>
      <c r="G9" s="140"/>
      <c r="H9" s="141"/>
      <c r="I9" s="169">
        <v>0</v>
      </c>
      <c r="J9" s="170">
        <v>0.896294437753551</v>
      </c>
      <c r="K9" s="137">
        <v>0</v>
      </c>
      <c r="L9" s="137"/>
      <c r="M9" s="137"/>
      <c r="N9" s="137">
        <f>SUMIFS('02综合台帐（人材机）'!Q:Q,'02综合台帐（人材机）'!F:F,C9,'02综合台帐（人材机）'!K:K,D9)</f>
        <v>0</v>
      </c>
      <c r="O9" s="172"/>
      <c r="P9" s="172"/>
      <c r="Q9" s="172"/>
      <c r="R9" s="172"/>
      <c r="S9" s="184">
        <f t="shared" ref="S9:S58" si="0">-P9+K9</f>
        <v>0</v>
      </c>
      <c r="T9" s="139"/>
      <c r="U9" s="183"/>
      <c r="V9" s="183"/>
    </row>
    <row r="10" ht="25.15" customHeight="1" outlineLevel="1" spans="1:22">
      <c r="A10" s="136" t="s">
        <v>3849</v>
      </c>
      <c r="B10" s="137"/>
      <c r="C10" s="137" t="s">
        <v>1613</v>
      </c>
      <c r="D10" s="138" t="s">
        <v>1619</v>
      </c>
      <c r="E10" s="142" t="s">
        <v>3850</v>
      </c>
      <c r="F10" s="139" t="s">
        <v>195</v>
      </c>
      <c r="G10" s="140"/>
      <c r="H10" s="141"/>
      <c r="I10" s="169">
        <v>500000</v>
      </c>
      <c r="J10" s="170">
        <v>0.896294437753551</v>
      </c>
      <c r="K10" s="137">
        <v>448147.218876776</v>
      </c>
      <c r="L10" s="137"/>
      <c r="M10" s="137"/>
      <c r="N10" s="137">
        <f>SUMIFS('02综合台帐（人材机）'!Q:Q,'02综合台帐（人材机）'!F:F,C10,'02综合台帐（人材机）'!K:K,D10)</f>
        <v>0</v>
      </c>
      <c r="O10" s="172"/>
      <c r="P10" s="172"/>
      <c r="Q10" s="172"/>
      <c r="R10" s="172"/>
      <c r="S10" s="184">
        <f t="shared" si="0"/>
        <v>448147.218876776</v>
      </c>
      <c r="T10" s="139"/>
      <c r="U10" s="183"/>
      <c r="V10" s="183"/>
    </row>
    <row r="11" ht="25.15" customHeight="1" outlineLevel="1" spans="1:22">
      <c r="A11" s="136" t="s">
        <v>3851</v>
      </c>
      <c r="B11" s="137"/>
      <c r="C11" s="137" t="s">
        <v>1613</v>
      </c>
      <c r="D11" s="138" t="s">
        <v>1621</v>
      </c>
      <c r="E11" s="142"/>
      <c r="F11" s="139" t="s">
        <v>195</v>
      </c>
      <c r="G11" s="140"/>
      <c r="H11" s="141"/>
      <c r="I11" s="169">
        <v>0</v>
      </c>
      <c r="J11" s="170">
        <v>0.896294437753551</v>
      </c>
      <c r="K11" s="137">
        <v>0</v>
      </c>
      <c r="L11" s="137"/>
      <c r="M11" s="137"/>
      <c r="N11" s="137">
        <f>SUMIFS('02综合台帐（人材机）'!Q:Q,'02综合台帐（人材机）'!F:F,C11,'02综合台帐（人材机）'!K:K,D11)</f>
        <v>0</v>
      </c>
      <c r="O11" s="172"/>
      <c r="P11" s="172"/>
      <c r="Q11" s="172"/>
      <c r="R11" s="172"/>
      <c r="S11" s="184">
        <f t="shared" si="0"/>
        <v>0</v>
      </c>
      <c r="T11" s="139"/>
      <c r="U11" s="183"/>
      <c r="V11" s="183"/>
    </row>
    <row r="12" ht="42.95" customHeight="1" outlineLevel="1" spans="1:22">
      <c r="A12" s="136" t="s">
        <v>3852</v>
      </c>
      <c r="B12" s="137"/>
      <c r="C12" s="137" t="s">
        <v>1613</v>
      </c>
      <c r="D12" s="138" t="s">
        <v>1623</v>
      </c>
      <c r="E12" s="142" t="s">
        <v>3853</v>
      </c>
      <c r="F12" s="139" t="s">
        <v>195</v>
      </c>
      <c r="G12" s="140"/>
      <c r="H12" s="141"/>
      <c r="I12" s="169">
        <v>1480000</v>
      </c>
      <c r="J12" s="170">
        <v>0.896294437753551</v>
      </c>
      <c r="K12" s="137">
        <v>1326515.76787526</v>
      </c>
      <c r="L12" s="137"/>
      <c r="M12" s="137"/>
      <c r="N12" s="137">
        <f>SUMIFS('02综合台帐（人材机）'!Q:Q,'02综合台帐（人材机）'!F:F,C12,'02综合台帐（人材机）'!K:K,D12)</f>
        <v>0</v>
      </c>
      <c r="O12" s="172"/>
      <c r="P12" s="172"/>
      <c r="Q12" s="172"/>
      <c r="R12" s="172"/>
      <c r="S12" s="184">
        <f t="shared" si="0"/>
        <v>1326515.76787526</v>
      </c>
      <c r="T12" s="139"/>
      <c r="U12" s="183"/>
      <c r="V12" s="183"/>
    </row>
    <row r="13" ht="25.15" customHeight="1" outlineLevel="1" spans="1:22">
      <c r="A13" s="136" t="s">
        <v>3854</v>
      </c>
      <c r="B13" s="137"/>
      <c r="C13" s="137" t="s">
        <v>1613</v>
      </c>
      <c r="D13" s="138" t="s">
        <v>1625</v>
      </c>
      <c r="E13" s="142"/>
      <c r="F13" s="139" t="s">
        <v>195</v>
      </c>
      <c r="G13" s="140"/>
      <c r="H13" s="141"/>
      <c r="I13" s="169">
        <f>1100000+2000000+900000+2000000</f>
        <v>6000000</v>
      </c>
      <c r="J13" s="170">
        <v>0.896294437753551</v>
      </c>
      <c r="K13" s="137">
        <v>5377766.62652131</v>
      </c>
      <c r="L13" s="137"/>
      <c r="M13" s="137"/>
      <c r="N13" s="137">
        <f>SUMIFS('02综合台帐（人材机）'!Q:Q,'02综合台帐（人材机）'!F:F,C13,'02综合台帐（人材机）'!K:K,D13)</f>
        <v>39447.6</v>
      </c>
      <c r="O13" s="172"/>
      <c r="P13" s="172"/>
      <c r="Q13" s="172"/>
      <c r="R13" s="172"/>
      <c r="S13" s="184">
        <f t="shared" si="0"/>
        <v>5377766.62652131</v>
      </c>
      <c r="T13" s="139" t="s">
        <v>3855</v>
      </c>
      <c r="U13" s="183"/>
      <c r="V13" s="183"/>
    </row>
    <row r="14" ht="45" customHeight="1" outlineLevel="1" spans="1:22">
      <c r="A14" s="136" t="s">
        <v>3856</v>
      </c>
      <c r="B14" s="137"/>
      <c r="C14" s="137" t="s">
        <v>1613</v>
      </c>
      <c r="D14" s="138" t="s">
        <v>1610</v>
      </c>
      <c r="E14" s="142" t="s">
        <v>3857</v>
      </c>
      <c r="F14" s="139" t="s">
        <v>195</v>
      </c>
      <c r="G14" s="140"/>
      <c r="H14" s="141"/>
      <c r="I14" s="169">
        <v>0</v>
      </c>
      <c r="J14" s="170">
        <v>0.896294437753551</v>
      </c>
      <c r="K14" s="137">
        <v>0</v>
      </c>
      <c r="L14" s="137"/>
      <c r="M14" s="137"/>
      <c r="N14" s="137">
        <f>SUMIFS('02综合台帐（人材机）'!Q:Q,'02综合台帐（人材机）'!F:F,C14,'02综合台帐（人材机）'!K:K,D14)</f>
        <v>0</v>
      </c>
      <c r="O14" s="172"/>
      <c r="P14" s="172"/>
      <c r="Q14" s="172"/>
      <c r="R14" s="172"/>
      <c r="S14" s="184">
        <f t="shared" si="0"/>
        <v>0</v>
      </c>
      <c r="T14" s="139"/>
      <c r="U14" s="183"/>
      <c r="V14" s="183"/>
    </row>
    <row r="15" ht="25.15" customHeight="1" outlineLevel="1" spans="1:22">
      <c r="A15" s="136" t="s">
        <v>3858</v>
      </c>
      <c r="B15" s="137"/>
      <c r="C15" s="137" t="s">
        <v>1613</v>
      </c>
      <c r="D15" s="138" t="s">
        <v>3859</v>
      </c>
      <c r="E15" s="142"/>
      <c r="F15" s="139" t="s">
        <v>195</v>
      </c>
      <c r="G15" s="140"/>
      <c r="H15" s="141"/>
      <c r="I15" s="169">
        <f>550*1000</f>
        <v>550000</v>
      </c>
      <c r="J15" s="170">
        <v>0.896294437753551</v>
      </c>
      <c r="K15" s="137">
        <v>492961.940764453</v>
      </c>
      <c r="L15" s="137"/>
      <c r="M15" s="137"/>
      <c r="N15" s="137">
        <f>SUMIFS('02综合台帐（人材机）'!Q:Q,'02综合台帐（人材机）'!F:F,C15,'02综合台帐（人材机）'!K:K,D15)</f>
        <v>0</v>
      </c>
      <c r="O15" s="172"/>
      <c r="P15" s="172"/>
      <c r="Q15" s="172"/>
      <c r="R15" s="172"/>
      <c r="S15" s="184">
        <f t="shared" si="0"/>
        <v>492961.940764453</v>
      </c>
      <c r="T15" s="139"/>
      <c r="U15" s="183"/>
      <c r="V15" s="183"/>
    </row>
    <row r="16" ht="39" customHeight="1" outlineLevel="1" spans="1:22">
      <c r="A16" s="136" t="s">
        <v>3860</v>
      </c>
      <c r="B16" s="137"/>
      <c r="C16" s="137" t="s">
        <v>1613</v>
      </c>
      <c r="D16" s="138" t="s">
        <v>3861</v>
      </c>
      <c r="E16" s="142" t="s">
        <v>3862</v>
      </c>
      <c r="F16" s="139" t="s">
        <v>195</v>
      </c>
      <c r="G16" s="140"/>
      <c r="H16" s="141"/>
      <c r="I16" s="169">
        <f>800000*0</f>
        <v>0</v>
      </c>
      <c r="J16" s="170">
        <v>0.896294437753551</v>
      </c>
      <c r="K16" s="137">
        <v>0</v>
      </c>
      <c r="L16" s="137"/>
      <c r="M16" s="137"/>
      <c r="N16" s="137">
        <f>SUMIFS('02综合台帐（人材机）'!Q:Q,'02综合台帐（人材机）'!F:F,C16,'02综合台帐（人材机）'!K:K,D16)</f>
        <v>0</v>
      </c>
      <c r="O16" s="172"/>
      <c r="P16" s="172"/>
      <c r="Q16" s="172"/>
      <c r="R16" s="172"/>
      <c r="S16" s="184">
        <f t="shared" si="0"/>
        <v>0</v>
      </c>
      <c r="T16" s="139"/>
      <c r="U16" s="183"/>
      <c r="V16" s="183"/>
    </row>
    <row r="17" ht="25.15" customHeight="1" spans="1:22">
      <c r="A17" s="136" t="s">
        <v>1437</v>
      </c>
      <c r="B17" s="137"/>
      <c r="C17" s="137"/>
      <c r="D17" s="138" t="s">
        <v>1273</v>
      </c>
      <c r="E17" s="138"/>
      <c r="F17" s="139"/>
      <c r="G17" s="140"/>
      <c r="H17" s="141"/>
      <c r="I17" s="169">
        <f>SUMPRODUCT((LEFT($A18:$A$53,LEN($A17))=$A17)*1,(LEN($A18:$A$53)=LEN($A17)+3)*1,I18:I$53)</f>
        <v>40590653.50932</v>
      </c>
      <c r="J17" s="170">
        <v>0.896294437753551</v>
      </c>
      <c r="K17" s="137">
        <v>36381176.9651852</v>
      </c>
      <c r="L17" s="137"/>
      <c r="M17" s="137"/>
      <c r="N17" s="137">
        <f>SUMPRODUCT((LEFT($A18:$A$53,LEN($A17))=$A17)*1,(LEN($A18:$A$53)=LEN($A17)+3)*1,N18:N$53)</f>
        <v>0</v>
      </c>
      <c r="O17" s="172"/>
      <c r="P17" s="137">
        <f>SUMPRODUCT((LEFT($A18:$A$53,LEN($A17))=$A17)*1,(LEN($A18:$A$53)=LEN($A17)+3)*1,P18:P$53)</f>
        <v>0</v>
      </c>
      <c r="Q17" s="137"/>
      <c r="R17" s="137"/>
      <c r="S17" s="173">
        <f>SUMPRODUCT((LEFT($A18:$A$53,LEN($A17))=$A17)*1,(LEN($A18:$A$53)=LEN($A17)+3)*1,S18:S$53)</f>
        <v>36381176.9651852</v>
      </c>
      <c r="T17" s="139"/>
      <c r="U17" s="183"/>
      <c r="V17" s="183"/>
    </row>
    <row r="18" ht="25.15" customHeight="1" outlineLevel="1" spans="1:22">
      <c r="A18" s="136" t="s">
        <v>3863</v>
      </c>
      <c r="B18" s="137"/>
      <c r="C18" s="137" t="s">
        <v>1273</v>
      </c>
      <c r="D18" s="138" t="s">
        <v>1633</v>
      </c>
      <c r="E18" s="138"/>
      <c r="F18" s="139" t="s">
        <v>195</v>
      </c>
      <c r="G18" s="140"/>
      <c r="H18" s="141"/>
      <c r="I18" s="169">
        <f>160000*3</f>
        <v>480000</v>
      </c>
      <c r="J18" s="170">
        <v>0.896294437753551</v>
      </c>
      <c r="K18" s="137">
        <v>430221.330121705</v>
      </c>
      <c r="L18" s="137"/>
      <c r="M18" s="137"/>
      <c r="N18" s="137">
        <f>SUMIFS('02综合台帐（人材机）'!Q:Q,'02综合台帐（人材机）'!F:F,C18,'02综合台帐（人材机）'!K:K,D18)</f>
        <v>0</v>
      </c>
      <c r="O18" s="172"/>
      <c r="P18" s="172"/>
      <c r="Q18" s="172"/>
      <c r="R18" s="172"/>
      <c r="S18" s="184">
        <f t="shared" si="0"/>
        <v>430221.330121705</v>
      </c>
      <c r="T18" s="139"/>
      <c r="U18" s="183"/>
      <c r="V18" s="183"/>
    </row>
    <row r="19" ht="25.15" customHeight="1" outlineLevel="1" spans="1:22">
      <c r="A19" s="136" t="s">
        <v>3864</v>
      </c>
      <c r="B19" s="137"/>
      <c r="C19" s="137" t="s">
        <v>1273</v>
      </c>
      <c r="D19" s="138" t="s">
        <v>1636</v>
      </c>
      <c r="E19" s="138"/>
      <c r="F19" s="139" t="s">
        <v>195</v>
      </c>
      <c r="G19" s="140"/>
      <c r="H19" s="141"/>
      <c r="I19" s="169">
        <v>1460000</v>
      </c>
      <c r="J19" s="170">
        <v>0.896294437753551</v>
      </c>
      <c r="K19" s="137">
        <v>1308589.87912019</v>
      </c>
      <c r="L19" s="137"/>
      <c r="M19" s="137"/>
      <c r="N19" s="137">
        <f>SUMIFS('02综合台帐（人材机）'!Q:Q,'02综合台帐（人材机）'!F:F,C19,'02综合台帐（人材机）'!K:K,D19)</f>
        <v>0</v>
      </c>
      <c r="O19" s="172"/>
      <c r="P19" s="172"/>
      <c r="Q19" s="172"/>
      <c r="R19" s="172"/>
      <c r="S19" s="184">
        <f t="shared" si="0"/>
        <v>1308589.87912019</v>
      </c>
      <c r="T19" s="139"/>
      <c r="U19" s="183"/>
      <c r="V19" s="183"/>
    </row>
    <row r="20" ht="25.15" customHeight="1" outlineLevel="1" spans="1:22">
      <c r="A20" s="136" t="s">
        <v>3865</v>
      </c>
      <c r="B20" s="137"/>
      <c r="C20" s="137" t="s">
        <v>1273</v>
      </c>
      <c r="D20" s="138" t="s">
        <v>1639</v>
      </c>
      <c r="E20" s="138"/>
      <c r="F20" s="139" t="s">
        <v>195</v>
      </c>
      <c r="G20" s="140"/>
      <c r="H20" s="141"/>
      <c r="I20" s="169">
        <f>150000+150000+1000000</f>
        <v>1300000</v>
      </c>
      <c r="J20" s="170">
        <v>0.896294437753551</v>
      </c>
      <c r="K20" s="137">
        <v>1165182.76907962</v>
      </c>
      <c r="L20" s="137"/>
      <c r="M20" s="137"/>
      <c r="N20" s="137">
        <f>SUMIFS('02综合台帐（人材机）'!Q:Q,'02综合台帐（人材机）'!F:F,C20,'02综合台帐（人材机）'!K:K,D20)</f>
        <v>0</v>
      </c>
      <c r="O20" s="172"/>
      <c r="P20" s="172"/>
      <c r="Q20" s="172"/>
      <c r="R20" s="172"/>
      <c r="S20" s="184">
        <f t="shared" si="0"/>
        <v>1165182.76907962</v>
      </c>
      <c r="T20" s="139"/>
      <c r="U20" s="183"/>
      <c r="V20" s="183"/>
    </row>
    <row r="21" ht="25.15" customHeight="1" outlineLevel="1" spans="1:22">
      <c r="A21" s="136" t="s">
        <v>3866</v>
      </c>
      <c r="B21" s="137"/>
      <c r="C21" s="137" t="s">
        <v>1273</v>
      </c>
      <c r="D21" s="138" t="s">
        <v>1641</v>
      </c>
      <c r="E21" s="138"/>
      <c r="F21" s="139" t="s">
        <v>195</v>
      </c>
      <c r="G21" s="140"/>
      <c r="H21" s="141"/>
      <c r="I21" s="169">
        <v>225653.50932</v>
      </c>
      <c r="J21" s="170">
        <v>0.896294437753551</v>
      </c>
      <c r="K21" s="137">
        <v>202251.985263085</v>
      </c>
      <c r="L21" s="137"/>
      <c r="M21" s="137"/>
      <c r="N21" s="137">
        <f>SUMIFS('02综合台帐（人材机）'!Q:Q,'02综合台帐（人材机）'!F:F,C21,'02综合台帐（人材机）'!K:K,D21)</f>
        <v>0</v>
      </c>
      <c r="O21" s="172"/>
      <c r="P21" s="172"/>
      <c r="Q21" s="172"/>
      <c r="R21" s="172"/>
      <c r="S21" s="184">
        <f t="shared" si="0"/>
        <v>202251.985263085</v>
      </c>
      <c r="T21" s="139"/>
      <c r="U21" s="183"/>
      <c r="V21" s="183"/>
    </row>
    <row r="22" ht="25.15" customHeight="1" outlineLevel="1" spans="1:22">
      <c r="A22" s="136" t="s">
        <v>3867</v>
      </c>
      <c r="B22" s="137"/>
      <c r="C22" s="137" t="s">
        <v>1273</v>
      </c>
      <c r="D22" s="138" t="s">
        <v>1273</v>
      </c>
      <c r="E22" s="138"/>
      <c r="F22" s="139" t="s">
        <v>195</v>
      </c>
      <c r="G22" s="140"/>
      <c r="H22" s="141"/>
      <c r="I22" s="169">
        <v>0</v>
      </c>
      <c r="J22" s="170">
        <v>0.896294437753551</v>
      </c>
      <c r="K22" s="137">
        <v>0</v>
      </c>
      <c r="L22" s="137"/>
      <c r="M22" s="137"/>
      <c r="N22" s="137">
        <f>SUMIFS('02综合台帐（人材机）'!Q:Q,'02综合台帐（人材机）'!F:F,C22,'02综合台帐（人材机）'!K:K,D22)</f>
        <v>0</v>
      </c>
      <c r="O22" s="172"/>
      <c r="P22" s="172"/>
      <c r="Q22" s="172"/>
      <c r="R22" s="172"/>
      <c r="S22" s="184">
        <f t="shared" si="0"/>
        <v>0</v>
      </c>
      <c r="T22" s="139"/>
      <c r="U22" s="183"/>
      <c r="V22" s="183"/>
    </row>
    <row r="23" ht="25.15" customHeight="1" outlineLevel="1" spans="1:22">
      <c r="A23" s="136" t="s">
        <v>3868</v>
      </c>
      <c r="B23" s="137"/>
      <c r="C23" s="137" t="s">
        <v>1273</v>
      </c>
      <c r="D23" s="138" t="s">
        <v>1646</v>
      </c>
      <c r="E23" s="138"/>
      <c r="F23" s="139" t="s">
        <v>195</v>
      </c>
      <c r="G23" s="140"/>
      <c r="H23" s="141"/>
      <c r="I23" s="169">
        <v>600000</v>
      </c>
      <c r="J23" s="170">
        <v>0.896294437753551</v>
      </c>
      <c r="K23" s="137">
        <v>537776.662652131</v>
      </c>
      <c r="L23" s="137"/>
      <c r="M23" s="137"/>
      <c r="N23" s="137">
        <f>SUMIFS('02综合台帐（人材机）'!Q:Q,'02综合台帐（人材机）'!F:F,C23,'02综合台帐（人材机）'!K:K,D23)</f>
        <v>0</v>
      </c>
      <c r="O23" s="172"/>
      <c r="P23" s="172"/>
      <c r="Q23" s="172"/>
      <c r="R23" s="172"/>
      <c r="S23" s="184">
        <f t="shared" si="0"/>
        <v>537776.662652131</v>
      </c>
      <c r="T23" s="139"/>
      <c r="U23" s="183"/>
      <c r="V23" s="183"/>
    </row>
    <row r="24" ht="25.15" customHeight="1" outlineLevel="1" spans="1:22">
      <c r="A24" s="136" t="s">
        <v>3869</v>
      </c>
      <c r="B24" s="137"/>
      <c r="C24" s="137" t="s">
        <v>1273</v>
      </c>
      <c r="D24" s="138" t="s">
        <v>1648</v>
      </c>
      <c r="E24" s="138"/>
      <c r="F24" s="139" t="s">
        <v>195</v>
      </c>
      <c r="G24" s="140"/>
      <c r="H24" s="141"/>
      <c r="I24" s="169">
        <v>1510000</v>
      </c>
      <c r="J24" s="170">
        <v>0.896294437753551</v>
      </c>
      <c r="K24" s="137">
        <v>1353404.60100786</v>
      </c>
      <c r="L24" s="137"/>
      <c r="M24" s="137"/>
      <c r="N24" s="173">
        <f>SUMIFS('02综合台帐（人材机）'!Q:Q,'02综合台帐（人材机）'!F:F,C24,'02综合台帐（人材机）'!K:K,D24)</f>
        <v>0</v>
      </c>
      <c r="O24" s="172"/>
      <c r="P24" s="172"/>
      <c r="Q24" s="172"/>
      <c r="R24" s="172"/>
      <c r="S24" s="184">
        <f t="shared" si="0"/>
        <v>1353404.60100786</v>
      </c>
      <c r="T24" s="139"/>
      <c r="U24" s="183"/>
      <c r="V24" s="183"/>
    </row>
    <row r="25" ht="25.15" customHeight="1" outlineLevel="1" spans="1:22">
      <c r="A25" s="136" t="s">
        <v>3870</v>
      </c>
      <c r="B25" s="137"/>
      <c r="C25" s="137" t="s">
        <v>1273</v>
      </c>
      <c r="D25" s="138" t="s">
        <v>3871</v>
      </c>
      <c r="E25" s="138"/>
      <c r="F25" s="139" t="s">
        <v>195</v>
      </c>
      <c r="G25" s="140"/>
      <c r="H25" s="141"/>
      <c r="I25" s="169">
        <v>2500000</v>
      </c>
      <c r="J25" s="170"/>
      <c r="K25" s="137">
        <v>2240736.09438388</v>
      </c>
      <c r="L25" s="137"/>
      <c r="M25" s="137">
        <f>SUM(M26:M27)</f>
        <v>0</v>
      </c>
      <c r="N25" s="137">
        <f>SUMIFS('02综合台帐（人材机）'!Q:Q,'02综合台帐（人材机）'!F:F,C25,'02综合台帐（人材机）'!K:K,D25)</f>
        <v>0</v>
      </c>
      <c r="O25" s="172"/>
      <c r="P25" s="172"/>
      <c r="Q25" s="172"/>
      <c r="R25" s="172"/>
      <c r="S25" s="184">
        <f t="shared" si="0"/>
        <v>2240736.09438388</v>
      </c>
      <c r="T25" s="139"/>
      <c r="U25" s="183"/>
      <c r="V25" s="183"/>
    </row>
    <row r="26" ht="25.15" customHeight="1" outlineLevel="1" spans="1:22">
      <c r="A26" s="136" t="s">
        <v>3872</v>
      </c>
      <c r="B26" s="137"/>
      <c r="C26" s="137" t="s">
        <v>1273</v>
      </c>
      <c r="D26" s="138" t="s">
        <v>1652</v>
      </c>
      <c r="E26" s="138"/>
      <c r="F26" s="139" t="s">
        <v>195</v>
      </c>
      <c r="G26" s="140"/>
      <c r="H26" s="141"/>
      <c r="I26" s="169">
        <f>45000*6*6+600000</f>
        <v>2220000</v>
      </c>
      <c r="J26" s="170">
        <v>0.896294437753551</v>
      </c>
      <c r="K26" s="137">
        <v>1989773.65181288</v>
      </c>
      <c r="L26" s="137"/>
      <c r="M26" s="137"/>
      <c r="N26" s="137">
        <f>SUMIFS('02综合台帐（人材机）'!Q:Q,'02综合台帐（人材机）'!F:F,C26,'02综合台帐（人材机）'!K:K,D26)</f>
        <v>0</v>
      </c>
      <c r="O26" s="172"/>
      <c r="P26" s="172"/>
      <c r="Q26" s="172"/>
      <c r="R26" s="172"/>
      <c r="S26" s="184">
        <f t="shared" si="0"/>
        <v>1989773.65181288</v>
      </c>
      <c r="T26" s="139"/>
      <c r="U26" s="183"/>
      <c r="V26" s="183"/>
    </row>
    <row r="27" ht="25.15" customHeight="1" outlineLevel="1" spans="1:22">
      <c r="A27" s="136" t="s">
        <v>3873</v>
      </c>
      <c r="B27" s="137"/>
      <c r="C27" s="137" t="s">
        <v>1273</v>
      </c>
      <c r="D27" s="138" t="s">
        <v>1654</v>
      </c>
      <c r="E27" s="138"/>
      <c r="F27" s="139" t="s">
        <v>195</v>
      </c>
      <c r="G27" s="140"/>
      <c r="H27" s="141"/>
      <c r="I27" s="169">
        <v>0</v>
      </c>
      <c r="J27" s="170">
        <v>0.896294437753551</v>
      </c>
      <c r="K27" s="137">
        <v>0</v>
      </c>
      <c r="L27" s="137"/>
      <c r="M27" s="137"/>
      <c r="N27" s="137">
        <f>SUMIFS('02综合台帐（人材机）'!Q:Q,'02综合台帐（人材机）'!F:F,C27,'02综合台帐（人材机）'!K:K,D27)</f>
        <v>0</v>
      </c>
      <c r="O27" s="172"/>
      <c r="P27" s="172"/>
      <c r="Q27" s="172"/>
      <c r="R27" s="172"/>
      <c r="S27" s="184">
        <f t="shared" si="0"/>
        <v>0</v>
      </c>
      <c r="T27" s="139"/>
      <c r="U27" s="183"/>
      <c r="V27" s="183"/>
    </row>
    <row r="28" ht="25.15" customHeight="1" outlineLevel="1" spans="1:22">
      <c r="A28" s="136" t="s">
        <v>3874</v>
      </c>
      <c r="B28" s="137"/>
      <c r="C28" s="137" t="s">
        <v>1273</v>
      </c>
      <c r="D28" s="136" t="s">
        <v>3875</v>
      </c>
      <c r="E28" s="137"/>
      <c r="F28" s="137"/>
      <c r="G28" s="137"/>
      <c r="H28" s="137"/>
      <c r="I28" s="137">
        <v>30000</v>
      </c>
      <c r="J28" s="174">
        <v>0.896294437753551</v>
      </c>
      <c r="K28" s="137">
        <v>26888.8331326065</v>
      </c>
      <c r="L28" s="137"/>
      <c r="M28" s="137"/>
      <c r="N28" s="137">
        <f>SUMIFS('02综合台帐（人材机）'!Q:Q,'02综合台帐（人材机）'!F:F,C28,'02综合台帐（人材机）'!K:K,D28)</f>
        <v>0</v>
      </c>
      <c r="O28" s="137"/>
      <c r="P28" s="137"/>
      <c r="Q28" s="137"/>
      <c r="R28" s="137"/>
      <c r="S28" s="184">
        <f t="shared" si="0"/>
        <v>26888.8331326065</v>
      </c>
      <c r="T28" s="137"/>
      <c r="U28" s="183"/>
      <c r="V28" s="183"/>
    </row>
    <row r="29" ht="25.15" customHeight="1" outlineLevel="1" spans="1:22">
      <c r="A29" s="136" t="s">
        <v>3876</v>
      </c>
      <c r="B29" s="137"/>
      <c r="C29" s="137" t="s">
        <v>1273</v>
      </c>
      <c r="D29" s="143" t="s">
        <v>3877</v>
      </c>
      <c r="E29" s="138"/>
      <c r="F29" s="139"/>
      <c r="G29" s="140"/>
      <c r="H29" s="141"/>
      <c r="I29" s="169">
        <v>470000</v>
      </c>
      <c r="J29" s="170">
        <v>0.896294437753551</v>
      </c>
      <c r="K29" s="137">
        <v>421258.385744169</v>
      </c>
      <c r="L29" s="137"/>
      <c r="M29" s="137"/>
      <c r="N29" s="137">
        <f>SUMIFS('02综合台帐（人材机）'!Q:Q,'02综合台帐（人材机）'!F:F,C29,'02综合台帐（人材机）'!K:K,D29)</f>
        <v>0</v>
      </c>
      <c r="O29" s="172"/>
      <c r="P29" s="172"/>
      <c r="Q29" s="172"/>
      <c r="R29" s="172"/>
      <c r="S29" s="184">
        <f t="shared" si="0"/>
        <v>421258.385744169</v>
      </c>
      <c r="T29" s="139"/>
      <c r="U29" s="183"/>
      <c r="V29" s="183"/>
    </row>
    <row r="30" ht="68.1" customHeight="1" outlineLevel="1" spans="1:22">
      <c r="A30" s="136" t="s">
        <v>3878</v>
      </c>
      <c r="B30" s="137" t="s">
        <v>2465</v>
      </c>
      <c r="C30" s="137" t="s">
        <v>1273</v>
      </c>
      <c r="D30" s="136" t="s">
        <v>3751</v>
      </c>
      <c r="E30" s="137" t="s">
        <v>1484</v>
      </c>
      <c r="F30" s="137"/>
      <c r="G30" s="137"/>
      <c r="H30" s="137"/>
      <c r="I30" s="137">
        <f>3500000+27000*6*30</f>
        <v>8360000</v>
      </c>
      <c r="J30" s="174">
        <v>0.896294437753551</v>
      </c>
      <c r="K30" s="137">
        <v>7493021.49961969</v>
      </c>
      <c r="L30" s="137"/>
      <c r="M30" s="137"/>
      <c r="N30" s="137">
        <f>SUMIFS('02综合台帐（人材机）'!Q:Q,'02综合台帐（人材机）'!F:F,C30,'02综合台帐（人材机）'!K:K,D30)</f>
        <v>0</v>
      </c>
      <c r="O30" s="137"/>
      <c r="P30" s="137"/>
      <c r="Q30" s="137"/>
      <c r="R30" s="137"/>
      <c r="S30" s="184">
        <f t="shared" si="0"/>
        <v>7493021.49961969</v>
      </c>
      <c r="T30" s="137"/>
      <c r="U30" s="183"/>
      <c r="V30" s="183"/>
    </row>
    <row r="31" ht="25.15" customHeight="1" outlineLevel="1" spans="1:22">
      <c r="A31" s="136" t="s">
        <v>3879</v>
      </c>
      <c r="B31" s="137"/>
      <c r="C31" s="137" t="s">
        <v>1273</v>
      </c>
      <c r="D31" s="143" t="s">
        <v>3880</v>
      </c>
      <c r="E31" s="138"/>
      <c r="F31" s="139"/>
      <c r="G31" s="140"/>
      <c r="H31" s="141"/>
      <c r="I31" s="169">
        <v>2110000</v>
      </c>
      <c r="J31" s="170">
        <v>0.896294437753551</v>
      </c>
      <c r="K31" s="137">
        <v>1891181.26365999</v>
      </c>
      <c r="L31" s="137"/>
      <c r="M31" s="137"/>
      <c r="N31" s="137">
        <f>SUMIFS('02综合台帐（人材机）'!Q:Q,'02综合台帐（人材机）'!F:F,C31,'02综合台帐（人材机）'!K:K,D31)</f>
        <v>0</v>
      </c>
      <c r="O31" s="172"/>
      <c r="P31" s="172"/>
      <c r="Q31" s="172"/>
      <c r="R31" s="172"/>
      <c r="S31" s="184">
        <f t="shared" si="0"/>
        <v>1891181.26365999</v>
      </c>
      <c r="T31" s="139"/>
      <c r="U31" s="183"/>
      <c r="V31" s="183"/>
    </row>
    <row r="32" ht="25.15" customHeight="1" outlineLevel="1" spans="1:22">
      <c r="A32" s="136" t="s">
        <v>3881</v>
      </c>
      <c r="B32" s="137"/>
      <c r="C32" s="137" t="s">
        <v>1273</v>
      </c>
      <c r="D32" s="136" t="s">
        <v>3882</v>
      </c>
      <c r="E32" s="137"/>
      <c r="F32" s="137"/>
      <c r="G32" s="137"/>
      <c r="H32" s="137"/>
      <c r="I32" s="137">
        <v>250000</v>
      </c>
      <c r="J32" s="174">
        <v>0.896294437753551</v>
      </c>
      <c r="K32" s="137">
        <v>224073.609438388</v>
      </c>
      <c r="L32" s="137"/>
      <c r="M32" s="137"/>
      <c r="N32" s="137">
        <f>SUMIFS('02综合台帐（人材机）'!Q:Q,'02综合台帐（人材机）'!F:F,C32,'02综合台帐（人材机）'!K:K,D32)</f>
        <v>0</v>
      </c>
      <c r="O32" s="137"/>
      <c r="P32" s="137"/>
      <c r="Q32" s="137"/>
      <c r="R32" s="137"/>
      <c r="S32" s="184">
        <f t="shared" si="0"/>
        <v>224073.609438388</v>
      </c>
      <c r="T32" s="137"/>
      <c r="U32" s="183"/>
      <c r="V32" s="183"/>
    </row>
    <row r="33" ht="25.15" customHeight="1" outlineLevel="1" spans="1:22">
      <c r="A33" s="136" t="s">
        <v>3883</v>
      </c>
      <c r="B33" s="137"/>
      <c r="C33" s="137" t="s">
        <v>1273</v>
      </c>
      <c r="D33" s="143" t="s">
        <v>3884</v>
      </c>
      <c r="E33" s="138"/>
      <c r="F33" s="139"/>
      <c r="G33" s="140"/>
      <c r="H33" s="141"/>
      <c r="I33" s="169">
        <v>100000</v>
      </c>
      <c r="J33" s="170">
        <v>0.896294437753551</v>
      </c>
      <c r="K33" s="137">
        <v>89629.4437753551</v>
      </c>
      <c r="L33" s="137"/>
      <c r="M33" s="137"/>
      <c r="N33" s="137">
        <f>SUMIFS('02综合台帐（人材机）'!Q:Q,'02综合台帐（人材机）'!F:F,C33,'02综合台帐（人材机）'!K:K,D33)</f>
        <v>0</v>
      </c>
      <c r="O33" s="172"/>
      <c r="P33" s="172"/>
      <c r="Q33" s="172"/>
      <c r="R33" s="172"/>
      <c r="S33" s="184">
        <f t="shared" si="0"/>
        <v>89629.4437753551</v>
      </c>
      <c r="T33" s="139"/>
      <c r="U33" s="183"/>
      <c r="V33" s="183"/>
    </row>
    <row r="34" ht="25.15" customHeight="1" outlineLevel="1" spans="1:22">
      <c r="A34" s="136" t="s">
        <v>3885</v>
      </c>
      <c r="B34" s="137"/>
      <c r="C34" s="137" t="s">
        <v>1273</v>
      </c>
      <c r="D34" s="136" t="s">
        <v>3886</v>
      </c>
      <c r="E34" s="137"/>
      <c r="F34" s="137"/>
      <c r="G34" s="137"/>
      <c r="H34" s="137"/>
      <c r="I34" s="137">
        <v>300000</v>
      </c>
      <c r="J34" s="174">
        <v>0.896294437753551</v>
      </c>
      <c r="K34" s="137">
        <v>268888.331326065</v>
      </c>
      <c r="L34" s="137"/>
      <c r="M34" s="137"/>
      <c r="N34" s="137">
        <f>SUMIFS('02综合台帐（人材机）'!Q:Q,'02综合台帐（人材机）'!F:F,C34,'02综合台帐（人材机）'!K:K,D34)</f>
        <v>0</v>
      </c>
      <c r="O34" s="137"/>
      <c r="P34" s="137"/>
      <c r="Q34" s="137"/>
      <c r="R34" s="137"/>
      <c r="S34" s="184">
        <f t="shared" si="0"/>
        <v>268888.331326065</v>
      </c>
      <c r="T34" s="137"/>
      <c r="U34" s="183"/>
      <c r="V34" s="183"/>
    </row>
    <row r="35" ht="25.15" customHeight="1" outlineLevel="1" spans="1:22">
      <c r="A35" s="136" t="s">
        <v>3887</v>
      </c>
      <c r="B35" s="137"/>
      <c r="C35" s="137" t="s">
        <v>1273</v>
      </c>
      <c r="D35" s="143" t="s">
        <v>3888</v>
      </c>
      <c r="E35" s="138"/>
      <c r="F35" s="139"/>
      <c r="G35" s="140"/>
      <c r="H35" s="141"/>
      <c r="I35" s="169">
        <v>10000</v>
      </c>
      <c r="J35" s="170">
        <v>0.896294437753551</v>
      </c>
      <c r="K35" s="137">
        <v>8962.94437753551</v>
      </c>
      <c r="L35" s="137"/>
      <c r="M35" s="137"/>
      <c r="N35" s="137">
        <f>SUMIFS('02综合台帐（人材机）'!Q:Q,'02综合台帐（人材机）'!F:F,C35,'02综合台帐（人材机）'!K:K,D35)</f>
        <v>0</v>
      </c>
      <c r="O35" s="172"/>
      <c r="P35" s="172"/>
      <c r="Q35" s="172"/>
      <c r="R35" s="172"/>
      <c r="S35" s="184">
        <f t="shared" si="0"/>
        <v>8962.94437753551</v>
      </c>
      <c r="T35" s="139"/>
      <c r="U35" s="183"/>
      <c r="V35" s="183"/>
    </row>
    <row r="36" ht="25.15" customHeight="1" outlineLevel="1" spans="1:22">
      <c r="A36" s="136" t="s">
        <v>3889</v>
      </c>
      <c r="B36" s="137"/>
      <c r="C36" s="137" t="s">
        <v>1273</v>
      </c>
      <c r="D36" s="136" t="s">
        <v>3890</v>
      </c>
      <c r="E36" s="137"/>
      <c r="F36" s="137"/>
      <c r="G36" s="137"/>
      <c r="H36" s="137"/>
      <c r="I36" s="137">
        <v>40000</v>
      </c>
      <c r="J36" s="174">
        <v>0.896294437753551</v>
      </c>
      <c r="K36" s="137">
        <v>35851.7775101421</v>
      </c>
      <c r="L36" s="137"/>
      <c r="M36" s="137"/>
      <c r="N36" s="137">
        <f>SUMIFS('02综合台帐（人材机）'!Q:Q,'02综合台帐（人材机）'!F:F,C36,'02综合台帐（人材机）'!K:K,D36)</f>
        <v>0</v>
      </c>
      <c r="O36" s="137"/>
      <c r="P36" s="137"/>
      <c r="Q36" s="137"/>
      <c r="R36" s="137"/>
      <c r="S36" s="184">
        <f t="shared" si="0"/>
        <v>35851.7775101421</v>
      </c>
      <c r="T36" s="137"/>
      <c r="U36" s="183"/>
      <c r="V36" s="183"/>
    </row>
    <row r="37" ht="25.15" customHeight="1" outlineLevel="1" spans="1:22">
      <c r="A37" s="136" t="s">
        <v>3891</v>
      </c>
      <c r="B37" s="137"/>
      <c r="C37" s="137" t="s">
        <v>1273</v>
      </c>
      <c r="D37" s="143" t="s">
        <v>3892</v>
      </c>
      <c r="E37" s="138"/>
      <c r="F37" s="139"/>
      <c r="G37" s="140"/>
      <c r="H37" s="141"/>
      <c r="I37" s="169">
        <v>517500</v>
      </c>
      <c r="J37" s="170">
        <v>0.896294437753551</v>
      </c>
      <c r="K37" s="137">
        <v>463832.371537463</v>
      </c>
      <c r="L37" s="137"/>
      <c r="M37" s="137"/>
      <c r="N37" s="137">
        <f>SUMIFS('02综合台帐（人材机）'!Q:Q,'02综合台帐（人材机）'!F:F,C37,'02综合台帐（人材机）'!K:K,D37)</f>
        <v>0</v>
      </c>
      <c r="O37" s="172"/>
      <c r="P37" s="172"/>
      <c r="Q37" s="172"/>
      <c r="R37" s="172"/>
      <c r="S37" s="184">
        <f t="shared" si="0"/>
        <v>463832.371537463</v>
      </c>
      <c r="T37" s="139"/>
      <c r="U37" s="183"/>
      <c r="V37" s="183"/>
    </row>
    <row r="38" ht="25.15" customHeight="1" outlineLevel="1" spans="1:22">
      <c r="A38" s="136" t="s">
        <v>3893</v>
      </c>
      <c r="B38" s="137"/>
      <c r="C38" s="137" t="s">
        <v>1273</v>
      </c>
      <c r="D38" s="136" t="s">
        <v>3894</v>
      </c>
      <c r="E38" s="137"/>
      <c r="F38" s="137"/>
      <c r="G38" s="137"/>
      <c r="H38" s="137"/>
      <c r="I38" s="137">
        <v>40000</v>
      </c>
      <c r="J38" s="174">
        <v>0.896294437753551</v>
      </c>
      <c r="K38" s="137">
        <v>35851.7775101421</v>
      </c>
      <c r="L38" s="137"/>
      <c r="M38" s="137"/>
      <c r="N38" s="137">
        <f>SUMIFS('02综合台帐（人材机）'!Q:Q,'02综合台帐（人材机）'!F:F,C38,'02综合台帐（人材机）'!K:K,D38)</f>
        <v>0</v>
      </c>
      <c r="O38" s="137"/>
      <c r="P38" s="137"/>
      <c r="Q38" s="137"/>
      <c r="R38" s="137"/>
      <c r="S38" s="184">
        <f t="shared" si="0"/>
        <v>35851.7775101421</v>
      </c>
      <c r="T38" s="137"/>
      <c r="U38" s="183"/>
      <c r="V38" s="183"/>
    </row>
    <row r="39" ht="25.15" customHeight="1" outlineLevel="1" spans="1:22">
      <c r="A39" s="136" t="s">
        <v>3895</v>
      </c>
      <c r="B39" s="137"/>
      <c r="C39" s="137" t="s">
        <v>1273</v>
      </c>
      <c r="D39" s="143" t="s">
        <v>3749</v>
      </c>
      <c r="E39" s="138"/>
      <c r="F39" s="139"/>
      <c r="G39" s="140"/>
      <c r="H39" s="141"/>
      <c r="I39" s="169">
        <f>35000*12+35000*0.3*20+35000*0.2*265+35000*15+10000*0.25*(75+20+280)+10000*12+10000*0.25*20</f>
        <v>4117500</v>
      </c>
      <c r="J39" s="170">
        <v>0.896294437753551</v>
      </c>
      <c r="K39" s="137">
        <v>3690492.34745025</v>
      </c>
      <c r="L39" s="137"/>
      <c r="M39" s="137"/>
      <c r="N39" s="137">
        <f>SUMIFS('02综合台帐（人材机）'!Q:Q,'02综合台帐（人材机）'!F:F,C39,'02综合台帐（人材机）'!K:K,D39)</f>
        <v>0</v>
      </c>
      <c r="O39" s="172"/>
      <c r="P39" s="172"/>
      <c r="Q39" s="172"/>
      <c r="R39" s="172"/>
      <c r="S39" s="184">
        <f t="shared" si="0"/>
        <v>3690492.34745025</v>
      </c>
      <c r="T39" s="139"/>
      <c r="U39" s="183"/>
      <c r="V39" s="183"/>
    </row>
    <row r="40" ht="25.15" customHeight="1" outlineLevel="1" spans="1:22">
      <c r="A40" s="136" t="s">
        <v>3896</v>
      </c>
      <c r="B40" s="137"/>
      <c r="C40" s="137" t="s">
        <v>1273</v>
      </c>
      <c r="D40" s="136" t="s">
        <v>1602</v>
      </c>
      <c r="E40" s="137"/>
      <c r="F40" s="137"/>
      <c r="G40" s="137"/>
      <c r="H40" s="137"/>
      <c r="I40" s="137">
        <v>50000</v>
      </c>
      <c r="J40" s="174">
        <v>0.896294437753551</v>
      </c>
      <c r="K40" s="137">
        <v>44814.7218876776</v>
      </c>
      <c r="L40" s="137"/>
      <c r="M40" s="137"/>
      <c r="N40" s="137">
        <f>SUMIFS('02综合台帐（人材机）'!Q:Q,'02综合台帐（人材机）'!F:F,C40,'02综合台帐（人材机）'!K:K,D40)</f>
        <v>0</v>
      </c>
      <c r="O40" s="137"/>
      <c r="P40" s="137"/>
      <c r="Q40" s="137"/>
      <c r="R40" s="137"/>
      <c r="S40" s="184">
        <f t="shared" si="0"/>
        <v>44814.7218876776</v>
      </c>
      <c r="T40" s="137"/>
      <c r="U40" s="183"/>
      <c r="V40" s="183"/>
    </row>
    <row r="41" ht="25.15" customHeight="1" outlineLevel="1" spans="1:22">
      <c r="A41" s="136" t="s">
        <v>3897</v>
      </c>
      <c r="B41" s="137"/>
      <c r="C41" s="137" t="s">
        <v>1273</v>
      </c>
      <c r="D41" s="138" t="s">
        <v>3898</v>
      </c>
      <c r="E41" s="138"/>
      <c r="F41" s="139"/>
      <c r="G41" s="140"/>
      <c r="H41" s="141"/>
      <c r="I41" s="169">
        <f>1750000+1000000</f>
        <v>2750000</v>
      </c>
      <c r="J41" s="170">
        <v>0.896294437753551</v>
      </c>
      <c r="K41" s="137">
        <v>2464809.70382227</v>
      </c>
      <c r="L41" s="137"/>
      <c r="M41" s="137"/>
      <c r="N41" s="137">
        <f>SUMIFS('02综合台帐（人材机）'!Q:Q,'02综合台帐（人材机）'!F:F,C41,'02综合台帐（人材机）'!K:K,D41)</f>
        <v>0</v>
      </c>
      <c r="O41" s="172"/>
      <c r="P41" s="172"/>
      <c r="Q41" s="172"/>
      <c r="R41" s="172"/>
      <c r="S41" s="184">
        <f t="shared" si="0"/>
        <v>2464809.70382227</v>
      </c>
      <c r="T41" s="139"/>
      <c r="U41" s="183"/>
      <c r="V41" s="183"/>
    </row>
    <row r="42" ht="25.15" customHeight="1" outlineLevel="1" spans="1:22">
      <c r="A42" s="136" t="s">
        <v>3899</v>
      </c>
      <c r="B42" s="137"/>
      <c r="C42" s="137" t="s">
        <v>1273</v>
      </c>
      <c r="D42" s="136" t="s">
        <v>1607</v>
      </c>
      <c r="E42" s="137"/>
      <c r="F42" s="137"/>
      <c r="G42" s="137"/>
      <c r="H42" s="137"/>
      <c r="I42" s="137">
        <v>200000</v>
      </c>
      <c r="J42" s="174">
        <v>0.896294437753551</v>
      </c>
      <c r="K42" s="137">
        <v>179258.88755071</v>
      </c>
      <c r="L42" s="137"/>
      <c r="M42" s="137"/>
      <c r="N42" s="137">
        <f>SUMIFS('02综合台帐（人材机）'!Q:Q,'02综合台帐（人材机）'!F:F,C42,'02综合台帐（人材机）'!K:K,D42)</f>
        <v>0</v>
      </c>
      <c r="O42" s="137"/>
      <c r="P42" s="137"/>
      <c r="Q42" s="137"/>
      <c r="R42" s="137"/>
      <c r="S42" s="184">
        <f t="shared" si="0"/>
        <v>179258.88755071</v>
      </c>
      <c r="T42" s="137"/>
      <c r="U42" s="183"/>
      <c r="V42" s="183"/>
    </row>
    <row r="43" ht="25.15" customHeight="1" outlineLevel="1" spans="1:22">
      <c r="A43" s="136" t="s">
        <v>3900</v>
      </c>
      <c r="B43" s="137"/>
      <c r="C43" s="137" t="s">
        <v>1273</v>
      </c>
      <c r="D43" s="138" t="s">
        <v>3901</v>
      </c>
      <c r="E43" s="138"/>
      <c r="F43" s="139"/>
      <c r="G43" s="140"/>
      <c r="H43" s="141"/>
      <c r="I43" s="169">
        <v>250000</v>
      </c>
      <c r="J43" s="170">
        <v>0.896294437753551</v>
      </c>
      <c r="K43" s="137">
        <v>224073.609438388</v>
      </c>
      <c r="L43" s="137"/>
      <c r="M43" s="137"/>
      <c r="N43" s="137">
        <f>SUMIFS('02综合台帐（人材机）'!Q:Q,'02综合台帐（人材机）'!F:F,C43,'02综合台帐（人材机）'!K:K,D43)</f>
        <v>0</v>
      </c>
      <c r="O43" s="172"/>
      <c r="P43" s="172"/>
      <c r="Q43" s="172"/>
      <c r="R43" s="172"/>
      <c r="S43" s="184">
        <f t="shared" si="0"/>
        <v>224073.609438388</v>
      </c>
      <c r="T43" s="139"/>
      <c r="U43" s="183"/>
      <c r="V43" s="183"/>
    </row>
    <row r="44" ht="25.15" customHeight="1" outlineLevel="1" spans="1:22">
      <c r="A44" s="136" t="s">
        <v>3902</v>
      </c>
      <c r="B44" s="137"/>
      <c r="C44" s="137" t="s">
        <v>1273</v>
      </c>
      <c r="D44" s="136" t="s">
        <v>3903</v>
      </c>
      <c r="E44" s="137"/>
      <c r="F44" s="137"/>
      <c r="G44" s="137"/>
      <c r="H44" s="137"/>
      <c r="I44" s="137">
        <v>2360000</v>
      </c>
      <c r="J44" s="174">
        <v>0.896294437753551</v>
      </c>
      <c r="K44" s="137">
        <v>2115254.87309838</v>
      </c>
      <c r="L44" s="137"/>
      <c r="M44" s="137"/>
      <c r="N44" s="137">
        <f>SUMIFS('02综合台帐（人材机）'!Q:Q,'02综合台帐（人材机）'!F:F,C44,'02综合台帐（人材机）'!K:K,D44)</f>
        <v>0</v>
      </c>
      <c r="O44" s="137"/>
      <c r="P44" s="137"/>
      <c r="Q44" s="137"/>
      <c r="R44" s="137"/>
      <c r="S44" s="184">
        <f t="shared" si="0"/>
        <v>2115254.87309838</v>
      </c>
      <c r="T44" s="137"/>
      <c r="U44" s="183"/>
      <c r="V44" s="183"/>
    </row>
    <row r="45" ht="25.15" customHeight="1" outlineLevel="1" spans="1:22">
      <c r="A45" s="136" t="s">
        <v>3904</v>
      </c>
      <c r="B45" s="137"/>
      <c r="C45" s="137" t="s">
        <v>1273</v>
      </c>
      <c r="D45" s="138" t="s">
        <v>3905</v>
      </c>
      <c r="E45" s="138"/>
      <c r="F45" s="139"/>
      <c r="G45" s="140"/>
      <c r="H45" s="141"/>
      <c r="I45" s="169">
        <v>1580000</v>
      </c>
      <c r="J45" s="170">
        <v>0.896294437753551</v>
      </c>
      <c r="K45" s="137">
        <v>1416145.21165061</v>
      </c>
      <c r="L45" s="137"/>
      <c r="M45" s="137"/>
      <c r="N45" s="137">
        <f>SUMIFS('02综合台帐（人材机）'!Q:Q,'02综合台帐（人材机）'!F:F,C45,'02综合台帐（人材机）'!K:K,D45)</f>
        <v>0</v>
      </c>
      <c r="O45" s="172"/>
      <c r="P45" s="172"/>
      <c r="Q45" s="172"/>
      <c r="R45" s="172"/>
      <c r="S45" s="184">
        <f t="shared" si="0"/>
        <v>1416145.21165061</v>
      </c>
      <c r="T45" s="139"/>
      <c r="U45" s="183"/>
      <c r="V45" s="183"/>
    </row>
    <row r="46" ht="25.15" customHeight="1" outlineLevel="1" spans="1:22">
      <c r="A46" s="136" t="s">
        <v>3906</v>
      </c>
      <c r="B46" s="137"/>
      <c r="C46" s="137" t="s">
        <v>1273</v>
      </c>
      <c r="D46" s="136" t="s">
        <v>3907</v>
      </c>
      <c r="E46" s="137"/>
      <c r="F46" s="137"/>
      <c r="G46" s="137"/>
      <c r="H46" s="137"/>
      <c r="I46" s="137">
        <v>170000</v>
      </c>
      <c r="J46" s="174">
        <v>0.896294437753551</v>
      </c>
      <c r="K46" s="137">
        <v>152370.054418104</v>
      </c>
      <c r="L46" s="137"/>
      <c r="M46" s="137"/>
      <c r="N46" s="137">
        <f>SUMIFS('02综合台帐（人材机）'!Q:Q,'02综合台帐（人材机）'!F:F,C46,'02综合台帐（人材机）'!K:K,D46)</f>
        <v>0</v>
      </c>
      <c r="O46" s="137"/>
      <c r="P46" s="137"/>
      <c r="Q46" s="137"/>
      <c r="R46" s="137"/>
      <c r="S46" s="184">
        <f t="shared" si="0"/>
        <v>152370.054418104</v>
      </c>
      <c r="T46" s="137"/>
      <c r="U46" s="183"/>
      <c r="V46" s="183"/>
    </row>
    <row r="47" ht="25.15" customHeight="1" outlineLevel="1" spans="1:22">
      <c r="A47" s="136" t="s">
        <v>3908</v>
      </c>
      <c r="B47" s="137"/>
      <c r="C47" s="137" t="s">
        <v>1273</v>
      </c>
      <c r="D47" s="138" t="s">
        <v>3909</v>
      </c>
      <c r="E47" s="138"/>
      <c r="F47" s="139"/>
      <c r="G47" s="140"/>
      <c r="H47" s="141"/>
      <c r="I47" s="169">
        <v>1420000</v>
      </c>
      <c r="J47" s="170">
        <v>0.896294437753551</v>
      </c>
      <c r="K47" s="137">
        <v>1272738.10161004</v>
      </c>
      <c r="L47" s="137"/>
      <c r="M47" s="137"/>
      <c r="N47" s="137">
        <f>SUMIFS('02综合台帐（人材机）'!Q:Q,'02综合台帐（人材机）'!F:F,C47,'02综合台帐（人材机）'!K:K,D47)</f>
        <v>0</v>
      </c>
      <c r="O47" s="172"/>
      <c r="P47" s="172"/>
      <c r="Q47" s="172"/>
      <c r="R47" s="172"/>
      <c r="S47" s="184">
        <f t="shared" si="0"/>
        <v>1272738.10161004</v>
      </c>
      <c r="T47" s="139"/>
      <c r="U47" s="183"/>
      <c r="V47" s="183"/>
    </row>
    <row r="48" ht="25.15" customHeight="1" outlineLevel="1" spans="1:22">
      <c r="A48" s="136" t="s">
        <v>3910</v>
      </c>
      <c r="B48" s="137"/>
      <c r="C48" s="137" t="s">
        <v>1273</v>
      </c>
      <c r="D48" s="136" t="s">
        <v>1511</v>
      </c>
      <c r="E48" s="137"/>
      <c r="F48" s="137"/>
      <c r="G48" s="137"/>
      <c r="H48" s="137"/>
      <c r="I48" s="137">
        <v>850000</v>
      </c>
      <c r="J48" s="174">
        <v>0.896294437753551</v>
      </c>
      <c r="K48" s="137">
        <v>761850.272090519</v>
      </c>
      <c r="L48" s="137"/>
      <c r="M48" s="137"/>
      <c r="N48" s="137">
        <f>SUMIFS('02综合台帐（人材机）'!Q:Q,'02综合台帐（人材机）'!F:F,C48,'02综合台帐（人材机）'!K:K,D48)</f>
        <v>0</v>
      </c>
      <c r="O48" s="137"/>
      <c r="P48" s="137"/>
      <c r="Q48" s="137"/>
      <c r="R48" s="137"/>
      <c r="S48" s="184">
        <f t="shared" si="0"/>
        <v>761850.272090519</v>
      </c>
      <c r="T48" s="137"/>
      <c r="U48" s="183"/>
      <c r="V48" s="183"/>
    </row>
    <row r="49" ht="25.15" customHeight="1" outlineLevel="1" spans="1:22">
      <c r="A49" s="136" t="s">
        <v>3911</v>
      </c>
      <c r="B49" s="137"/>
      <c r="C49" s="137" t="s">
        <v>1273</v>
      </c>
      <c r="D49" s="138" t="s">
        <v>3912</v>
      </c>
      <c r="E49" s="138"/>
      <c r="F49" s="139"/>
      <c r="G49" s="140"/>
      <c r="H49" s="141"/>
      <c r="I49" s="169">
        <v>1200000</v>
      </c>
      <c r="J49" s="170">
        <v>0.896294437753551</v>
      </c>
      <c r="K49" s="137">
        <v>1075553.32530426</v>
      </c>
      <c r="L49" s="137"/>
      <c r="M49" s="137"/>
      <c r="N49" s="137">
        <f>SUMIFS('02综合台帐（人材机）'!Q:Q,'02综合台帐（人材机）'!F:F,C49,'02综合台帐（人材机）'!K:K,D49)</f>
        <v>0</v>
      </c>
      <c r="O49" s="172"/>
      <c r="P49" s="172"/>
      <c r="Q49" s="172"/>
      <c r="R49" s="172"/>
      <c r="S49" s="184">
        <f t="shared" si="0"/>
        <v>1075553.32530426</v>
      </c>
      <c r="T49" s="139"/>
      <c r="U49" s="183"/>
      <c r="V49" s="183"/>
    </row>
    <row r="50" ht="25.15" customHeight="1" outlineLevel="1" spans="1:22">
      <c r="A50" s="136" t="s">
        <v>3913</v>
      </c>
      <c r="B50" s="137"/>
      <c r="C50" s="137" t="s">
        <v>1273</v>
      </c>
      <c r="D50" s="136" t="s">
        <v>3914</v>
      </c>
      <c r="E50" s="137"/>
      <c r="F50" s="137"/>
      <c r="G50" s="137"/>
      <c r="H50" s="137"/>
      <c r="I50" s="137">
        <v>930000</v>
      </c>
      <c r="J50" s="174">
        <v>0.896294437753551</v>
      </c>
      <c r="K50" s="137">
        <v>833553.827110803</v>
      </c>
      <c r="L50" s="137"/>
      <c r="M50" s="137"/>
      <c r="N50" s="137">
        <f>SUMIFS('02综合台帐（人材机）'!Q:Q,'02综合台帐（人材机）'!F:F,C50,'02综合台帐（人材机）'!K:K,D50)</f>
        <v>0</v>
      </c>
      <c r="O50" s="137"/>
      <c r="P50" s="137"/>
      <c r="Q50" s="137"/>
      <c r="R50" s="137"/>
      <c r="S50" s="184">
        <f t="shared" si="0"/>
        <v>833553.827110803</v>
      </c>
      <c r="T50" s="137"/>
      <c r="U50" s="183"/>
      <c r="V50" s="183"/>
    </row>
    <row r="51" ht="30.95" customHeight="1" outlineLevel="1" spans="1:22">
      <c r="A51" s="136" t="s">
        <v>3915</v>
      </c>
      <c r="B51" s="137"/>
      <c r="C51" s="137" t="s">
        <v>1273</v>
      </c>
      <c r="D51" s="143" t="s">
        <v>3916</v>
      </c>
      <c r="E51" s="138"/>
      <c r="F51" s="139"/>
      <c r="G51" s="140"/>
      <c r="H51" s="141"/>
      <c r="I51" s="169">
        <v>340000</v>
      </c>
      <c r="J51" s="170">
        <v>0.896294437753551</v>
      </c>
      <c r="K51" s="137">
        <v>304740.108836207</v>
      </c>
      <c r="L51" s="137"/>
      <c r="M51" s="137"/>
      <c r="N51" s="137">
        <f>SUMIFS('02综合台帐（人材机）'!Q:Q,'02综合台帐（人材机）'!F:F,C51,'02综合台帐（人材机）'!K:K,D51)</f>
        <v>0</v>
      </c>
      <c r="O51" s="172"/>
      <c r="P51" s="172"/>
      <c r="Q51" s="172"/>
      <c r="R51" s="172"/>
      <c r="S51" s="184">
        <f t="shared" si="0"/>
        <v>304740.108836207</v>
      </c>
      <c r="T51" s="139"/>
      <c r="U51" s="183"/>
      <c r="V51" s="183"/>
    </row>
    <row r="52" ht="25.15" customHeight="1" outlineLevel="1" spans="1:22">
      <c r="A52" s="136" t="s">
        <v>3917</v>
      </c>
      <c r="B52" s="137"/>
      <c r="C52" s="137" t="s">
        <v>1273</v>
      </c>
      <c r="D52" s="136" t="s">
        <v>3918</v>
      </c>
      <c r="E52" s="137"/>
      <c r="F52" s="137"/>
      <c r="G52" s="137"/>
      <c r="H52" s="137"/>
      <c r="I52" s="137">
        <v>830000</v>
      </c>
      <c r="J52" s="174">
        <v>0.896294437753551</v>
      </c>
      <c r="K52" s="137">
        <v>743924.383335448</v>
      </c>
      <c r="L52" s="137"/>
      <c r="M52" s="137"/>
      <c r="N52" s="137">
        <f>SUMIFS('02综合台帐（人材机）'!Q:Q,'02综合台帐（人材机）'!F:F,C52,'02综合台帐（人材机）'!K:K,D52)</f>
        <v>0</v>
      </c>
      <c r="O52" s="137"/>
      <c r="P52" s="137"/>
      <c r="Q52" s="137"/>
      <c r="R52" s="137"/>
      <c r="S52" s="184">
        <f t="shared" si="0"/>
        <v>743924.383335448</v>
      </c>
      <c r="T52" s="137"/>
      <c r="U52" s="183"/>
      <c r="V52" s="183"/>
    </row>
    <row r="53" ht="25.15" customHeight="1" outlineLevel="1" spans="1:22">
      <c r="A53" s="136" t="s">
        <v>3919</v>
      </c>
      <c r="B53" s="137"/>
      <c r="C53" s="137" t="s">
        <v>1273</v>
      </c>
      <c r="D53" s="138" t="s">
        <v>3920</v>
      </c>
      <c r="E53" s="138"/>
      <c r="F53" s="139"/>
      <c r="G53" s="140"/>
      <c r="H53" s="141"/>
      <c r="I53" s="169">
        <v>1020000</v>
      </c>
      <c r="J53" s="170">
        <v>0.896294437753551</v>
      </c>
      <c r="K53" s="137">
        <v>914220.326508622</v>
      </c>
      <c r="L53" s="137"/>
      <c r="M53" s="137"/>
      <c r="N53" s="137">
        <f>SUMIFS('02综合台帐（人材机）'!Q:Q,'02综合台帐（人材机）'!F:F,C53,'02综合台帐（人材机）'!K:K,D53)</f>
        <v>0</v>
      </c>
      <c r="O53" s="172"/>
      <c r="P53" s="172"/>
      <c r="Q53" s="172"/>
      <c r="R53" s="172"/>
      <c r="S53" s="184">
        <f t="shared" si="0"/>
        <v>914220.326508622</v>
      </c>
      <c r="T53" s="139"/>
      <c r="U53" s="183"/>
      <c r="V53" s="183"/>
    </row>
    <row r="54" ht="25.15" customHeight="1" spans="1:22">
      <c r="A54" s="136" t="s">
        <v>1439</v>
      </c>
      <c r="B54" s="137"/>
      <c r="C54" s="137"/>
      <c r="D54" s="138" t="s">
        <v>2424</v>
      </c>
      <c r="E54" s="138"/>
      <c r="F54" s="139"/>
      <c r="G54" s="140"/>
      <c r="H54" s="141"/>
      <c r="I54" s="169">
        <f>SUMPRODUCT((LEFT($A$55:$A62,LEN($A54))=$A54)*1,(LEN($A$55:$A62)=LEN($A54)+3)*1,I$55:I62)</f>
        <v>41300000</v>
      </c>
      <c r="J54" s="170">
        <v>0.896294437753551</v>
      </c>
      <c r="K54" s="137">
        <v>37016960.2792217</v>
      </c>
      <c r="L54" s="137"/>
      <c r="M54" s="137"/>
      <c r="N54" s="137">
        <f>SUMPRODUCT((LEFT($A$55:$A62,LEN($A54))=$A54)*1,(LEN($A$55:$A62)=LEN($A54)+3)*1,N$55:N62)</f>
        <v>8750</v>
      </c>
      <c r="O54" s="172"/>
      <c r="P54" s="137">
        <f>SUMPRODUCT((LEFT($A$55:$A62,LEN($A54))=$A54)*1,(LEN($A$55:$A62)=LEN($A54)+3)*1,P$55:P62)</f>
        <v>0</v>
      </c>
      <c r="Q54" s="137"/>
      <c r="R54" s="137"/>
      <c r="S54" s="137">
        <f>SUMPRODUCT((LEFT($A$55:$A62,LEN($A54))=$A54)*1,(LEN($A$55:$A62)=LEN($A54)+3)*1,S$55:S62)</f>
        <v>37016960.2792217</v>
      </c>
      <c r="T54" s="139"/>
      <c r="U54" s="183"/>
      <c r="V54" s="183"/>
    </row>
    <row r="55" ht="25.15" customHeight="1" outlineLevel="2" spans="1:22">
      <c r="A55" s="136" t="s">
        <v>3921</v>
      </c>
      <c r="B55" s="137"/>
      <c r="C55" s="144" t="s">
        <v>2424</v>
      </c>
      <c r="D55" s="145" t="s">
        <v>3922</v>
      </c>
      <c r="E55" s="138"/>
      <c r="F55" s="139" t="s">
        <v>195</v>
      </c>
      <c r="G55" s="140"/>
      <c r="H55" s="141"/>
      <c r="I55" s="169">
        <v>6000000</v>
      </c>
      <c r="J55" s="170">
        <v>0.896294437753551</v>
      </c>
      <c r="K55" s="137">
        <v>5377766.62652131</v>
      </c>
      <c r="L55" s="137"/>
      <c r="M55" s="137"/>
      <c r="N55" s="137">
        <f>SUMIFS('02综合台帐（人材机）'!Q:Q,'02综合台帐（人材机）'!F:F,C55,'02综合台帐（人材机）'!K:K,D55)</f>
        <v>0</v>
      </c>
      <c r="O55" s="172"/>
      <c r="P55" s="172"/>
      <c r="Q55" s="172"/>
      <c r="R55" s="172"/>
      <c r="S55" s="184">
        <f t="shared" si="0"/>
        <v>5377766.62652131</v>
      </c>
      <c r="T55" s="139"/>
      <c r="U55" s="183"/>
      <c r="V55" s="183"/>
    </row>
    <row r="56" ht="25.15" customHeight="1" outlineLevel="2" spans="1:22">
      <c r="A56" s="136" t="s">
        <v>3923</v>
      </c>
      <c r="B56" s="137"/>
      <c r="C56" s="144" t="s">
        <v>2424</v>
      </c>
      <c r="D56" s="145" t="s">
        <v>3924</v>
      </c>
      <c r="E56" s="138"/>
      <c r="F56" s="139" t="s">
        <v>195</v>
      </c>
      <c r="G56" s="140"/>
      <c r="H56" s="141"/>
      <c r="I56" s="169">
        <v>5000000</v>
      </c>
      <c r="J56" s="170">
        <v>0.896294437753551</v>
      </c>
      <c r="K56" s="137">
        <v>4481472.18876776</v>
      </c>
      <c r="L56" s="137"/>
      <c r="M56" s="137"/>
      <c r="N56" s="137">
        <f>SUMIFS('02综合台帐（人材机）'!Q:Q,'02综合台帐（人材机）'!F:F,C56,'02综合台帐（人材机）'!K:K,D56)</f>
        <v>0</v>
      </c>
      <c r="O56" s="172"/>
      <c r="P56" s="172"/>
      <c r="Q56" s="172"/>
      <c r="R56" s="172"/>
      <c r="S56" s="184">
        <f t="shared" si="0"/>
        <v>4481472.18876776</v>
      </c>
      <c r="T56" s="139"/>
      <c r="U56" s="183"/>
      <c r="V56" s="183"/>
    </row>
    <row r="57" ht="25.15" customHeight="1" outlineLevel="2" spans="1:22">
      <c r="A57" s="136" t="s">
        <v>3925</v>
      </c>
      <c r="B57" s="137"/>
      <c r="C57" s="144" t="s">
        <v>2424</v>
      </c>
      <c r="D57" s="145" t="s">
        <v>447</v>
      </c>
      <c r="E57" s="138"/>
      <c r="F57" s="139" t="s">
        <v>195</v>
      </c>
      <c r="G57" s="140"/>
      <c r="H57" s="141"/>
      <c r="I57" s="169">
        <v>15540000</v>
      </c>
      <c r="J57" s="170">
        <v>0.896294437753551</v>
      </c>
      <c r="K57" s="137">
        <v>13928415.5626902</v>
      </c>
      <c r="L57" s="137"/>
      <c r="M57" s="137"/>
      <c r="N57" s="137">
        <f>SUMIFS('02综合台帐（人材机）'!Q:Q,'02综合台帐（人材机）'!F:F,C57,'02综合台帐（人材机）'!K:K,D57)</f>
        <v>8750</v>
      </c>
      <c r="O57" s="172"/>
      <c r="P57" s="172"/>
      <c r="Q57" s="172"/>
      <c r="R57" s="172"/>
      <c r="S57" s="184">
        <f t="shared" si="0"/>
        <v>13928415.5626902</v>
      </c>
      <c r="T57" s="139"/>
      <c r="U57" s="183"/>
      <c r="V57" s="183"/>
    </row>
    <row r="58" ht="25.15" customHeight="1" outlineLevel="2" spans="1:22">
      <c r="A58" s="136" t="s">
        <v>3926</v>
      </c>
      <c r="B58" s="137"/>
      <c r="C58" s="144" t="s">
        <v>2424</v>
      </c>
      <c r="D58" s="145" t="s">
        <v>555</v>
      </c>
      <c r="E58" s="138"/>
      <c r="F58" s="139" t="s">
        <v>195</v>
      </c>
      <c r="G58" s="140"/>
      <c r="H58" s="141"/>
      <c r="I58" s="169">
        <v>14760000</v>
      </c>
      <c r="J58" s="170">
        <v>0.896294437753551</v>
      </c>
      <c r="K58" s="137">
        <v>13229305.9012424</v>
      </c>
      <c r="L58" s="137"/>
      <c r="M58" s="137"/>
      <c r="N58" s="137">
        <f>SUMIFS('02综合台帐（人材机）'!Q:Q,'02综合台帐（人材机）'!F:F,C58,'02综合台帐（人材机）'!K:K,D58)</f>
        <v>0</v>
      </c>
      <c r="O58" s="172"/>
      <c r="P58" s="172"/>
      <c r="Q58" s="172"/>
      <c r="R58" s="172"/>
      <c r="S58" s="184">
        <f t="shared" si="0"/>
        <v>13229305.9012424</v>
      </c>
      <c r="T58" s="139"/>
      <c r="U58" s="183"/>
      <c r="V58" s="183"/>
    </row>
    <row r="59" ht="25.15" customHeight="1" spans="1:22">
      <c r="A59" s="136"/>
      <c r="B59" s="137"/>
      <c r="C59" s="137"/>
      <c r="D59" s="138"/>
      <c r="E59" s="138"/>
      <c r="F59" s="139"/>
      <c r="G59" s="140"/>
      <c r="H59" s="141"/>
      <c r="I59" s="169"/>
      <c r="J59" s="170"/>
      <c r="K59" s="137"/>
      <c r="L59" s="137"/>
      <c r="M59" s="137"/>
      <c r="N59" s="137"/>
      <c r="O59" s="172"/>
      <c r="P59" s="172"/>
      <c r="Q59" s="172"/>
      <c r="R59" s="172"/>
      <c r="S59" s="184"/>
      <c r="T59" s="139"/>
      <c r="U59" s="183"/>
      <c r="V59" s="183"/>
    </row>
    <row r="60" ht="25.15" customHeight="1" spans="1:22">
      <c r="A60" s="136"/>
      <c r="B60" s="137"/>
      <c r="C60" s="137"/>
      <c r="D60" s="138"/>
      <c r="E60" s="138"/>
      <c r="F60" s="139"/>
      <c r="G60" s="140"/>
      <c r="H60" s="141"/>
      <c r="I60" s="169"/>
      <c r="J60" s="170"/>
      <c r="K60" s="137"/>
      <c r="L60" s="137"/>
      <c r="M60" s="137"/>
      <c r="N60" s="137"/>
      <c r="O60" s="172"/>
      <c r="P60" s="172"/>
      <c r="Q60" s="172"/>
      <c r="R60" s="172"/>
      <c r="S60" s="184"/>
      <c r="T60" s="139"/>
      <c r="U60" s="183"/>
      <c r="V60" s="183"/>
    </row>
    <row r="61" ht="27" customHeight="1" spans="1:20">
      <c r="A61" s="146"/>
      <c r="B61" s="147"/>
      <c r="C61" s="147"/>
      <c r="D61" s="148" t="s">
        <v>3927</v>
      </c>
      <c r="E61" s="148"/>
      <c r="F61" s="149"/>
      <c r="G61" s="150"/>
      <c r="H61" s="151"/>
      <c r="I61" s="175"/>
      <c r="J61" s="176"/>
      <c r="K61" s="176"/>
      <c r="L61" s="176"/>
      <c r="M61" s="176"/>
      <c r="N61" s="176"/>
      <c r="O61" s="176"/>
      <c r="P61" s="176"/>
      <c r="Q61" s="176"/>
      <c r="R61" s="176"/>
      <c r="S61" s="185"/>
      <c r="T61" s="186"/>
    </row>
    <row r="62" ht="24" customHeight="1" spans="1:20">
      <c r="A62" s="113" t="s">
        <v>3928</v>
      </c>
      <c r="B62" s="113"/>
      <c r="C62" s="113"/>
      <c r="D62" s="113"/>
      <c r="E62" s="113"/>
      <c r="F62" s="113"/>
      <c r="G62" s="113"/>
      <c r="H62" s="152"/>
      <c r="I62" s="177"/>
      <c r="J62" s="113"/>
      <c r="K62" s="113"/>
      <c r="L62" s="113"/>
      <c r="M62" s="113"/>
      <c r="N62" s="113"/>
      <c r="O62" s="113"/>
      <c r="P62" s="113"/>
      <c r="Q62" s="113"/>
      <c r="R62" s="113"/>
      <c r="S62" s="152"/>
      <c r="T62" s="113"/>
    </row>
    <row r="63" ht="18" customHeight="1" spans="1:20">
      <c r="A63" s="153"/>
      <c r="B63" s="153"/>
      <c r="C63" s="153"/>
      <c r="D63" s="153"/>
      <c r="E63" s="153"/>
      <c r="F63" s="153"/>
      <c r="G63" s="153"/>
      <c r="H63" s="154"/>
      <c r="I63" s="178"/>
      <c r="J63" s="153"/>
      <c r="K63" s="153"/>
      <c r="L63" s="153"/>
      <c r="M63" s="153"/>
      <c r="N63" s="153"/>
      <c r="O63" s="153"/>
      <c r="P63" s="153"/>
      <c r="Q63" s="153"/>
      <c r="R63" s="153"/>
      <c r="S63" s="154"/>
      <c r="T63" s="153"/>
    </row>
    <row r="64" ht="18" customHeight="1" spans="1:20">
      <c r="A64" s="153"/>
      <c r="B64" s="153"/>
      <c r="C64" s="153"/>
      <c r="D64" s="153"/>
      <c r="E64" s="153"/>
      <c r="F64" s="153"/>
      <c r="G64" s="153"/>
      <c r="H64" s="154"/>
      <c r="I64" s="178"/>
      <c r="J64" s="153"/>
      <c r="K64" s="153"/>
      <c r="L64" s="153"/>
      <c r="M64" s="153"/>
      <c r="N64" s="153"/>
      <c r="O64" s="153"/>
      <c r="P64" s="153"/>
      <c r="Q64" s="153"/>
      <c r="R64" s="153"/>
      <c r="S64" s="154"/>
      <c r="T64" s="153"/>
    </row>
    <row r="65" ht="18" customHeight="1" spans="1:20">
      <c r="A65" s="153"/>
      <c r="B65" s="153"/>
      <c r="C65" s="153"/>
      <c r="D65" s="153"/>
      <c r="E65" s="153"/>
      <c r="F65" s="153"/>
      <c r="G65" s="153"/>
      <c r="H65" s="154"/>
      <c r="I65" s="178"/>
      <c r="J65" s="153"/>
      <c r="K65" s="153"/>
      <c r="L65" s="153"/>
      <c r="M65" s="153"/>
      <c r="N65" s="153"/>
      <c r="O65" s="153"/>
      <c r="P65" s="153"/>
      <c r="Q65" s="153"/>
      <c r="R65" s="153"/>
      <c r="S65" s="154"/>
      <c r="T65" s="153"/>
    </row>
    <row r="66" ht="18" customHeight="1" spans="1:20">
      <c r="A66" s="153"/>
      <c r="B66" s="153"/>
      <c r="C66" s="153"/>
      <c r="D66" s="153"/>
      <c r="E66" s="153"/>
      <c r="F66" s="153"/>
      <c r="G66" s="153"/>
      <c r="H66" s="154"/>
      <c r="I66" s="178"/>
      <c r="J66" s="153"/>
      <c r="K66" s="153"/>
      <c r="L66" s="153"/>
      <c r="M66" s="153"/>
      <c r="N66" s="153"/>
      <c r="O66" s="153"/>
      <c r="P66" s="153"/>
      <c r="Q66" s="153"/>
      <c r="R66" s="153"/>
      <c r="S66" s="154"/>
      <c r="T66" s="153"/>
    </row>
    <row r="72" spans="1:2">
      <c r="A72" s="187"/>
      <c r="B72" s="188"/>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4.25"/>
  <cols>
    <col min="1" max="1" width="8.125" style="35" customWidth="1"/>
    <col min="2" max="2" width="6.125" style="36" customWidth="1"/>
    <col min="3" max="3" width="25.875" style="36" customWidth="1"/>
    <col min="4" max="4" width="24.75" style="36" customWidth="1"/>
    <col min="5" max="5" width="27.125" style="36" customWidth="1"/>
    <col min="6" max="6" width="6.875" style="36" hidden="1" customWidth="1"/>
    <col min="7" max="8" width="0.875" style="36" hidden="1" customWidth="1"/>
    <col min="9" max="9" width="13.875" style="36" customWidth="1"/>
    <col min="10" max="10" width="12" style="36" customWidth="1"/>
    <col min="11" max="11" width="14.5" style="36" customWidth="1"/>
    <col min="12" max="12" width="3.25" style="36" hidden="1" customWidth="1"/>
    <col min="13" max="13" width="14.625" style="37" customWidth="1"/>
    <col min="14" max="14" width="11.875" style="36" customWidth="1"/>
    <col min="15" max="15" width="11.875" style="36" hidden="1" customWidth="1"/>
    <col min="16" max="16" width="12.375" style="36" customWidth="1"/>
    <col min="17" max="17" width="5.375" style="36" customWidth="1"/>
    <col min="18" max="18" width="6.75" style="36" customWidth="1"/>
    <col min="19" max="20" width="14.625" style="36" customWidth="1"/>
    <col min="21" max="21" width="8.75" style="36"/>
    <col min="22" max="22" width="12.625" style="36"/>
    <col min="23" max="24" width="8.75" style="36"/>
    <col min="25" max="25" width="13.25" style="36" customWidth="1"/>
    <col min="26" max="26" width="12.625" style="36"/>
    <col min="27" max="16384" width="8.75" style="36"/>
  </cols>
  <sheetData>
    <row r="1" ht="25.5" customHeight="1" spans="1:20">
      <c r="A1" s="38" t="s">
        <v>3929</v>
      </c>
      <c r="B1" s="38"/>
      <c r="C1" s="38"/>
      <c r="D1" s="38"/>
      <c r="E1" s="39"/>
      <c r="F1" s="38"/>
      <c r="G1" s="38"/>
      <c r="H1" s="38"/>
      <c r="I1" s="71"/>
      <c r="J1" s="38"/>
      <c r="K1" s="72"/>
      <c r="L1" s="38"/>
      <c r="M1" s="73"/>
      <c r="N1" s="38"/>
      <c r="O1" s="38"/>
      <c r="P1" s="38"/>
      <c r="Q1" s="38"/>
      <c r="R1" s="38"/>
      <c r="S1" s="72"/>
      <c r="T1" s="38"/>
    </row>
    <row r="2" ht="16.5" customHeight="1" spans="1:19">
      <c r="A2" s="40"/>
      <c r="B2" s="41"/>
      <c r="C2" s="42" t="s">
        <v>3813</v>
      </c>
      <c r="D2" s="43"/>
      <c r="E2" s="44"/>
      <c r="F2" s="43"/>
      <c r="G2" s="43"/>
      <c r="H2" s="43"/>
      <c r="I2" s="74"/>
      <c r="J2" s="75"/>
      <c r="K2" s="76"/>
      <c r="L2" s="75"/>
      <c r="M2" s="75"/>
      <c r="N2" s="75"/>
      <c r="O2" s="75"/>
      <c r="P2" s="75"/>
      <c r="Q2" s="75"/>
      <c r="R2" s="75"/>
      <c r="S2" s="76" t="s">
        <v>3930</v>
      </c>
    </row>
    <row r="3" ht="16.5" hidden="1" customHeight="1" spans="1:20">
      <c r="A3" s="45"/>
      <c r="B3" s="46"/>
      <c r="C3" s="47"/>
      <c r="D3" s="48"/>
      <c r="E3" s="49"/>
      <c r="F3" s="48"/>
      <c r="G3" s="48"/>
      <c r="H3" s="48"/>
      <c r="I3" s="77"/>
      <c r="J3" s="78"/>
      <c r="K3" s="79"/>
      <c r="L3" s="78"/>
      <c r="M3" s="78"/>
      <c r="N3" s="78"/>
      <c r="O3" s="78"/>
      <c r="P3" s="78"/>
      <c r="Q3" s="78"/>
      <c r="R3" s="78"/>
      <c r="S3" s="105"/>
      <c r="T3" s="106"/>
    </row>
    <row r="4" ht="51" customHeight="1" spans="1:21">
      <c r="A4" s="50" t="s">
        <v>1253</v>
      </c>
      <c r="B4" s="51" t="s">
        <v>1290</v>
      </c>
      <c r="C4" s="52" t="s">
        <v>3820</v>
      </c>
      <c r="D4" s="52" t="s">
        <v>1398</v>
      </c>
      <c r="E4" s="53" t="s">
        <v>1293</v>
      </c>
      <c r="F4" s="52" t="s">
        <v>60</v>
      </c>
      <c r="G4" s="52"/>
      <c r="H4" s="52"/>
      <c r="I4" s="80" t="s">
        <v>3815</v>
      </c>
      <c r="J4" s="53" t="s">
        <v>3931</v>
      </c>
      <c r="K4" s="81" t="s">
        <v>3816</v>
      </c>
      <c r="L4" s="82"/>
      <c r="M4" s="53" t="s">
        <v>3932</v>
      </c>
      <c r="N4" s="53" t="s">
        <v>3933</v>
      </c>
      <c r="O4" s="53"/>
      <c r="P4" s="53" t="s">
        <v>3818</v>
      </c>
      <c r="Q4" s="53"/>
      <c r="R4" s="53"/>
      <c r="S4" s="81" t="s">
        <v>3819</v>
      </c>
      <c r="T4" s="107" t="s">
        <v>1261</v>
      </c>
      <c r="U4" s="108"/>
    </row>
    <row r="5" ht="22.15" customHeight="1" spans="1:20">
      <c r="A5" s="54"/>
      <c r="B5" s="55"/>
      <c r="C5" s="56"/>
      <c r="D5" s="56"/>
      <c r="E5" s="57"/>
      <c r="F5" s="56"/>
      <c r="G5" s="56"/>
      <c r="H5" s="56"/>
      <c r="T5" s="56"/>
    </row>
    <row r="6" ht="22.15" customHeight="1" spans="1:20">
      <c r="A6" s="54"/>
      <c r="B6" s="55"/>
      <c r="C6" s="56" t="s">
        <v>3934</v>
      </c>
      <c r="D6" s="56"/>
      <c r="E6" s="57"/>
      <c r="F6" s="56"/>
      <c r="G6" s="58"/>
      <c r="H6" s="58"/>
      <c r="I6" s="83">
        <f>SUMPRODUCT((LEN($A$7:$A1003)=LEN($A$7))*1,I$7:I1003)</f>
        <v>52730306.97</v>
      </c>
      <c r="J6" s="84">
        <f ca="1">完成比例</f>
        <v>0</v>
      </c>
      <c r="K6" s="85">
        <f ca="1" t="shared" ref="K6:K9" si="0">+I6*J6</f>
        <v>0</v>
      </c>
      <c r="L6" s="86"/>
      <c r="M6" s="87">
        <f>SUMPRODUCT((LEN($A$7:$A1003)=LEN($A$7))*1,M$7:M1003)</f>
        <v>20546922.53</v>
      </c>
      <c r="N6" s="57">
        <v>0</v>
      </c>
      <c r="O6" s="57"/>
      <c r="P6" s="87">
        <f ca="1">SUMPRODUCT((LEN($A$7:$A1003)=LEN($A$7))*1,P$7:P1003)</f>
        <v>17559411.4</v>
      </c>
      <c r="Q6" s="57"/>
      <c r="R6" s="57"/>
      <c r="S6" s="85">
        <f ca="1" t="shared" ref="S6:S9" si="1">-P6+K6</f>
        <v>-17559411.4</v>
      </c>
      <c r="T6" s="56"/>
    </row>
    <row r="7" ht="22.15" customHeight="1" spans="1:22">
      <c r="A7" s="54" t="s">
        <v>1663</v>
      </c>
      <c r="B7" s="55"/>
      <c r="C7" s="56" t="s">
        <v>1664</v>
      </c>
      <c r="D7" s="56" t="s">
        <v>1664</v>
      </c>
      <c r="E7" s="57"/>
      <c r="F7" s="56"/>
      <c r="G7" s="58"/>
      <c r="H7" s="58"/>
      <c r="I7" s="83">
        <f t="shared" ref="I7:N7" si="2">SUM(I8:I9)</f>
        <v>34945090</v>
      </c>
      <c r="J7" s="84"/>
      <c r="K7" s="85">
        <f ca="1" t="shared" si="2"/>
        <v>0</v>
      </c>
      <c r="L7" s="86"/>
      <c r="M7" s="57">
        <f t="shared" si="2"/>
        <v>11564021.07</v>
      </c>
      <c r="N7" s="57">
        <f t="shared" si="2"/>
        <v>0</v>
      </c>
      <c r="O7" s="57"/>
      <c r="P7" s="57">
        <f t="shared" ref="P7:S7" si="3">SUM(P8:P9)</f>
        <v>11564021.07</v>
      </c>
      <c r="Q7" s="57">
        <f t="shared" si="3"/>
        <v>0</v>
      </c>
      <c r="R7" s="57">
        <f t="shared" si="3"/>
        <v>0</v>
      </c>
      <c r="S7" s="85">
        <f ca="1" t="shared" si="3"/>
        <v>-11564021.07</v>
      </c>
      <c r="T7" s="56"/>
      <c r="U7" s="108"/>
      <c r="V7" s="108">
        <f>M7+M10+M17+M21+M24+M27+M33+M35+M39+M43+M46+M50+M12+M14</f>
        <v>20520488.9</v>
      </c>
    </row>
    <row r="8" ht="22.15" customHeight="1" outlineLevel="1" spans="1:24">
      <c r="A8" s="54" t="s">
        <v>1665</v>
      </c>
      <c r="B8" s="55"/>
      <c r="C8" s="56" t="s">
        <v>1664</v>
      </c>
      <c r="D8" s="56" t="s">
        <v>1666</v>
      </c>
      <c r="E8" s="57"/>
      <c r="F8" s="56"/>
      <c r="G8" s="58"/>
      <c r="H8" s="58"/>
      <c r="I8" s="83">
        <v>33265090</v>
      </c>
      <c r="J8" s="84">
        <f ca="1">完成比例</f>
        <v>0</v>
      </c>
      <c r="K8" s="85">
        <f ca="1" t="shared" si="0"/>
        <v>0</v>
      </c>
      <c r="L8" s="86"/>
      <c r="M8" s="88">
        <v>10606684.09</v>
      </c>
      <c r="N8" s="57">
        <v>0</v>
      </c>
      <c r="O8" s="57"/>
      <c r="P8" s="57">
        <f t="shared" ref="P8:P12" si="4">+M8+N8</f>
        <v>10606684.09</v>
      </c>
      <c r="Q8" s="57"/>
      <c r="R8" s="57"/>
      <c r="S8" s="85">
        <f ca="1" t="shared" si="1"/>
        <v>-10606684.09</v>
      </c>
      <c r="T8" s="56"/>
      <c r="U8" s="108"/>
      <c r="V8" s="108"/>
      <c r="X8" s="36" t="s">
        <v>3935</v>
      </c>
    </row>
    <row r="9" ht="22.15" customHeight="1" outlineLevel="1" spans="1:25">
      <c r="A9" s="54" t="s">
        <v>1668</v>
      </c>
      <c r="B9" s="55"/>
      <c r="C9" s="56" t="s">
        <v>1664</v>
      </c>
      <c r="D9" s="56" t="s">
        <v>1669</v>
      </c>
      <c r="E9" s="57"/>
      <c r="F9" s="56"/>
      <c r="G9" s="58"/>
      <c r="H9" s="58"/>
      <c r="I9" s="83">
        <v>1680000</v>
      </c>
      <c r="J9" s="84">
        <f ca="1">+完成比例</f>
        <v>0</v>
      </c>
      <c r="K9" s="85">
        <f ca="1" t="shared" si="0"/>
        <v>0</v>
      </c>
      <c r="L9" s="86"/>
      <c r="M9" s="57">
        <v>957336.98</v>
      </c>
      <c r="N9" s="57">
        <v>0</v>
      </c>
      <c r="O9" s="57"/>
      <c r="P9" s="57">
        <f t="shared" si="4"/>
        <v>957336.98</v>
      </c>
      <c r="Q9" s="57"/>
      <c r="R9" s="57"/>
      <c r="S9" s="85">
        <f ca="1" t="shared" si="1"/>
        <v>-957336.98</v>
      </c>
      <c r="T9" s="56"/>
      <c r="U9" s="108"/>
      <c r="V9" s="108"/>
      <c r="X9" s="36" t="s">
        <v>3936</v>
      </c>
      <c r="Y9" s="36">
        <v>4094198.14</v>
      </c>
    </row>
    <row r="10" ht="22.15" customHeight="1" spans="1:25">
      <c r="A10" s="54" t="s">
        <v>1670</v>
      </c>
      <c r="B10" s="55"/>
      <c r="C10" s="56" t="s">
        <v>1671</v>
      </c>
      <c r="D10" s="56" t="s">
        <v>1671</v>
      </c>
      <c r="E10" s="57"/>
      <c r="F10" s="56"/>
      <c r="G10" s="58"/>
      <c r="H10" s="58"/>
      <c r="I10" s="83">
        <f>SUMPRODUCT((LEFT($A11:$A$51,LEN($A10))=$A10)*1,(LEN($A11:$A$51)=LEN($A10)+3)*1,I11:I$51)</f>
        <v>24000</v>
      </c>
      <c r="J10" s="84"/>
      <c r="K10" s="89">
        <f ca="1">SUM(K11:K11)</f>
        <v>0</v>
      </c>
      <c r="L10" s="86"/>
      <c r="M10" s="57">
        <f>SUM(M11)</f>
        <v>67892.45</v>
      </c>
      <c r="N10" s="57">
        <f>SUM(N11)</f>
        <v>0</v>
      </c>
      <c r="O10" s="57"/>
      <c r="P10" s="57">
        <f t="shared" si="4"/>
        <v>67892.45</v>
      </c>
      <c r="Q10" s="57">
        <f t="shared" ref="Q10:S10" si="5">SUM(Q11:Q12)</f>
        <v>0</v>
      </c>
      <c r="R10" s="57">
        <f t="shared" si="5"/>
        <v>0</v>
      </c>
      <c r="S10" s="85">
        <f ca="1" t="shared" si="5"/>
        <v>-485791.81</v>
      </c>
      <c r="T10" s="56"/>
      <c r="U10" s="108"/>
      <c r="V10" s="108"/>
      <c r="X10" s="36" t="s">
        <v>3937</v>
      </c>
      <c r="Y10" s="36">
        <v>2082139</v>
      </c>
    </row>
    <row r="11" ht="22.15" customHeight="1" outlineLevel="1" spans="1:25">
      <c r="A11" s="54" t="s">
        <v>1672</v>
      </c>
      <c r="B11" s="55"/>
      <c r="C11" s="56" t="s">
        <v>1671</v>
      </c>
      <c r="D11" s="56" t="s">
        <v>1671</v>
      </c>
      <c r="E11" s="57"/>
      <c r="F11" s="56"/>
      <c r="G11" s="58"/>
      <c r="H11" s="58"/>
      <c r="I11" s="83">
        <v>24000</v>
      </c>
      <c r="J11" s="84">
        <f ca="1">完成比例</f>
        <v>0</v>
      </c>
      <c r="K11" s="85">
        <f ca="1" t="shared" ref="K11:K26" si="6">+I11*J11</f>
        <v>0</v>
      </c>
      <c r="L11" s="86"/>
      <c r="M11" s="57">
        <v>67892.45</v>
      </c>
      <c r="N11" s="57"/>
      <c r="O11" s="57"/>
      <c r="P11" s="57">
        <f t="shared" si="4"/>
        <v>67892.45</v>
      </c>
      <c r="Q11" s="57"/>
      <c r="R11" s="57"/>
      <c r="S11" s="85">
        <f ca="1" t="shared" ref="S11:S15" si="7">-P11+K11</f>
        <v>-67892.45</v>
      </c>
      <c r="T11" s="56"/>
      <c r="U11" s="108"/>
      <c r="V11" s="108"/>
      <c r="X11" s="36" t="s">
        <v>3938</v>
      </c>
      <c r="Y11" s="36">
        <v>1559868.43</v>
      </c>
    </row>
    <row r="12" ht="22.15" customHeight="1" spans="1:25">
      <c r="A12" s="54" t="s">
        <v>1674</v>
      </c>
      <c r="B12" s="55"/>
      <c r="C12" s="56" t="s">
        <v>1675</v>
      </c>
      <c r="D12" s="56" t="s">
        <v>1675</v>
      </c>
      <c r="E12" s="57"/>
      <c r="F12" s="56"/>
      <c r="G12" s="58"/>
      <c r="H12" s="58"/>
      <c r="I12" s="83">
        <f>SUMPRODUCT((LEFT($A13:$A$51,LEN($A12))=$A12)*1,(LEN($A13:$A$51)=LEN($A12)+3)*1,I13:I$51)</f>
        <v>400000</v>
      </c>
      <c r="J12" s="84">
        <f ca="1">完成比例</f>
        <v>0</v>
      </c>
      <c r="K12" s="85">
        <f ca="1" t="shared" si="6"/>
        <v>0</v>
      </c>
      <c r="L12" s="86"/>
      <c r="M12" s="57">
        <f>M13</f>
        <v>417899.36</v>
      </c>
      <c r="N12" s="57">
        <f>N13</f>
        <v>0</v>
      </c>
      <c r="O12" s="57"/>
      <c r="P12" s="57">
        <f t="shared" si="4"/>
        <v>417899.36</v>
      </c>
      <c r="Q12" s="57"/>
      <c r="R12" s="57"/>
      <c r="S12" s="85">
        <f ca="1" t="shared" si="7"/>
        <v>-417899.36</v>
      </c>
      <c r="T12" s="56"/>
      <c r="U12" s="108"/>
      <c r="V12" s="108"/>
      <c r="X12" s="36" t="s">
        <v>3939</v>
      </c>
      <c r="Y12" s="36">
        <v>144700.08</v>
      </c>
    </row>
    <row r="13" ht="22.15" customHeight="1" outlineLevel="1" spans="1:25">
      <c r="A13" s="54" t="s">
        <v>1676</v>
      </c>
      <c r="B13" s="55"/>
      <c r="C13" s="56" t="s">
        <v>1675</v>
      </c>
      <c r="D13" s="56" t="s">
        <v>1677</v>
      </c>
      <c r="E13" s="57"/>
      <c r="F13" s="56"/>
      <c r="G13" s="58"/>
      <c r="H13" s="58"/>
      <c r="I13" s="83">
        <v>400000</v>
      </c>
      <c r="J13" s="84">
        <f ca="1">完成比例</f>
        <v>0</v>
      </c>
      <c r="K13" s="85">
        <f ca="1" t="shared" si="6"/>
        <v>0</v>
      </c>
      <c r="L13" s="86"/>
      <c r="M13" s="90">
        <v>417899.36</v>
      </c>
      <c r="N13" s="57"/>
      <c r="O13" s="57"/>
      <c r="P13" s="57">
        <f>M13</f>
        <v>417899.36</v>
      </c>
      <c r="Q13" s="57">
        <f t="shared" ref="Q13:S13" si="8">SUM(Q14:Q15)</f>
        <v>0</v>
      </c>
      <c r="R13" s="57">
        <f t="shared" si="8"/>
        <v>0</v>
      </c>
      <c r="S13" s="85">
        <f ca="1" t="shared" si="8"/>
        <v>-71026</v>
      </c>
      <c r="T13" s="56"/>
      <c r="U13" s="108"/>
      <c r="V13" s="108"/>
      <c r="X13" s="36" t="s">
        <v>3940</v>
      </c>
      <c r="Y13" s="36">
        <v>144296.03</v>
      </c>
    </row>
    <row r="14" ht="22.15" customHeight="1" spans="1:25">
      <c r="A14" s="54" t="s">
        <v>1678</v>
      </c>
      <c r="B14" s="55"/>
      <c r="C14" s="56" t="s">
        <v>1679</v>
      </c>
      <c r="D14" s="56" t="s">
        <v>1679</v>
      </c>
      <c r="E14" s="57"/>
      <c r="F14" s="56"/>
      <c r="G14" s="58"/>
      <c r="H14" s="58"/>
      <c r="I14" s="83">
        <f>SUMPRODUCT((LEFT($A15:$A$51,LEN($A14))=$A14)*1,(LEN($A15:$A$51)=LEN($A14)+3)*1,I15:I$51)</f>
        <v>0</v>
      </c>
      <c r="J14" s="84">
        <f ca="1">完成比例</f>
        <v>0</v>
      </c>
      <c r="K14" s="85">
        <f ca="1" t="shared" si="6"/>
        <v>0</v>
      </c>
      <c r="L14" s="86"/>
      <c r="M14" s="57">
        <f>M15</f>
        <v>35513</v>
      </c>
      <c r="N14" s="57">
        <f>N15</f>
        <v>0</v>
      </c>
      <c r="O14" s="57"/>
      <c r="P14" s="57">
        <f t="shared" ref="P14:P30" si="9">+M14+N14</f>
        <v>35513</v>
      </c>
      <c r="Q14" s="57"/>
      <c r="R14" s="57"/>
      <c r="S14" s="85">
        <f ca="1" t="shared" si="7"/>
        <v>-35513</v>
      </c>
      <c r="T14" s="56"/>
      <c r="U14" s="108"/>
      <c r="V14" s="108"/>
      <c r="X14" s="36" t="s">
        <v>3941</v>
      </c>
      <c r="Y14" s="36">
        <v>174498.06</v>
      </c>
    </row>
    <row r="15" ht="22.15" customHeight="1" outlineLevel="1" spans="1:25">
      <c r="A15" s="54" t="s">
        <v>3942</v>
      </c>
      <c r="B15" s="55"/>
      <c r="C15" s="56" t="s">
        <v>1679</v>
      </c>
      <c r="D15" s="56" t="s">
        <v>1679</v>
      </c>
      <c r="E15" s="57"/>
      <c r="F15" s="56"/>
      <c r="G15" s="58"/>
      <c r="H15" s="58"/>
      <c r="I15" s="83">
        <v>0</v>
      </c>
      <c r="J15" s="84">
        <f ca="1">完成比例</f>
        <v>0</v>
      </c>
      <c r="K15" s="85">
        <f ca="1" t="shared" si="6"/>
        <v>0</v>
      </c>
      <c r="L15" s="86"/>
      <c r="M15" s="57">
        <v>35513</v>
      </c>
      <c r="N15" s="57"/>
      <c r="O15" s="57"/>
      <c r="P15" s="57">
        <f t="shared" si="9"/>
        <v>35513</v>
      </c>
      <c r="Q15" s="57"/>
      <c r="R15" s="57"/>
      <c r="S15" s="85">
        <f ca="1" t="shared" si="7"/>
        <v>-35513</v>
      </c>
      <c r="T15" s="56"/>
      <c r="U15" s="108"/>
      <c r="V15" s="108"/>
      <c r="X15" s="36" t="s">
        <v>3943</v>
      </c>
      <c r="Y15" s="36">
        <v>166180.84</v>
      </c>
    </row>
    <row r="16" ht="22.15" customHeight="1" spans="1:25">
      <c r="A16" s="54" t="s">
        <v>1681</v>
      </c>
      <c r="B16" s="55"/>
      <c r="C16" s="56" t="s">
        <v>1682</v>
      </c>
      <c r="D16" s="56" t="s">
        <v>1682</v>
      </c>
      <c r="E16" s="57" t="s">
        <v>1683</v>
      </c>
      <c r="F16" s="56"/>
      <c r="G16" s="58"/>
      <c r="H16" s="58"/>
      <c r="I16" s="83">
        <f>SUMPRODUCT((LEFT($A17:$A$51,LEN($A16))=$A16)*1,(LEN($A17:$A$51)=LEN($A16)+3)*1,I17:I$51)</f>
        <v>0</v>
      </c>
      <c r="J16" s="84"/>
      <c r="K16" s="85">
        <f t="shared" si="6"/>
        <v>0</v>
      </c>
      <c r="L16" s="86"/>
      <c r="M16" s="57">
        <v>17881.21</v>
      </c>
      <c r="N16" s="57">
        <f ca="1">-M16*(1-完成比例)</f>
        <v>-17881.21</v>
      </c>
      <c r="O16" s="57"/>
      <c r="P16" s="57">
        <f ca="1" t="shared" si="9"/>
        <v>0</v>
      </c>
      <c r="Q16" s="57">
        <f t="shared" ref="Q16:S16" si="10">SUM(Q17:Q18)</f>
        <v>0</v>
      </c>
      <c r="R16" s="57">
        <f t="shared" si="10"/>
        <v>0</v>
      </c>
      <c r="S16" s="85">
        <f ca="1" t="shared" si="10"/>
        <v>-959526.96</v>
      </c>
      <c r="T16" s="56"/>
      <c r="U16" s="108"/>
      <c r="V16" s="108"/>
      <c r="X16" s="36" t="s">
        <v>1283</v>
      </c>
      <c r="Y16" s="36">
        <f>SUM(Y9:Y15)</f>
        <v>8365880.58</v>
      </c>
    </row>
    <row r="17" ht="22.15" customHeight="1" spans="1:22">
      <c r="A17" s="54" t="s">
        <v>1684</v>
      </c>
      <c r="B17" s="55"/>
      <c r="C17" s="56" t="s">
        <v>1685</v>
      </c>
      <c r="D17" s="56" t="s">
        <v>1685</v>
      </c>
      <c r="E17" s="57"/>
      <c r="F17" s="56"/>
      <c r="G17" s="58"/>
      <c r="H17" s="58"/>
      <c r="I17" s="83">
        <f>SUMPRODUCT((LEFT($A18:$A$51,LEN($A17))=$A17)*1,(LEN($A18:$A$51)=LEN($A17)+3)*1,I18:I$51)</f>
        <v>1910000</v>
      </c>
      <c r="J17" s="84">
        <f ca="1">完成比例</f>
        <v>0</v>
      </c>
      <c r="K17" s="85">
        <f ca="1" t="shared" si="6"/>
        <v>0</v>
      </c>
      <c r="L17" s="86"/>
      <c r="M17" s="57">
        <f>SUM(M18:M20)</f>
        <v>739844.78</v>
      </c>
      <c r="N17" s="57">
        <f>SUM(N18:N20)</f>
        <v>0</v>
      </c>
      <c r="O17" s="57"/>
      <c r="P17" s="57">
        <f t="shared" si="9"/>
        <v>739844.78</v>
      </c>
      <c r="Q17" s="57"/>
      <c r="R17" s="57"/>
      <c r="S17" s="85">
        <f ca="1" t="shared" ref="S17:S19" si="11">-P17+K17</f>
        <v>-739844.78</v>
      </c>
      <c r="T17" s="56"/>
      <c r="U17" s="108"/>
      <c r="V17" s="108"/>
    </row>
    <row r="18" ht="22.15" customHeight="1" outlineLevel="1" spans="1:22">
      <c r="A18" s="54" t="s">
        <v>1686</v>
      </c>
      <c r="B18" s="55"/>
      <c r="C18" s="56" t="s">
        <v>1685</v>
      </c>
      <c r="D18" s="56" t="s">
        <v>1687</v>
      </c>
      <c r="E18" s="57" t="s">
        <v>1688</v>
      </c>
      <c r="F18" s="56"/>
      <c r="G18" s="58"/>
      <c r="H18" s="58"/>
      <c r="I18" s="83">
        <v>1000000</v>
      </c>
      <c r="J18" s="84">
        <f ca="1">完成比例</f>
        <v>0</v>
      </c>
      <c r="K18" s="85">
        <f ca="1" t="shared" si="6"/>
        <v>0</v>
      </c>
      <c r="L18" s="86"/>
      <c r="M18" s="57">
        <v>219682.18</v>
      </c>
      <c r="N18" s="57"/>
      <c r="O18" s="57"/>
      <c r="P18" s="57">
        <f t="shared" si="9"/>
        <v>219682.18</v>
      </c>
      <c r="Q18" s="57"/>
      <c r="R18" s="57"/>
      <c r="S18" s="85">
        <f ca="1" t="shared" si="11"/>
        <v>-219682.18</v>
      </c>
      <c r="T18" s="56"/>
      <c r="U18" s="108"/>
      <c r="V18" s="108"/>
    </row>
    <row r="19" ht="22.15" customHeight="1" outlineLevel="1" spans="1:22">
      <c r="A19" s="54" t="s">
        <v>1690</v>
      </c>
      <c r="B19" s="55"/>
      <c r="C19" s="56" t="s">
        <v>1685</v>
      </c>
      <c r="D19" s="56" t="s">
        <v>1691</v>
      </c>
      <c r="E19" s="57" t="s">
        <v>1692</v>
      </c>
      <c r="F19" s="56"/>
      <c r="G19" s="58"/>
      <c r="H19" s="58"/>
      <c r="I19" s="83">
        <v>360000</v>
      </c>
      <c r="J19" s="84">
        <f ca="1">完成比例</f>
        <v>0</v>
      </c>
      <c r="K19" s="85">
        <f ca="1" t="shared" si="6"/>
        <v>0</v>
      </c>
      <c r="L19" s="86"/>
      <c r="M19" s="57"/>
      <c r="N19" s="57"/>
      <c r="O19" s="57"/>
      <c r="P19" s="57">
        <f t="shared" si="9"/>
        <v>0</v>
      </c>
      <c r="Q19" s="57"/>
      <c r="R19" s="57"/>
      <c r="S19" s="85">
        <f ca="1" t="shared" si="11"/>
        <v>0</v>
      </c>
      <c r="T19" s="56"/>
      <c r="U19" s="108"/>
      <c r="V19" s="108"/>
    </row>
    <row r="20" ht="22.15" customHeight="1" outlineLevel="1" spans="1:22">
      <c r="A20" s="54" t="s">
        <v>1693</v>
      </c>
      <c r="B20" s="55"/>
      <c r="C20" s="56" t="s">
        <v>1685</v>
      </c>
      <c r="D20" s="56" t="s">
        <v>1644</v>
      </c>
      <c r="E20" s="57" t="s">
        <v>3944</v>
      </c>
      <c r="F20" s="56"/>
      <c r="G20" s="58"/>
      <c r="H20" s="58"/>
      <c r="I20" s="83">
        <v>550000</v>
      </c>
      <c r="J20" s="84">
        <f ca="1">完成比例</f>
        <v>0</v>
      </c>
      <c r="K20" s="89">
        <f ca="1" t="shared" si="6"/>
        <v>0</v>
      </c>
      <c r="L20" s="86"/>
      <c r="M20" s="57">
        <v>520162.6</v>
      </c>
      <c r="N20" s="57"/>
      <c r="O20" s="57"/>
      <c r="P20" s="57">
        <f t="shared" si="9"/>
        <v>520162.6</v>
      </c>
      <c r="Q20" s="57">
        <f t="shared" ref="Q20:S20" si="12">SUM(Q21:Q23)</f>
        <v>0</v>
      </c>
      <c r="R20" s="57">
        <f t="shared" si="12"/>
        <v>0</v>
      </c>
      <c r="S20" s="85">
        <f ca="1" t="shared" si="12"/>
        <v>-1716868.52</v>
      </c>
      <c r="T20" s="56"/>
      <c r="U20" s="108"/>
      <c r="V20" s="108"/>
    </row>
    <row r="21" ht="22.15" customHeight="1" spans="1:22">
      <c r="A21" s="54" t="s">
        <v>1695</v>
      </c>
      <c r="B21" s="55"/>
      <c r="C21" s="56" t="s">
        <v>1696</v>
      </c>
      <c r="D21" s="56" t="s">
        <v>1696</v>
      </c>
      <c r="E21" s="57"/>
      <c r="F21" s="56"/>
      <c r="G21" s="58"/>
      <c r="H21" s="58"/>
      <c r="I21" s="83">
        <f>SUMPRODUCT((LEFT($A22:$A$51,LEN($A21))=$A21)*1,(LEN($A22:$A$51)=LEN($A21)+3)*1,I22:I$51)</f>
        <v>2394000</v>
      </c>
      <c r="J21" s="84">
        <f ca="1">完成比例</f>
        <v>0</v>
      </c>
      <c r="K21" s="85">
        <f ca="1" t="shared" si="6"/>
        <v>0</v>
      </c>
      <c r="L21" s="86"/>
      <c r="M21" s="57">
        <f>M22+M23</f>
        <v>858434.26</v>
      </c>
      <c r="N21" s="57">
        <f>N22+N23</f>
        <v>0</v>
      </c>
      <c r="O21" s="57"/>
      <c r="P21" s="57">
        <f t="shared" si="9"/>
        <v>858434.26</v>
      </c>
      <c r="Q21" s="57"/>
      <c r="R21" s="57"/>
      <c r="S21" s="85">
        <f ca="1" t="shared" ref="S21:S26" si="13">-P21+K21</f>
        <v>-858434.26</v>
      </c>
      <c r="T21" s="56"/>
      <c r="U21" s="108"/>
      <c r="V21" s="108"/>
    </row>
    <row r="22" ht="22.15" customHeight="1" outlineLevel="1" spans="1:22">
      <c r="A22" s="54" t="s">
        <v>1697</v>
      </c>
      <c r="B22" s="55"/>
      <c r="C22" s="56" t="s">
        <v>1696</v>
      </c>
      <c r="D22" s="56" t="s">
        <v>1698</v>
      </c>
      <c r="E22" s="57"/>
      <c r="F22" s="56"/>
      <c r="G22" s="58"/>
      <c r="H22" s="58"/>
      <c r="I22" s="83">
        <v>640000</v>
      </c>
      <c r="J22" s="84">
        <f ca="1">完成比例</f>
        <v>0</v>
      </c>
      <c r="K22" s="85">
        <f ca="1" t="shared" si="6"/>
        <v>0</v>
      </c>
      <c r="L22" s="86"/>
      <c r="M22" s="88">
        <v>474371.32</v>
      </c>
      <c r="N22" s="57"/>
      <c r="O22" s="57"/>
      <c r="P22" s="57">
        <f t="shared" si="9"/>
        <v>474371.32</v>
      </c>
      <c r="Q22" s="57"/>
      <c r="R22" s="57"/>
      <c r="S22" s="85">
        <f ca="1" t="shared" si="13"/>
        <v>-474371.32</v>
      </c>
      <c r="T22" s="56"/>
      <c r="U22" s="108"/>
      <c r="V22" s="108"/>
    </row>
    <row r="23" ht="22.15" customHeight="1" outlineLevel="1" spans="1:22">
      <c r="A23" s="54" t="s">
        <v>1699</v>
      </c>
      <c r="B23" s="55"/>
      <c r="C23" s="56" t="s">
        <v>1696</v>
      </c>
      <c r="D23" s="56" t="s">
        <v>1700</v>
      </c>
      <c r="E23" s="57"/>
      <c r="F23" s="56"/>
      <c r="G23" s="58"/>
      <c r="H23" s="58"/>
      <c r="I23" s="83">
        <v>1754000</v>
      </c>
      <c r="J23" s="84">
        <f ca="1">完成比例</f>
        <v>0</v>
      </c>
      <c r="K23" s="85">
        <f ca="1" t="shared" si="6"/>
        <v>0</v>
      </c>
      <c r="L23" s="86"/>
      <c r="M23" s="90">
        <v>384062.94</v>
      </c>
      <c r="N23" s="57"/>
      <c r="O23" s="57"/>
      <c r="P23" s="57">
        <f t="shared" si="9"/>
        <v>384062.94</v>
      </c>
      <c r="Q23" s="57"/>
      <c r="R23" s="57"/>
      <c r="S23" s="85">
        <f ca="1" t="shared" si="13"/>
        <v>-384062.94</v>
      </c>
      <c r="T23" s="56"/>
      <c r="U23" s="108"/>
      <c r="V23" s="108"/>
    </row>
    <row r="24" ht="22.15" customHeight="1" spans="1:22">
      <c r="A24" s="54" t="s">
        <v>1701</v>
      </c>
      <c r="B24" s="55"/>
      <c r="C24" s="56" t="s">
        <v>1702</v>
      </c>
      <c r="D24" s="56" t="s">
        <v>1702</v>
      </c>
      <c r="E24" s="57"/>
      <c r="F24" s="56"/>
      <c r="G24" s="58"/>
      <c r="H24" s="58"/>
      <c r="I24" s="83">
        <f>SUMPRODUCT((LEFT($A25:$A$51,LEN($A24))=$A24)*1,(LEN($A25:$A$51)=LEN($A24)+3)*1,I25:I$51)</f>
        <v>2700500</v>
      </c>
      <c r="J24" s="84">
        <f ca="1">完成比例</f>
        <v>0</v>
      </c>
      <c r="K24" s="85">
        <f ca="1" t="shared" si="6"/>
        <v>0</v>
      </c>
      <c r="L24" s="86"/>
      <c r="M24" s="57">
        <f>SUM(M25:M26)</f>
        <v>623216.4</v>
      </c>
      <c r="N24" s="57">
        <f ca="1">SUM(N25:N26)</f>
        <v>0</v>
      </c>
      <c r="O24" s="57"/>
      <c r="P24" s="57">
        <f ca="1" t="shared" si="9"/>
        <v>623216.4</v>
      </c>
      <c r="Q24" s="57"/>
      <c r="R24" s="57"/>
      <c r="S24" s="85">
        <f ca="1" t="shared" si="13"/>
        <v>-623216.4</v>
      </c>
      <c r="T24" s="56"/>
      <c r="U24" s="108"/>
      <c r="V24" s="108"/>
    </row>
    <row r="25" ht="22.15" customHeight="1" outlineLevel="1" spans="1:22">
      <c r="A25" s="54" t="s">
        <v>1703</v>
      </c>
      <c r="B25" s="55"/>
      <c r="C25" s="56" t="s">
        <v>1702</v>
      </c>
      <c r="D25" s="56" t="s">
        <v>1702</v>
      </c>
      <c r="E25" s="57" t="s">
        <v>1704</v>
      </c>
      <c r="F25" s="56"/>
      <c r="G25" s="58"/>
      <c r="H25" s="58"/>
      <c r="I25" s="83">
        <v>2700500</v>
      </c>
      <c r="J25" s="84">
        <f ca="1">完成比例</f>
        <v>0</v>
      </c>
      <c r="K25" s="85">
        <f ca="1" t="shared" si="6"/>
        <v>0</v>
      </c>
      <c r="L25" s="86"/>
      <c r="M25" s="57">
        <v>623216.4</v>
      </c>
      <c r="N25" s="57"/>
      <c r="O25" s="57"/>
      <c r="P25" s="57">
        <f t="shared" si="9"/>
        <v>623216.4</v>
      </c>
      <c r="Q25" s="57"/>
      <c r="R25" s="57"/>
      <c r="S25" s="85">
        <f ca="1" t="shared" si="13"/>
        <v>-623216.4</v>
      </c>
      <c r="T25" s="56"/>
      <c r="U25" s="108"/>
      <c r="V25" s="108"/>
    </row>
    <row r="26" ht="22.15" customHeight="1" outlineLevel="1" spans="1:22">
      <c r="A26" s="54" t="s">
        <v>1706</v>
      </c>
      <c r="B26" s="55"/>
      <c r="C26" s="56" t="s">
        <v>1707</v>
      </c>
      <c r="D26" s="56"/>
      <c r="E26" s="57"/>
      <c r="F26" s="56"/>
      <c r="G26" s="58"/>
      <c r="H26" s="58"/>
      <c r="I26" s="83">
        <v>0</v>
      </c>
      <c r="J26" s="84">
        <f ca="1">完成比例</f>
        <v>0</v>
      </c>
      <c r="K26" s="85">
        <f ca="1" t="shared" si="6"/>
        <v>0</v>
      </c>
      <c r="L26" s="86"/>
      <c r="M26" s="57"/>
      <c r="N26" s="57">
        <f ca="1">-M26*(1-完成比例)</f>
        <v>0</v>
      </c>
      <c r="O26" s="57"/>
      <c r="P26" s="57">
        <f ca="1" t="shared" si="9"/>
        <v>0</v>
      </c>
      <c r="Q26" s="57"/>
      <c r="R26" s="57"/>
      <c r="S26" s="85">
        <f ca="1" t="shared" si="13"/>
        <v>0</v>
      </c>
      <c r="T26" s="56"/>
      <c r="U26" s="108"/>
      <c r="V26" s="108"/>
    </row>
    <row r="27" ht="22.15" customHeight="1" spans="1:22">
      <c r="A27" s="54" t="s">
        <v>1709</v>
      </c>
      <c r="B27" s="55"/>
      <c r="C27" s="56" t="s">
        <v>1710</v>
      </c>
      <c r="D27" s="56" t="s">
        <v>1710</v>
      </c>
      <c r="E27" s="57"/>
      <c r="F27" s="56"/>
      <c r="G27" s="58"/>
      <c r="H27" s="58"/>
      <c r="I27" s="83">
        <f>SUMPRODUCT((LEFT($A28:$A$51,LEN($A27))=$A27)*1,(LEN($A28:$A$51)=LEN($A27)+3)*1,I28:I$51)</f>
        <v>2254599.98</v>
      </c>
      <c r="J27" s="84"/>
      <c r="K27" s="89">
        <f ca="1" t="shared" ref="K27:N27" si="14">SUM(K28:K30)</f>
        <v>0</v>
      </c>
      <c r="L27" s="86"/>
      <c r="M27" s="57">
        <f t="shared" si="14"/>
        <v>2254599.98</v>
      </c>
      <c r="N27" s="57">
        <f ca="1" t="shared" si="14"/>
        <v>-2254599.98</v>
      </c>
      <c r="O27" s="57"/>
      <c r="P27" s="57">
        <f ca="1" t="shared" si="9"/>
        <v>0</v>
      </c>
      <c r="Q27" s="57">
        <f t="shared" ref="Q27:S27" si="15">SUM(Q28:Q29)</f>
        <v>0</v>
      </c>
      <c r="R27" s="57">
        <f t="shared" si="15"/>
        <v>0</v>
      </c>
      <c r="S27" s="85">
        <f ca="1" t="shared" si="15"/>
        <v>0</v>
      </c>
      <c r="T27" s="56"/>
      <c r="U27" s="108"/>
      <c r="V27" s="108"/>
    </row>
    <row r="28" ht="22.15" customHeight="1" outlineLevel="1" spans="1:22">
      <c r="A28" s="54" t="s">
        <v>1711</v>
      </c>
      <c r="B28" s="55"/>
      <c r="C28" s="56" t="s">
        <v>1710</v>
      </c>
      <c r="D28" s="56" t="s">
        <v>1712</v>
      </c>
      <c r="E28" s="57"/>
      <c r="F28" s="56"/>
      <c r="G28" s="58"/>
      <c r="H28" s="58"/>
      <c r="I28" s="83">
        <v>0</v>
      </c>
      <c r="J28" s="84">
        <f ca="1">完成比例</f>
        <v>0</v>
      </c>
      <c r="K28" s="85">
        <f ca="1" t="shared" ref="K28:K31" si="16">+I28*J28</f>
        <v>0</v>
      </c>
      <c r="L28" s="86"/>
      <c r="M28" s="57"/>
      <c r="N28" s="57">
        <f ca="1">-M28*(1-完成比例)</f>
        <v>0</v>
      </c>
      <c r="O28" s="57"/>
      <c r="P28" s="57">
        <f ca="1" t="shared" si="9"/>
        <v>0</v>
      </c>
      <c r="Q28" s="57"/>
      <c r="R28" s="57"/>
      <c r="S28" s="85">
        <f ca="1" t="shared" ref="S28:S31" si="17">-P28+K28</f>
        <v>0</v>
      </c>
      <c r="T28" s="109" t="s">
        <v>3945</v>
      </c>
      <c r="U28" s="108"/>
      <c r="V28" s="108"/>
    </row>
    <row r="29" ht="22.15" customHeight="1" outlineLevel="1" spans="1:22">
      <c r="A29" s="54" t="s">
        <v>1714</v>
      </c>
      <c r="B29" s="55"/>
      <c r="C29" s="56" t="s">
        <v>1710</v>
      </c>
      <c r="D29" s="56" t="s">
        <v>1715</v>
      </c>
      <c r="E29" s="57"/>
      <c r="F29" s="56"/>
      <c r="G29" s="58"/>
      <c r="H29" s="58"/>
      <c r="I29" s="83">
        <v>1094466.01</v>
      </c>
      <c r="J29" s="84">
        <f ca="1">完成比例</f>
        <v>0</v>
      </c>
      <c r="K29" s="85">
        <f ca="1" t="shared" si="16"/>
        <v>0</v>
      </c>
      <c r="L29" s="86"/>
      <c r="M29" s="57">
        <v>1094466.01</v>
      </c>
      <c r="N29" s="57">
        <f ca="1">-M29*(1-完成比例)</f>
        <v>-1094466.01</v>
      </c>
      <c r="O29" s="57"/>
      <c r="P29" s="57">
        <f ca="1" t="shared" si="9"/>
        <v>0</v>
      </c>
      <c r="Q29" s="57"/>
      <c r="R29" s="57"/>
      <c r="S29" s="85">
        <f ca="1" t="shared" si="17"/>
        <v>0</v>
      </c>
      <c r="T29" s="110"/>
      <c r="U29" s="108"/>
      <c r="V29" s="108"/>
    </row>
    <row r="30" ht="22.15" customHeight="1" outlineLevel="1" spans="1:22">
      <c r="A30" s="54" t="s">
        <v>1716</v>
      </c>
      <c r="B30" s="55"/>
      <c r="C30" s="56" t="s">
        <v>1710</v>
      </c>
      <c r="D30" s="56" t="s">
        <v>1717</v>
      </c>
      <c r="E30" s="57"/>
      <c r="F30" s="56"/>
      <c r="G30" s="58"/>
      <c r="H30" s="58"/>
      <c r="I30" s="83">
        <v>1160133.97</v>
      </c>
      <c r="J30" s="84">
        <f ca="1">完成比例</f>
        <v>0</v>
      </c>
      <c r="K30" s="85">
        <f ca="1" t="shared" si="16"/>
        <v>0</v>
      </c>
      <c r="L30" s="86"/>
      <c r="M30" s="57">
        <v>1160133.97</v>
      </c>
      <c r="N30" s="57">
        <f ca="1">-M30*(1-完成比例)</f>
        <v>-1160133.97</v>
      </c>
      <c r="O30" s="57"/>
      <c r="P30" s="57">
        <f ca="1" t="shared" si="9"/>
        <v>0</v>
      </c>
      <c r="Q30" s="57">
        <f t="shared" ref="Q30:S30" si="18">SUM(Q31:Q34)</f>
        <v>0</v>
      </c>
      <c r="R30" s="57">
        <f t="shared" si="18"/>
        <v>0</v>
      </c>
      <c r="S30" s="85">
        <f ca="1" t="shared" si="18"/>
        <v>-8552.42</v>
      </c>
      <c r="T30" s="111"/>
      <c r="U30" s="108"/>
      <c r="V30" s="108"/>
    </row>
    <row r="31" ht="22.15" customHeight="1" spans="1:22">
      <c r="A31" s="54" t="s">
        <v>1718</v>
      </c>
      <c r="B31" s="55"/>
      <c r="C31" s="56" t="s">
        <v>1719</v>
      </c>
      <c r="D31" s="56" t="s">
        <v>1719</v>
      </c>
      <c r="E31" s="57" t="s">
        <v>1720</v>
      </c>
      <c r="F31" s="56"/>
      <c r="G31" s="58"/>
      <c r="H31" s="58"/>
      <c r="I31" s="83"/>
      <c r="J31" s="84">
        <f ca="1">完成比例</f>
        <v>0</v>
      </c>
      <c r="K31" s="85">
        <f ca="1" t="shared" si="16"/>
        <v>0</v>
      </c>
      <c r="L31" s="86"/>
      <c r="M31" s="57">
        <f>M32</f>
        <v>8552.42</v>
      </c>
      <c r="N31" s="57">
        <f>SUM(N32)</f>
        <v>0</v>
      </c>
      <c r="O31" s="57"/>
      <c r="P31" s="57">
        <f>P32</f>
        <v>8552.42</v>
      </c>
      <c r="Q31" s="57"/>
      <c r="R31" s="57"/>
      <c r="S31" s="85">
        <f ca="1" t="shared" si="17"/>
        <v>-8552.42</v>
      </c>
      <c r="T31" s="56"/>
      <c r="U31" s="108"/>
      <c r="V31" s="108"/>
    </row>
    <row r="32" ht="22.15" customHeight="1" spans="1:22">
      <c r="A32" s="54"/>
      <c r="B32" s="55"/>
      <c r="C32" s="56"/>
      <c r="D32" s="56" t="s">
        <v>3946</v>
      </c>
      <c r="E32" s="57"/>
      <c r="F32" s="56"/>
      <c r="G32" s="58"/>
      <c r="H32" s="58"/>
      <c r="I32" s="83"/>
      <c r="J32" s="84"/>
      <c r="K32" s="85"/>
      <c r="L32" s="86"/>
      <c r="M32" s="57">
        <v>8552.42</v>
      </c>
      <c r="N32" s="57"/>
      <c r="O32" s="57"/>
      <c r="P32" s="57">
        <f t="shared" ref="P32:P51" si="19">+M32+N32</f>
        <v>8552.42</v>
      </c>
      <c r="Q32" s="57"/>
      <c r="R32" s="57"/>
      <c r="S32" s="85"/>
      <c r="T32" s="56"/>
      <c r="U32" s="108"/>
      <c r="V32" s="108"/>
    </row>
    <row r="33" ht="22.15" customHeight="1" spans="1:22">
      <c r="A33" s="54" t="s">
        <v>1721</v>
      </c>
      <c r="B33" s="55"/>
      <c r="C33" s="56" t="s">
        <v>1722</v>
      </c>
      <c r="D33" s="56" t="s">
        <v>1722</v>
      </c>
      <c r="E33" s="57"/>
      <c r="F33" s="56"/>
      <c r="G33" s="58"/>
      <c r="H33" s="58"/>
      <c r="I33" s="83">
        <f>SUMPRODUCT((LEFT($A34:$A$51,LEN($A33))=$A33)*1,(LEN($A34:$A$51)=LEN($A33)+3)*1,I34:I$51)</f>
        <v>1500000</v>
      </c>
      <c r="J33" s="84">
        <f ca="1">完成比例</f>
        <v>0</v>
      </c>
      <c r="K33" s="85">
        <f ca="1" t="shared" ref="K33:K44" si="20">+I33*J33</f>
        <v>0</v>
      </c>
      <c r="L33" s="86"/>
      <c r="M33" s="57">
        <f>M34</f>
        <v>308946.44</v>
      </c>
      <c r="N33" s="57">
        <f ca="1">N34</f>
        <v>-308946.44</v>
      </c>
      <c r="O33" s="57"/>
      <c r="P33" s="57">
        <f ca="1" t="shared" si="19"/>
        <v>0</v>
      </c>
      <c r="Q33" s="57"/>
      <c r="R33" s="57"/>
      <c r="S33" s="85">
        <f ca="1" t="shared" ref="S33:S37" si="21">-P33+K33</f>
        <v>0</v>
      </c>
      <c r="T33" s="56"/>
      <c r="U33" s="108"/>
      <c r="V33" s="108"/>
    </row>
    <row r="34" ht="22.15" customHeight="1" outlineLevel="1" spans="1:22">
      <c r="A34" s="54" t="s">
        <v>1723</v>
      </c>
      <c r="B34" s="55"/>
      <c r="C34" s="56" t="s">
        <v>1722</v>
      </c>
      <c r="D34" s="56" t="s">
        <v>1724</v>
      </c>
      <c r="E34" s="57"/>
      <c r="F34" s="56"/>
      <c r="G34" s="58"/>
      <c r="H34" s="58"/>
      <c r="I34" s="83">
        <v>1500000</v>
      </c>
      <c r="J34" s="84">
        <f ca="1">完成比例</f>
        <v>0</v>
      </c>
      <c r="K34" s="85">
        <f ca="1" t="shared" si="20"/>
        <v>0</v>
      </c>
      <c r="L34" s="86"/>
      <c r="M34" s="57">
        <v>308946.44</v>
      </c>
      <c r="N34" s="57">
        <f ca="1">-M34*(1-完成比例)</f>
        <v>-308946.44</v>
      </c>
      <c r="O34" s="57"/>
      <c r="P34" s="57">
        <f ca="1" t="shared" si="19"/>
        <v>0</v>
      </c>
      <c r="Q34" s="57"/>
      <c r="R34" s="57"/>
      <c r="S34" s="85">
        <f ca="1" t="shared" si="21"/>
        <v>0</v>
      </c>
      <c r="T34" s="56" t="s">
        <v>3945</v>
      </c>
      <c r="U34" s="108"/>
      <c r="V34" s="108"/>
    </row>
    <row r="35" ht="22.15" customHeight="1" spans="1:22">
      <c r="A35" s="54" t="s">
        <v>1725</v>
      </c>
      <c r="B35" s="55"/>
      <c r="C35" s="56" t="s">
        <v>1726</v>
      </c>
      <c r="D35" s="56" t="s">
        <v>1726</v>
      </c>
      <c r="E35" s="57"/>
      <c r="F35" s="56"/>
      <c r="G35" s="58"/>
      <c r="H35" s="58"/>
      <c r="I35" s="83">
        <f>SUMPRODUCT((LEFT($A36:$A$51,LEN($A35))=$A35)*1,(LEN($A36:$A$51)=LEN($A35)+3)*1,I36:I$51)</f>
        <v>597017.5</v>
      </c>
      <c r="J35" s="84"/>
      <c r="K35" s="85">
        <f ca="1">SUM(K36:K38)</f>
        <v>0</v>
      </c>
      <c r="L35" s="86"/>
      <c r="M35" s="57">
        <f>M36+M37+M38</f>
        <v>406083.5</v>
      </c>
      <c r="N35" s="57">
        <f ca="1">N36+N37+N38</f>
        <v>-406083.5</v>
      </c>
      <c r="O35" s="57"/>
      <c r="P35" s="57">
        <f ca="1" t="shared" si="19"/>
        <v>0</v>
      </c>
      <c r="Q35" s="57">
        <f t="shared" ref="Q35:S35" si="22">SUM(Q36:Q37)</f>
        <v>0</v>
      </c>
      <c r="R35" s="57">
        <f t="shared" si="22"/>
        <v>0</v>
      </c>
      <c r="S35" s="85">
        <f ca="1" t="shared" si="22"/>
        <v>0</v>
      </c>
      <c r="T35" s="56"/>
      <c r="U35" s="108"/>
      <c r="V35" s="108"/>
    </row>
    <row r="36" ht="22.15" customHeight="1" outlineLevel="1" spans="1:22">
      <c r="A36" s="54" t="s">
        <v>1727</v>
      </c>
      <c r="B36" s="55"/>
      <c r="C36" s="56" t="s">
        <v>1726</v>
      </c>
      <c r="D36" s="56" t="s">
        <v>1728</v>
      </c>
      <c r="E36" s="57"/>
      <c r="F36" s="56"/>
      <c r="G36" s="58"/>
      <c r="H36" s="58"/>
      <c r="I36" s="83">
        <v>397017.5</v>
      </c>
      <c r="J36" s="84">
        <f ca="1">完成比例</f>
        <v>0</v>
      </c>
      <c r="K36" s="85">
        <f ca="1" t="shared" si="20"/>
        <v>0</v>
      </c>
      <c r="L36" s="86"/>
      <c r="M36" s="57">
        <v>397017.5</v>
      </c>
      <c r="N36" s="57">
        <f ca="1">-M36*(1-完成比例)</f>
        <v>-397017.5</v>
      </c>
      <c r="O36" s="57"/>
      <c r="P36" s="57">
        <f ca="1" t="shared" si="19"/>
        <v>0</v>
      </c>
      <c r="Q36" s="57"/>
      <c r="R36" s="57"/>
      <c r="S36" s="85">
        <f ca="1" t="shared" si="21"/>
        <v>0</v>
      </c>
      <c r="T36" s="109" t="s">
        <v>3945</v>
      </c>
      <c r="U36" s="108"/>
      <c r="V36" s="108"/>
    </row>
    <row r="37" ht="22.15" customHeight="1" outlineLevel="1" spans="1:22">
      <c r="A37" s="54" t="s">
        <v>1729</v>
      </c>
      <c r="B37" s="55"/>
      <c r="C37" s="56" t="s">
        <v>1726</v>
      </c>
      <c r="D37" s="56" t="s">
        <v>1730</v>
      </c>
      <c r="E37" s="57" t="s">
        <v>1731</v>
      </c>
      <c r="F37" s="56"/>
      <c r="G37" s="58"/>
      <c r="H37" s="58"/>
      <c r="I37" s="83">
        <v>0</v>
      </c>
      <c r="J37" s="84">
        <f ca="1">完成比例</f>
        <v>0</v>
      </c>
      <c r="K37" s="85">
        <f ca="1" t="shared" si="20"/>
        <v>0</v>
      </c>
      <c r="L37" s="86"/>
      <c r="M37" s="57"/>
      <c r="N37" s="57">
        <f ca="1">-M37*(1-完成比例)</f>
        <v>0</v>
      </c>
      <c r="O37" s="57"/>
      <c r="P37" s="57">
        <f ca="1" t="shared" si="19"/>
        <v>0</v>
      </c>
      <c r="Q37" s="57"/>
      <c r="R37" s="57"/>
      <c r="S37" s="85">
        <f ca="1" t="shared" si="21"/>
        <v>0</v>
      </c>
      <c r="T37" s="110"/>
      <c r="U37" s="108"/>
      <c r="V37" s="108"/>
    </row>
    <row r="38" ht="22.15" customHeight="1" outlineLevel="1" spans="1:22">
      <c r="A38" s="54" t="s">
        <v>1732</v>
      </c>
      <c r="B38" s="55"/>
      <c r="C38" s="56" t="s">
        <v>1726</v>
      </c>
      <c r="D38" s="56" t="s">
        <v>1733</v>
      </c>
      <c r="E38" s="57"/>
      <c r="F38" s="56"/>
      <c r="G38" s="58"/>
      <c r="H38" s="58"/>
      <c r="I38" s="83">
        <v>200000</v>
      </c>
      <c r="J38" s="84">
        <f ca="1">完成比例</f>
        <v>0</v>
      </c>
      <c r="K38" s="85">
        <f ca="1" t="shared" si="20"/>
        <v>0</v>
      </c>
      <c r="L38" s="86"/>
      <c r="M38" s="57">
        <v>9066</v>
      </c>
      <c r="N38" s="57">
        <f ca="1">-M38*(1-完成比例)</f>
        <v>-9066</v>
      </c>
      <c r="O38" s="57"/>
      <c r="P38" s="57">
        <f ca="1" t="shared" si="19"/>
        <v>0</v>
      </c>
      <c r="Q38" s="57">
        <f t="shared" ref="Q38:S38" si="23">SUM(Q39:Q42)</f>
        <v>0</v>
      </c>
      <c r="R38" s="57">
        <f t="shared" si="23"/>
        <v>0</v>
      </c>
      <c r="S38" s="85">
        <f ca="1" t="shared" si="23"/>
        <v>-3413376.66</v>
      </c>
      <c r="T38" s="111"/>
      <c r="U38" s="108"/>
      <c r="V38" s="108"/>
    </row>
    <row r="39" ht="22.15" customHeight="1" spans="1:22">
      <c r="A39" s="54" t="s">
        <v>1734</v>
      </c>
      <c r="B39" s="55"/>
      <c r="C39" s="56" t="s">
        <v>1735</v>
      </c>
      <c r="D39" s="56" t="s">
        <v>1735</v>
      </c>
      <c r="E39" s="57" t="s">
        <v>1736</v>
      </c>
      <c r="F39" s="56"/>
      <c r="G39" s="58"/>
      <c r="H39" s="58"/>
      <c r="I39" s="83">
        <f>SUMPRODUCT((LEFT($A40:$A$51,LEN($A39))=$A39)*1,(LEN($A40:$A$51)=LEN($A39)+3)*1,I40:I$51)</f>
        <v>3680238.56</v>
      </c>
      <c r="J39" s="84">
        <f ca="1">完成比例</f>
        <v>0</v>
      </c>
      <c r="K39" s="85">
        <f ca="1" t="shared" si="20"/>
        <v>0</v>
      </c>
      <c r="L39" s="86"/>
      <c r="M39" s="57">
        <f>M40+M41+M42</f>
        <v>1706688.33</v>
      </c>
      <c r="N39" s="57">
        <f>N40+N41+N42</f>
        <v>0</v>
      </c>
      <c r="O39" s="57"/>
      <c r="P39" s="57">
        <f t="shared" si="19"/>
        <v>1706688.33</v>
      </c>
      <c r="Q39" s="57"/>
      <c r="R39" s="57"/>
      <c r="S39" s="85">
        <f ca="1" t="shared" ref="S39:S45" si="24">-P39+K39</f>
        <v>-1706688.33</v>
      </c>
      <c r="T39" s="56"/>
      <c r="U39" s="108"/>
      <c r="V39" s="108"/>
    </row>
    <row r="40" ht="22.15" customHeight="1" outlineLevel="1" spans="1:22">
      <c r="A40" s="54" t="s">
        <v>1737</v>
      </c>
      <c r="B40" s="55"/>
      <c r="C40" s="56" t="s">
        <v>1735</v>
      </c>
      <c r="D40" s="56" t="s">
        <v>1738</v>
      </c>
      <c r="E40" s="57"/>
      <c r="F40" s="56"/>
      <c r="G40" s="58"/>
      <c r="H40" s="58"/>
      <c r="I40" s="83">
        <v>2080000</v>
      </c>
      <c r="J40" s="84">
        <f ca="1">完成比例</f>
        <v>0</v>
      </c>
      <c r="K40" s="85">
        <f ca="1" t="shared" si="20"/>
        <v>0</v>
      </c>
      <c r="L40" s="86"/>
      <c r="M40" s="57">
        <v>233019.33</v>
      </c>
      <c r="N40" s="57"/>
      <c r="O40" s="57"/>
      <c r="P40" s="57">
        <f t="shared" si="19"/>
        <v>233019.33</v>
      </c>
      <c r="Q40" s="57"/>
      <c r="R40" s="57"/>
      <c r="S40" s="85">
        <f ca="1" t="shared" si="24"/>
        <v>-233019.33</v>
      </c>
      <c r="T40" s="56"/>
      <c r="U40" s="108"/>
      <c r="V40" s="108"/>
    </row>
    <row r="41" ht="22.15" customHeight="1" outlineLevel="1" spans="1:22">
      <c r="A41" s="54" t="s">
        <v>1739</v>
      </c>
      <c r="B41" s="55"/>
      <c r="C41" s="56" t="s">
        <v>1735</v>
      </c>
      <c r="D41" s="56" t="s">
        <v>1740</v>
      </c>
      <c r="E41" s="57"/>
      <c r="F41" s="56"/>
      <c r="G41" s="58"/>
      <c r="H41" s="58"/>
      <c r="I41" s="83">
        <v>1600238.56</v>
      </c>
      <c r="J41" s="84">
        <f ca="1">完成比例</f>
        <v>0</v>
      </c>
      <c r="K41" s="85">
        <f ca="1" t="shared" si="20"/>
        <v>0</v>
      </c>
      <c r="L41" s="86"/>
      <c r="M41" s="88">
        <v>1665238.56</v>
      </c>
      <c r="N41" s="57"/>
      <c r="O41" s="57"/>
      <c r="P41" s="57">
        <f t="shared" si="19"/>
        <v>1665238.56</v>
      </c>
      <c r="Q41" s="57"/>
      <c r="R41" s="57"/>
      <c r="S41" s="85">
        <f ca="1" t="shared" si="24"/>
        <v>-1665238.56</v>
      </c>
      <c r="T41" s="56"/>
      <c r="U41" s="108"/>
      <c r="V41" s="108"/>
    </row>
    <row r="42" ht="22.15" customHeight="1" outlineLevel="1" spans="1:22">
      <c r="A42" s="54" t="s">
        <v>1741</v>
      </c>
      <c r="B42" s="55"/>
      <c r="C42" s="56" t="s">
        <v>1735</v>
      </c>
      <c r="D42" s="56" t="s">
        <v>1742</v>
      </c>
      <c r="E42" s="57"/>
      <c r="F42" s="56"/>
      <c r="G42" s="58"/>
      <c r="H42" s="58"/>
      <c r="I42" s="83"/>
      <c r="J42" s="84">
        <f ca="1">完成比例</f>
        <v>0</v>
      </c>
      <c r="K42" s="85">
        <f ca="1" t="shared" si="20"/>
        <v>0</v>
      </c>
      <c r="L42" s="86"/>
      <c r="M42" s="90">
        <v>-191569.56</v>
      </c>
      <c r="N42" s="57"/>
      <c r="O42" s="57"/>
      <c r="P42" s="57">
        <f t="shared" si="19"/>
        <v>-191569.56</v>
      </c>
      <c r="Q42" s="57"/>
      <c r="R42" s="57"/>
      <c r="S42" s="85">
        <f ca="1" t="shared" si="24"/>
        <v>191569.56</v>
      </c>
      <c r="T42" s="56"/>
      <c r="U42" s="108"/>
      <c r="V42" s="108"/>
    </row>
    <row r="43" ht="22.15" customHeight="1" spans="1:22">
      <c r="A43" s="54" t="s">
        <v>1743</v>
      </c>
      <c r="B43" s="55"/>
      <c r="C43" s="56" t="s">
        <v>1744</v>
      </c>
      <c r="D43" s="56" t="s">
        <v>1745</v>
      </c>
      <c r="E43" s="57"/>
      <c r="F43" s="56"/>
      <c r="G43" s="58"/>
      <c r="H43" s="58"/>
      <c r="I43" s="83">
        <f>SUMPRODUCT((LEFT($A44:$A$51,LEN($A43))=$A43)*1,(LEN($A44:$A$51)=LEN($A43)+3)*1,I44:I$51)</f>
        <v>665301.8</v>
      </c>
      <c r="J43" s="84">
        <f ca="1">完成比例</f>
        <v>0</v>
      </c>
      <c r="K43" s="85">
        <f ca="1" t="shared" si="20"/>
        <v>0</v>
      </c>
      <c r="L43" s="86"/>
      <c r="M43" s="57">
        <f>M44+M45</f>
        <v>165567.3</v>
      </c>
      <c r="N43" s="57">
        <f>N44+N45</f>
        <v>0</v>
      </c>
      <c r="O43" s="57"/>
      <c r="P43" s="57">
        <f t="shared" si="19"/>
        <v>165567.3</v>
      </c>
      <c r="Q43" s="57"/>
      <c r="R43" s="57"/>
      <c r="S43" s="85">
        <f ca="1" t="shared" si="24"/>
        <v>-165567.3</v>
      </c>
      <c r="T43" s="56"/>
      <c r="U43" s="108"/>
      <c r="V43" s="108"/>
    </row>
    <row r="44" ht="22.15" customHeight="1" outlineLevel="1" spans="1:22">
      <c r="A44" s="54" t="s">
        <v>1746</v>
      </c>
      <c r="B44" s="55"/>
      <c r="C44" s="56" t="s">
        <v>1745</v>
      </c>
      <c r="D44" s="56" t="s">
        <v>1747</v>
      </c>
      <c r="E44" s="57" t="s">
        <v>1748</v>
      </c>
      <c r="F44" s="56"/>
      <c r="G44" s="58"/>
      <c r="H44" s="58"/>
      <c r="I44" s="91">
        <v>665301.8</v>
      </c>
      <c r="J44" s="84">
        <f ca="1">完成比例</f>
        <v>0</v>
      </c>
      <c r="K44" s="85">
        <f ca="1" t="shared" si="20"/>
        <v>0</v>
      </c>
      <c r="L44" s="86"/>
      <c r="M44" s="57">
        <v>165567.3</v>
      </c>
      <c r="N44" s="57"/>
      <c r="O44" s="57"/>
      <c r="P44" s="57">
        <f t="shared" si="19"/>
        <v>165567.3</v>
      </c>
      <c r="Q44" s="57"/>
      <c r="R44" s="57"/>
      <c r="S44" s="85">
        <f ca="1" t="shared" si="24"/>
        <v>-165567.3</v>
      </c>
      <c r="T44" s="56"/>
      <c r="U44" s="108"/>
      <c r="V44" s="108"/>
    </row>
    <row r="45" ht="20.1" customHeight="1" outlineLevel="1" spans="1:20">
      <c r="A45" s="59" t="s">
        <v>1749</v>
      </c>
      <c r="B45" s="57"/>
      <c r="C45" s="57" t="s">
        <v>1745</v>
      </c>
      <c r="D45" s="56" t="s">
        <v>1750</v>
      </c>
      <c r="E45" s="60"/>
      <c r="F45" s="56"/>
      <c r="G45" s="61"/>
      <c r="H45" s="61"/>
      <c r="I45" s="83"/>
      <c r="J45" s="92"/>
      <c r="K45" s="93"/>
      <c r="L45" s="92"/>
      <c r="M45" s="94"/>
      <c r="N45" s="57"/>
      <c r="O45" s="57"/>
      <c r="P45" s="57">
        <f t="shared" si="19"/>
        <v>0</v>
      </c>
      <c r="Q45" s="57"/>
      <c r="R45" s="57"/>
      <c r="S45" s="85">
        <f t="shared" si="24"/>
        <v>0</v>
      </c>
      <c r="T45" s="112"/>
    </row>
    <row r="46" ht="24" customHeight="1" spans="1:20">
      <c r="A46" s="54" t="s">
        <v>1751</v>
      </c>
      <c r="B46" s="55"/>
      <c r="C46" s="56" t="s">
        <v>1752</v>
      </c>
      <c r="D46" s="56" t="s">
        <v>1752</v>
      </c>
      <c r="E46" s="57"/>
      <c r="F46" s="56"/>
      <c r="G46" s="58"/>
      <c r="H46" s="58"/>
      <c r="I46" s="83">
        <f t="shared" ref="I46:N46" si="25">SUM(I47:I49)</f>
        <v>1659559.13</v>
      </c>
      <c r="J46" s="84">
        <v>0.0055</v>
      </c>
      <c r="K46" s="89">
        <f t="shared" ref="K46:K49" si="26">+I46*J46</f>
        <v>9127.575215</v>
      </c>
      <c r="L46" s="86"/>
      <c r="M46" s="57">
        <f t="shared" si="25"/>
        <v>587179.34</v>
      </c>
      <c r="N46" s="57">
        <f t="shared" si="25"/>
        <v>0</v>
      </c>
      <c r="O46" s="57"/>
      <c r="P46" s="57">
        <f t="shared" si="19"/>
        <v>587179.34</v>
      </c>
      <c r="Q46" s="57">
        <f>SUM(Q6:Q45)</f>
        <v>0</v>
      </c>
      <c r="R46" s="57">
        <f>SUM(R6:R45)</f>
        <v>0</v>
      </c>
      <c r="S46" s="85">
        <f ca="1">SUMIF($A$5:$A$45,"&lt;&gt;*.*",S5:S45)</f>
        <v>-55575305.68</v>
      </c>
      <c r="T46" s="56"/>
    </row>
    <row r="47" ht="24" customHeight="1" outlineLevel="1" spans="1:20">
      <c r="A47" s="54" t="s">
        <v>1753</v>
      </c>
      <c r="B47" s="55"/>
      <c r="C47" s="56" t="s">
        <v>1752</v>
      </c>
      <c r="D47" s="56" t="s">
        <v>1754</v>
      </c>
      <c r="E47" s="57"/>
      <c r="F47" s="56" t="s">
        <v>15</v>
      </c>
      <c r="G47" s="58"/>
      <c r="H47" s="58"/>
      <c r="I47" s="83">
        <v>1286804.18</v>
      </c>
      <c r="J47" s="84">
        <f ca="1">完成比例</f>
        <v>0</v>
      </c>
      <c r="K47" s="85">
        <f ca="1" t="shared" si="26"/>
        <v>0</v>
      </c>
      <c r="L47" s="86"/>
      <c r="M47" s="57">
        <v>203917.35</v>
      </c>
      <c r="N47" s="57"/>
      <c r="O47" s="57"/>
      <c r="P47" s="57">
        <f t="shared" si="19"/>
        <v>203917.35</v>
      </c>
      <c r="Q47" s="57">
        <f>SUMIF($C$45:$C45,"临时设施费",Q$45:Q45)</f>
        <v>0</v>
      </c>
      <c r="R47" s="57">
        <f>SUMIF($C$45:$C45,"临时设施费",R$45:R45)</f>
        <v>0</v>
      </c>
      <c r="S47" s="85">
        <f>SUMIF($C$45:$C45,"临时设施费",S$45:S45)</f>
        <v>0</v>
      </c>
      <c r="T47" s="56"/>
    </row>
    <row r="48" ht="24" customHeight="1" outlineLevel="1" spans="1:20">
      <c r="A48" s="54" t="s">
        <v>1756</v>
      </c>
      <c r="B48" s="55"/>
      <c r="C48" s="56" t="s">
        <v>1752</v>
      </c>
      <c r="D48" s="56" t="s">
        <v>1757</v>
      </c>
      <c r="E48" s="57"/>
      <c r="F48" s="56" t="s">
        <v>15</v>
      </c>
      <c r="G48" s="58"/>
      <c r="H48" s="58"/>
      <c r="I48" s="83">
        <v>372754.95</v>
      </c>
      <c r="J48" s="84">
        <f ca="1">完成比例</f>
        <v>0</v>
      </c>
      <c r="K48" s="85">
        <f ca="1" t="shared" si="26"/>
        <v>0</v>
      </c>
      <c r="L48" s="86"/>
      <c r="M48" s="57">
        <v>378021.66</v>
      </c>
      <c r="N48" s="57"/>
      <c r="O48" s="57"/>
      <c r="P48" s="57">
        <f t="shared" si="19"/>
        <v>378021.66</v>
      </c>
      <c r="Q48" s="57">
        <f>SUMIF($C$45:$C45,"安全生产费",Q$45:Q45)/2</f>
        <v>0</v>
      </c>
      <c r="R48" s="57">
        <f>SUMIF($C$45:$C45,"安全生产费",R$45:R45)/2</f>
        <v>0</v>
      </c>
      <c r="S48" s="85">
        <f>SUMIF($C$45:$C45,"安全生产费",S$45:S45)/2</f>
        <v>0</v>
      </c>
      <c r="T48" s="56"/>
    </row>
    <row r="49" ht="24" customHeight="1" outlineLevel="1" spans="1:20">
      <c r="A49" s="54" t="s">
        <v>1758</v>
      </c>
      <c r="B49" s="55"/>
      <c r="C49" s="56" t="s">
        <v>1752</v>
      </c>
      <c r="D49" s="56" t="s">
        <v>1759</v>
      </c>
      <c r="E49" s="57"/>
      <c r="F49" s="56" t="s">
        <v>15</v>
      </c>
      <c r="G49" s="58"/>
      <c r="H49" s="58"/>
      <c r="I49" s="83">
        <v>0</v>
      </c>
      <c r="J49" s="84">
        <f ca="1">完成比例</f>
        <v>0</v>
      </c>
      <c r="K49" s="85">
        <f ca="1" t="shared" si="26"/>
        <v>0</v>
      </c>
      <c r="L49" s="86"/>
      <c r="M49" s="95">
        <v>5240.33</v>
      </c>
      <c r="N49" s="57"/>
      <c r="O49" s="57"/>
      <c r="P49" s="57">
        <f t="shared" si="19"/>
        <v>5240.33</v>
      </c>
      <c r="Q49" s="57">
        <f t="shared" ref="Q49:S49" si="27">Q46-Q47-Q48</f>
        <v>0</v>
      </c>
      <c r="R49" s="57">
        <f t="shared" si="27"/>
        <v>0</v>
      </c>
      <c r="S49" s="85">
        <f ca="1" t="shared" si="27"/>
        <v>-55575305.68</v>
      </c>
      <c r="T49" s="56"/>
    </row>
    <row r="50" ht="39.75" customHeight="1" spans="1:20">
      <c r="A50" s="62" t="s">
        <v>1760</v>
      </c>
      <c r="B50" s="63"/>
      <c r="C50" s="64" t="s">
        <v>1644</v>
      </c>
      <c r="D50" s="64" t="s">
        <v>1644</v>
      </c>
      <c r="E50" s="65"/>
      <c r="F50" s="64"/>
      <c r="G50" s="66"/>
      <c r="H50" s="66"/>
      <c r="I50" s="96">
        <f>+I51</f>
        <v>0</v>
      </c>
      <c r="J50" s="97"/>
      <c r="K50" s="98"/>
      <c r="L50" s="99"/>
      <c r="M50" s="65">
        <v>784602.69</v>
      </c>
      <c r="N50" s="65">
        <f>SUM(N51:N52)</f>
        <v>0</v>
      </c>
      <c r="O50" s="65"/>
      <c r="P50" s="57">
        <f t="shared" si="19"/>
        <v>784602.69</v>
      </c>
      <c r="Q50" s="65"/>
      <c r="R50" s="65"/>
      <c r="S50" s="98"/>
      <c r="T50" s="64" t="s">
        <v>3947</v>
      </c>
    </row>
    <row r="51" ht="21" customHeight="1" outlineLevel="1" spans="1:22">
      <c r="A51" s="54" t="s">
        <v>1761</v>
      </c>
      <c r="B51" s="55"/>
      <c r="C51" s="56"/>
      <c r="D51" s="56"/>
      <c r="E51" s="57"/>
      <c r="F51" s="56"/>
      <c r="G51" s="58"/>
      <c r="H51" s="58"/>
      <c r="I51" s="83">
        <v>0</v>
      </c>
      <c r="J51" s="84"/>
      <c r="K51" s="85"/>
      <c r="L51" s="86"/>
      <c r="M51" s="57">
        <v>784602.69</v>
      </c>
      <c r="N51" s="57"/>
      <c r="O51" s="57"/>
      <c r="P51" s="57">
        <f t="shared" si="19"/>
        <v>784602.69</v>
      </c>
      <c r="Q51" s="57"/>
      <c r="R51" s="57"/>
      <c r="S51" s="85"/>
      <c r="T51" s="56" t="s">
        <v>3948</v>
      </c>
      <c r="V51" s="36">
        <v>117400.98</v>
      </c>
    </row>
    <row r="52" ht="21" customHeight="1" outlineLevel="1" spans="1:20">
      <c r="A52" s="54"/>
      <c r="B52" s="55"/>
      <c r="C52" s="56"/>
      <c r="D52" s="56"/>
      <c r="E52" s="57"/>
      <c r="F52" s="56"/>
      <c r="G52" s="58"/>
      <c r="H52" s="58"/>
      <c r="I52" s="83"/>
      <c r="J52" s="84"/>
      <c r="K52" s="85"/>
      <c r="L52" s="86"/>
      <c r="M52" s="57"/>
      <c r="N52" s="57"/>
      <c r="O52" s="57"/>
      <c r="P52" s="57"/>
      <c r="Q52" s="57"/>
      <c r="R52" s="57"/>
      <c r="S52" s="85"/>
      <c r="T52" s="56"/>
    </row>
    <row r="53" spans="1:20">
      <c r="A53" s="67"/>
      <c r="B53" s="67"/>
      <c r="C53" s="67"/>
      <c r="D53" s="67"/>
      <c r="E53" s="68"/>
      <c r="F53" s="67"/>
      <c r="G53" s="67"/>
      <c r="H53" s="67"/>
      <c r="I53" s="100"/>
      <c r="J53" s="67"/>
      <c r="K53" s="101"/>
      <c r="L53" s="67"/>
      <c r="M53" s="102"/>
      <c r="N53" s="67"/>
      <c r="O53" s="67"/>
      <c r="P53" s="67"/>
      <c r="Q53" s="67"/>
      <c r="R53" s="67"/>
      <c r="S53" s="101"/>
      <c r="T53" s="67"/>
    </row>
    <row r="54" spans="1:20">
      <c r="A54" s="69"/>
      <c r="B54" s="69"/>
      <c r="C54" s="69"/>
      <c r="D54" s="69"/>
      <c r="E54" s="70"/>
      <c r="F54" s="69"/>
      <c r="G54" s="69"/>
      <c r="H54" s="69"/>
      <c r="I54" s="100"/>
      <c r="J54" s="69"/>
      <c r="K54" s="101">
        <f ca="1">SUM(K46,K43,K39,K35,K33,K31,K27,K24,K21,K17,K16,K14,K12,K10,K7)</f>
        <v>9127.575215</v>
      </c>
      <c r="L54" s="69"/>
      <c r="M54" s="103"/>
      <c r="N54" s="69"/>
      <c r="O54" s="69"/>
      <c r="P54" s="69"/>
      <c r="Q54" s="69"/>
      <c r="R54" s="69"/>
      <c r="S54" s="101"/>
      <c r="T54" s="69"/>
    </row>
    <row r="55" spans="9:9">
      <c r="I55" s="104"/>
    </row>
  </sheetData>
  <sheetProtection formatCells="0" formatColumns="0" formatRows="0" insertRows="0" deleteRows="0" autoFilter="0"/>
  <autoFilter xmlns:etc="http://www.wps.cn/officeDocument/2017/etCustomData" ref="A4:T51" etc:filterBottomFollowUsedRange="0">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$S46/$K46&lt;[1]项目信息表!#REF!</formula>
    </cfRule>
    <cfRule type="expression" dxfId="60" priority="108" stopIfTrue="1">
      <formula>$S46/$K46&gt;=[1]项目信息表!#REF!</formula>
    </cfRule>
    <cfRule type="expression" dxfId="61" priority="102" stopIfTrue="1">
      <formula>$S46/$K46&gt;=[1]项目信息表!#REF!</formula>
    </cfRule>
    <cfRule type="expression" dxfId="62" priority="96" stopIfTrue="1">
      <formula>$S46/$K46&gt;=[1]项目信息表!#REF!</formula>
    </cfRule>
    <cfRule type="expression" dxfId="63" priority="90" stopIfTrue="1">
      <formula>$S46/$K46&gt;=[1]项目信息表!#REF!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$S47/$K47&lt;[1]项目信息表!#REF!</formula>
    </cfRule>
    <cfRule type="expression" dxfId="60" priority="107" stopIfTrue="1">
      <formula>$S47/$K47&gt;=[1]项目信息表!#REF!</formula>
    </cfRule>
    <cfRule type="expression" dxfId="61" priority="101" stopIfTrue="1">
      <formula>$S47/$K47&gt;=[1]项目信息表!#REF!</formula>
    </cfRule>
    <cfRule type="expression" dxfId="62" priority="95" stopIfTrue="1">
      <formula>$S47/$K47&gt;=[1]项目信息表!#REF!</formula>
    </cfRule>
    <cfRule type="expression" dxfId="63" priority="89" stopIfTrue="1">
      <formula>$S47/$K47&gt;=[1]项目信息表!#REF!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$S48/$K48&lt;[1]项目信息表!#REF!</formula>
    </cfRule>
    <cfRule type="expression" dxfId="60" priority="106" stopIfTrue="1">
      <formula>$S48/$K48&gt;=[1]项目信息表!#REF!</formula>
    </cfRule>
    <cfRule type="expression" dxfId="61" priority="100" stopIfTrue="1">
      <formula>$S48/$K48&gt;=[1]项目信息表!#REF!</formula>
    </cfRule>
    <cfRule type="expression" dxfId="62" priority="94" stopIfTrue="1">
      <formula>$S48/$K48&gt;=[1]项目信息表!#REF!</formula>
    </cfRule>
    <cfRule type="expression" dxfId="63" priority="88" stopIfTrue="1">
      <formula>$S48/$K48&gt;=[1]项目信息表!#REF!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$S49/$K49&lt;[1]项目信息表!#REF!</formula>
    </cfRule>
    <cfRule type="expression" dxfId="60" priority="105" stopIfTrue="1">
      <formula>$S49/$K49&gt;=[1]项目信息表!#REF!</formula>
    </cfRule>
    <cfRule type="expression" dxfId="61" priority="99" stopIfTrue="1">
      <formula>$S49/$K49&gt;=[1]项目信息表!#REF!</formula>
    </cfRule>
    <cfRule type="expression" dxfId="62" priority="93" stopIfTrue="1">
      <formula>$S49/$K49&gt;=[1]项目信息表!#REF!</formula>
    </cfRule>
    <cfRule type="expression" dxfId="63" priority="87" stopIfTrue="1">
      <formula>$S49/$K49&gt;=[1]项目信息表!#REF!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$S50/$K50&lt;[1]项目信息表!#REF!</formula>
    </cfRule>
    <cfRule type="expression" dxfId="60" priority="104" stopIfTrue="1">
      <formula>$S50/$K50&gt;=[1]项目信息表!#REF!</formula>
    </cfRule>
    <cfRule type="expression" dxfId="61" priority="98" stopIfTrue="1">
      <formula>$S50/$K50&gt;=[1]项目信息表!#REF!</formula>
    </cfRule>
    <cfRule type="expression" dxfId="62" priority="92" stopIfTrue="1">
      <formula>$S50/$K50&gt;=[1]项目信息表!#REF!</formula>
    </cfRule>
    <cfRule type="expression" dxfId="63" priority="86" stopIfTrue="1">
      <formula>$S50/$K50&gt;=[1]项目信息表!#REF!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$S51/$K51&lt;[1]项目信息表!#REF!</formula>
    </cfRule>
    <cfRule type="expression" dxfId="60" priority="103" stopIfTrue="1">
      <formula>$S51/$K51&gt;=[1]项目信息表!#REF!</formula>
    </cfRule>
    <cfRule type="expression" dxfId="61" priority="97" stopIfTrue="1">
      <formula>$S51/$K51&gt;=[1]项目信息表!#REF!</formula>
    </cfRule>
    <cfRule type="expression" dxfId="62" priority="91" stopIfTrue="1">
      <formula>$S51/$K51&gt;=[1]项目信息表!#REF!</formula>
    </cfRule>
    <cfRule type="expression" dxfId="63" priority="85" stopIfTrue="1">
      <formula>$S51/$K51&gt;=[1]项目信息表!#REF!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$S52/$K52&lt;[1]项目信息表!#REF!</formula>
    </cfRule>
    <cfRule type="expression" dxfId="60" priority="24" stopIfTrue="1">
      <formula>$S52/$K52&gt;=[1]项目信息表!#REF!</formula>
    </cfRule>
    <cfRule type="expression" dxfId="61" priority="23" stopIfTrue="1">
      <formula>$S52/$K52&gt;=[1]项目信息表!#REF!</formula>
    </cfRule>
    <cfRule type="expression" dxfId="62" priority="22" stopIfTrue="1">
      <formula>$S52/$K52&gt;=[1]项目信息表!#REF!</formula>
    </cfRule>
    <cfRule type="expression" dxfId="63" priority="21" stopIfTrue="1">
      <formula>$S52/$K52&gt;=[1]项目信息表!#REF!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$S6/$K6&lt;[1]项目信息表!#REF!</formula>
    </cfRule>
    <cfRule type="expression" dxfId="60" priority="120" stopIfTrue="1">
      <formula>$S6/$K6&gt;=[1]项目信息表!#REF!</formula>
    </cfRule>
    <cfRule type="expression" dxfId="61" priority="119" stopIfTrue="1">
      <formula>$S6/$K6&gt;=[1]项目信息表!#REF!</formula>
    </cfRule>
    <cfRule type="expression" dxfId="62" priority="118" stopIfTrue="1">
      <formula>$S6/$K6&gt;=[1]项目信息表!#REF!</formula>
    </cfRule>
    <cfRule type="expression" dxfId="63" priority="117" stopIfTrue="1">
      <formula>$S6/$K6&gt;=[1]项目信息表!#REF!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Q15" sqref="Q15"/>
    </sheetView>
  </sheetViews>
  <sheetFormatPr defaultColWidth="8.875" defaultRowHeight="14.25"/>
  <cols>
    <col min="1" max="1" width="5" style="1" customWidth="1"/>
    <col min="2" max="3" width="14.875" style="1" customWidth="1"/>
    <col min="4" max="4" width="5.25" style="1" customWidth="1"/>
    <col min="5" max="6" width="8.875" style="1"/>
    <col min="7" max="7" width="12.25" style="1" customWidth="1"/>
    <col min="8" max="8" width="16.125" style="1" customWidth="1"/>
    <col min="9" max="10" width="8.875" style="1"/>
    <col min="11" max="11" width="15.75" style="1" customWidth="1"/>
    <col min="12" max="13" width="11.375" style="1" customWidth="1"/>
    <col min="14" max="14" width="13.375" style="1" customWidth="1"/>
    <col min="15" max="16384" width="8.875" style="1"/>
  </cols>
  <sheetData>
    <row r="1" ht="28.15" customHeight="1" spans="1:15">
      <c r="A1" s="15" t="s">
        <v>3949</v>
      </c>
      <c r="B1" s="15"/>
      <c r="C1" s="15"/>
      <c r="D1" s="15"/>
      <c r="E1" s="16"/>
      <c r="F1" s="16"/>
      <c r="G1" s="16"/>
      <c r="H1" s="16"/>
      <c r="I1" s="16"/>
      <c r="J1" s="16"/>
      <c r="K1" s="16"/>
      <c r="L1" s="16"/>
      <c r="M1" s="16"/>
      <c r="N1" s="16"/>
      <c r="O1" s="16"/>
    </row>
    <row r="2" ht="30" customHeight="1" spans="1:15">
      <c r="A2" s="17" t="s">
        <v>3950</v>
      </c>
      <c r="B2" s="18"/>
      <c r="C2" s="18"/>
      <c r="D2" s="18"/>
      <c r="E2" s="18"/>
      <c r="F2" s="18"/>
      <c r="G2" s="18"/>
      <c r="H2" s="18"/>
      <c r="I2" s="18"/>
      <c r="J2" s="18"/>
      <c r="K2" s="30"/>
      <c r="L2" s="17" t="s">
        <v>3951</v>
      </c>
      <c r="M2" s="18"/>
      <c r="N2" s="18"/>
      <c r="O2" s="30"/>
    </row>
    <row r="3" ht="24.95" customHeight="1" spans="1:15">
      <c r="A3" s="19" t="s">
        <v>1253</v>
      </c>
      <c r="B3" s="20" t="s">
        <v>3952</v>
      </c>
      <c r="C3" s="20" t="s">
        <v>1398</v>
      </c>
      <c r="D3" s="20" t="s">
        <v>60</v>
      </c>
      <c r="E3" s="20" t="s">
        <v>3815</v>
      </c>
      <c r="F3" s="20"/>
      <c r="G3" s="20"/>
      <c r="H3" s="20" t="s">
        <v>3953</v>
      </c>
      <c r="I3" s="20" t="s">
        <v>3954</v>
      </c>
      <c r="J3" s="20"/>
      <c r="K3" s="20"/>
      <c r="L3" s="20" t="s">
        <v>3955</v>
      </c>
      <c r="M3" s="20"/>
      <c r="N3" s="31"/>
      <c r="O3" s="32" t="s">
        <v>1261</v>
      </c>
    </row>
    <row r="4" ht="24.95" customHeight="1" spans="1:15">
      <c r="A4" s="21"/>
      <c r="B4" s="22"/>
      <c r="C4" s="22"/>
      <c r="D4" s="22"/>
      <c r="E4" s="22" t="s">
        <v>2449</v>
      </c>
      <c r="F4" s="22" t="s">
        <v>61</v>
      </c>
      <c r="G4" s="22" t="s">
        <v>3956</v>
      </c>
      <c r="H4" s="22"/>
      <c r="I4" s="22" t="s">
        <v>2449</v>
      </c>
      <c r="J4" s="22" t="s">
        <v>3957</v>
      </c>
      <c r="K4" s="22" t="s">
        <v>3956</v>
      </c>
      <c r="L4" s="22" t="s">
        <v>3958</v>
      </c>
      <c r="M4" s="22" t="s">
        <v>3959</v>
      </c>
      <c r="N4" s="22" t="s">
        <v>3960</v>
      </c>
      <c r="O4" s="33"/>
    </row>
    <row r="5" ht="12.95" customHeight="1" spans="1:15">
      <c r="A5" s="23"/>
      <c r="B5" s="24" t="s">
        <v>3961</v>
      </c>
      <c r="C5" s="24" t="s">
        <v>3962</v>
      </c>
      <c r="D5" s="24" t="s">
        <v>72</v>
      </c>
      <c r="E5" s="24">
        <v>500</v>
      </c>
      <c r="F5" s="24">
        <v>200</v>
      </c>
      <c r="G5" s="24">
        <f>E5*F5</f>
        <v>100000</v>
      </c>
      <c r="H5" s="24" t="s">
        <v>3963</v>
      </c>
      <c r="I5" s="24">
        <v>600</v>
      </c>
      <c r="J5" s="24">
        <v>180</v>
      </c>
      <c r="K5" s="24">
        <f>I5*J5</f>
        <v>108000</v>
      </c>
      <c r="L5" s="24">
        <f>I5-E5</f>
        <v>100</v>
      </c>
      <c r="M5" s="24">
        <f>J5</f>
        <v>180</v>
      </c>
      <c r="N5" s="24">
        <f>L5*M5</f>
        <v>18000</v>
      </c>
      <c r="O5" s="23"/>
    </row>
    <row r="6" ht="12.95" customHeight="1" spans="1:15">
      <c r="A6" s="25"/>
      <c r="B6" s="26" t="s">
        <v>3964</v>
      </c>
      <c r="C6" s="26" t="s">
        <v>3962</v>
      </c>
      <c r="D6" s="26" t="s">
        <v>72</v>
      </c>
      <c r="E6" s="26">
        <v>500</v>
      </c>
      <c r="F6" s="26">
        <v>200</v>
      </c>
      <c r="G6" s="26">
        <f>E6*F6</f>
        <v>100000</v>
      </c>
      <c r="H6" s="26" t="s">
        <v>3965</v>
      </c>
      <c r="I6" s="26">
        <v>400</v>
      </c>
      <c r="J6" s="26">
        <v>280</v>
      </c>
      <c r="K6" s="26">
        <f>I6*J6</f>
        <v>112000</v>
      </c>
      <c r="L6" s="26">
        <f>I6</f>
        <v>400</v>
      </c>
      <c r="M6" s="26">
        <f>J6-F6</f>
        <v>80</v>
      </c>
      <c r="N6" s="26">
        <f>L6*M6</f>
        <v>32000</v>
      </c>
      <c r="O6" s="25"/>
    </row>
    <row r="7" ht="12.95" customHeight="1" spans="1:15">
      <c r="A7" s="25"/>
      <c r="B7" s="26" t="s">
        <v>3966</v>
      </c>
      <c r="C7" s="26" t="s">
        <v>3962</v>
      </c>
      <c r="D7" s="26" t="s">
        <v>72</v>
      </c>
      <c r="E7" s="26">
        <v>500</v>
      </c>
      <c r="F7" s="26">
        <v>200</v>
      </c>
      <c r="G7" s="26">
        <f>E7*F7</f>
        <v>100000</v>
      </c>
      <c r="H7" s="26" t="s">
        <v>3967</v>
      </c>
      <c r="I7" s="26">
        <v>600</v>
      </c>
      <c r="J7" s="26">
        <v>280</v>
      </c>
      <c r="K7" s="26">
        <f>I7*J7</f>
        <v>168000</v>
      </c>
      <c r="L7" s="26">
        <f>I7-E7</f>
        <v>100</v>
      </c>
      <c r="M7" s="26">
        <f>J7-F7</f>
        <v>80</v>
      </c>
      <c r="N7" s="26">
        <f>K7-G7</f>
        <v>68000</v>
      </c>
      <c r="O7" s="25"/>
    </row>
    <row r="8" ht="12.95" customHeight="1" spans="1:15">
      <c r="A8" s="25"/>
      <c r="B8" s="25"/>
      <c r="C8" s="25"/>
      <c r="D8" s="25"/>
      <c r="E8" s="25"/>
      <c r="F8" s="25"/>
      <c r="G8" s="25"/>
      <c r="H8" s="25"/>
      <c r="I8" s="25"/>
      <c r="J8" s="25"/>
      <c r="K8" s="25"/>
      <c r="L8" s="25"/>
      <c r="M8" s="25"/>
      <c r="N8" s="25"/>
      <c r="O8" s="25"/>
    </row>
    <row r="9" ht="12.95" customHeight="1" spans="1:15">
      <c r="A9" s="25"/>
      <c r="B9" s="25" t="s">
        <v>1406</v>
      </c>
      <c r="C9" s="25"/>
      <c r="D9" s="25"/>
      <c r="E9" s="25"/>
      <c r="F9" s="25"/>
      <c r="G9" s="25"/>
      <c r="H9" s="25"/>
      <c r="I9" s="25"/>
      <c r="J9" s="25"/>
      <c r="K9" s="25"/>
      <c r="L9" s="25"/>
      <c r="M9" s="25"/>
      <c r="N9" s="25"/>
      <c r="O9" s="25"/>
    </row>
    <row r="10" ht="12.95" customHeight="1" spans="1:15">
      <c r="A10" s="25"/>
      <c r="B10" s="25"/>
      <c r="C10" s="25"/>
      <c r="D10" s="25"/>
      <c r="E10" s="25"/>
      <c r="F10" s="25"/>
      <c r="G10" s="25"/>
      <c r="H10" s="25"/>
      <c r="I10" s="25"/>
      <c r="J10" s="25"/>
      <c r="K10" s="25"/>
      <c r="L10" s="25"/>
      <c r="M10" s="25"/>
      <c r="N10" s="25"/>
      <c r="O10" s="25"/>
    </row>
    <row r="11" ht="12.95" customHeight="1" spans="1:15">
      <c r="A11" s="25"/>
      <c r="B11" s="25"/>
      <c r="C11" s="25"/>
      <c r="D11" s="25"/>
      <c r="E11" s="25"/>
      <c r="F11" s="25"/>
      <c r="G11" s="25"/>
      <c r="H11" s="25"/>
      <c r="I11" s="25"/>
      <c r="J11" s="25"/>
      <c r="K11" s="25"/>
      <c r="L11" s="25"/>
      <c r="M11" s="25"/>
      <c r="N11" s="25"/>
      <c r="O11" s="25"/>
    </row>
    <row r="12" ht="12.95" customHeight="1" spans="1:15">
      <c r="A12" s="25"/>
      <c r="B12" s="25" t="s">
        <v>1408</v>
      </c>
      <c r="C12" s="25"/>
      <c r="D12" s="25"/>
      <c r="E12" s="25"/>
      <c r="F12" s="25"/>
      <c r="G12" s="25"/>
      <c r="H12" s="25"/>
      <c r="I12" s="25"/>
      <c r="J12" s="25"/>
      <c r="K12" s="25"/>
      <c r="L12" s="25"/>
      <c r="M12" s="25"/>
      <c r="N12" s="25"/>
      <c r="O12" s="25"/>
    </row>
    <row r="13" ht="12.95" customHeight="1" spans="1:15">
      <c r="A13" s="25"/>
      <c r="B13" s="25"/>
      <c r="C13" s="25"/>
      <c r="D13" s="25"/>
      <c r="E13" s="25"/>
      <c r="F13" s="25"/>
      <c r="G13" s="25"/>
      <c r="H13" s="25"/>
      <c r="I13" s="25"/>
      <c r="J13" s="25"/>
      <c r="K13" s="25"/>
      <c r="L13" s="25"/>
      <c r="M13" s="25"/>
      <c r="N13" s="25"/>
      <c r="O13" s="25"/>
    </row>
    <row r="14" ht="12.95" customHeight="1" spans="1:15">
      <c r="A14" s="25"/>
      <c r="B14" s="25"/>
      <c r="C14" s="25"/>
      <c r="D14" s="25"/>
      <c r="E14" s="25"/>
      <c r="F14" s="25"/>
      <c r="G14" s="25"/>
      <c r="H14" s="25"/>
      <c r="I14" s="25"/>
      <c r="J14" s="25"/>
      <c r="K14" s="25"/>
      <c r="L14" s="25"/>
      <c r="M14" s="25"/>
      <c r="N14" s="25"/>
      <c r="O14" s="25"/>
    </row>
    <row r="15" ht="12.95" customHeight="1" spans="1:15">
      <c r="A15" s="25"/>
      <c r="B15" s="25"/>
      <c r="C15" s="25"/>
      <c r="D15" s="25"/>
      <c r="E15" s="25"/>
      <c r="F15" s="25"/>
      <c r="G15" s="25"/>
      <c r="H15" s="25"/>
      <c r="I15" s="25"/>
      <c r="J15" s="25"/>
      <c r="K15" s="25"/>
      <c r="L15" s="25"/>
      <c r="M15" s="25"/>
      <c r="N15" s="25"/>
      <c r="O15" s="25"/>
    </row>
    <row r="16" ht="12.95" customHeight="1" spans="1:15">
      <c r="A16" s="25"/>
      <c r="B16" s="25" t="s">
        <v>1423</v>
      </c>
      <c r="C16" s="25"/>
      <c r="D16" s="25"/>
      <c r="E16" s="25"/>
      <c r="F16" s="25"/>
      <c r="G16" s="25"/>
      <c r="H16" s="25"/>
      <c r="I16" s="25"/>
      <c r="J16" s="25"/>
      <c r="K16" s="25"/>
      <c r="L16" s="25"/>
      <c r="M16" s="25"/>
      <c r="N16" s="25"/>
      <c r="O16" s="25"/>
    </row>
    <row r="17" ht="12.95" customHeight="1" spans="1:15">
      <c r="A17" s="25"/>
      <c r="B17" s="25"/>
      <c r="C17" s="25"/>
      <c r="D17" s="25"/>
      <c r="E17" s="25"/>
      <c r="F17" s="25"/>
      <c r="G17" s="25"/>
      <c r="H17" s="25"/>
      <c r="I17" s="25"/>
      <c r="J17" s="25"/>
      <c r="K17" s="25"/>
      <c r="L17" s="25"/>
      <c r="M17" s="25"/>
      <c r="N17" s="25"/>
      <c r="O17" s="25"/>
    </row>
    <row r="18" ht="12.95" customHeight="1" spans="1:15">
      <c r="A18" s="25"/>
      <c r="B18" s="25"/>
      <c r="C18" s="25"/>
      <c r="D18" s="25"/>
      <c r="E18" s="25"/>
      <c r="F18" s="25"/>
      <c r="G18" s="25"/>
      <c r="H18" s="25"/>
      <c r="I18" s="25"/>
      <c r="J18" s="25"/>
      <c r="K18" s="25"/>
      <c r="L18" s="25"/>
      <c r="M18" s="25"/>
      <c r="N18" s="25"/>
      <c r="O18" s="25"/>
    </row>
    <row r="19" ht="12.95" customHeight="1" spans="1:15">
      <c r="A19" s="25"/>
      <c r="B19" s="25"/>
      <c r="C19" s="25"/>
      <c r="D19" s="25"/>
      <c r="E19" s="25"/>
      <c r="F19" s="25"/>
      <c r="G19" s="25"/>
      <c r="H19" s="25"/>
      <c r="I19" s="25"/>
      <c r="J19" s="25"/>
      <c r="K19" s="25"/>
      <c r="L19" s="25"/>
      <c r="M19" s="25"/>
      <c r="N19" s="25"/>
      <c r="O19" s="25"/>
    </row>
    <row r="20" ht="12.95" customHeight="1" spans="1:15">
      <c r="A20" s="25"/>
      <c r="B20" s="25" t="s">
        <v>2420</v>
      </c>
      <c r="C20" s="25"/>
      <c r="D20" s="25"/>
      <c r="E20" s="25"/>
      <c r="F20" s="25"/>
      <c r="G20" s="25"/>
      <c r="H20" s="25"/>
      <c r="I20" s="25"/>
      <c r="J20" s="25"/>
      <c r="K20" s="25"/>
      <c r="L20" s="25"/>
      <c r="M20" s="25"/>
      <c r="N20" s="25"/>
      <c r="O20" s="25"/>
    </row>
    <row r="21" ht="12.95" customHeight="1" spans="1:15">
      <c r="A21" s="25"/>
      <c r="B21" s="25"/>
      <c r="C21" s="25"/>
      <c r="D21" s="25"/>
      <c r="E21" s="25"/>
      <c r="F21" s="25"/>
      <c r="G21" s="25"/>
      <c r="H21" s="25"/>
      <c r="I21" s="25"/>
      <c r="J21" s="25"/>
      <c r="K21" s="25"/>
      <c r="L21" s="25"/>
      <c r="M21" s="25"/>
      <c r="N21" s="25"/>
      <c r="O21" s="25"/>
    </row>
    <row r="22" ht="12.95" customHeight="1" spans="1:15">
      <c r="A22" s="25"/>
      <c r="B22" s="25"/>
      <c r="C22" s="25"/>
      <c r="D22" s="25"/>
      <c r="E22" s="25"/>
      <c r="F22" s="25"/>
      <c r="G22" s="25"/>
      <c r="H22" s="25"/>
      <c r="I22" s="25"/>
      <c r="J22" s="25"/>
      <c r="K22" s="25"/>
      <c r="L22" s="25"/>
      <c r="M22" s="25"/>
      <c r="N22" s="25"/>
      <c r="O22" s="25"/>
    </row>
    <row r="23" ht="12.95" customHeight="1" spans="1:15">
      <c r="A23" s="25"/>
      <c r="B23" s="25"/>
      <c r="C23" s="25"/>
      <c r="D23" s="25"/>
      <c r="E23" s="25"/>
      <c r="F23" s="25"/>
      <c r="G23" s="25"/>
      <c r="H23" s="25"/>
      <c r="I23" s="25"/>
      <c r="J23" s="25"/>
      <c r="K23" s="25"/>
      <c r="L23" s="25"/>
      <c r="M23" s="25"/>
      <c r="N23" s="25"/>
      <c r="O23" s="25"/>
    </row>
    <row r="24" ht="12.95" customHeight="1" spans="1:15">
      <c r="A24" s="25"/>
      <c r="B24" s="25"/>
      <c r="C24" s="25"/>
      <c r="D24" s="25"/>
      <c r="E24" s="25"/>
      <c r="F24" s="25"/>
      <c r="G24" s="25"/>
      <c r="H24" s="25"/>
      <c r="I24" s="25"/>
      <c r="J24" s="25"/>
      <c r="K24" s="25"/>
      <c r="L24" s="25"/>
      <c r="M24" s="25"/>
      <c r="N24" s="25"/>
      <c r="O24" s="25"/>
    </row>
    <row r="25" ht="12.95" customHeight="1" spans="1:16">
      <c r="A25" s="25"/>
      <c r="B25" s="25" t="s">
        <v>3968</v>
      </c>
      <c r="C25" s="25"/>
      <c r="D25" s="25"/>
      <c r="E25" s="25"/>
      <c r="F25" s="25"/>
      <c r="G25" s="25"/>
      <c r="H25" s="25"/>
      <c r="I25" s="25"/>
      <c r="J25" s="25"/>
      <c r="K25" s="25"/>
      <c r="L25" s="25"/>
      <c r="M25" s="25"/>
      <c r="N25" s="34">
        <f>SUM(N9:N24)</f>
        <v>0</v>
      </c>
      <c r="O25" s="25"/>
      <c r="P25" s="1" t="s">
        <v>3969</v>
      </c>
    </row>
    <row r="26" ht="20.1" customHeight="1" spans="1:15">
      <c r="A26" s="27" t="s">
        <v>3970</v>
      </c>
      <c r="B26" s="27"/>
      <c r="C26" s="27"/>
      <c r="D26" s="27"/>
      <c r="E26" s="27"/>
      <c r="F26" s="27"/>
      <c r="G26" s="27"/>
      <c r="H26" s="27"/>
      <c r="I26" s="27"/>
      <c r="J26" s="27"/>
      <c r="K26" s="27"/>
      <c r="L26" s="27"/>
      <c r="M26" s="27"/>
      <c r="N26" s="27"/>
      <c r="O26" s="27"/>
    </row>
    <row r="27" ht="18" customHeight="1" spans="1:15">
      <c r="A27" s="28" t="s">
        <v>3971</v>
      </c>
      <c r="B27" s="28"/>
      <c r="C27" s="28"/>
      <c r="D27" s="28"/>
      <c r="E27" s="28"/>
      <c r="F27" s="28"/>
      <c r="G27" s="28"/>
      <c r="H27" s="28"/>
      <c r="I27" s="28"/>
      <c r="J27" s="28"/>
      <c r="K27" s="28"/>
      <c r="L27" s="28"/>
      <c r="M27" s="28"/>
      <c r="N27" s="28"/>
      <c r="O27" s="28"/>
    </row>
    <row r="28" ht="18" customHeight="1" spans="1:15">
      <c r="A28" s="28" t="s">
        <v>3972</v>
      </c>
      <c r="B28" s="28"/>
      <c r="C28" s="28"/>
      <c r="D28" s="28"/>
      <c r="E28" s="28"/>
      <c r="F28" s="28"/>
      <c r="G28" s="28"/>
      <c r="H28" s="28"/>
      <c r="I28" s="28"/>
      <c r="J28" s="28"/>
      <c r="K28" s="28"/>
      <c r="L28" s="28"/>
      <c r="M28" s="28"/>
      <c r="N28" s="28"/>
      <c r="O28" s="28"/>
    </row>
    <row r="29" ht="18" customHeight="1" spans="1:15">
      <c r="A29" s="28" t="s">
        <v>3973</v>
      </c>
      <c r="B29" s="28"/>
      <c r="C29" s="28"/>
      <c r="D29" s="28"/>
      <c r="E29" s="28"/>
      <c r="F29" s="28"/>
      <c r="G29" s="28"/>
      <c r="H29" s="28"/>
      <c r="I29" s="28"/>
      <c r="J29" s="28"/>
      <c r="K29" s="28"/>
      <c r="L29" s="28"/>
      <c r="M29" s="28"/>
      <c r="N29" s="28"/>
      <c r="O29" s="28"/>
    </row>
    <row r="30" ht="18" customHeight="1" spans="1:15">
      <c r="A30" s="29"/>
      <c r="B30" s="29"/>
      <c r="C30" s="29"/>
      <c r="D30" s="29"/>
      <c r="E30" s="29"/>
      <c r="F30" s="29"/>
      <c r="G30" s="29"/>
      <c r="H30" s="29"/>
      <c r="I30" s="29"/>
      <c r="J30" s="29"/>
      <c r="K30" s="29"/>
      <c r="L30" s="29"/>
      <c r="M30" s="29"/>
      <c r="N30" s="29"/>
      <c r="O30" s="29"/>
    </row>
    <row r="31" ht="20.1" customHeight="1" spans="1:15">
      <c r="A31" s="29"/>
      <c r="B31" s="29"/>
      <c r="C31" s="29"/>
      <c r="D31" s="29"/>
      <c r="E31" s="29"/>
      <c r="F31" s="29"/>
      <c r="G31" s="29"/>
      <c r="H31" s="29"/>
      <c r="I31" s="29"/>
      <c r="J31" s="29"/>
      <c r="K31" s="29"/>
      <c r="L31" s="29"/>
      <c r="M31" s="29"/>
      <c r="N31" s="29"/>
      <c r="O31" s="29"/>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4.25" outlineLevelCol="6"/>
  <cols>
    <col min="1" max="1" width="16.875" style="1" customWidth="1"/>
    <col min="2" max="2" width="36" style="1" customWidth="1"/>
    <col min="3" max="3" width="9" style="1"/>
    <col min="4" max="4" width="17.125" style="11" customWidth="1"/>
    <col min="5" max="5" width="9" style="1"/>
    <col min="6" max="6" width="16.125" style="1" customWidth="1"/>
    <col min="7" max="7" width="12.625" style="1" customWidth="1"/>
    <col min="8" max="16384" width="9" style="1"/>
  </cols>
  <sheetData>
    <row r="1" spans="4:7">
      <c r="D1" s="11" t="s">
        <v>3974</v>
      </c>
      <c r="E1" s="1" t="s">
        <v>3975</v>
      </c>
      <c r="G1" s="2" t="s">
        <v>3976</v>
      </c>
    </row>
    <row r="2" spans="4:7">
      <c r="D2" s="11" t="s">
        <v>3977</v>
      </c>
      <c r="G2" s="3">
        <v>45536</v>
      </c>
    </row>
    <row r="3" spans="1:7">
      <c r="A3" s="12" t="s">
        <v>1289</v>
      </c>
      <c r="B3" s="12" t="s">
        <v>1254</v>
      </c>
      <c r="C3" s="12" t="s">
        <v>60</v>
      </c>
      <c r="D3" s="13" t="s">
        <v>3978</v>
      </c>
      <c r="E3" s="12"/>
      <c r="F3" s="12"/>
      <c r="G3" s="14" t="s">
        <v>2449</v>
      </c>
    </row>
    <row r="4" spans="1:7">
      <c r="A4" s="4" t="s">
        <v>1304</v>
      </c>
      <c r="B4" s="4" t="s">
        <v>1264</v>
      </c>
      <c r="C4" s="4"/>
      <c r="D4" s="6"/>
      <c r="E4" s="4"/>
      <c r="F4" s="4"/>
      <c r="G4" s="4"/>
    </row>
    <row r="5" spans="1:7">
      <c r="A5" s="4" t="s">
        <v>1306</v>
      </c>
      <c r="B5" s="4" t="s">
        <v>3979</v>
      </c>
      <c r="C5" s="4"/>
      <c r="D5" s="6"/>
      <c r="E5" s="7"/>
      <c r="F5" s="7"/>
      <c r="G5" s="7"/>
    </row>
    <row r="6" spans="1:7">
      <c r="A6" s="8" t="s">
        <v>1308</v>
      </c>
      <c r="B6" s="9" t="s">
        <v>3980</v>
      </c>
      <c r="C6" s="10" t="s">
        <v>69</v>
      </c>
      <c r="D6" s="6">
        <f>SUM(E6:G6)</f>
        <v>82569.74</v>
      </c>
      <c r="E6" s="4"/>
      <c r="F6" s="9"/>
      <c r="G6" s="9">
        <v>82569.74</v>
      </c>
    </row>
    <row r="7" spans="1:7">
      <c r="A7" s="8" t="s">
        <v>1316</v>
      </c>
      <c r="B7" s="9" t="s">
        <v>3981</v>
      </c>
      <c r="C7" s="10" t="s">
        <v>69</v>
      </c>
      <c r="D7" s="6">
        <f t="shared" ref="D7:D33" si="0">SUM(E7:G7)</f>
        <v>45000</v>
      </c>
      <c r="E7" s="4"/>
      <c r="F7" s="4"/>
      <c r="G7" s="4">
        <v>45000</v>
      </c>
    </row>
    <row r="8" spans="1:7">
      <c r="A8" s="8" t="s">
        <v>1324</v>
      </c>
      <c r="B8" s="9" t="s">
        <v>3982</v>
      </c>
      <c r="C8" s="10" t="s">
        <v>69</v>
      </c>
      <c r="D8" s="6">
        <f t="shared" si="0"/>
        <v>0</v>
      </c>
      <c r="E8" s="4"/>
      <c r="F8" s="4"/>
      <c r="G8" s="4">
        <v>0</v>
      </c>
    </row>
    <row r="9" spans="1:7">
      <c r="A9" s="8" t="s">
        <v>2475</v>
      </c>
      <c r="B9" s="9" t="s">
        <v>3983</v>
      </c>
      <c r="C9" s="10" t="s">
        <v>69</v>
      </c>
      <c r="D9" s="6">
        <f t="shared" si="0"/>
        <v>15000</v>
      </c>
      <c r="E9" s="4"/>
      <c r="F9" s="4"/>
      <c r="G9" s="4">
        <v>15000</v>
      </c>
    </row>
    <row r="10" spans="1:7">
      <c r="A10" s="8" t="s">
        <v>2481</v>
      </c>
      <c r="B10" s="9" t="s">
        <v>3984</v>
      </c>
      <c r="C10" s="10" t="s">
        <v>69</v>
      </c>
      <c r="D10" s="6">
        <f t="shared" si="0"/>
        <v>15000</v>
      </c>
      <c r="E10" s="4"/>
      <c r="F10" s="4"/>
      <c r="G10" s="4">
        <v>15000</v>
      </c>
    </row>
    <row r="11" spans="1:7">
      <c r="A11" s="8" t="s">
        <v>2487</v>
      </c>
      <c r="B11" s="9" t="s">
        <v>3985</v>
      </c>
      <c r="C11" s="10" t="s">
        <v>69</v>
      </c>
      <c r="D11" s="6">
        <f t="shared" si="0"/>
        <v>0</v>
      </c>
      <c r="E11" s="4"/>
      <c r="F11" s="4"/>
      <c r="G11" s="4">
        <v>0</v>
      </c>
    </row>
    <row r="12" spans="1:7">
      <c r="A12" s="8" t="s">
        <v>2497</v>
      </c>
      <c r="B12" s="9" t="s">
        <v>3986</v>
      </c>
      <c r="C12" s="10" t="s">
        <v>69</v>
      </c>
      <c r="D12" s="6">
        <f t="shared" si="0"/>
        <v>7000</v>
      </c>
      <c r="E12" s="4"/>
      <c r="F12" s="4"/>
      <c r="G12" s="4">
        <v>7000</v>
      </c>
    </row>
    <row r="13" spans="1:7">
      <c r="A13" s="8" t="s">
        <v>2504</v>
      </c>
      <c r="B13" s="9" t="s">
        <v>3987</v>
      </c>
      <c r="C13" s="10" t="s">
        <v>69</v>
      </c>
      <c r="D13" s="6">
        <f t="shared" si="0"/>
        <v>8000</v>
      </c>
      <c r="E13" s="4"/>
      <c r="F13" s="4"/>
      <c r="G13" s="4">
        <v>8000</v>
      </c>
    </row>
    <row r="14" spans="1:7">
      <c r="A14" s="8" t="s">
        <v>2510</v>
      </c>
      <c r="B14" s="9" t="s">
        <v>3988</v>
      </c>
      <c r="C14" s="10" t="s">
        <v>76</v>
      </c>
      <c r="D14" s="6">
        <f t="shared" si="0"/>
        <v>4000</v>
      </c>
      <c r="E14" s="4"/>
      <c r="F14" s="4"/>
      <c r="G14" s="4">
        <v>4000</v>
      </c>
    </row>
    <row r="15" spans="1:7">
      <c r="A15" s="8" t="s">
        <v>2516</v>
      </c>
      <c r="B15" s="9" t="s">
        <v>3989</v>
      </c>
      <c r="C15" s="10" t="s">
        <v>76</v>
      </c>
      <c r="D15" s="6">
        <f t="shared" si="0"/>
        <v>2500</v>
      </c>
      <c r="E15" s="6"/>
      <c r="F15" s="6"/>
      <c r="G15" s="6">
        <v>2500</v>
      </c>
    </row>
    <row r="16" spans="1:7">
      <c r="A16" s="8" t="s">
        <v>2523</v>
      </c>
      <c r="B16" s="9" t="s">
        <v>3990</v>
      </c>
      <c r="C16" s="10" t="s">
        <v>76</v>
      </c>
      <c r="D16" s="6">
        <f t="shared" si="0"/>
        <v>0</v>
      </c>
      <c r="E16" s="6"/>
      <c r="F16" s="6"/>
      <c r="G16" s="6">
        <v>0</v>
      </c>
    </row>
    <row r="17" spans="1:7">
      <c r="A17" s="8" t="s">
        <v>2530</v>
      </c>
      <c r="B17" s="9" t="s">
        <v>3991</v>
      </c>
      <c r="C17" s="10" t="s">
        <v>76</v>
      </c>
      <c r="D17" s="6">
        <f t="shared" si="0"/>
        <v>1500</v>
      </c>
      <c r="E17" s="6"/>
      <c r="F17" s="6"/>
      <c r="G17" s="6">
        <v>1500</v>
      </c>
    </row>
    <row r="18" spans="1:7">
      <c r="A18" s="8" t="s">
        <v>2537</v>
      </c>
      <c r="B18" s="9" t="s">
        <v>3992</v>
      </c>
      <c r="C18" s="10" t="s">
        <v>76</v>
      </c>
      <c r="D18" s="6">
        <f t="shared" si="0"/>
        <v>1500</v>
      </c>
      <c r="E18" s="6"/>
      <c r="F18" s="6"/>
      <c r="G18" s="6">
        <v>1500</v>
      </c>
    </row>
    <row r="19" spans="1:7">
      <c r="A19" s="8" t="s">
        <v>2543</v>
      </c>
      <c r="B19" s="9" t="s">
        <v>3993</v>
      </c>
      <c r="C19" s="10" t="s">
        <v>76</v>
      </c>
      <c r="D19" s="6">
        <f t="shared" si="0"/>
        <v>0</v>
      </c>
      <c r="E19" s="6"/>
      <c r="F19" s="6"/>
      <c r="G19" s="6">
        <v>0</v>
      </c>
    </row>
    <row r="20" spans="1:7">
      <c r="A20" s="8" t="s">
        <v>2550</v>
      </c>
      <c r="B20" s="9" t="s">
        <v>3994</v>
      </c>
      <c r="C20" s="10" t="s">
        <v>169</v>
      </c>
      <c r="D20" s="6">
        <f t="shared" si="0"/>
        <v>0</v>
      </c>
      <c r="E20" s="6"/>
      <c r="F20" s="6"/>
      <c r="G20" s="6">
        <v>0</v>
      </c>
    </row>
    <row r="21" spans="1:7">
      <c r="A21" s="8" t="s">
        <v>2557</v>
      </c>
      <c r="B21" s="9" t="s">
        <v>3995</v>
      </c>
      <c r="C21" s="10" t="s">
        <v>69</v>
      </c>
      <c r="D21" s="6">
        <f t="shared" si="0"/>
        <v>0</v>
      </c>
      <c r="E21" s="6"/>
      <c r="F21" s="6"/>
      <c r="G21" s="6">
        <v>0</v>
      </c>
    </row>
    <row r="22" spans="1:7">
      <c r="A22" s="8" t="s">
        <v>2566</v>
      </c>
      <c r="B22" s="9" t="s">
        <v>3996</v>
      </c>
      <c r="C22" s="10" t="s">
        <v>76</v>
      </c>
      <c r="D22" s="6">
        <f t="shared" si="0"/>
        <v>0</v>
      </c>
      <c r="E22" s="6"/>
      <c r="F22" s="6"/>
      <c r="G22" s="6">
        <v>0</v>
      </c>
    </row>
    <row r="23" spans="1:7">
      <c r="A23" s="8" t="s">
        <v>2574</v>
      </c>
      <c r="B23" s="9" t="s">
        <v>519</v>
      </c>
      <c r="C23" s="10" t="s">
        <v>82</v>
      </c>
      <c r="D23" s="6">
        <f t="shared" si="0"/>
        <v>40</v>
      </c>
      <c r="E23" s="6"/>
      <c r="F23" s="6"/>
      <c r="G23" s="6">
        <v>40</v>
      </c>
    </row>
    <row r="24" spans="1:7">
      <c r="A24" s="8" t="s">
        <v>2581</v>
      </c>
      <c r="B24" s="9" t="s">
        <v>3997</v>
      </c>
      <c r="C24" s="10" t="s">
        <v>82</v>
      </c>
      <c r="D24" s="6">
        <f t="shared" si="0"/>
        <v>10</v>
      </c>
      <c r="E24" s="6"/>
      <c r="F24" s="6"/>
      <c r="G24" s="6">
        <v>10</v>
      </c>
    </row>
    <row r="25" spans="1:7">
      <c r="A25" s="8" t="s">
        <v>2588</v>
      </c>
      <c r="B25" s="9" t="s">
        <v>3998</v>
      </c>
      <c r="C25" s="10" t="s">
        <v>82</v>
      </c>
      <c r="D25" s="6">
        <f t="shared" si="0"/>
        <v>5</v>
      </c>
      <c r="E25" s="6"/>
      <c r="F25" s="6"/>
      <c r="G25" s="6">
        <v>5</v>
      </c>
    </row>
    <row r="26" spans="1:7">
      <c r="A26" s="8" t="s">
        <v>2596</v>
      </c>
      <c r="B26" s="9" t="s">
        <v>3999</v>
      </c>
      <c r="C26" s="10" t="s">
        <v>72</v>
      </c>
      <c r="D26" s="6">
        <f t="shared" si="0"/>
        <v>8000</v>
      </c>
      <c r="E26" s="6"/>
      <c r="F26" s="6"/>
      <c r="G26" s="6">
        <v>8000</v>
      </c>
    </row>
    <row r="27" spans="1:7">
      <c r="A27" s="8" t="s">
        <v>2603</v>
      </c>
      <c r="B27" s="9" t="s">
        <v>4000</v>
      </c>
      <c r="C27" s="10" t="s">
        <v>72</v>
      </c>
      <c r="D27" s="6">
        <f t="shared" si="0"/>
        <v>6000</v>
      </c>
      <c r="E27" s="6"/>
      <c r="F27" s="6"/>
      <c r="G27" s="6">
        <v>6000</v>
      </c>
    </row>
    <row r="28" spans="1:7">
      <c r="A28" s="8" t="s">
        <v>2606</v>
      </c>
      <c r="B28" s="9" t="s">
        <v>4001</v>
      </c>
      <c r="C28" s="10" t="s">
        <v>72</v>
      </c>
      <c r="D28" s="6">
        <f t="shared" si="0"/>
        <v>0</v>
      </c>
      <c r="E28" s="6"/>
      <c r="F28" s="6"/>
      <c r="G28" s="6">
        <v>0</v>
      </c>
    </row>
    <row r="29" spans="1:7">
      <c r="A29" s="8" t="s">
        <v>2609</v>
      </c>
      <c r="B29" s="9" t="s">
        <v>4002</v>
      </c>
      <c r="C29" s="10" t="s">
        <v>72</v>
      </c>
      <c r="D29" s="6">
        <f t="shared" si="0"/>
        <v>600</v>
      </c>
      <c r="E29" s="6"/>
      <c r="F29" s="6"/>
      <c r="G29" s="6">
        <v>600</v>
      </c>
    </row>
    <row r="30" spans="1:7">
      <c r="A30" s="8" t="s">
        <v>2613</v>
      </c>
      <c r="B30" s="9" t="s">
        <v>4003</v>
      </c>
      <c r="C30" s="10" t="s">
        <v>72</v>
      </c>
      <c r="D30" s="6">
        <f t="shared" si="0"/>
        <v>300</v>
      </c>
      <c r="E30" s="6"/>
      <c r="F30" s="6"/>
      <c r="G30" s="6">
        <v>300</v>
      </c>
    </row>
    <row r="31" spans="1:7">
      <c r="A31" s="8" t="s">
        <v>2616</v>
      </c>
      <c r="B31" s="9" t="s">
        <v>522</v>
      </c>
      <c r="C31" s="10" t="s">
        <v>72</v>
      </c>
      <c r="D31" s="6">
        <f t="shared" si="0"/>
        <v>0</v>
      </c>
      <c r="E31" s="6"/>
      <c r="F31" s="6"/>
      <c r="G31" s="6">
        <v>0</v>
      </c>
    </row>
    <row r="32" spans="1:7">
      <c r="A32" s="8" t="s">
        <v>2619</v>
      </c>
      <c r="B32" s="9" t="s">
        <v>4004</v>
      </c>
      <c r="C32" s="10" t="s">
        <v>72</v>
      </c>
      <c r="D32" s="6">
        <f t="shared" si="0"/>
        <v>1500</v>
      </c>
      <c r="E32" s="6"/>
      <c r="F32" s="6"/>
      <c r="G32" s="6">
        <v>1500</v>
      </c>
    </row>
    <row r="33" spans="1:7">
      <c r="A33" s="8" t="s">
        <v>2622</v>
      </c>
      <c r="B33" s="9" t="s">
        <v>4005</v>
      </c>
      <c r="C33" s="10" t="s">
        <v>82</v>
      </c>
      <c r="D33" s="6">
        <f t="shared" si="0"/>
        <v>120</v>
      </c>
      <c r="E33" s="6"/>
      <c r="F33" s="6"/>
      <c r="G33" s="6">
        <v>120</v>
      </c>
    </row>
    <row r="34" spans="1:7">
      <c r="A34" s="8" t="s">
        <v>2625</v>
      </c>
      <c r="B34" s="9" t="s">
        <v>969</v>
      </c>
      <c r="C34" s="10" t="s">
        <v>82</v>
      </c>
      <c r="D34" s="6"/>
      <c r="E34" s="6"/>
      <c r="F34" s="6"/>
      <c r="G34" s="6">
        <v>0</v>
      </c>
    </row>
    <row r="35" spans="1:7">
      <c r="A35" s="8" t="s">
        <v>2632</v>
      </c>
      <c r="B35" s="9" t="s">
        <v>3999</v>
      </c>
      <c r="C35" s="10" t="s">
        <v>72</v>
      </c>
      <c r="D35" s="6">
        <f>SUM(E35:G35)</f>
        <v>0</v>
      </c>
      <c r="E35" s="6"/>
      <c r="F35" s="6"/>
      <c r="G35" s="6">
        <v>0</v>
      </c>
    </row>
    <row r="36" spans="1:7">
      <c r="A36" s="8" t="s">
        <v>2639</v>
      </c>
      <c r="B36" s="9" t="s">
        <v>4000</v>
      </c>
      <c r="C36" s="10" t="s">
        <v>72</v>
      </c>
      <c r="D36" s="6">
        <f>SUM(E36:G36)</f>
        <v>0</v>
      </c>
      <c r="E36" s="4"/>
      <c r="F36" s="4"/>
      <c r="G36" s="4">
        <v>0</v>
      </c>
    </row>
    <row r="37" spans="1:7">
      <c r="A37" s="8" t="s">
        <v>2642</v>
      </c>
      <c r="B37" s="9" t="s">
        <v>4001</v>
      </c>
      <c r="C37" s="10" t="s">
        <v>72</v>
      </c>
      <c r="D37" s="6">
        <f>SUM(E37:G37)</f>
        <v>0</v>
      </c>
      <c r="E37" s="4"/>
      <c r="F37" s="4"/>
      <c r="G37" s="4">
        <v>0</v>
      </c>
    </row>
    <row r="38" spans="1:7">
      <c r="A38" s="8" t="s">
        <v>2649</v>
      </c>
      <c r="B38" s="9" t="s">
        <v>4006</v>
      </c>
      <c r="C38" s="10" t="s">
        <v>76</v>
      </c>
      <c r="D38" s="6">
        <f t="shared" ref="D38:D43" si="1">SUM(E38:G38)</f>
        <v>0</v>
      </c>
      <c r="E38" s="4"/>
      <c r="F38" s="4"/>
      <c r="G38" s="4">
        <v>0</v>
      </c>
    </row>
    <row r="39" spans="1:7">
      <c r="A39" s="8" t="s">
        <v>2656</v>
      </c>
      <c r="B39" s="9" t="s">
        <v>4007</v>
      </c>
      <c r="C39" s="10" t="s">
        <v>4008</v>
      </c>
      <c r="D39" s="6">
        <f t="shared" si="1"/>
        <v>1</v>
      </c>
      <c r="E39" s="4"/>
      <c r="F39" s="4"/>
      <c r="G39" s="4">
        <v>1</v>
      </c>
    </row>
    <row r="40" spans="1:7">
      <c r="A40" s="8" t="s">
        <v>4009</v>
      </c>
      <c r="B40" s="9" t="s">
        <v>4010</v>
      </c>
      <c r="C40" s="10" t="s">
        <v>195</v>
      </c>
      <c r="D40" s="6">
        <f t="shared" si="1"/>
        <v>0.8</v>
      </c>
      <c r="E40" s="4"/>
      <c r="F40" s="4"/>
      <c r="G40" s="4">
        <v>0.8</v>
      </c>
    </row>
    <row r="41" spans="1:7">
      <c r="A41" s="8" t="s">
        <v>4011</v>
      </c>
      <c r="B41" s="9" t="s">
        <v>4012</v>
      </c>
      <c r="C41" s="10" t="s">
        <v>195</v>
      </c>
      <c r="D41" s="6">
        <f t="shared" si="1"/>
        <v>0.4</v>
      </c>
      <c r="E41" s="4"/>
      <c r="F41" s="4"/>
      <c r="G41" s="4">
        <v>0.4</v>
      </c>
    </row>
    <row r="42" spans="1:7">
      <c r="A42" s="8" t="s">
        <v>4013</v>
      </c>
      <c r="B42" s="9" t="s">
        <v>4014</v>
      </c>
      <c r="C42" s="10" t="s">
        <v>195</v>
      </c>
      <c r="D42" s="6">
        <f t="shared" si="1"/>
        <v>0.4</v>
      </c>
      <c r="E42" s="4"/>
      <c r="F42" s="4"/>
      <c r="G42" s="4">
        <v>0.4</v>
      </c>
    </row>
    <row r="43" spans="1:7">
      <c r="A43" s="8" t="s">
        <v>4015</v>
      </c>
      <c r="B43" s="9" t="s">
        <v>4016</v>
      </c>
      <c r="C43" s="10" t="s">
        <v>195</v>
      </c>
      <c r="D43" s="6">
        <f t="shared" si="1"/>
        <v>1</v>
      </c>
      <c r="E43" s="4"/>
      <c r="F43" s="4"/>
      <c r="G43" s="4">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4.25" outlineLevelCol="6"/>
  <cols>
    <col min="1" max="1" width="13.5" style="1" customWidth="1"/>
    <col min="2" max="2" width="30.25" style="1" customWidth="1"/>
    <col min="3" max="3" width="9" style="1"/>
    <col min="4" max="4" width="14.5" style="1" customWidth="1"/>
    <col min="5" max="6" width="9" style="1"/>
    <col min="7" max="7" width="14.75" style="1" customWidth="1"/>
    <col min="8" max="16384" width="9" style="1"/>
  </cols>
  <sheetData>
    <row r="1" ht="21" customHeight="1" spans="4:7">
      <c r="D1" s="1" t="s">
        <v>3975</v>
      </c>
      <c r="G1" s="2" t="s">
        <v>4017</v>
      </c>
    </row>
    <row r="2" ht="21" customHeight="1" spans="7:7">
      <c r="G2" s="3">
        <v>45536</v>
      </c>
    </row>
    <row r="3" ht="21" customHeight="1" spans="1:7">
      <c r="A3" s="4" t="s">
        <v>1289</v>
      </c>
      <c r="B3" s="4" t="s">
        <v>1254</v>
      </c>
      <c r="C3" s="4" t="s">
        <v>60</v>
      </c>
      <c r="D3" s="4" t="s">
        <v>4018</v>
      </c>
      <c r="E3" s="4"/>
      <c r="F3" s="4"/>
      <c r="G3" s="5" t="s">
        <v>2449</v>
      </c>
    </row>
    <row r="4" spans="1:7">
      <c r="A4" s="4" t="s">
        <v>1304</v>
      </c>
      <c r="B4" s="4" t="s">
        <v>1264</v>
      </c>
      <c r="C4" s="4"/>
      <c r="D4" s="4"/>
      <c r="E4" s="4"/>
      <c r="F4" s="4"/>
      <c r="G4" s="4"/>
    </row>
    <row r="5" spans="1:7">
      <c r="A5" s="4" t="s">
        <v>1306</v>
      </c>
      <c r="B5" s="4" t="s">
        <v>3979</v>
      </c>
      <c r="C5" s="4"/>
      <c r="D5" s="6"/>
      <c r="E5" s="7"/>
      <c r="F5" s="7"/>
      <c r="G5" s="7"/>
    </row>
    <row r="6" ht="27" spans="1:7">
      <c r="A6" s="8" t="s">
        <v>1308</v>
      </c>
      <c r="B6" s="9" t="s">
        <v>3980</v>
      </c>
      <c r="C6" s="10" t="s">
        <v>69</v>
      </c>
      <c r="D6" s="6">
        <f t="shared" ref="D6:D33" si="0">SUM(E6:G6)</f>
        <v>70000</v>
      </c>
      <c r="E6" s="4"/>
      <c r="F6" s="4"/>
      <c r="G6" s="9">
        <v>70000</v>
      </c>
    </row>
    <row r="7" ht="27" spans="1:7">
      <c r="A7" s="8" t="s">
        <v>1316</v>
      </c>
      <c r="B7" s="9" t="s">
        <v>3981</v>
      </c>
      <c r="C7" s="10" t="s">
        <v>69</v>
      </c>
      <c r="D7" s="6">
        <f t="shared" si="0"/>
        <v>50000</v>
      </c>
      <c r="E7" s="4"/>
      <c r="F7" s="4"/>
      <c r="G7" s="4">
        <v>50000</v>
      </c>
    </row>
    <row r="8" ht="27" spans="1:7">
      <c r="A8" s="8" t="s">
        <v>1324</v>
      </c>
      <c r="B8" s="9" t="s">
        <v>3982</v>
      </c>
      <c r="C8" s="10" t="s">
        <v>69</v>
      </c>
      <c r="D8" s="6">
        <f t="shared" si="0"/>
        <v>0</v>
      </c>
      <c r="E8" s="4"/>
      <c r="F8" s="4"/>
      <c r="G8" s="4">
        <v>0</v>
      </c>
    </row>
    <row r="9" ht="27" spans="1:7">
      <c r="A9" s="8" t="s">
        <v>2475</v>
      </c>
      <c r="B9" s="9" t="s">
        <v>3983</v>
      </c>
      <c r="C9" s="10" t="s">
        <v>69</v>
      </c>
      <c r="D9" s="6">
        <f t="shared" si="0"/>
        <v>16500</v>
      </c>
      <c r="E9" s="4"/>
      <c r="F9" s="4"/>
      <c r="G9" s="4">
        <v>16500</v>
      </c>
    </row>
    <row r="10" ht="27" spans="1:7">
      <c r="A10" s="8" t="s">
        <v>2481</v>
      </c>
      <c r="B10" s="9" t="s">
        <v>3984</v>
      </c>
      <c r="C10" s="10" t="s">
        <v>69</v>
      </c>
      <c r="D10" s="6">
        <f t="shared" si="0"/>
        <v>16500</v>
      </c>
      <c r="E10" s="4"/>
      <c r="F10" s="4"/>
      <c r="G10" s="4">
        <v>16500</v>
      </c>
    </row>
    <row r="11" ht="27" spans="1:7">
      <c r="A11" s="8" t="s">
        <v>2487</v>
      </c>
      <c r="B11" s="9" t="s">
        <v>3985</v>
      </c>
      <c r="C11" s="10" t="s">
        <v>69</v>
      </c>
      <c r="D11" s="6">
        <f t="shared" si="0"/>
        <v>0</v>
      </c>
      <c r="E11" s="4"/>
      <c r="F11" s="4"/>
      <c r="G11" s="4">
        <v>0</v>
      </c>
    </row>
    <row r="12" ht="27" spans="1:7">
      <c r="A12" s="8" t="s">
        <v>2497</v>
      </c>
      <c r="B12" s="9" t="s">
        <v>3986</v>
      </c>
      <c r="C12" s="10" t="s">
        <v>69</v>
      </c>
      <c r="D12" s="6">
        <f t="shared" si="0"/>
        <v>6500</v>
      </c>
      <c r="E12" s="4"/>
      <c r="F12" s="4"/>
      <c r="G12" s="4">
        <v>6500</v>
      </c>
    </row>
    <row r="13" ht="27" spans="1:7">
      <c r="A13" s="8" t="s">
        <v>2504</v>
      </c>
      <c r="B13" s="9" t="s">
        <v>3987</v>
      </c>
      <c r="C13" s="10" t="s">
        <v>69</v>
      </c>
      <c r="D13" s="6">
        <f t="shared" si="0"/>
        <v>8500</v>
      </c>
      <c r="E13" s="4"/>
      <c r="F13" s="4"/>
      <c r="G13" s="4">
        <v>8500</v>
      </c>
    </row>
    <row r="14" ht="27" spans="1:7">
      <c r="A14" s="8" t="s">
        <v>2510</v>
      </c>
      <c r="B14" s="9" t="s">
        <v>3988</v>
      </c>
      <c r="C14" s="10" t="s">
        <v>76</v>
      </c>
      <c r="D14" s="6">
        <f t="shared" si="0"/>
        <v>4200</v>
      </c>
      <c r="E14" s="4"/>
      <c r="F14" s="4"/>
      <c r="G14" s="4">
        <v>4200</v>
      </c>
    </row>
    <row r="15" ht="27" spans="1:7">
      <c r="A15" s="8" t="s">
        <v>2516</v>
      </c>
      <c r="B15" s="9" t="s">
        <v>3989</v>
      </c>
      <c r="C15" s="10" t="s">
        <v>76</v>
      </c>
      <c r="D15" s="6">
        <f t="shared" si="0"/>
        <v>2000</v>
      </c>
      <c r="E15" s="6"/>
      <c r="F15" s="6"/>
      <c r="G15" s="6">
        <v>2000</v>
      </c>
    </row>
    <row r="16" ht="27" spans="1:7">
      <c r="A16" s="8" t="s">
        <v>2523</v>
      </c>
      <c r="B16" s="9" t="s">
        <v>3990</v>
      </c>
      <c r="C16" s="10" t="s">
        <v>76</v>
      </c>
      <c r="D16" s="6">
        <f t="shared" si="0"/>
        <v>0</v>
      </c>
      <c r="E16" s="6"/>
      <c r="F16" s="6"/>
      <c r="G16" s="6">
        <v>0</v>
      </c>
    </row>
    <row r="17" ht="27" spans="1:7">
      <c r="A17" s="8" t="s">
        <v>2530</v>
      </c>
      <c r="B17" s="9" t="s">
        <v>3991</v>
      </c>
      <c r="C17" s="10" t="s">
        <v>76</v>
      </c>
      <c r="D17" s="6">
        <f t="shared" si="0"/>
        <v>1500</v>
      </c>
      <c r="E17" s="6"/>
      <c r="F17" s="6"/>
      <c r="G17" s="6">
        <v>1500</v>
      </c>
    </row>
    <row r="18" ht="27" spans="1:7">
      <c r="A18" s="8" t="s">
        <v>2537</v>
      </c>
      <c r="B18" s="9" t="s">
        <v>3992</v>
      </c>
      <c r="C18" s="10" t="s">
        <v>76</v>
      </c>
      <c r="D18" s="6">
        <f t="shared" si="0"/>
        <v>1500</v>
      </c>
      <c r="E18" s="6"/>
      <c r="F18" s="6"/>
      <c r="G18" s="6">
        <v>1500</v>
      </c>
    </row>
    <row r="19" ht="27" spans="1:7">
      <c r="A19" s="8" t="s">
        <v>2543</v>
      </c>
      <c r="B19" s="9" t="s">
        <v>3993</v>
      </c>
      <c r="C19" s="10" t="s">
        <v>76</v>
      </c>
      <c r="D19" s="6">
        <f t="shared" si="0"/>
        <v>0</v>
      </c>
      <c r="E19" s="6"/>
      <c r="F19" s="6"/>
      <c r="G19" s="6">
        <v>0</v>
      </c>
    </row>
    <row r="20" ht="27" spans="1:7">
      <c r="A20" s="8" t="s">
        <v>2550</v>
      </c>
      <c r="B20" s="9" t="s">
        <v>3994</v>
      </c>
      <c r="C20" s="10" t="s">
        <v>169</v>
      </c>
      <c r="D20" s="6">
        <f t="shared" si="0"/>
        <v>0</v>
      </c>
      <c r="E20" s="6"/>
      <c r="F20" s="6"/>
      <c r="G20" s="6">
        <v>0</v>
      </c>
    </row>
    <row r="21" ht="27" spans="1:7">
      <c r="A21" s="8" t="s">
        <v>2557</v>
      </c>
      <c r="B21" s="9" t="s">
        <v>3995</v>
      </c>
      <c r="C21" s="10" t="s">
        <v>69</v>
      </c>
      <c r="D21" s="6">
        <f t="shared" si="0"/>
        <v>0</v>
      </c>
      <c r="E21" s="6"/>
      <c r="F21" s="6"/>
      <c r="G21" s="6">
        <v>0</v>
      </c>
    </row>
    <row r="22" ht="27" spans="1:7">
      <c r="A22" s="8" t="s">
        <v>2566</v>
      </c>
      <c r="B22" s="9" t="s">
        <v>3996</v>
      </c>
      <c r="C22" s="10" t="s">
        <v>76</v>
      </c>
      <c r="D22" s="6">
        <f t="shared" si="0"/>
        <v>0</v>
      </c>
      <c r="E22" s="6"/>
      <c r="F22" s="6"/>
      <c r="G22" s="6">
        <v>0</v>
      </c>
    </row>
    <row r="23" ht="27" spans="1:7">
      <c r="A23" s="8" t="s">
        <v>2574</v>
      </c>
      <c r="B23" s="9" t="s">
        <v>519</v>
      </c>
      <c r="C23" s="10" t="s">
        <v>82</v>
      </c>
      <c r="D23" s="6">
        <f t="shared" si="0"/>
        <v>40</v>
      </c>
      <c r="E23" s="6"/>
      <c r="F23" s="6"/>
      <c r="G23" s="6">
        <v>40</v>
      </c>
    </row>
    <row r="24" ht="27" spans="1:7">
      <c r="A24" s="8" t="s">
        <v>2581</v>
      </c>
      <c r="B24" s="9" t="s">
        <v>3997</v>
      </c>
      <c r="C24" s="10" t="s">
        <v>82</v>
      </c>
      <c r="D24" s="6">
        <f t="shared" si="0"/>
        <v>10</v>
      </c>
      <c r="E24" s="6"/>
      <c r="F24" s="6"/>
      <c r="G24" s="6">
        <v>10</v>
      </c>
    </row>
    <row r="25" ht="27" spans="1:7">
      <c r="A25" s="8" t="s">
        <v>2588</v>
      </c>
      <c r="B25" s="9" t="s">
        <v>3998</v>
      </c>
      <c r="C25" s="10" t="s">
        <v>82</v>
      </c>
      <c r="D25" s="6">
        <f t="shared" si="0"/>
        <v>5</v>
      </c>
      <c r="E25" s="6"/>
      <c r="F25" s="6"/>
      <c r="G25" s="6">
        <v>5</v>
      </c>
    </row>
    <row r="26" ht="27" spans="1:7">
      <c r="A26" s="8" t="s">
        <v>2596</v>
      </c>
      <c r="B26" s="9" t="s">
        <v>3999</v>
      </c>
      <c r="C26" s="10" t="s">
        <v>72</v>
      </c>
      <c r="D26" s="6">
        <f t="shared" si="0"/>
        <v>7850</v>
      </c>
      <c r="E26" s="6"/>
      <c r="F26" s="6"/>
      <c r="G26" s="6">
        <v>7850</v>
      </c>
    </row>
    <row r="27" ht="27" spans="1:7">
      <c r="A27" s="8" t="s">
        <v>2603</v>
      </c>
      <c r="B27" s="9" t="s">
        <v>4000</v>
      </c>
      <c r="C27" s="10" t="s">
        <v>72</v>
      </c>
      <c r="D27" s="6">
        <f t="shared" si="0"/>
        <v>6545</v>
      </c>
      <c r="E27" s="6"/>
      <c r="F27" s="6"/>
      <c r="G27" s="6">
        <v>6545</v>
      </c>
    </row>
    <row r="28" ht="27" spans="1:7">
      <c r="A28" s="8" t="s">
        <v>2606</v>
      </c>
      <c r="B28" s="9" t="s">
        <v>4001</v>
      </c>
      <c r="C28" s="10" t="s">
        <v>72</v>
      </c>
      <c r="D28" s="6">
        <f t="shared" si="0"/>
        <v>0</v>
      </c>
      <c r="E28" s="6"/>
      <c r="F28" s="6"/>
      <c r="G28" s="6">
        <v>0</v>
      </c>
    </row>
    <row r="29" ht="27" spans="1:7">
      <c r="A29" s="8" t="s">
        <v>2609</v>
      </c>
      <c r="B29" s="9" t="s">
        <v>4002</v>
      </c>
      <c r="C29" s="10" t="s">
        <v>72</v>
      </c>
      <c r="D29" s="6">
        <f t="shared" si="0"/>
        <v>622</v>
      </c>
      <c r="E29" s="6"/>
      <c r="F29" s="6"/>
      <c r="G29" s="6">
        <v>622</v>
      </c>
    </row>
    <row r="30" ht="27" spans="1:7">
      <c r="A30" s="8" t="s">
        <v>2613</v>
      </c>
      <c r="B30" s="9" t="s">
        <v>4003</v>
      </c>
      <c r="C30" s="10" t="s">
        <v>72</v>
      </c>
      <c r="D30" s="6">
        <f t="shared" si="0"/>
        <v>307</v>
      </c>
      <c r="E30" s="6"/>
      <c r="F30" s="6"/>
      <c r="G30" s="6">
        <v>307</v>
      </c>
    </row>
    <row r="31" ht="27" spans="1:7">
      <c r="A31" s="8" t="s">
        <v>2616</v>
      </c>
      <c r="B31" s="9" t="s">
        <v>522</v>
      </c>
      <c r="C31" s="10" t="s">
        <v>72</v>
      </c>
      <c r="D31" s="6">
        <f t="shared" si="0"/>
        <v>0</v>
      </c>
      <c r="E31" s="6"/>
      <c r="F31" s="6"/>
      <c r="G31" s="6">
        <v>0</v>
      </c>
    </row>
    <row r="32" ht="27" spans="1:7">
      <c r="A32" s="8" t="s">
        <v>2619</v>
      </c>
      <c r="B32" s="9" t="s">
        <v>4004</v>
      </c>
      <c r="C32" s="10" t="s">
        <v>72</v>
      </c>
      <c r="D32" s="6">
        <f t="shared" si="0"/>
        <v>1485</v>
      </c>
      <c r="E32" s="6"/>
      <c r="F32" s="6"/>
      <c r="G32" s="6">
        <v>1485</v>
      </c>
    </row>
    <row r="33" ht="27" spans="1:7">
      <c r="A33" s="8" t="s">
        <v>2622</v>
      </c>
      <c r="B33" s="9" t="s">
        <v>4005</v>
      </c>
      <c r="C33" s="10" t="s">
        <v>82</v>
      </c>
      <c r="D33" s="6">
        <f t="shared" si="0"/>
        <v>126.553</v>
      </c>
      <c r="E33" s="6"/>
      <c r="F33" s="6"/>
      <c r="G33" s="6">
        <v>126.553</v>
      </c>
    </row>
    <row r="34" ht="27" spans="1:7">
      <c r="A34" s="8" t="s">
        <v>2625</v>
      </c>
      <c r="B34" s="9" t="s">
        <v>969</v>
      </c>
      <c r="C34" s="10" t="s">
        <v>82</v>
      </c>
      <c r="D34" s="6"/>
      <c r="E34" s="6"/>
      <c r="F34" s="6"/>
      <c r="G34" s="6">
        <v>0</v>
      </c>
    </row>
    <row r="35" ht="27" spans="1:7">
      <c r="A35" s="8" t="s">
        <v>2632</v>
      </c>
      <c r="B35" s="9" t="s">
        <v>3999</v>
      </c>
      <c r="C35" s="10" t="s">
        <v>72</v>
      </c>
      <c r="D35" s="6">
        <f t="shared" ref="D35:D43" si="1">SUM(E35:G35)</f>
        <v>0</v>
      </c>
      <c r="E35" s="6"/>
      <c r="F35" s="6"/>
      <c r="G35" s="6">
        <v>0</v>
      </c>
    </row>
    <row r="36" ht="27" spans="1:7">
      <c r="A36" s="8" t="s">
        <v>2639</v>
      </c>
      <c r="B36" s="9" t="s">
        <v>4000</v>
      </c>
      <c r="C36" s="10" t="s">
        <v>72</v>
      </c>
      <c r="D36" s="6">
        <f t="shared" si="1"/>
        <v>0</v>
      </c>
      <c r="E36" s="4"/>
      <c r="F36" s="4"/>
      <c r="G36" s="4">
        <v>0</v>
      </c>
    </row>
    <row r="37" ht="27" spans="1:7">
      <c r="A37" s="8" t="s">
        <v>2642</v>
      </c>
      <c r="B37" s="9" t="s">
        <v>4001</v>
      </c>
      <c r="C37" s="10" t="s">
        <v>72</v>
      </c>
      <c r="D37" s="6">
        <f t="shared" si="1"/>
        <v>0</v>
      </c>
      <c r="E37" s="4"/>
      <c r="F37" s="4"/>
      <c r="G37" s="4">
        <v>0</v>
      </c>
    </row>
    <row r="38" ht="27" spans="1:7">
      <c r="A38" s="8" t="s">
        <v>2649</v>
      </c>
      <c r="B38" s="9" t="s">
        <v>4006</v>
      </c>
      <c r="C38" s="10" t="s">
        <v>76</v>
      </c>
      <c r="D38" s="6">
        <f t="shared" si="1"/>
        <v>0</v>
      </c>
      <c r="E38" s="4"/>
      <c r="F38" s="4"/>
      <c r="G38" s="4">
        <v>0</v>
      </c>
    </row>
    <row r="39" ht="27" spans="1:7">
      <c r="A39" s="8" t="s">
        <v>2656</v>
      </c>
      <c r="B39" s="9" t="s">
        <v>4007</v>
      </c>
      <c r="C39" s="10" t="s">
        <v>4008</v>
      </c>
      <c r="D39" s="6">
        <f t="shared" si="1"/>
        <v>0</v>
      </c>
      <c r="E39" s="4"/>
      <c r="F39" s="4"/>
      <c r="G39" s="4">
        <v>0</v>
      </c>
    </row>
    <row r="40" ht="27" spans="1:7">
      <c r="A40" s="8" t="s">
        <v>4009</v>
      </c>
      <c r="B40" s="9" t="s">
        <v>4010</v>
      </c>
      <c r="C40" s="10" t="s">
        <v>195</v>
      </c>
      <c r="D40" s="6">
        <f t="shared" si="1"/>
        <v>0.8</v>
      </c>
      <c r="E40" s="4"/>
      <c r="F40" s="4"/>
      <c r="G40" s="4">
        <v>0.8</v>
      </c>
    </row>
    <row r="41" ht="27" spans="1:7">
      <c r="A41" s="8" t="s">
        <v>4011</v>
      </c>
      <c r="B41" s="9" t="s">
        <v>4012</v>
      </c>
      <c r="C41" s="10" t="s">
        <v>195</v>
      </c>
      <c r="D41" s="6">
        <f t="shared" si="1"/>
        <v>0.4</v>
      </c>
      <c r="E41" s="4"/>
      <c r="F41" s="4"/>
      <c r="G41" s="4">
        <v>0.4</v>
      </c>
    </row>
    <row r="42" ht="27" spans="1:7">
      <c r="A42" s="8" t="s">
        <v>4013</v>
      </c>
      <c r="B42" s="9" t="s">
        <v>4014</v>
      </c>
      <c r="C42" s="10" t="s">
        <v>195</v>
      </c>
      <c r="D42" s="6">
        <f t="shared" si="1"/>
        <v>0.4</v>
      </c>
      <c r="E42" s="4"/>
      <c r="F42" s="4"/>
      <c r="G42" s="4">
        <v>0.4</v>
      </c>
    </row>
    <row r="43" ht="27" spans="1:7">
      <c r="A43" s="8" t="s">
        <v>4015</v>
      </c>
      <c r="B43" s="9" t="s">
        <v>4016</v>
      </c>
      <c r="C43" s="10" t="s">
        <v>195</v>
      </c>
      <c r="D43" s="6">
        <f t="shared" si="1"/>
        <v>1</v>
      </c>
      <c r="E43" s="4"/>
      <c r="F43" s="4"/>
      <c r="G43" s="4">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06C82605-B75B-4693-9329-32AAD527C692}">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224D003E-15C9-4FFE-AB16-9E66474EAE4E}">
  <ds:schemaRefs/>
</ds:datastoreItem>
</file>

<file path=customXml/itemProps5.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28</vt:i4>
      </vt:variant>
    </vt:vector>
  </HeadingPairs>
  <TitlesOfParts>
    <vt:vector size="28"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2024-12-05T09:53:40Z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2052-12.1.0.17857</vt:lpwstr>
  </property>
  <property fmtid="{D5CDD505-2E9C-101B-9397-08002B2CF9AE}" pid="3" name="ICV">
    <vt:lpwstr>2FE3604C6FA343D4A6EC93B196B60A7B_13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