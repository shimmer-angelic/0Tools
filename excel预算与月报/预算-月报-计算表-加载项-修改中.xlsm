
<file path=[Content_Types].xml><?xml version="1.0" encoding="utf-8"?>
<Types xmlns="http://schemas.openxmlformats.org/package/2006/content-types">
  <Default Extension="xml" ContentType="application/xml"/>
  <Default Extension="vml" ContentType="application/vnd.openxmlformats-officedocument.vmlDrawing"/>
  <Default Extension="bin" ContentType="application/vnd.openxmlformats-officedocument.oleObject"/>
  <Default Extension="wmf" ContentType="image/x-wmf"/>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1.bin" ContentType="application/vnd.ms-office.activeX"/>
  <Override PartName="/xl/activeX/activeX11.xml" ContentType="application/vnd.ms-office.activeX+xml"/>
  <Override PartName="/xl/activeX/activeX12.bin" ContentType="application/vnd.ms-office.activeX"/>
  <Override PartName="/xl/activeX/activeX12.xml" ContentType="application/vnd.ms-office.activeX+xml"/>
  <Override PartName="/xl/activeX/activeX13.bin" ContentType="application/vnd.ms-office.activeX"/>
  <Override PartName="/xl/activeX/activeX13.xml" ContentType="application/vnd.ms-office.activeX+xml"/>
  <Override PartName="/xl/activeX/activeX14.bin" ContentType="application/vnd.ms-office.activeX"/>
  <Override PartName="/xl/activeX/activeX14.xml" ContentType="application/vnd.ms-office.activeX+xml"/>
  <Override PartName="/xl/activeX/activeX15.bin" ContentType="application/vnd.ms-office.activeX"/>
  <Override PartName="/xl/activeX/activeX15.xml" ContentType="application/vnd.ms-office.activeX+xml"/>
  <Override PartName="/xl/activeX/activeX16.bin" ContentType="application/vnd.ms-office.activeX"/>
  <Override PartName="/xl/activeX/activeX16.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activeX/activeX6.bin" ContentType="application/vnd.ms-office.activeX"/>
  <Override PartName="/xl/activeX/activeX6.xml" ContentType="application/vnd.ms-office.activeX+xml"/>
  <Override PartName="/xl/activeX/activeX7.bin" ContentType="application/vnd.ms-office.activeX"/>
  <Override PartName="/xl/activeX/activeX7.xml" ContentType="application/vnd.ms-office.activeX+xml"/>
  <Override PartName="/xl/activeX/activeX8.bin" ContentType="application/vnd.ms-office.activeX"/>
  <Override PartName="/xl/activeX/activeX8.xml" ContentType="application/vnd.ms-office.activeX+xml"/>
  <Override PartName="/xl/activeX/activeX9.bin" ContentType="application/vnd.ms-office.activeX"/>
  <Override PartName="/xl/activeX/activeX9.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52" windowHeight="12187" tabRatio="827" firstSheet="20" activeTab="29"/>
  </bookViews>
  <sheets>
    <sheet name="成本预算表编制基本说明" sheetId="23" r:id="rId1"/>
    <sheet name="封面" sheetId="32" r:id="rId2"/>
    <sheet name="本套报表编制说明" sheetId="21" r:id="rId3"/>
    <sheet name="数据源00表" sheetId="61" r:id="rId4"/>
    <sheet name="工程项目成本预算表(01表)" sheetId="31" r:id="rId5"/>
    <sheet name="分项对比表(02表)" sheetId="39" r:id="rId6"/>
    <sheet name="人工费预算表(03表) " sheetId="45" r:id="rId7"/>
    <sheet name="材料费预算表(04表)" sheetId="46" r:id="rId8"/>
    <sheet name="机械费预算表(05表) " sheetId="47" r:id="rId9"/>
    <sheet name="分包费预算表(06表) " sheetId="48" r:id="rId10"/>
    <sheet name="措施费预算表(07表)" sheetId="7" r:id="rId11"/>
    <sheet name="期间费用预算表(08表)" sheetId="6" r:id="rId12"/>
    <sheet name="工作人员工资表(08-1表)" sheetId="17" r:id="rId13"/>
    <sheet name="财务费用预算表(08-2表)" sheetId="12" r:id="rId14"/>
    <sheet name="词库" sheetId="44" r:id="rId15"/>
    <sheet name="项目信息表" sheetId="49" r:id="rId16"/>
    <sheet name="工程成本费用汇总表" sheetId="50" r:id="rId17"/>
    <sheet name="01工程产值对比表" sheetId="51" r:id="rId18"/>
    <sheet name="02综合台帐（人材机）" sheetId="52" r:id="rId19"/>
    <sheet name="03人工费预算对比表" sheetId="53" r:id="rId20"/>
    <sheet name="04材料费预算对比表" sheetId="54" r:id="rId21"/>
    <sheet name="05机械租赁费预算对比表" sheetId="55" r:id="rId22"/>
    <sheet name="06专业分包预算对比表" sheetId="56" r:id="rId23"/>
    <sheet name="07其他直接费对比表" sheetId="57" r:id="rId24"/>
    <sheet name="08期间费用对比表" sheetId="62" r:id="rId25"/>
    <sheet name="09 成本预算调整表" sheetId="58" r:id="rId26"/>
    <sheet name="产值统计中间表" sheetId="59" r:id="rId27"/>
    <sheet name="业主统计中间表" sheetId="60" r:id="rId28"/>
    <sheet name="计算表-总说明" sheetId="63" r:id="rId29"/>
    <sheet name="计算表-计算表 " sheetId="64" r:id="rId30"/>
  </sheets>
  <externalReferences>
    <externalReference r:id="rId36"/>
  </externalReferences>
  <definedNames>
    <definedName name="_xlnm._FilterDatabase" localSheetId="5" hidden="1">'分项对比表(02表)'!$A$4:$P$70</definedName>
    <definedName name="_xlnm._FilterDatabase" localSheetId="6" hidden="1">'人工费预算表(03表) '!$A$4:$Q$11</definedName>
    <definedName name="_xlnm._FilterDatabase" localSheetId="7" hidden="1">'材料费预算表(04表)'!$A$4:$P$18</definedName>
    <definedName name="_xlnm._FilterDatabase" localSheetId="8" hidden="1">'机械费预算表(05表) '!$A$4:$Q$10</definedName>
    <definedName name="_xlnm._FilterDatabase" localSheetId="9" hidden="1">'分包费预算表(06表) '!$A$4:$Q$7</definedName>
    <definedName name="_xlnm._FilterDatabase" localSheetId="10" hidden="1">'措施费预算表(07表)'!$A$4:$Q$99</definedName>
    <definedName name="_xlnm._FilterDatabase" localSheetId="11" hidden="1">'期间费用预算表(08表)'!$A$4:$Q$49</definedName>
    <definedName name="_xlnm._FilterDatabase" localSheetId="17" hidden="1">'01工程产值对比表'!$A$4:$P$222</definedName>
    <definedName name="_xlnm._FilterDatabase" localSheetId="24" hidden="1">'08期间费用对比表'!$A$4:$T$51</definedName>
    <definedName name="_xlnm._FilterDatabase" localSheetId="19" hidden="1">'03人工费预算对比表'!$A$4:$V$19</definedName>
    <definedName name="_xlnm._FilterDatabase" localSheetId="20" hidden="1">'04材料费预算对比表'!$A$4:$V$18</definedName>
    <definedName name="_xlnm._FilterDatabase" localSheetId="21" hidden="1">'05机械租赁费预算对比表'!$A$4:$V$6</definedName>
    <definedName name="_xlnm._FilterDatabase" localSheetId="22" hidden="1">'06专业分包预算对比表'!$A$4:$V$7</definedName>
    <definedName name="_xlnm._FilterDatabase" localSheetId="23" hidden="1">'07其他直接费对比表'!$A$4:$T$62</definedName>
    <definedName name="编制日期">"2025-5-5"</definedName>
    <definedName name="材料2下拉">#REF!</definedName>
    <definedName name="材料下拉">材料[材料]</definedName>
    <definedName name="成本预算文件">[1]序列表!$A$3</definedName>
    <definedName name="分包下拉">分包[分包]</definedName>
    <definedName name="工程名称">"az"</definedName>
    <definedName name="工区">"2"</definedName>
    <definedName name="机械下拉">机械[机械]</definedName>
    <definedName name="配比下拉">配比[配比]</definedName>
    <definedName name="人工下拉">人工[人工]</definedName>
    <definedName name="数据列表">{"a","b","c"}</definedName>
    <definedName name="所属单位">"bjgs"</definedName>
    <definedName name="完成比例">工程成本费用汇总表!$C$4</definedName>
    <definedName name="细目编码">[1]序列表!$N$2:$N$169</definedName>
    <definedName name="下浮下拉">下浮[下浮]</definedName>
    <definedName name="项目经理">"lu"</definedName>
    <definedName name="月报日期">TEXT(VALUE(LEFT(MID(CELL("filename"),FIND("[",CELL("filename"))+1,100),7)&amp;"-25"),"yyyy年mm月dd日")</definedName>
    <definedName name="①土建计算表.xlsx_总说明_数据区" localSheetId="28">"$A$1:$E$89"</definedName>
    <definedName name="js">IFERROR(EVALUATE(SUBSTITUTE(SUBSTITUTE(SUBSTITUTE(SUBSTITUTE('计算表-计算表 '!XFB1,"]","】"),"[","【"),"【","*istext("""),"】",""")")),"")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yongl</author>
    <author>LY</author>
  </authors>
  <commentList>
    <comment ref="AT2" authorId="0">
      <text>
        <r>
          <rPr>
            <b/>
            <sz val="9"/>
            <rFont val="宋体"/>
            <charset val="134"/>
          </rPr>
          <t>批注:</t>
        </r>
        <r>
          <rPr>
            <sz val="9"/>
            <rFont val="宋体"/>
            <charset val="134"/>
          </rPr>
          <t xml:space="preserve">
yongl:
总耗量单位为：t
d泵送费为m3
</t>
        </r>
      </text>
    </comment>
    <comment ref="AR5" authorId="0">
      <text>
        <r>
          <rPr>
            <b/>
            <sz val="9"/>
            <rFont val="宋体"/>
            <charset val="134"/>
          </rPr>
          <t>批注:</t>
        </r>
        <r>
          <rPr>
            <sz val="9"/>
            <rFont val="宋体"/>
            <charset val="134"/>
          </rPr>
          <t xml:space="preserve">
yongl:
单位:m3
</t>
        </r>
      </text>
    </comment>
    <comment ref="AO38" authorId="1">
      <text>
        <r>
          <rPr>
            <sz val="9"/>
            <rFont val="宋体"/>
            <charset val="134"/>
          </rPr>
          <t>9B361|45AEF|4AF3D</t>
        </r>
      </text>
    </comment>
  </commentList>
</comments>
</file>

<file path=xl/comments2.xml><?xml version="1.0" encoding="utf-8"?>
<comments xmlns="http://schemas.openxmlformats.org/spreadsheetml/2006/main">
  <authors>
    <author>Administrator</author>
  </authors>
  <commentList>
    <comment ref="F8" authorId="0">
      <text>
        <r>
          <rPr>
            <b/>
            <sz val="9"/>
            <rFont val="宋体"/>
            <charset val="134"/>
          </rPr>
          <t>批注:</t>
        </r>
        <r>
          <rPr>
            <sz val="9"/>
            <rFont val="宋体"/>
            <charset val="134"/>
          </rPr>
          <t xml:space="preserve">
Administrator:
单独用数据相减
</t>
        </r>
      </text>
    </comment>
    <comment ref="F12" authorId="0">
      <text>
        <r>
          <rPr>
            <b/>
            <sz val="9"/>
            <rFont val="宋体"/>
            <charset val="134"/>
          </rPr>
          <t>批注:</t>
        </r>
        <r>
          <rPr>
            <sz val="9"/>
            <rFont val="宋体"/>
            <charset val="134"/>
          </rPr>
          <t xml:space="preserve">
Administrator:
单独用数据相减
</t>
        </r>
      </text>
    </comment>
    <comment ref="F17" authorId="0">
      <text>
        <r>
          <rPr>
            <b/>
            <sz val="9"/>
            <rFont val="宋体"/>
            <charset val="134"/>
          </rPr>
          <t>批注:</t>
        </r>
        <r>
          <rPr>
            <sz val="9"/>
            <rFont val="宋体"/>
            <charset val="134"/>
          </rPr>
          <t xml:space="preserve">
Administrator:
增值税税负
</t>
        </r>
      </text>
    </comment>
  </commentList>
</comments>
</file>

<file path=xl/comments3.xml><?xml version="1.0" encoding="utf-8"?>
<comments xmlns="http://schemas.openxmlformats.org/spreadsheetml/2006/main">
  <authors>
    <author>LY</author>
    <author>user</author>
    <author>yongl</author>
    <author>Administrator</author>
  </authors>
  <commentList>
    <comment ref="F1" authorId="0">
      <text>
        <r>
          <rPr>
            <b/>
            <sz val="9"/>
            <rFont val="宋体"/>
            <charset val="134"/>
          </rPr>
          <t>批注:</t>
        </r>
        <r>
          <rPr>
            <sz val="9"/>
            <rFont val="宋体"/>
            <charset val="134"/>
          </rPr>
          <t xml:space="preserve">
LY:
请勿删除此单元格内的公式
</t>
        </r>
      </text>
    </comment>
    <comment ref="N1" authorId="0">
      <text>
        <r>
          <rPr>
            <b/>
            <sz val="9"/>
            <rFont val="宋体"/>
            <charset val="134"/>
          </rPr>
          <t>批注:</t>
        </r>
        <r>
          <rPr>
            <sz val="9"/>
            <rFont val="宋体"/>
            <charset val="134"/>
          </rPr>
          <t xml:space="preserve">
LY:
请勿删除此单元格内的公式
</t>
        </r>
      </text>
    </comment>
    <comment ref="O1" authorId="1">
      <text>
        <r>
          <rPr>
            <b/>
            <sz val="9"/>
            <rFont val="宋体"/>
            <charset val="134"/>
          </rPr>
          <t>批注:</t>
        </r>
        <r>
          <rPr>
            <sz val="9"/>
            <rFont val="宋体"/>
            <charset val="134"/>
          </rPr>
          <t xml:space="preserve">
user:
不要删除此单元格里的公式
</t>
        </r>
      </text>
    </comment>
    <comment ref="P1" authorId="2">
      <text>
        <r>
          <rPr>
            <b/>
            <sz val="9"/>
            <rFont val="宋体"/>
            <charset val="134"/>
          </rPr>
          <t>批注:</t>
        </r>
        <r>
          <rPr>
            <sz val="9"/>
            <rFont val="宋体"/>
            <charset val="134"/>
          </rPr>
          <t xml:space="preserve">
yongl:
请勿删除此单元格内的公式
</t>
        </r>
      </text>
    </comment>
    <comment ref="N2" authorId="0">
      <text>
        <r>
          <rPr>
            <b/>
            <sz val="9"/>
            <rFont val="宋体"/>
            <charset val="134"/>
          </rPr>
          <t>批注:</t>
        </r>
        <r>
          <rPr>
            <sz val="9"/>
            <rFont val="宋体"/>
            <charset val="134"/>
          </rPr>
          <t xml:space="preserve">
LY:
请勿删除此单元格内的公式
</t>
        </r>
      </text>
    </comment>
    <comment ref="O2" authorId="0">
      <text>
        <r>
          <rPr>
            <b/>
            <sz val="9"/>
            <rFont val="宋体"/>
            <charset val="134"/>
          </rPr>
          <t>批注:</t>
        </r>
        <r>
          <rPr>
            <sz val="9"/>
            <rFont val="宋体"/>
            <charset val="134"/>
          </rPr>
          <t xml:space="preserve">
LY:
</t>
        </r>
      </text>
    </comment>
    <comment ref="A4" authorId="3">
      <text>
        <r>
          <rPr>
            <b/>
            <sz val="9"/>
            <rFont val="宋体"/>
            <charset val="134"/>
          </rPr>
          <t>批注:</t>
        </r>
        <r>
          <rPr>
            <sz val="9"/>
            <rFont val="宋体"/>
            <charset val="134"/>
          </rPr>
          <t xml:space="preserve">
Administrator:
注意层级关系、每增加一级用3位数表示
</t>
        </r>
      </text>
    </comment>
  </commentList>
</comments>
</file>

<file path=xl/comments4.xml><?xml version="1.0" encoding="utf-8"?>
<comments xmlns="http://schemas.openxmlformats.org/spreadsheetml/2006/main">
  <authors>
    <author>yongl</author>
    <author>Administrator</author>
  </authors>
  <commentList>
    <comment ref="F2" authorId="0">
      <text>
        <r>
          <rPr>
            <b/>
            <sz val="9"/>
            <rFont val="宋体"/>
            <charset val="134"/>
          </rPr>
          <t>批注:</t>
        </r>
        <r>
          <rPr>
            <sz val="9"/>
            <rFont val="宋体"/>
            <charset val="134"/>
          </rPr>
          <t xml:space="preserve">
yongl:
根据文件名自动调整
</t>
        </r>
      </text>
    </comment>
    <comment ref="A3" authorId="1">
      <text>
        <r>
          <rPr>
            <b/>
            <sz val="9"/>
            <rFont val="宋体"/>
            <charset val="134"/>
          </rPr>
          <t>批注:</t>
        </r>
        <r>
          <rPr>
            <sz val="9"/>
            <rFont val="宋体"/>
            <charset val="134"/>
          </rPr>
          <t xml:space="preserve">
Administrator:
若分工区项目，填写本工区金额
</t>
        </r>
      </text>
    </comment>
    <comment ref="C3" authorId="1">
      <text>
        <r>
          <rPr>
            <b/>
            <sz val="9"/>
            <rFont val="宋体"/>
            <charset val="134"/>
          </rPr>
          <t>批注:</t>
        </r>
        <r>
          <rPr>
            <sz val="9"/>
            <rFont val="宋体"/>
            <charset val="134"/>
          </rPr>
          <t xml:space="preserve">
Administrator:
不含税、不含暂列金
</t>
        </r>
      </text>
    </comment>
  </commentList>
</comments>
</file>

<file path=xl/comments5.xml><?xml version="1.0" encoding="utf-8"?>
<comments xmlns="http://schemas.openxmlformats.org/spreadsheetml/2006/main">
  <authors>
    <author>Administrator</author>
    <author>lenovo</author>
    <author>yongl</author>
  </authors>
  <commentList>
    <comment ref="T3" authorId="0">
      <text>
        <r>
          <rPr>
            <b/>
            <sz val="9"/>
            <rFont val="宋体"/>
            <charset val="134"/>
          </rPr>
          <t>批注:</t>
        </r>
        <r>
          <rPr>
            <sz val="9"/>
            <rFont val="宋体"/>
            <charset val="134"/>
          </rPr>
          <t xml:space="preserve">
Administrator:
人、机、分包实际盘点量应为已计量+未计量；材料为实际出库数量
</t>
        </r>
      </text>
    </comment>
    <comment ref="F5" authorId="1">
      <text>
        <r>
          <rPr>
            <b/>
            <sz val="9"/>
            <rFont val="宋体"/>
            <charset val="134"/>
          </rPr>
          <t>lenovo:</t>
        </r>
        <r>
          <rPr>
            <sz val="9"/>
            <rFont val="宋体"/>
            <charset val="134"/>
          </rPr>
          <t xml:space="preserve">
选择合同类型确认成本归集</t>
        </r>
      </text>
    </comment>
    <comment ref="K5" authorId="2">
      <text>
        <r>
          <rPr>
            <b/>
            <sz val="9"/>
            <rFont val="宋体"/>
            <charset val="134"/>
          </rPr>
          <t>批注:</t>
        </r>
        <r>
          <rPr>
            <sz val="9"/>
            <rFont val="宋体"/>
            <charset val="134"/>
          </rPr>
          <t xml:space="preserve">
yongl:
编码要求：
必须从数据表中建立的下拉列表内进行选择，方便后期数据统计
</t>
        </r>
      </text>
    </comment>
  </commentList>
</comments>
</file>

<file path=xl/comments6.xml><?xml version="1.0" encoding="utf-8"?>
<comments xmlns="http://schemas.openxmlformats.org/spreadsheetml/2006/main">
  <authors>
    <author>Administrator</author>
  </authors>
  <commentList>
    <comment ref="M13" authorId="0">
      <text>
        <r>
          <rPr>
            <b/>
            <sz val="9"/>
            <rFont val="宋体"/>
            <charset val="134"/>
          </rPr>
          <t>Administrator:</t>
        </r>
        <r>
          <rPr>
            <sz val="9"/>
            <rFont val="宋体"/>
            <charset val="134"/>
          </rPr>
          <t xml:space="preserve">
汽车衡，污水处理设备，储水罐</t>
        </r>
      </text>
    </comment>
    <comment ref="M18" authorId="0">
      <text>
        <r>
          <rPr>
            <b/>
            <sz val="9"/>
            <rFont val="宋体"/>
            <charset val="134"/>
          </rPr>
          <t>Administrator:</t>
        </r>
        <r>
          <rPr>
            <sz val="9"/>
            <rFont val="宋体"/>
            <charset val="134"/>
          </rPr>
          <t xml:space="preserve">
含：电脑及空调热水器</t>
        </r>
      </text>
    </comment>
    <comment ref="M51" authorId="0">
      <text>
        <r>
          <rPr>
            <b/>
            <sz val="9"/>
            <rFont val="宋体"/>
            <charset val="134"/>
          </rPr>
          <t>Administrator:</t>
        </r>
        <r>
          <rPr>
            <sz val="9"/>
            <rFont val="宋体"/>
            <charset val="134"/>
          </rPr>
          <t xml:space="preserve">
仪器检测费报销14640.41+定位复测7028.32=21668.73</t>
        </r>
      </text>
    </comment>
  </commentList>
</comments>
</file>

<file path=xl/comments7.xml><?xml version="1.0" encoding="utf-8"?>
<comments xmlns="http://schemas.openxmlformats.org/spreadsheetml/2006/main">
  <authors>
    <author>LY</author>
  </authors>
  <commentList>
    <comment ref="E6" authorId="0">
      <text>
        <r>
          <rPr>
            <sz val="9"/>
            <rFont val="宋体"/>
            <charset val="134"/>
          </rPr>
          <t>2FF|300|2FE</t>
        </r>
      </text>
    </comment>
    <comment ref="E7" authorId="0">
      <text>
        <r>
          <rPr>
            <sz val="9"/>
            <rFont val="宋体"/>
            <charset val="134"/>
          </rPr>
          <t>301|302|303</t>
        </r>
      </text>
    </comment>
    <comment ref="E8" authorId="0">
      <text>
        <r>
          <rPr>
            <sz val="9"/>
            <rFont val="宋体"/>
            <charset val="134"/>
          </rPr>
          <t>302|306|308</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<sst xmlns="http://schemas.openxmlformats.org/spreadsheetml/2006/main" count="5996" uniqueCount="3094">
  <si>
    <t>基本说明</t>
  </si>
  <si>
    <r>
      <rPr>
        <sz val="11"/>
        <color rgb="FF000000"/>
        <rFont val="宋体"/>
        <charset val="134"/>
      </rPr>
      <t>1、所有表格</t>
    </r>
    <r>
      <rPr>
        <b/>
        <sz val="11"/>
        <color rgb="FFC00000"/>
        <rFont val="宋体"/>
        <charset val="134"/>
      </rPr>
      <t>纵列保持不变</t>
    </r>
    <r>
      <rPr>
        <sz val="11"/>
        <color rgb="FF000000"/>
        <rFont val="宋体"/>
        <charset val="134"/>
      </rPr>
      <t>，只能在表后添加列，表中可</t>
    </r>
    <r>
      <rPr>
        <b/>
        <sz val="11"/>
        <color rgb="FFC00000"/>
        <rFont val="宋体"/>
        <charset val="134"/>
      </rPr>
      <t>插入或删除行。</t>
    </r>
  </si>
  <si>
    <t>注：材料费复核对不上主要原因：</t>
  </si>
  <si>
    <r>
      <rPr>
        <sz val="11"/>
        <color rgb="FF000000"/>
        <rFont val="宋体"/>
        <charset val="134"/>
      </rPr>
      <t>2、注意层级关系，增加一级用2位数表示，如，一级为</t>
    </r>
    <r>
      <rPr>
        <sz val="11"/>
        <color rgb="FF000000"/>
        <rFont val="宋体"/>
        <charset val="134"/>
      </rPr>
      <t>T</t>
    </r>
    <r>
      <rPr>
        <sz val="11"/>
        <color rgb="FF000000"/>
        <rFont val="宋体"/>
        <charset val="134"/>
      </rPr>
      <t>1，二级为</t>
    </r>
    <r>
      <rPr>
        <sz val="11"/>
        <color rgb="FF000000"/>
        <rFont val="宋体"/>
        <charset val="134"/>
      </rPr>
      <t>T</t>
    </r>
    <r>
      <rPr>
        <sz val="11"/>
        <color rgb="FF000000"/>
        <rFont val="宋体"/>
        <charset val="134"/>
      </rPr>
      <t>101，三级为</t>
    </r>
    <r>
      <rPr>
        <sz val="11"/>
        <color rgb="FF000000"/>
        <rFont val="宋体"/>
        <charset val="134"/>
      </rPr>
      <t>T</t>
    </r>
    <r>
      <rPr>
        <sz val="11"/>
        <color rgb="FF000000"/>
        <rFont val="宋体"/>
        <charset val="134"/>
      </rPr>
      <t>10101。表中汇总是根据序号层级在进行汇总，保证每项必须填写序号，否则汇总出错。</t>
    </r>
  </si>
  <si>
    <t>1、部分配比材料重复计算，配比料添加一定添加最上面配合比区域</t>
  </si>
  <si>
    <r>
      <rPr>
        <sz val="12"/>
        <rFont val="宋体"/>
        <charset val="134"/>
      </rPr>
      <t>3、表格中的序号根据所在行的项目类别和上一个序号采用</t>
    </r>
    <r>
      <rPr>
        <b/>
        <sz val="12"/>
        <color rgb="FFC00000"/>
        <rFont val="宋体"/>
        <charset val="134"/>
      </rPr>
      <t>公式自动生成</t>
    </r>
    <r>
      <rPr>
        <sz val="12"/>
        <rFont val="宋体"/>
        <charset val="134"/>
      </rPr>
      <t>，插入行后或删除行后，提示错误后，需将前面的公式复制到错误行更正。</t>
    </r>
  </si>
  <si>
    <t>2、每种要素生成对比表前，一定先完成各要素的汇总计算。</t>
  </si>
  <si>
    <r>
      <rPr>
        <sz val="12"/>
        <rFont val="宋体"/>
        <charset val="134"/>
      </rPr>
      <t>4、填表时，</t>
    </r>
    <r>
      <rPr>
        <b/>
        <sz val="12"/>
        <color rgb="FFC00000"/>
        <rFont val="宋体"/>
        <charset val="134"/>
      </rPr>
      <t>首先</t>
    </r>
    <r>
      <rPr>
        <sz val="12"/>
        <rFont val="宋体"/>
        <charset val="134"/>
      </rPr>
      <t>根据对项目的测算，填写</t>
    </r>
    <r>
      <rPr>
        <b/>
        <sz val="12"/>
        <rFont val="宋体"/>
        <charset val="134"/>
      </rPr>
      <t>数据源00表</t>
    </r>
    <r>
      <rPr>
        <sz val="12"/>
        <rFont val="宋体"/>
        <charset val="134"/>
      </rPr>
      <t>中对应的要素名称、单位、价格。</t>
    </r>
    <r>
      <rPr>
        <b/>
        <sz val="12"/>
        <color rgb="FFC00000"/>
        <rFont val="宋体"/>
        <charset val="134"/>
      </rPr>
      <t>其次</t>
    </r>
    <r>
      <rPr>
        <sz val="12"/>
        <rFont val="宋体"/>
        <charset val="134"/>
      </rPr>
      <t>在分项表中采用下拉方式进行选择，对应单位和价格自动填写</t>
    </r>
  </si>
  <si>
    <r>
      <rPr>
        <sz val="12"/>
        <rFont val="宋体"/>
        <charset val="134"/>
      </rPr>
      <t>5、分项对比表：自行完成部分黄色填充</t>
    </r>
    <r>
      <rPr>
        <b/>
        <sz val="12"/>
        <color rgb="FFC00000"/>
        <rFont val="宋体"/>
        <charset val="134"/>
      </rPr>
      <t>单位格</t>
    </r>
    <r>
      <rPr>
        <sz val="12"/>
        <rFont val="宋体"/>
        <charset val="134"/>
      </rPr>
      <t>为需要填写的位置，蓝色填充单元格为选填，如未复核图纸工程量，则需手动链接等于投标工程量。
   专业分包部分按费率下浮的方式填报。
   所有数据填写完成后汇总公式才会正确显示数据，如觉得不方便根据数据对比，自行完成部分可从最后一个清单项从下往上的顺序填写。请根据自已掌握的项目信息和管理经验</t>
    </r>
    <r>
      <rPr>
        <b/>
        <sz val="12"/>
        <color rgb="FFC00000"/>
        <rFont val="宋体"/>
        <charset val="134"/>
      </rPr>
      <t>仔细核对</t>
    </r>
    <r>
      <rPr>
        <sz val="12"/>
        <rFont val="宋体"/>
        <charset val="134"/>
      </rPr>
      <t>填写</t>
    </r>
  </si>
  <si>
    <t>6、分项对比测算时，增值税暂不考虑，均采用不含税价</t>
  </si>
  <si>
    <r>
      <rPr>
        <sz val="12"/>
        <rFont val="宋体"/>
        <charset val="134"/>
      </rPr>
      <t xml:space="preserve">7、填写了公式的单元格请尽量不动，若不明白可联系：刘倩   </t>
    </r>
    <r>
      <rPr>
        <sz val="12"/>
        <rFont val="宋体"/>
        <charset val="134"/>
      </rPr>
      <t>13438486857</t>
    </r>
    <r>
      <rPr>
        <sz val="12"/>
        <rFont val="宋体"/>
        <charset val="134"/>
      </rPr>
      <t xml:space="preserve">   QQ:</t>
    </r>
    <r>
      <rPr>
        <sz val="12"/>
        <rFont val="宋体"/>
        <charset val="134"/>
      </rPr>
      <t>24573053</t>
    </r>
  </si>
  <si>
    <t>项目成本预算</t>
  </si>
  <si>
    <t>编号：YYZX-XM-003</t>
  </si>
  <si>
    <r>
      <rPr>
        <b/>
        <sz val="12"/>
        <rFont val="宋体"/>
        <charset val="134"/>
      </rPr>
      <t>1、项目编号：</t>
    </r>
    <r>
      <rPr>
        <sz val="12"/>
        <color rgb="FFFF0000"/>
        <rFont val="宋体"/>
        <charset val="134"/>
      </rPr>
      <t>(编号由运营管理中心统一编制)</t>
    </r>
  </si>
  <si>
    <r>
      <rPr>
        <b/>
        <sz val="12"/>
        <rFont val="宋体"/>
        <charset val="134"/>
      </rPr>
      <t xml:space="preserve">4、投标预算收入（含税，含暂列金）：  </t>
    </r>
    <r>
      <rPr>
        <sz val="12"/>
        <rFont val="宋体"/>
        <charset val="134"/>
      </rPr>
      <t xml:space="preserve">                                            </t>
    </r>
  </si>
  <si>
    <t>元</t>
  </si>
  <si>
    <t>4.1投标预算收入（不含税，含暂列金）：</t>
  </si>
  <si>
    <t>4.2投标预算收入（不含税，不含暂列金）：</t>
  </si>
  <si>
    <t>5、施工图预算（复核）收入（不含税、不含暂金）：</t>
  </si>
  <si>
    <t>6、成本预算支出：</t>
  </si>
  <si>
    <r>
      <rPr>
        <b/>
        <sz val="12"/>
        <rFont val="宋体"/>
        <charset val="134"/>
      </rPr>
      <t xml:space="preserve">7、上报版本: </t>
    </r>
    <r>
      <rPr>
        <sz val="12"/>
        <color rgb="FFFF0000"/>
        <rFont val="宋体"/>
        <charset val="134"/>
      </rPr>
      <t>（填顺序号NO.01\NO.02）</t>
    </r>
  </si>
  <si>
    <t xml:space="preserve">                                         项目部（章）</t>
  </si>
  <si>
    <t xml:space="preserve">         </t>
  </si>
  <si>
    <t>编制说明</t>
  </si>
  <si>
    <t>一、工程概况（分工区的项目填写本工区的情况）</t>
  </si>
  <si>
    <t>2、工程地点：</t>
  </si>
  <si>
    <t>3、合同签订日期：</t>
  </si>
  <si>
    <t>4、合同工期：</t>
  </si>
  <si>
    <t>5、开工日期：</t>
  </si>
  <si>
    <t xml:space="preserve">6、工程主要内容：
  </t>
  </si>
  <si>
    <t>7、责任指标：</t>
  </si>
  <si>
    <t>8、其他：</t>
  </si>
  <si>
    <t>二、编制依据：</t>
  </si>
  <si>
    <r>
      <rPr>
        <sz val="11"/>
        <rFont val="宋体"/>
        <charset val="134"/>
      </rPr>
      <t>三、</t>
    </r>
    <r>
      <rPr>
        <b/>
        <sz val="18"/>
        <color rgb="FFFF0000"/>
        <rFont val="宋体"/>
        <charset val="134"/>
      </rPr>
      <t>主要商务策划内容：</t>
    </r>
  </si>
  <si>
    <t xml:space="preserve">                          项目经理：                                                            项目造价：      </t>
  </si>
  <si>
    <t>道面水泥</t>
  </si>
  <si>
    <t>结构水泥</t>
  </si>
  <si>
    <t>道面碎石</t>
  </si>
  <si>
    <t>结构碎石（C40以下）</t>
  </si>
  <si>
    <t>结构碎石（C40以上）</t>
  </si>
  <si>
    <t>道面砂</t>
  </si>
  <si>
    <t>结构用砂（C40以下）</t>
  </si>
  <si>
    <t>结构用砂（C40以上）</t>
  </si>
  <si>
    <t>机制砂</t>
  </si>
  <si>
    <t>粉煤灰</t>
  </si>
  <si>
    <t>泵送费</t>
  </si>
  <si>
    <t>水稳水泥</t>
  </si>
  <si>
    <t>水稳碎石</t>
  </si>
  <si>
    <t>水泥稳定碎石细集料</t>
  </si>
  <si>
    <t>改性沥青</t>
  </si>
  <si>
    <t>普通沥青</t>
  </si>
  <si>
    <t>玄武岩</t>
  </si>
  <si>
    <t>石灰岩</t>
  </si>
  <si>
    <t>矿粉</t>
  </si>
  <si>
    <t>结构外加剂（减水、缓凝、抗渗）</t>
  </si>
  <si>
    <t>外加剂（减水、缓凝）</t>
  </si>
  <si>
    <t>高模量剂</t>
  </si>
  <si>
    <t>纤维</t>
  </si>
  <si>
    <t>纤维2</t>
  </si>
  <si>
    <t>材料</t>
  </si>
  <si>
    <t>单位</t>
  </si>
  <si>
    <t>单价</t>
  </si>
  <si>
    <t>汇总数量</t>
  </si>
  <si>
    <t>机械</t>
  </si>
  <si>
    <t>人工</t>
  </si>
  <si>
    <t>分包</t>
  </si>
  <si>
    <t>下浮</t>
  </si>
  <si>
    <t>总耗量|均价|合价-》</t>
  </si>
  <si>
    <t>道面精平</t>
  </si>
  <si>
    <t>m2</t>
  </si>
  <si>
    <t>水稳摊铺人工配合</t>
  </si>
  <si>
    <t>通用安装</t>
  </si>
  <si>
    <t>m3</t>
  </si>
  <si>
    <t>月耗量</t>
  </si>
  <si>
    <t>机械摊铺碾压</t>
  </si>
  <si>
    <t>道面（肩）硅酮填缝8*30mm</t>
  </si>
  <si>
    <t>m</t>
  </si>
  <si>
    <t>土石方</t>
  </si>
  <si>
    <t>累耗量</t>
  </si>
  <si>
    <t>水稳拌合</t>
  </si>
  <si>
    <t>浇筑混凝土</t>
  </si>
  <si>
    <t>助航灯光</t>
  </si>
  <si>
    <t>t</t>
  </si>
  <si>
    <t>配比</t>
  </si>
  <si>
    <t>总数量</t>
  </si>
  <si>
    <t>当月数量</t>
  </si>
  <si>
    <t>实累数量</t>
  </si>
  <si>
    <t>含量1</t>
  </si>
  <si>
    <t>单价1</t>
  </si>
  <si>
    <t>合价1</t>
  </si>
  <si>
    <t>含量2</t>
  </si>
  <si>
    <t>单价2</t>
  </si>
  <si>
    <t>合价2</t>
  </si>
  <si>
    <t>含量3</t>
  </si>
  <si>
    <t>单价3</t>
  </si>
  <si>
    <t>合价3</t>
  </si>
  <si>
    <t>含量4</t>
  </si>
  <si>
    <t>单价4</t>
  </si>
  <si>
    <t>合价4</t>
  </si>
  <si>
    <t>含量5</t>
  </si>
  <si>
    <t>单价5</t>
  </si>
  <si>
    <t>合价5</t>
  </si>
  <si>
    <t>含量6</t>
  </si>
  <si>
    <t>单价6</t>
  </si>
  <si>
    <t>合价6</t>
  </si>
  <si>
    <t>含量7</t>
  </si>
  <si>
    <t>单价7</t>
  </si>
  <si>
    <t>合价7</t>
  </si>
  <si>
    <t>含量8</t>
  </si>
  <si>
    <t>单价8</t>
  </si>
  <si>
    <t>合价8</t>
  </si>
  <si>
    <t>含量9</t>
  </si>
  <si>
    <t>单价9</t>
  </si>
  <si>
    <t>合价9</t>
  </si>
  <si>
    <t>含量10</t>
  </si>
  <si>
    <t>单价10</t>
  </si>
  <si>
    <t>合价10</t>
  </si>
  <si>
    <t>含量11</t>
  </si>
  <si>
    <t>单价11</t>
  </si>
  <si>
    <t>合价11</t>
  </si>
  <si>
    <t>含量12</t>
  </si>
  <si>
    <t>单价12</t>
  </si>
  <si>
    <t>合价12</t>
  </si>
  <si>
    <t>含量13</t>
  </si>
  <si>
    <t>单价13</t>
  </si>
  <si>
    <t>合价13</t>
  </si>
  <si>
    <t>含量14</t>
  </si>
  <si>
    <t>单价14</t>
  </si>
  <si>
    <t>合价14</t>
  </si>
  <si>
    <t>含量15</t>
  </si>
  <si>
    <t>单价15</t>
  </si>
  <si>
    <t>合价15</t>
  </si>
  <si>
    <t>含量16</t>
  </si>
  <si>
    <t>单价16</t>
  </si>
  <si>
    <t>合价16</t>
  </si>
  <si>
    <t>含量17</t>
  </si>
  <si>
    <t>单价17</t>
  </si>
  <si>
    <t>合价17</t>
  </si>
  <si>
    <t>含量18</t>
  </si>
  <si>
    <t>单价18</t>
  </si>
  <si>
    <t>合价18</t>
  </si>
  <si>
    <t>含量19</t>
  </si>
  <si>
    <t>单价19</t>
  </si>
  <si>
    <t>合价19</t>
  </si>
  <si>
    <t>含量20</t>
  </si>
  <si>
    <t>单价20</t>
  </si>
  <si>
    <t>合价20</t>
  </si>
  <si>
    <t>含量21</t>
  </si>
  <si>
    <t>单价21</t>
  </si>
  <si>
    <t>合价21</t>
  </si>
  <si>
    <t>含量22</t>
  </si>
  <si>
    <t>单价22</t>
  </si>
  <si>
    <t>合价22</t>
  </si>
  <si>
    <t>含量23</t>
  </si>
  <si>
    <t>单价23</t>
  </si>
  <si>
    <t>合价23</t>
  </si>
  <si>
    <t>含量24</t>
  </si>
  <si>
    <t>单价24</t>
  </si>
  <si>
    <t>合价24</t>
  </si>
  <si>
    <t>含量25</t>
  </si>
  <si>
    <t>单价25</t>
  </si>
  <si>
    <t>合价25</t>
  </si>
  <si>
    <t>水稳半成品运输</t>
  </si>
  <si>
    <t>人工切缝</t>
  </si>
  <si>
    <t>弱电工程</t>
  </si>
  <si>
    <t>道面混凝土</t>
  </si>
  <si>
    <t>五、月租机械/零星机械</t>
  </si>
  <si>
    <t>摊铺沥青混凝土人工配合</t>
  </si>
  <si>
    <t>附属工程</t>
  </si>
  <si>
    <t>套</t>
  </si>
  <si>
    <t>道肩混凝土</t>
  </si>
  <si>
    <t>月租-履带式挖掘机-50</t>
  </si>
  <si>
    <t>台月</t>
  </si>
  <si>
    <t>砼充填土溶洞打孔含下管</t>
  </si>
  <si>
    <t>消防工程</t>
  </si>
  <si>
    <t>座</t>
  </si>
  <si>
    <t>水稳下基层料</t>
  </si>
  <si>
    <t>月租-履带式挖掘机</t>
  </si>
  <si>
    <t>灌缝</t>
  </si>
  <si>
    <t>装饰工程</t>
  </si>
  <si>
    <t>台</t>
  </si>
  <si>
    <t>水稳上基层料</t>
  </si>
  <si>
    <t>月租-装载机</t>
  </si>
  <si>
    <t>土面精平</t>
  </si>
  <si>
    <t>建筑工程</t>
  </si>
  <si>
    <t>个</t>
  </si>
  <si>
    <t>C15混凝土</t>
  </si>
  <si>
    <t>月租-洒水车-10T</t>
  </si>
  <si>
    <t>人工喷标志漆</t>
  </si>
  <si>
    <t>园林绿化</t>
  </si>
  <si>
    <t>根</t>
  </si>
  <si>
    <t>C20混凝土</t>
  </si>
  <si>
    <t>月租-自卸车-20T</t>
  </si>
  <si>
    <t>不停航道面清扫</t>
  </si>
  <si>
    <t>挂网喷射混凝土</t>
  </si>
  <si>
    <t>项</t>
  </si>
  <si>
    <t>C20混凝土（泵送）</t>
  </si>
  <si>
    <t>月租-自卸车-18方</t>
  </si>
  <si>
    <t>道面旧缝清理</t>
  </si>
  <si>
    <t>灌缝8mm</t>
  </si>
  <si>
    <t>系统</t>
  </si>
  <si>
    <t>C20毛石混凝土</t>
  </si>
  <si>
    <t>零星-18方自卸车-车</t>
  </si>
  <si>
    <t>人铺贴油毡</t>
  </si>
  <si>
    <t>灌缝20mm</t>
  </si>
  <si>
    <t>块</t>
  </si>
  <si>
    <t>C30混凝土</t>
  </si>
  <si>
    <t>零星-18方自卸车-台班</t>
  </si>
  <si>
    <t>台时</t>
  </si>
  <si>
    <t>高压清除标志漆</t>
  </si>
  <si>
    <t>切缝机+刀片</t>
  </si>
  <si>
    <t>kg</t>
  </si>
  <si>
    <t>C30水下混凝土</t>
  </si>
  <si>
    <t>零星-破碎机（挖掘机对应型号单价+100）</t>
  </si>
  <si>
    <t>临电安装</t>
  </si>
  <si>
    <t>侧墙、底板变形缝</t>
  </si>
  <si>
    <t>组</t>
  </si>
  <si>
    <t>C40混凝土p8</t>
  </si>
  <si>
    <t>挖掘机 70型</t>
  </si>
  <si>
    <t>台班</t>
  </si>
  <si>
    <t>撒播草籽</t>
  </si>
  <si>
    <t>插座</t>
  </si>
  <si>
    <t>C40混凝土p8（泵送）</t>
  </si>
  <si>
    <t>运输车 小型</t>
  </si>
  <si>
    <t>零星模板安拆</t>
  </si>
  <si>
    <t>挡水板</t>
  </si>
  <si>
    <t>C45混凝土p8</t>
  </si>
  <si>
    <t>单钢轮压路路 26T</t>
  </si>
  <si>
    <t>人工拆除零星砼结构</t>
  </si>
  <si>
    <t>导流槽基础</t>
  </si>
  <si>
    <t>C45混凝土p8（含泵送）</t>
  </si>
  <si>
    <t>福格勒摊铺机 直板</t>
  </si>
  <si>
    <t>人工配合洒布应力吸收层</t>
  </si>
  <si>
    <t>地道涵洞灯</t>
  </si>
  <si>
    <t>升</t>
  </si>
  <si>
    <t>C50混凝土p10</t>
  </si>
  <si>
    <t>福格勒摊铺机 伸缩</t>
  </si>
  <si>
    <t>人工打磨道面边角</t>
  </si>
  <si>
    <t>等电位端子箱、测试板</t>
  </si>
  <si>
    <t>水泥砂浆</t>
  </si>
  <si>
    <t>胶轮压路机</t>
  </si>
  <si>
    <t>低压法兰阀门</t>
  </si>
  <si>
    <t>低标号混凝土（注浆）</t>
  </si>
  <si>
    <t>双钢轮压路机</t>
  </si>
  <si>
    <t>道面（肩）硅酮填缝20*30mm</t>
  </si>
  <si>
    <t>低压开关柜(屏)</t>
  </si>
  <si>
    <t>贫混凝土</t>
  </si>
  <si>
    <t>铣刨机</t>
  </si>
  <si>
    <t>水泥砂浆抹面</t>
  </si>
  <si>
    <t>低压碳钢管</t>
  </si>
  <si>
    <t>AC-13</t>
  </si>
  <si>
    <t>清扫车</t>
  </si>
  <si>
    <t>垫层劳务分包</t>
  </si>
  <si>
    <t>底板、侧墙变形缝防水</t>
  </si>
  <si>
    <t>AC-20</t>
  </si>
  <si>
    <t>防撞护栏（立柱）  
70×5×220mmmm</t>
  </si>
  <si>
    <t>洒水车</t>
  </si>
  <si>
    <t>混凝土劳务分包(下穿）</t>
  </si>
  <si>
    <t>点型探测器</t>
  </si>
  <si>
    <t>AC-25</t>
  </si>
  <si>
    <t>锚具 M15-8</t>
  </si>
  <si>
    <t>冷吹车</t>
  </si>
  <si>
    <t>模板制安</t>
  </si>
  <si>
    <t>电动葫芦</t>
  </si>
  <si>
    <t>SMA-13</t>
  </si>
  <si>
    <t>SBS改性沥青混合料 AC-10</t>
  </si>
  <si>
    <t>拖车</t>
  </si>
  <si>
    <t>塑料管铺设</t>
  </si>
  <si>
    <t>电缆保护管</t>
  </si>
  <si>
    <t>改性AC25</t>
  </si>
  <si>
    <t>保温车</t>
  </si>
  <si>
    <t>安装胀缝板</t>
  </si>
  <si>
    <t>电力电缆</t>
  </si>
  <si>
    <t>道路石油沥青 90#A级</t>
  </si>
  <si>
    <t>装载机</t>
  </si>
  <si>
    <t>预制混凝土盖板（制、运、安）</t>
  </si>
  <si>
    <t xml:space="preserve">电力电缆 </t>
  </si>
  <si>
    <t>煤焦油 100#</t>
  </si>
  <si>
    <t>沥青拌合站</t>
  </si>
  <si>
    <t>包干</t>
  </si>
  <si>
    <t>电力电缆头</t>
  </si>
  <si>
    <t>非泵送混凝土 C25</t>
  </si>
  <si>
    <t>加工沥青混凝土AC-20</t>
  </si>
  <si>
    <t>道面钢筋制安</t>
  </si>
  <si>
    <t>T</t>
  </si>
  <si>
    <t>二次转运</t>
  </si>
  <si>
    <t>非泵送混凝土 C30</t>
  </si>
  <si>
    <t>橡胶沥青加工</t>
  </si>
  <si>
    <t>撒草籽</t>
  </si>
  <si>
    <t>防雷接地装置系统</t>
  </si>
  <si>
    <t xml:space="preserve">塑性体(APP)改性沥青防水卷材
PYⅠ型 4mm
</t>
  </si>
  <si>
    <t>运输车</t>
  </si>
  <si>
    <t>土工格栅铺设</t>
  </si>
  <si>
    <t>防水砂浆天棚</t>
  </si>
  <si>
    <t>箱式变电站 台</t>
  </si>
  <si>
    <t>吊车 50T</t>
  </si>
  <si>
    <t>钢筋制安</t>
  </si>
  <si>
    <t>防水水泥砂浆墙面（内墙1）</t>
  </si>
  <si>
    <t>真空断路器</t>
  </si>
  <si>
    <t>沥青洒布车</t>
  </si>
  <si>
    <t>人工铺土工布</t>
  </si>
  <si>
    <t>服务器</t>
  </si>
  <si>
    <t>其他矿物绝缘电缆</t>
  </si>
  <si>
    <t>碎石封层车</t>
  </si>
  <si>
    <t>人工挖土方</t>
  </si>
  <si>
    <t>钢格栅盖板</t>
  </si>
  <si>
    <t xml:space="preserve">水泥砖 240*115*53 </t>
  </si>
  <si>
    <t>摊铺机进场费</t>
  </si>
  <si>
    <t>排水沟钢筋制安</t>
  </si>
  <si>
    <t>钢质防火门</t>
  </si>
  <si>
    <t>4361.766+2036.912+999.627</t>
  </si>
  <si>
    <t xml:space="preserve">水泥多孔砖 190*190*90 </t>
  </si>
  <si>
    <t>胶轮进场费</t>
  </si>
  <si>
    <t>人工铺设碎石垫层</t>
  </si>
  <si>
    <t>工厂灯</t>
  </si>
  <si>
    <t>不用了</t>
  </si>
  <si>
    <t>匹</t>
  </si>
  <si>
    <t>钢轮进场费</t>
  </si>
  <si>
    <t>箅子安装</t>
  </si>
  <si>
    <t>管道刷油</t>
  </si>
  <si>
    <t>阳光雨棚</t>
  </si>
  <si>
    <t>铣刨机进场费</t>
  </si>
  <si>
    <t>人工铺防水卷材</t>
  </si>
  <si>
    <t>管道支架</t>
  </si>
  <si>
    <t>防晒棚</t>
  </si>
  <si>
    <t>轮式设备进场费</t>
  </si>
  <si>
    <t>人工回填土方</t>
  </si>
  <si>
    <t>光端机主/备用自动转换设备</t>
  </si>
  <si>
    <t>碎石 玄武岩 5-10mm</t>
  </si>
  <si>
    <t>搅拌设备进场费</t>
  </si>
  <si>
    <t>预制构件安装</t>
  </si>
  <si>
    <t>光缆</t>
  </si>
  <si>
    <t>水性环氧树脂乳化沥青稀浆混合料 WEBS-10 吨</t>
  </si>
  <si>
    <t>零星机械费</t>
  </si>
  <si>
    <t>沟渠篦子安装</t>
  </si>
  <si>
    <t>轨道钢梁</t>
  </si>
  <si>
    <t>柴油 5#</t>
  </si>
  <si>
    <t>260挖机破碎</t>
  </si>
  <si>
    <t>井盖安装</t>
  </si>
  <si>
    <t>集水池抹灰</t>
  </si>
  <si>
    <t>硅酮</t>
  </si>
  <si>
    <t>挖掘机 挖沟槽</t>
  </si>
  <si>
    <t>安装地锚</t>
  </si>
  <si>
    <t>集水坑防水</t>
  </si>
  <si>
    <t>碎石5-20 吨</t>
  </si>
  <si>
    <t>运土 场内（起步价)</t>
  </si>
  <si>
    <t>钢筋网片制作安装</t>
  </si>
  <si>
    <t>剪力墙</t>
  </si>
  <si>
    <t>片石 150-400</t>
  </si>
  <si>
    <t>运石方 场内（增1km)</t>
  </si>
  <si>
    <t>截桩头</t>
  </si>
  <si>
    <t>建筑设备自控化系统试运行</t>
  </si>
  <si>
    <t>塑料防护排水板 1225mm×260mm×2mm ㎡</t>
  </si>
  <si>
    <t>机械挖软土（装车）</t>
  </si>
  <si>
    <t>预制混凝土构件安装</t>
  </si>
  <si>
    <t>接地极</t>
  </si>
  <si>
    <t>聚合物水泥砂浆</t>
  </si>
  <si>
    <t>机械运输软土</t>
  </si>
  <si>
    <t>人工埋设土钉</t>
  </si>
  <si>
    <t>接地母线</t>
  </si>
  <si>
    <t>工业炸药</t>
  </si>
  <si>
    <t>软土每增运输500m</t>
  </si>
  <si>
    <t>m3.km</t>
  </si>
  <si>
    <t>安装钢支撑</t>
  </si>
  <si>
    <t>接线盒</t>
  </si>
  <si>
    <t>工业雷管</t>
  </si>
  <si>
    <t>支</t>
  </si>
  <si>
    <t>机械挖石方（装车）</t>
  </si>
  <si>
    <t>浇筑构筑物砼</t>
  </si>
  <si>
    <t>接线箱</t>
  </si>
  <si>
    <t>无缝钢管  
Φ32×3 Q235</t>
  </si>
  <si>
    <t>回填山皮石（垫层）</t>
  </si>
  <si>
    <t>铺设碎石垫层</t>
  </si>
  <si>
    <t>金属结构刷油</t>
  </si>
  <si>
    <t>其他铸铁管</t>
  </si>
  <si>
    <t>机械回填碾压（原状土）</t>
  </si>
  <si>
    <t>浇筑混凝土保护层</t>
  </si>
  <si>
    <t>金属栏杆</t>
  </si>
  <si>
    <t>木模板</t>
  </si>
  <si>
    <t>冲击碾压</t>
  </si>
  <si>
    <t>人工安装钢板止水带</t>
  </si>
  <si>
    <t>矩形梁</t>
  </si>
  <si>
    <t>预制管桩</t>
  </si>
  <si>
    <t>4000KN.m级 点夯1遍</t>
  </si>
  <si>
    <t>人工安装橡胶止水带</t>
  </si>
  <si>
    <t>矩形柱</t>
  </si>
  <si>
    <t xml:space="preserve"> 
PVC穿孔收集管 Φ110</t>
  </si>
  <si>
    <t>4000KN.m级 点夯1遍 每增加一遍</t>
  </si>
  <si>
    <t>边坡植草防护（混凝土）</t>
  </si>
  <si>
    <t>聚合物水泥砂浆（迎土面）</t>
  </si>
  <si>
    <t>热轧光圆钢筋  Φ10</t>
  </si>
  <si>
    <t>基层料集中拌和（水稳搅拌站）</t>
  </si>
  <si>
    <t>人工回填方</t>
  </si>
  <si>
    <t>均压环</t>
  </si>
  <si>
    <t>钢支撑  Φ600 m</t>
  </si>
  <si>
    <t>基层料自卸汽车运输</t>
  </si>
  <si>
    <t>锚杆（索）</t>
  </si>
  <si>
    <t>控制电缆</t>
  </si>
  <si>
    <t>热轧光圆钢筋  Φ16</t>
  </si>
  <si>
    <t>基层料摊铺、碾压</t>
  </si>
  <si>
    <t>喷射混凝土（水泥砂浆）坡面</t>
  </si>
  <si>
    <t>立面卷材防水（外墙防水）</t>
  </si>
  <si>
    <t>石屑 0~5mm</t>
  </si>
  <si>
    <t>混凝土自卸汽车运输</t>
  </si>
  <si>
    <t>沟渠混凝土垫层</t>
  </si>
  <si>
    <t>零星钢构件</t>
  </si>
  <si>
    <t>热轧H型钢  
150×150mm</t>
  </si>
  <si>
    <t>混凝土拌合</t>
  </si>
  <si>
    <t>水沟传力杆钢筋制安</t>
  </si>
  <si>
    <t>螺栓</t>
  </si>
  <si>
    <t>弹性体(SBS)改性沥青防水卷材  
Ⅱ型 3mm</t>
  </si>
  <si>
    <t>混凝土罐车运输</t>
  </si>
  <si>
    <t>人工捡底</t>
  </si>
  <si>
    <t>铝及铝合金风口、散流器</t>
  </si>
  <si>
    <t>预制直埋保温管</t>
  </si>
  <si>
    <t>振动碾压</t>
  </si>
  <si>
    <t>支护工程支撑钢筋制安</t>
  </si>
  <si>
    <t>灭火器</t>
  </si>
  <si>
    <t>钢支架</t>
  </si>
  <si>
    <t>1000KN.m级 满夯1遍</t>
  </si>
  <si>
    <t>支护工程钢筋笼制安</t>
  </si>
  <si>
    <t>配电柜</t>
  </si>
  <si>
    <t>盆式橡胶支座</t>
  </si>
  <si>
    <t>挖掘机挖土方</t>
  </si>
  <si>
    <t>下穿桥梁工程钢筋制安</t>
  </si>
  <si>
    <t>配电箱</t>
  </si>
  <si>
    <t>球型钢支座  
8.0-e50  
QZ-DX</t>
  </si>
  <si>
    <t>道基顶面精平</t>
  </si>
  <si>
    <t>下穿金属栏杆安装</t>
  </si>
  <si>
    <t>配管</t>
  </si>
  <si>
    <t>板式橡胶支座</t>
  </si>
  <si>
    <t>机械成孔</t>
  </si>
  <si>
    <t>护坡网格钢筋制安</t>
  </si>
  <si>
    <t>配线</t>
  </si>
  <si>
    <t xml:space="preserve"> 
双丙聚氨酯</t>
  </si>
  <si>
    <t>土基精平</t>
  </si>
  <si>
    <t>钢筋混凝土支撑拆除</t>
  </si>
  <si>
    <t>喷射混凝土</t>
  </si>
  <si>
    <t>预应力钢筋混凝土管  D800</t>
  </si>
  <si>
    <t>推土机推平海沙</t>
  </si>
  <si>
    <t>石屑找平层</t>
  </si>
  <si>
    <t>平面卷材防水（底板）</t>
  </si>
  <si>
    <t>热熔普通型标线涂料</t>
  </si>
  <si>
    <t>推土机推平碎石</t>
  </si>
  <si>
    <t>喷射混凝土（水泥砂浆）桩间</t>
  </si>
  <si>
    <t>平面卷材防水（顶板）</t>
  </si>
  <si>
    <t>釉面地砖 300mm×450mm</t>
  </si>
  <si>
    <t>压路机碾压</t>
  </si>
  <si>
    <t>零星用工</t>
  </si>
  <si>
    <t>潜水泵</t>
  </si>
  <si>
    <t>大理石板 80mm</t>
  </si>
  <si>
    <t>装载机回填水泥砂浆</t>
  </si>
  <si>
    <t>砌砖墙</t>
  </si>
  <si>
    <t>桥架</t>
  </si>
  <si>
    <t xml:space="preserve">高压低发泡聚乙烯闭孔泡沫塑料板 2000mm×1000mm×30mm
 </t>
  </si>
  <si>
    <t>压路机压石方</t>
  </si>
  <si>
    <t>下穿泵房工程钢筋制安</t>
  </si>
  <si>
    <t>柔性软风管</t>
  </si>
  <si>
    <t>草籽</t>
  </si>
  <si>
    <t>推土机推石方</t>
  </si>
  <si>
    <t>人工铺聚丙烯土工布</t>
  </si>
  <si>
    <t>软接头(软管)</t>
  </si>
  <si>
    <t>水泥土搅拌桩（三轴直径650mm）成桩</t>
  </si>
  <si>
    <t>倒角施工</t>
  </si>
  <si>
    <t>设备基础</t>
  </si>
  <si>
    <t>石灰稳定土</t>
  </si>
  <si>
    <t>压路机压实海砂</t>
  </si>
  <si>
    <t>刻槽施工</t>
  </si>
  <si>
    <t>设备支架</t>
  </si>
  <si>
    <t>草皮</t>
  </si>
  <si>
    <t>运土 场内（增运1km）场内</t>
  </si>
  <si>
    <t>切(凿)槽</t>
  </si>
  <si>
    <t>水泥砂浆楼地面（楼1）</t>
  </si>
  <si>
    <t>铸铁雨水箅子  
300×500mm  个</t>
  </si>
  <si>
    <t>智能运输车1km内 场外大嶝</t>
  </si>
  <si>
    <t>道面(肩)切缝</t>
  </si>
  <si>
    <t>水泥砂浆踢脚线（踢1）</t>
  </si>
  <si>
    <t>黄砂（立方米) 中砂</t>
  </si>
  <si>
    <t>智能运输车增运1km 场外大嶝</t>
  </si>
  <si>
    <t>道面人工清扫</t>
  </si>
  <si>
    <t>水位计安装</t>
  </si>
  <si>
    <t>热轧带肋钢筋 Φ25</t>
  </si>
  <si>
    <t>智能运输车增运1km 场外翔安</t>
  </si>
  <si>
    <t>钢筋砼排水沟混凝土（墙身）</t>
  </si>
  <si>
    <t>塑料管</t>
  </si>
  <si>
    <t xml:space="preserve"> 
球墨铸铁井盖 1600×1600×90mm 个</t>
  </si>
  <si>
    <t>水泥土搅拌桩（单轴550mm）成桩</t>
  </si>
  <si>
    <t>混凝土排水沟(综合)</t>
  </si>
  <si>
    <t>碳钢阀门</t>
  </si>
  <si>
    <t>泵送混凝土  C20 喷射</t>
  </si>
  <si>
    <t>振动碾压（20cm褥垫层）</t>
  </si>
  <si>
    <t>混凝土边坡排水沟</t>
  </si>
  <si>
    <t>碳钢通风管道</t>
  </si>
  <si>
    <t>混凝土砌块</t>
  </si>
  <si>
    <t>推土机推石方（20cm褥垫层）</t>
  </si>
  <si>
    <t>排水沟碎石垫层</t>
  </si>
  <si>
    <t>套管</t>
  </si>
  <si>
    <t>砂砾石 综合</t>
  </si>
  <si>
    <t>振动碾压（60cm褥垫层）</t>
  </si>
  <si>
    <t>碎石垫层</t>
  </si>
  <si>
    <t>套管挤压</t>
  </si>
  <si>
    <t>卵石 5-10mm</t>
  </si>
  <si>
    <t>推土机推石方（60cm褥垫层）</t>
  </si>
  <si>
    <t>排水沟混凝土垫层</t>
  </si>
  <si>
    <t>铁爬梯</t>
  </si>
  <si>
    <t>山皮石 综合</t>
  </si>
  <si>
    <t>压路机压碎石</t>
  </si>
  <si>
    <t>混凝土垫层</t>
  </si>
  <si>
    <t>土钉</t>
  </si>
  <si>
    <t>普通硅酸盐水泥（袋装）P.O 42.5R</t>
  </si>
  <si>
    <t>拌合料拌装运</t>
  </si>
  <si>
    <t>排水沟模板制安</t>
  </si>
  <si>
    <t>细石混凝土楼地面</t>
  </si>
  <si>
    <t xml:space="preserve"> 
快硬硫铝酸盐水(散装)42.5</t>
  </si>
  <si>
    <t>自拌混凝土拌合</t>
  </si>
  <si>
    <t>人工铺土工布（道面）</t>
  </si>
  <si>
    <t>现浇构件钢筋</t>
  </si>
  <si>
    <t xml:space="preserve"> 
非泵送混凝土 C15</t>
  </si>
  <si>
    <t>自拌混凝土运输场内包干</t>
  </si>
  <si>
    <t>沟侧回填素土</t>
  </si>
  <si>
    <t>现浇混凝土钢筋</t>
  </si>
  <si>
    <t xml:space="preserve"> 
非泵送混凝土 C15P8</t>
  </si>
  <si>
    <t>自拌混凝土泵送</t>
  </si>
  <si>
    <t>沟侧回填湿贫混凝土</t>
  </si>
  <si>
    <t>线槽</t>
  </si>
  <si>
    <t xml:space="preserve">    </t>
  </si>
  <si>
    <t>钢模板</t>
  </si>
  <si>
    <t>碎石换填</t>
  </si>
  <si>
    <t>排水沟脚手架搭设、拆除</t>
  </si>
  <si>
    <t>压力仪表</t>
  </si>
  <si>
    <t>土工布</t>
  </si>
  <si>
    <t>路床整形</t>
  </si>
  <si>
    <t>道面传力杆钢筋制安</t>
  </si>
  <si>
    <t>荧光灯</t>
  </si>
  <si>
    <t>预制混凝土板 1000×1000×80mm</t>
  </si>
  <si>
    <t>深基坑升降机运输土方</t>
  </si>
  <si>
    <t>道面拉杆钢筋制安</t>
  </si>
  <si>
    <t>有梁板</t>
  </si>
  <si>
    <t>工业用水</t>
  </si>
  <si>
    <t>水泥土搅拌桩（三轴直径850mm）成桩</t>
  </si>
  <si>
    <t>排水沟钢筋制安（综合）</t>
  </si>
  <si>
    <t>照明开关</t>
  </si>
  <si>
    <t>电</t>
  </si>
  <si>
    <t>kwh</t>
  </si>
  <si>
    <t>机械挖淤泥土</t>
  </si>
  <si>
    <t>排水沟水泥砂浆抹面（内外壁）</t>
  </si>
  <si>
    <t>直螺纹连接</t>
  </si>
  <si>
    <t>泵送混凝土 C50</t>
  </si>
  <si>
    <t>机械回填碾压（覆绿土）</t>
  </si>
  <si>
    <t>水泥砂浆抹面（平面）</t>
  </si>
  <si>
    <t>止水钢板</t>
  </si>
  <si>
    <t>生态袋</t>
  </si>
  <si>
    <t>机械回填碾压（山皮石）</t>
  </si>
  <si>
    <t>水泥砂浆抹面（立面）</t>
  </si>
  <si>
    <t>轴流通风机</t>
  </si>
  <si>
    <t>非泵送混凝土 C20细石</t>
  </si>
  <si>
    <t>月租机械</t>
  </si>
  <si>
    <t>刷涂料（平面）</t>
  </si>
  <si>
    <t>组合型成套箱式变电站</t>
  </si>
  <si>
    <t>钢筋网片</t>
  </si>
  <si>
    <t>沟槽边坡修整</t>
  </si>
  <si>
    <t>刷涂料（立面）</t>
  </si>
  <si>
    <t>锚索</t>
  </si>
  <si>
    <t>泵送混凝土 C30</t>
  </si>
  <si>
    <t>36T压路机碾压</t>
  </si>
  <si>
    <t>浆砌石排水沟</t>
  </si>
  <si>
    <t>污水检查井</t>
  </si>
  <si>
    <t>泵送混凝土 C40</t>
  </si>
  <si>
    <t>钢筋混凝土支撑机械拆除</t>
  </si>
  <si>
    <t>箱涵混凝土墙体</t>
  </si>
  <si>
    <t>bim费用</t>
  </si>
  <si>
    <t>改性乳化沥青 PCR</t>
  </si>
  <si>
    <t>场内种植土装车</t>
  </si>
  <si>
    <t>混凝土侧墙</t>
  </si>
  <si>
    <t>2mm厚热熔橡胶止水带</t>
  </si>
  <si>
    <t xml:space="preserve"> 
石英砂  
中砂</t>
  </si>
  <si>
    <t>推土机推覆绿土</t>
  </si>
  <si>
    <t>箱涵混凝土顶板</t>
  </si>
  <si>
    <t>dd</t>
  </si>
  <si>
    <t xml:space="preserve"> 
警示带  500mm</t>
  </si>
  <si>
    <t>压路机分层碾压</t>
  </si>
  <si>
    <t>混凝土顶板（含搭板）</t>
  </si>
  <si>
    <t>锚杆</t>
  </si>
  <si>
    <t xml:space="preserve"> 
触变泥浆</t>
  </si>
  <si>
    <t>推土机推平回填</t>
  </si>
  <si>
    <t>箱涵混凝土底板</t>
  </si>
  <si>
    <t>成品隔音屏障安装（含材料）</t>
  </si>
  <si>
    <t>中埋式橡胶止水带500×6mm</t>
  </si>
  <si>
    <t>推土机推平海砂（弃土区）</t>
  </si>
  <si>
    <t>混凝土底板（含垫板）</t>
  </si>
  <si>
    <t>桥梁伸缩装置安装（含材料）</t>
  </si>
  <si>
    <t>止水钢板 400×3mm</t>
  </si>
  <si>
    <t>智能运输车1km内 场外翔安</t>
  </si>
  <si>
    <t>箱涵模板制安</t>
  </si>
  <si>
    <t>桥梁油毛毡支座</t>
  </si>
  <si>
    <t>干混防水砂浆DW  
M15</t>
  </si>
  <si>
    <t>运石方 场内（起步价)</t>
  </si>
  <si>
    <t>模板制安拆</t>
  </si>
  <si>
    <t>水磨石地面</t>
  </si>
  <si>
    <t>悬板防爆活门  
HK600</t>
  </si>
  <si>
    <t>扇</t>
  </si>
  <si>
    <t>挖掘机挖土（装车）</t>
  </si>
  <si>
    <t>支架搭拆</t>
  </si>
  <si>
    <t>钢结构</t>
  </si>
  <si>
    <t xml:space="preserve">PVC-U直接头 De25
</t>
  </si>
  <si>
    <t>挖掘机挖土（不装车）</t>
  </si>
  <si>
    <t>预制混凝土盖板</t>
  </si>
  <si>
    <t>型钢桩</t>
  </si>
  <si>
    <t>非泵送混凝土C50</t>
  </si>
  <si>
    <t>挖掘机挖淤泥（装车）</t>
  </si>
  <si>
    <t>箱涵钢筋制安（@10以下）</t>
  </si>
  <si>
    <t>钢板桩</t>
  </si>
  <si>
    <t xml:space="preserve"> 
聚合物水泥基防水涂料</t>
  </si>
  <si>
    <t>挖掘机挖淤泥（不装车）</t>
  </si>
  <si>
    <t>箱涵钢筋制安（@10以上）</t>
  </si>
  <si>
    <t>钢桥维修设备</t>
  </si>
  <si>
    <t>三通阀  
DN200</t>
  </si>
  <si>
    <t>机械挖草皮土（装车）</t>
  </si>
  <si>
    <t>箱涵钢筋制安（综合）</t>
  </si>
  <si>
    <t>刺铁丝围界</t>
  </si>
  <si>
    <t>不锈钢整体法兰  
DN25</t>
  </si>
  <si>
    <t>机械挖草皮土（不装车）</t>
  </si>
  <si>
    <t>构筑物钢筋制安</t>
  </si>
  <si>
    <t>金属栏杆(氟碳漆)</t>
  </si>
  <si>
    <t>预应力混凝土空心方桩 PS 400(250) AB型 米</t>
  </si>
  <si>
    <t>机械挖软土（不装车）</t>
  </si>
  <si>
    <t>1cm石屑隔离层</t>
  </si>
  <si>
    <t>土钉（根）</t>
  </si>
  <si>
    <t xml:space="preserve"> 
钢套管  
DN40×2.0mm</t>
  </si>
  <si>
    <t>机械挖沟槽土方（装车）</t>
  </si>
  <si>
    <t>满堂脚手架搭设、拆除</t>
  </si>
  <si>
    <t>金属声屏障制作安装</t>
  </si>
  <si>
    <t>天然砂  中砂</t>
  </si>
  <si>
    <t>机械挖沟槽土方（不装车）</t>
  </si>
  <si>
    <t>双排脚手架搭设、拆除</t>
  </si>
  <si>
    <t>型钢桩（吨）</t>
  </si>
  <si>
    <t>自动门</t>
  </si>
  <si>
    <t>机械挖松散土（装车）</t>
  </si>
  <si>
    <t>混凝土格构护坡</t>
  </si>
  <si>
    <t>钢板桩（吨）</t>
  </si>
  <si>
    <t>水泥砖240×110×50mm 块</t>
  </si>
  <si>
    <t>千块</t>
  </si>
  <si>
    <t>机械挖沟槽石方（不装车）</t>
  </si>
  <si>
    <t>喷射混凝土护坡  不挂网（厚5cm）</t>
  </si>
  <si>
    <t>钢箱梁顶推</t>
  </si>
  <si>
    <t xml:space="preserve"> 
普通水表  
DN150 法兰mm</t>
  </si>
  <si>
    <t>机械挖沟槽石方（装车）</t>
  </si>
  <si>
    <t>喷射混凝护坡    挂网（厚5cm）</t>
  </si>
  <si>
    <t>劲性钢柱</t>
  </si>
  <si>
    <t xml:space="preserve"> 
地下消火栓  
SA100/65-1.6</t>
  </si>
  <si>
    <t>石方爆破（专业分包）</t>
  </si>
  <si>
    <t>喷射混凝土护坡 不挂网 增减1cm</t>
  </si>
  <si>
    <t>桩低应变检测</t>
  </si>
  <si>
    <t xml:space="preserve"> 
橡胶补偿器  
DN32</t>
  </si>
  <si>
    <t>机械破碎石方（松石、次坚石）</t>
  </si>
  <si>
    <t>喷射混凝土护坡 挂网 增减1cm</t>
  </si>
  <si>
    <t>桩超声波检测</t>
  </si>
  <si>
    <t xml:space="preserve"> 
卧式直通除污器  
DN250</t>
  </si>
  <si>
    <t>机械破碎石方（普坚石/混凝土）</t>
  </si>
  <si>
    <t>浆砌块石格构护坡</t>
  </si>
  <si>
    <t>沥青麻丝油膏灌缝</t>
  </si>
  <si>
    <t>凝水缸</t>
  </si>
  <si>
    <t>机械破碎石方（特坚石/钢筋混凝土）</t>
  </si>
  <si>
    <t>满砌片石护坡</t>
  </si>
  <si>
    <t>真石漆</t>
  </si>
  <si>
    <t xml:space="preserve">碎石 16-31.5mm </t>
  </si>
  <si>
    <t>钩机、破碎机破石方</t>
  </si>
  <si>
    <t>浆砌片石马道</t>
  </si>
  <si>
    <t>植草</t>
  </si>
  <si>
    <t xml:space="preserve"> 
调压器</t>
  </si>
  <si>
    <t>挖桩间土</t>
  </si>
  <si>
    <t>灌缝施工</t>
  </si>
  <si>
    <t>预制钢筋混凝土板桩（立方米）</t>
  </si>
  <si>
    <t xml:space="preserve"> 
Y型过滤器 DN100 2.5MPa 个</t>
  </si>
  <si>
    <t>挖台阶</t>
  </si>
  <si>
    <t>填缝施工</t>
  </si>
  <si>
    <t>装配式预制混凝土外墙板</t>
  </si>
  <si>
    <t xml:space="preserve"> 
过滤分离器  
DN200 1.6MPa Q=360m³/h</t>
  </si>
  <si>
    <t>机械装运土方0.5km内</t>
  </si>
  <si>
    <t>道面（肩）改性聚硫填缝8*30mm</t>
  </si>
  <si>
    <t>交安工程</t>
  </si>
  <si>
    <t>普通硅酸盐水泥（散装）P.O 	
42.5R</t>
  </si>
  <si>
    <t>机械运输土方0.5km内</t>
  </si>
  <si>
    <t>道面（肩）改性聚硫填缝20*30mm</t>
  </si>
  <si>
    <t>照明工程</t>
  </si>
  <si>
    <t>预制混凝土井筒  
Φ1000</t>
  </si>
  <si>
    <t>土方每增运输500m</t>
  </si>
  <si>
    <t>标识标线施工</t>
  </si>
  <si>
    <t>旋挖桩成孔1500-1800综合</t>
  </si>
  <si>
    <t>m³</t>
  </si>
  <si>
    <t>生石灰</t>
  </si>
  <si>
    <t>机械装运淤泥0.5km内</t>
  </si>
  <si>
    <t>道面标线（水性普通型涂料）</t>
  </si>
  <si>
    <t>喷播草籽</t>
  </si>
  <si>
    <t xml:space="preserve"> 
混合砂  中粗砂</t>
  </si>
  <si>
    <t>机械运输淤泥0.5km内</t>
  </si>
  <si>
    <t>道面标线（反光型双组份涂料）</t>
  </si>
  <si>
    <t>1#桥照明</t>
  </si>
  <si>
    <t>伸缩缝  
伸缩量80mm</t>
  </si>
  <si>
    <t>淤泥每增运输500m</t>
  </si>
  <si>
    <t>清除标线（化学清除）</t>
  </si>
  <si>
    <t>1#桥防雷接地</t>
  </si>
  <si>
    <t>预应力钢筋</t>
  </si>
  <si>
    <t>机械装运草皮土0.5km内</t>
  </si>
  <si>
    <t>钢筋网围界</t>
  </si>
  <si>
    <t>1#桥景观控制系统</t>
  </si>
  <si>
    <t>预应力钢绞线 1×3-12.9</t>
  </si>
  <si>
    <t>机械运输草皮土0.5km内</t>
  </si>
  <si>
    <t>拆除钢筋网围界</t>
  </si>
  <si>
    <t>桥梁截水沟、排水沟</t>
  </si>
  <si>
    <t>钢格栅板  综合</t>
  </si>
  <si>
    <t>草皮土每增运输500m</t>
  </si>
  <si>
    <t>砖砌围界</t>
  </si>
  <si>
    <t>桥梁支架搭拆</t>
  </si>
  <si>
    <t>热轧光圆钢筋  Φ22</t>
  </si>
  <si>
    <t>机械装运软土0.5km内</t>
  </si>
  <si>
    <t>砖砌围界砂浆抹面</t>
  </si>
  <si>
    <t>桥梁支架预压</t>
  </si>
  <si>
    <t>重交通道路石油沥青  
AH-70</t>
  </si>
  <si>
    <t>机械运输软土0.5km内</t>
  </si>
  <si>
    <t>2#桥照明</t>
  </si>
  <si>
    <t>透水砖 200mm×100mm×60mm</t>
  </si>
  <si>
    <t>机械装运石方0.5km内</t>
  </si>
  <si>
    <t>围界刺圈安装</t>
  </si>
  <si>
    <t>2#桥防雷接地</t>
  </si>
  <si>
    <t>混凝土路缘石</t>
  </si>
  <si>
    <t>机械运输石方0.5km内</t>
  </si>
  <si>
    <t>围墙铁花栏杆安装</t>
  </si>
  <si>
    <t>2#桥景观控制系统</t>
  </si>
  <si>
    <t>水性普通型标线涂料</t>
  </si>
  <si>
    <t>石方运输每增运输500m</t>
  </si>
  <si>
    <t>围界大门安装</t>
  </si>
  <si>
    <t>主桥钢箱梁制运安</t>
  </si>
  <si>
    <t>混凝土预制盖板  
500×500×50mm</t>
  </si>
  <si>
    <t>1500KN.m级 点夯1遍</t>
  </si>
  <si>
    <t>m2/m3</t>
  </si>
  <si>
    <t>铺设土工布</t>
  </si>
  <si>
    <t>吊杆制安</t>
  </si>
  <si>
    <t>预制装配式混凝土箱涵
30000×2200×1717mm</t>
  </si>
  <si>
    <t>榀</t>
  </si>
  <si>
    <t>1500KN.m级 点夯1遍 每增
加一遍</t>
  </si>
  <si>
    <t>土工膜（两布一膜）铺设</t>
  </si>
  <si>
    <t>锚箱</t>
  </si>
  <si>
    <t>预制钢筋混凝土井盖Φ1000</t>
  </si>
  <si>
    <t>2000KN.m级 点夯1遍</t>
  </si>
  <si>
    <t>铺设土工格栅</t>
  </si>
  <si>
    <t>钢拱</t>
  </si>
  <si>
    <t>非泵送混凝土C45 P8 纤维</t>
  </si>
  <si>
    <t>2000KN.m级 点夯1遍 每增加一遍</t>
  </si>
  <si>
    <t>植草皮</t>
  </si>
  <si>
    <t>牛腿</t>
  </si>
  <si>
    <t>水玻璃</t>
  </si>
  <si>
    <t>3000KN.m 原地面</t>
  </si>
  <si>
    <t>混凝土浇筑</t>
  </si>
  <si>
    <t>主拱拱肋间桁杆</t>
  </si>
  <si>
    <t>声测管 D50*1.4</t>
  </si>
  <si>
    <t>3000KN.m级 点夯1遍</t>
  </si>
  <si>
    <t>水稳层施工配合</t>
  </si>
  <si>
    <t>车行道撞护栏</t>
  </si>
  <si>
    <t>道桥用聚氨酯防水涂料</t>
  </si>
  <si>
    <t>3000KN.m级 点夯1遍 每增加一遍</t>
  </si>
  <si>
    <t>安装室内排水管</t>
  </si>
  <si>
    <t>钢壳路缘石</t>
  </si>
  <si>
    <t>对拉螺栓塑料管 Φ14</t>
  </si>
  <si>
    <t>4000KN.m 原地面</t>
  </si>
  <si>
    <t>室外铺设管道</t>
  </si>
  <si>
    <t>人行道钢构</t>
  </si>
  <si>
    <t>汽车泵送费 60米以内</t>
  </si>
  <si>
    <t>5000KN.m级 点夯1遍</t>
  </si>
  <si>
    <t>贴墙地砖</t>
  </si>
  <si>
    <t>景观平台栏杆</t>
  </si>
  <si>
    <t>EVA/PE高分子防水卷材</t>
  </si>
  <si>
    <t>㎡</t>
  </si>
  <si>
    <t>5000KN.m级 点夯1遍 每增加一遍</t>
  </si>
  <si>
    <t>临时护栏搭设</t>
  </si>
  <si>
    <t>钢柱</t>
  </si>
  <si>
    <t>预制混凝土板（块）250×200×115mm</t>
  </si>
  <si>
    <t>6000KN.m级 点夯1遍</t>
  </si>
  <si>
    <t>临时护栏拆除</t>
  </si>
  <si>
    <t>钢楼梯</t>
  </si>
  <si>
    <t>干混砌筑砂浆 M5</t>
  </si>
  <si>
    <t>吨</t>
  </si>
  <si>
    <t>6000KN.m级 点夯1遍 每增加一遍</t>
  </si>
  <si>
    <t>人工挖砂</t>
  </si>
  <si>
    <t>隔声屏障</t>
  </si>
  <si>
    <t>水下C35混凝土</t>
  </si>
  <si>
    <t>800KN.m级 满夯1遍</t>
  </si>
  <si>
    <t>密目网覆盖、拆除</t>
  </si>
  <si>
    <t>喷涂型聚脲弹性涂料</t>
  </si>
  <si>
    <t>桩钢筋综合</t>
  </si>
  <si>
    <t>1200KN.m级 满夯1遍</t>
  </si>
  <si>
    <t>临时道路清扫</t>
  </si>
  <si>
    <t>钢支架安拆</t>
  </si>
  <si>
    <t>C35混凝土</t>
  </si>
  <si>
    <t>1500KN.m级 满夯1遍</t>
  </si>
  <si>
    <t>沥青基复合式封层</t>
  </si>
  <si>
    <t>浮箱安拆</t>
  </si>
  <si>
    <t>C50混凝土</t>
  </si>
  <si>
    <t>2000KN.m级 满夯1遍</t>
  </si>
  <si>
    <t>道面钢筋笼制安</t>
  </si>
  <si>
    <t>顶推</t>
  </si>
  <si>
    <t>As15.2钢绞线</t>
  </si>
  <si>
    <t>机械回填碾压</t>
  </si>
  <si>
    <t>人工挖沟槽</t>
  </si>
  <si>
    <t>主桥路灯基础</t>
  </si>
  <si>
    <t>波纹管D90</t>
  </si>
  <si>
    <t>土面区回填碾压</t>
  </si>
  <si>
    <t>人工精细平整</t>
  </si>
  <si>
    <t>横向限位挡块（预埋铁件）</t>
  </si>
  <si>
    <t>锚具M15-12</t>
  </si>
  <si>
    <t>道槽区回填碾压</t>
  </si>
  <si>
    <t>室外电缆敷设</t>
  </si>
  <si>
    <t>聚合物改性沥青PB(II)防水涂料</t>
  </si>
  <si>
    <t>C40混凝土</t>
  </si>
  <si>
    <t>原土碾压</t>
  </si>
  <si>
    <t>桥面泄水管安装钢管 φ299x6</t>
  </si>
  <si>
    <t>波纹管D70</t>
  </si>
  <si>
    <t>振冲密实桩</t>
  </si>
  <si>
    <t>中粗砂回填</t>
  </si>
  <si>
    <t>MMA防水涂料</t>
  </si>
  <si>
    <t>锚具M15-7</t>
  </si>
  <si>
    <t>砂砾石/碎石垫层</t>
  </si>
  <si>
    <t>地锚制安</t>
  </si>
  <si>
    <t>车行道组合式防撞护栏</t>
  </si>
  <si>
    <t>锚具M15-6</t>
  </si>
  <si>
    <t>回填石灰土（常规拌和）</t>
  </si>
  <si>
    <t>防护网</t>
  </si>
  <si>
    <t>金属栏杆-(氟碳漆)</t>
  </si>
  <si>
    <t>收口网</t>
  </si>
  <si>
    <t>回填石灰土（标准拌和）</t>
  </si>
  <si>
    <t>砼填充土溶洞</t>
  </si>
  <si>
    <t>箱梁制作</t>
  </si>
  <si>
    <t>Q235型钢</t>
  </si>
  <si>
    <t>回填水泥土</t>
  </si>
  <si>
    <t>土填充土溶洞</t>
  </si>
  <si>
    <t>C50钢纤维混凝土</t>
  </si>
  <si>
    <t>回填山皮石</t>
  </si>
  <si>
    <t>土体加固钻孔</t>
  </si>
  <si>
    <t>聚合物改性沥⻘PB(II)道桥专防水涂料</t>
  </si>
  <si>
    <t>土面区精平</t>
  </si>
  <si>
    <t>土溶洞钻孔</t>
  </si>
  <si>
    <t>彩色沥青混凝土</t>
  </si>
  <si>
    <t>道槽区精平</t>
  </si>
  <si>
    <t>土体注浆</t>
  </si>
  <si>
    <t>桥梁伸缩缝  -伸缩量160mm</t>
  </si>
  <si>
    <t>水泥土集中拌和</t>
  </si>
  <si>
    <t>防吹篱钢构安装</t>
  </si>
  <si>
    <t>A40拉杆</t>
  </si>
  <si>
    <t>基层料运输每增运500m</t>
  </si>
  <si>
    <t>防吹篱面板压型瓦矫正</t>
  </si>
  <si>
    <t>桥梁人行道伸缩缝</t>
  </si>
  <si>
    <t>水泥土自卸汽车运输</t>
  </si>
  <si>
    <t>防吹篱面板压型瓦安装</t>
  </si>
  <si>
    <t>A150PVC管</t>
  </si>
  <si>
    <t>混凝土运输每增运500m</t>
  </si>
  <si>
    <t>防水卷材铺设（平面）</t>
  </si>
  <si>
    <t>A150PVC管弯头</t>
  </si>
  <si>
    <t>混凝土集中拌和（砼搅拌站）</t>
  </si>
  <si>
    <t>防水卷材铺设（立面）</t>
  </si>
  <si>
    <t>A150PVC管直通</t>
  </si>
  <si>
    <t>DDC桩（桩径0.4m）</t>
  </si>
  <si>
    <t>细石混凝土保护层</t>
  </si>
  <si>
    <t>铸铁井盖(420×200×20mm)</t>
  </si>
  <si>
    <t>DDC桩（桩径0.5m）</t>
  </si>
  <si>
    <t>墙面及屋面保温板</t>
  </si>
  <si>
    <t>桥梁C25砼</t>
  </si>
  <si>
    <t>DDC桩（桩径0.6m）</t>
  </si>
  <si>
    <t>砼截水沟(底板+侧墙）</t>
  </si>
  <si>
    <t>PVC-100管</t>
  </si>
  <si>
    <t>DDC桩（桩径0.7m）</t>
  </si>
  <si>
    <t>砼挡土墙</t>
  </si>
  <si>
    <t>级配碎石</t>
  </si>
  <si>
    <t>DDC桩（桩径0.9m）</t>
  </si>
  <si>
    <t>砼片石挡土墙</t>
  </si>
  <si>
    <t>CF1.5轻质混凝土</t>
  </si>
  <si>
    <t>DDC桩（桩径1m）</t>
  </si>
  <si>
    <t>土钉制安（钢筋）</t>
  </si>
  <si>
    <t>CF0.6轻质混凝土</t>
  </si>
  <si>
    <t>DDC桩（桩径1.1m）</t>
  </si>
  <si>
    <t>砂浆锚杆（孔径110）</t>
  </si>
  <si>
    <t>防渗土工膜</t>
  </si>
  <si>
    <t>DDC桩（桩径1.2m）</t>
  </si>
  <si>
    <t>预应力锚杆（孔径150）</t>
  </si>
  <si>
    <t>镀锌钢丝网</t>
  </si>
  <si>
    <t>DDC桩（桩径1.3m）</t>
  </si>
  <si>
    <t>地下连续墙</t>
  </si>
  <si>
    <t>钢塑格栅</t>
  </si>
  <si>
    <t>DDC桩（桩径1.6m）</t>
  </si>
  <si>
    <t>砖砌检查井</t>
  </si>
  <si>
    <t>种植土</t>
  </si>
  <si>
    <t>DDC桩（桩径1.7m）</t>
  </si>
  <si>
    <t>雨水箅安装</t>
  </si>
  <si>
    <t>阀门</t>
  </si>
  <si>
    <t>DDC桩（桩径1.8m）</t>
  </si>
  <si>
    <t>预制井筒安装</t>
  </si>
  <si>
    <t>不锈钢整体法兰 DN40</t>
  </si>
  <si>
    <t>碎石桩（桩径0.5m）</t>
  </si>
  <si>
    <t>预制箱涵安装</t>
  </si>
  <si>
    <t>预制混凝土方桩</t>
  </si>
  <si>
    <t>碎石桩（桩径0.6m）</t>
  </si>
  <si>
    <t>植筋（综合）</t>
  </si>
  <si>
    <t>回填料</t>
  </si>
  <si>
    <t>人工砍伐乔木（胸径≦30cm）</t>
  </si>
  <si>
    <t>株</t>
  </si>
  <si>
    <t>钢筋笼</t>
  </si>
  <si>
    <t>石方爆破（明爆）</t>
  </si>
  <si>
    <t>人工挖树根（胸径≦30cm）</t>
  </si>
  <si>
    <t>盲堵板</t>
  </si>
  <si>
    <t>机械破碎石方</t>
  </si>
  <si>
    <t>人工砍挖单株灌木（冠幅≦100cm）</t>
  </si>
  <si>
    <t>刚套管</t>
  </si>
  <si>
    <t>机械挖桩间土</t>
  </si>
  <si>
    <t>人工砍挖散生竹</t>
  </si>
  <si>
    <t>砂垫层</t>
  </si>
  <si>
    <t>机械挖台阶</t>
  </si>
  <si>
    <t>回填方</t>
  </si>
  <si>
    <t>围界大门</t>
  </si>
  <si>
    <t>机械装运土方500m内</t>
  </si>
  <si>
    <t>人工拆除路沿石</t>
  </si>
  <si>
    <t>烧结普通砖 240*115*53mm</t>
  </si>
  <si>
    <t>机械运输土方500m内</t>
  </si>
  <si>
    <t>人工拆除碎砾石、碎砖基层</t>
  </si>
  <si>
    <t xml:space="preserve"> 
旋翼式水表 DN100</t>
  </si>
  <si>
    <t>机械运输土方每增运输500m</t>
  </si>
  <si>
    <t>管道拆除</t>
  </si>
  <si>
    <t>消火栓箱</t>
  </si>
  <si>
    <t>机械装运淤泥500m内</t>
  </si>
  <si>
    <t>混凝土道面钻孔</t>
  </si>
  <si>
    <t>只</t>
  </si>
  <si>
    <t>橡胶补偿器 DN40</t>
  </si>
  <si>
    <t>机械运输淤泥500m内</t>
  </si>
  <si>
    <t>镀锌钢管铺设安装</t>
  </si>
  <si>
    <t>卧式直通除污器</t>
  </si>
  <si>
    <t>机械运输淤泥每增运输500m</t>
  </si>
  <si>
    <t>管道基础混凝土浇筑</t>
  </si>
  <si>
    <t>碎石桩填充碎石</t>
  </si>
  <si>
    <t>机械装运草皮土500m内</t>
  </si>
  <si>
    <t>柔性接口机制排水铸铁管 DN100</t>
  </si>
  <si>
    <t>调压器</t>
  </si>
  <si>
    <t>机械运输草皮土500m内</t>
  </si>
  <si>
    <t>HDPE双壁波纹管 DN300</t>
  </si>
  <si>
    <t>过滤器</t>
  </si>
  <si>
    <t>机械运输草皮土每增运输500m</t>
  </si>
  <si>
    <t>304不锈钢直埋保温管（埋地安装）DN150</t>
  </si>
  <si>
    <t>分离器</t>
  </si>
  <si>
    <t>机械装运软土500m内</t>
  </si>
  <si>
    <t>混凝土管道铺设安装（承插接口）</t>
  </si>
  <si>
    <t>CFG桩混凝土</t>
  </si>
  <si>
    <t>机械运输软土500m内</t>
  </si>
  <si>
    <t>PVC-U管道铺设安装</t>
  </si>
  <si>
    <t>安全水封</t>
  </si>
  <si>
    <t>机械运输软土每增运输500m</t>
  </si>
  <si>
    <t>新旧管连接</t>
  </si>
  <si>
    <t>检漏管</t>
  </si>
  <si>
    <t>机械装运石方500m内</t>
  </si>
  <si>
    <t>X射线探伤</t>
  </si>
  <si>
    <t>预制井筒</t>
  </si>
  <si>
    <t>机械运输石方500m内</t>
  </si>
  <si>
    <t>钢管刷油漆（米）</t>
  </si>
  <si>
    <t>机制砂 中粗砂 吨</t>
  </si>
  <si>
    <t>机械运输石方每增运输500m</t>
  </si>
  <si>
    <t>管道除锈</t>
  </si>
  <si>
    <t>桥梁伸缩缝</t>
  </si>
  <si>
    <t>机械土石方强夯1500KN.m级 点夯1遍</t>
  </si>
  <si>
    <t>导爆索</t>
  </si>
  <si>
    <t>机械土石方强夯1500KN.m级 点夯1遍 每增
加一遍</t>
  </si>
  <si>
    <t>一般钢结构除锈（除锈方式综合)</t>
  </si>
  <si>
    <t>预应力钢绞线</t>
  </si>
  <si>
    <t>机械土石方强夯2000KN.m级 点夯1遍</t>
  </si>
  <si>
    <t>管道防腐</t>
  </si>
  <si>
    <t>钢格栅</t>
  </si>
  <si>
    <t>机械土石方强夯2000KN.m级 点夯1遍 每增加一遍</t>
  </si>
  <si>
    <t>法兰阀门安装</t>
  </si>
  <si>
    <t xml:space="preserve"> 
个</t>
  </si>
  <si>
    <t>机械土石方强夯3000KN.m 原地面</t>
  </si>
  <si>
    <t>刚性套管安装</t>
  </si>
  <si>
    <t>C35水下混凝土</t>
  </si>
  <si>
    <t>机械土石方强夯3000KN.m级 点夯1遍</t>
  </si>
  <si>
    <t>水表 DN50</t>
  </si>
  <si>
    <t>钢筋HRB400E 直径φ16-25</t>
  </si>
  <si>
    <t>机械土石方强夯3000KN.m级 点夯1遍 每增加一遍</t>
  </si>
  <si>
    <t>室外消火栓安装</t>
  </si>
  <si>
    <t>AC-20改性</t>
  </si>
  <si>
    <t>机械土石方强夯4000KN.m 原地面</t>
  </si>
  <si>
    <t>波纹补偿器 DN100</t>
  </si>
  <si>
    <t>阳离子乳化沥青（PC-3）</t>
  </si>
  <si>
    <t>机械土石方强夯4000KN.m级 点夯1遍</t>
  </si>
  <si>
    <t>除污器(过滤器) DN≤350mm</t>
  </si>
  <si>
    <t>四氟板式橡胶支座 GBZYH 500*112</t>
  </si>
  <si>
    <t>机械土石方强夯4000KN.m级 点夯1遍 每增加一遍</t>
  </si>
  <si>
    <t>Y型过滤器 DN100</t>
  </si>
  <si>
    <t>四氟板式橡胶支座 GBZY 500*110</t>
  </si>
  <si>
    <t>机械土石方强夯5000KN.m级 点夯1遍</t>
  </si>
  <si>
    <t>砌砖支墩</t>
  </si>
  <si>
    <t>橡胶垫块 180*180*50mm</t>
  </si>
  <si>
    <t>机械土石方强夯5000KN.m级 点夯1遍 每增加一遍</t>
  </si>
  <si>
    <t>预制混凝土支架</t>
  </si>
  <si>
    <t>橡胶垫块 220*220*20mm</t>
  </si>
  <si>
    <t>机械土石方强夯6000KN.m级 点夯1遍</t>
  </si>
  <si>
    <t>支架制作 安装</t>
  </si>
  <si>
    <t>橡胶垫块 300*300*20mm</t>
  </si>
  <si>
    <t>机械土石方强夯6000KN.m级 点夯1遍 每增加一遍</t>
  </si>
  <si>
    <t>金属吊架制作安装</t>
  </si>
  <si>
    <t>桥梁伸缩缝 80型</t>
  </si>
  <si>
    <t>机械土石方强夯800KN.m级 满夯1遍</t>
  </si>
  <si>
    <t>预制混凝土井盖板安装</t>
  </si>
  <si>
    <t>人行道伸缩缝</t>
  </si>
  <si>
    <t>机械土石方强夯1000KN.m级 满夯1遍</t>
  </si>
  <si>
    <t>检查井井筒安装（米）</t>
  </si>
  <si>
    <t>三防球墨铸铁雨水篦子450*750</t>
  </si>
  <si>
    <t>机械土石方强夯1200KN.m级 满夯1遍</t>
  </si>
  <si>
    <t>垫层模板</t>
  </si>
  <si>
    <t>土工格栅</t>
  </si>
  <si>
    <t>机械土石方强夯1500KN.m级 满夯1遍</t>
  </si>
  <si>
    <t>喷射混凝土（素喷）</t>
  </si>
  <si>
    <t>碎石5mm-30mm</t>
  </si>
  <si>
    <t>机械土石方强夯2000KN.m级 满夯1遍</t>
  </si>
  <si>
    <t>钢支撑</t>
  </si>
  <si>
    <t>商品混凝土 C25</t>
  </si>
  <si>
    <t>机械土面区回填碾压</t>
  </si>
  <si>
    <t>沥青混合料摊铺配合工费</t>
  </si>
  <si>
    <t>连砂石</t>
  </si>
  <si>
    <t>机械道槽区回填碾压</t>
  </si>
  <si>
    <t>设备接地扁钢制作安装</t>
  </si>
  <si>
    <t>波纹管D75</t>
  </si>
  <si>
    <t>机械原土碾压</t>
  </si>
  <si>
    <t>道面混凝土（人工配合）</t>
  </si>
  <si>
    <t xml:space="preserve">支座 HDR(I)-d1170x413-G1.0 </t>
  </si>
  <si>
    <t>机械冲击碾压</t>
  </si>
  <si>
    <t>混凝土片石挡土墙</t>
  </si>
  <si>
    <t>支座 LNR(H)-d670x188-e150</t>
  </si>
  <si>
    <t>机械振冲密实桩</t>
  </si>
  <si>
    <t>安砌路沿石</t>
  </si>
  <si>
    <t>支座 LNR(H)-d770×221-e150</t>
  </si>
  <si>
    <t>机械砂砾石/碎石垫层</t>
  </si>
  <si>
    <t>桥梁板式橡胶支座安装</t>
  </si>
  <si>
    <t>橡胶垫块 100*750*20mm</t>
  </si>
  <si>
    <t>机械回填石灰土（常规拌和）</t>
  </si>
  <si>
    <t>桥面泄水管安装</t>
  </si>
  <si>
    <t>橡胶垫块 100*500*20mm</t>
  </si>
  <si>
    <t>机械回填石灰土（标准拌和）</t>
  </si>
  <si>
    <t>桩钢筋笼制安</t>
  </si>
  <si>
    <t>桥梁伸缩缝 160型</t>
  </si>
  <si>
    <t>机械回填水泥土</t>
  </si>
  <si>
    <t>箱梁制安</t>
  </si>
  <si>
    <t>干混地面砂浆 M20</t>
  </si>
  <si>
    <t>机械回填山皮石</t>
  </si>
  <si>
    <t>人工安装桥梁伸缩缝</t>
  </si>
  <si>
    <t>片(块)石</t>
  </si>
  <si>
    <t>机械土面区精平</t>
  </si>
  <si>
    <t>桥梁人行道伸缩缝安装</t>
  </si>
  <si>
    <t>碎石 20～60mm</t>
  </si>
  <si>
    <t>机械道槽区精平</t>
  </si>
  <si>
    <t>型钢制安</t>
  </si>
  <si>
    <t>碎石 20～40mm</t>
  </si>
  <si>
    <t>机械DDC桩Φ400</t>
  </si>
  <si>
    <t>截桩头直径小于1000米</t>
  </si>
  <si>
    <t>碎石 5～20mm</t>
  </si>
  <si>
    <t>机械DDC桩Φ500</t>
  </si>
  <si>
    <t>钢绞线张拉</t>
  </si>
  <si>
    <t>4%水泥稳定碎石基层（商品水稳）</t>
  </si>
  <si>
    <t>机械DDC桩Φ600</t>
  </si>
  <si>
    <t>截桩头直径大于1000</t>
  </si>
  <si>
    <t>5%水泥稳定碎石基层（商品水稳）</t>
  </si>
  <si>
    <t>机械DDC桩Φ700</t>
  </si>
  <si>
    <t>桥面混凝土铺装</t>
  </si>
  <si>
    <t>乳化石油沥青（PC-3）</t>
  </si>
  <si>
    <t>机械DDC桩Φ800</t>
  </si>
  <si>
    <t>抗裂贴铺设</t>
  </si>
  <si>
    <t>阳离子乳化沥青（PC-2）</t>
  </si>
  <si>
    <t>机械DDC桩Φ900</t>
  </si>
  <si>
    <t>φ1250圆形混凝土检查井（20S515，页29）</t>
  </si>
  <si>
    <t>抗裂贴</t>
  </si>
  <si>
    <t>机械DDC桩Φ1000</t>
  </si>
  <si>
    <t>2100*1000跌水井（20S515，页259）</t>
  </si>
  <si>
    <t>芝麻灰花岗石路缘石光面 20×30×60(cm)</t>
  </si>
  <si>
    <t>机械DDC桩Φ1100</t>
  </si>
  <si>
    <t>2200*1000跌水井（20S515，页254）</t>
  </si>
  <si>
    <t>干混地面砂浆 M10</t>
  </si>
  <si>
    <t>机械DDC桩Φ1200</t>
  </si>
  <si>
    <t>φ1000圆型砖砌检查井（20S515，页23）</t>
  </si>
  <si>
    <t>商品混凝土 C15</t>
  </si>
  <si>
    <t>机械DDC桩Φ1300</t>
  </si>
  <si>
    <t>钢筋混凝土管安装DN300</t>
  </si>
  <si>
    <t>复合土工膜 1.0mm</t>
  </si>
  <si>
    <t>机械DDC桩Φ1400</t>
  </si>
  <si>
    <t>钢筋混凝土管安装DN500</t>
  </si>
  <si>
    <t>露骨料透水混凝土</t>
  </si>
  <si>
    <t>机械DDC桩Φ1500</t>
  </si>
  <si>
    <t>钢筋混凝土管安装DN600</t>
  </si>
  <si>
    <t>芝麻白花岗石荔枝面</t>
  </si>
  <si>
    <t>机械DDC桩Φ1600</t>
  </si>
  <si>
    <t>检查井安装检查井2200×1100、八字排水口D=1200</t>
  </si>
  <si>
    <t>芝麻白花岗石盲道砖</t>
  </si>
  <si>
    <t>机械DDC桩Φ1700</t>
  </si>
  <si>
    <t>砌筑工程</t>
  </si>
  <si>
    <t>钢筋混凝土管 承插式II级钢筋混凝土管，d600</t>
  </si>
  <si>
    <t>机械DDC桩Φ1800</t>
  </si>
  <si>
    <t>抹灰</t>
  </si>
  <si>
    <t>Ⅱ级钢筋混凝土管 DN300</t>
  </si>
  <si>
    <t>机械碎石桩Φ500</t>
  </si>
  <si>
    <t>地面铺装</t>
  </si>
  <si>
    <t>商品混凝土 C30 P6</t>
  </si>
  <si>
    <t>机械碎石桩Φ600</t>
  </si>
  <si>
    <t>人工铺筑露骨料透水混凝土面层</t>
  </si>
  <si>
    <t>钢筋HRB400E直径φ12-14</t>
  </si>
  <si>
    <t>机械CFG桩Φ350</t>
  </si>
  <si>
    <t>人工砌安双篦偏沟式雨水口</t>
  </si>
  <si>
    <t>预制混凝土井筒 φ700</t>
  </si>
  <si>
    <t>机械CFG桩Φ400</t>
  </si>
  <si>
    <t>盖梁模板制作安装</t>
  </si>
  <si>
    <t>球墨铸铁五防井盖井座（承载力D400）φ700</t>
  </si>
  <si>
    <t>机械CFG桩Φ500</t>
  </si>
  <si>
    <t>C30预制人行道板安装</t>
  </si>
  <si>
    <t>商品混凝土 C20</t>
  </si>
  <si>
    <t>机械CFG桩Φ600</t>
  </si>
  <si>
    <t>C30预制人行道地伏安装</t>
  </si>
  <si>
    <t>混凝土预制块</t>
  </si>
  <si>
    <t>机械高压旋喷桩单管法</t>
  </si>
  <si>
    <t>人工装码沙袋</t>
  </si>
  <si>
    <t>铸铁井篦 750*450</t>
  </si>
  <si>
    <t>机械高压旋喷桩二重管法</t>
  </si>
  <si>
    <t>橡胶垫块（综合）</t>
  </si>
  <si>
    <t>Ⅱ级钢筋混凝土管 DN400</t>
  </si>
  <si>
    <t>机械高压旋喷桩三重管法</t>
  </si>
  <si>
    <t>混凝土预制块砌筑截排水沟</t>
  </si>
  <si>
    <t>标砖</t>
  </si>
  <si>
    <t>机械三轴搅拌桩Φ650</t>
  </si>
  <si>
    <t>箱梁安装（人工配合）</t>
  </si>
  <si>
    <t>干混砌筑砂浆 M7.5</t>
  </si>
  <si>
    <t>机械三轴搅拌桩Φ850</t>
  </si>
  <si>
    <t>波纹管DN75安装</t>
  </si>
  <si>
    <t>声测管无缝钢管 D53*1.5</t>
  </si>
  <si>
    <t>机械泥浆护壁成孔灌注桩Φ800</t>
  </si>
  <si>
    <t>波纹管DN90安装</t>
  </si>
  <si>
    <t>锚具M15-14</t>
  </si>
  <si>
    <t>机械泥浆护壁成孔灌注桩Φ900</t>
  </si>
  <si>
    <t>浆砌挡土墙</t>
  </si>
  <si>
    <t>锚具M15-15</t>
  </si>
  <si>
    <t>机械泥浆护壁成孔灌注桩Φ1000</t>
  </si>
  <si>
    <t>砖砌构筑物</t>
  </si>
  <si>
    <t>铸铁管 Φ150</t>
  </si>
  <si>
    <t>机械泥浆护壁成孔灌注桩Φ1100</t>
  </si>
  <si>
    <t>钢筋网片安装</t>
  </si>
  <si>
    <t>防盗型球墨铸铁井篦 600*250*20</t>
  </si>
  <si>
    <t>机械泥浆护壁成孔灌注桩Φ1200</t>
  </si>
  <si>
    <t>道面钢筋制安（综合）</t>
  </si>
  <si>
    <t>波纹管 φ110</t>
  </si>
  <si>
    <t>机械打设塑料排水板</t>
  </si>
  <si>
    <t>水稳层施工</t>
  </si>
  <si>
    <t>支座 HDR(I)-d970x344-G1.0</t>
  </si>
  <si>
    <t>机械长螺旋钻机成孔砂袋井</t>
  </si>
  <si>
    <t>混凝土截水沟(底板+侧墙）</t>
  </si>
  <si>
    <t>支座 LNR(H)-d820×230-e150</t>
  </si>
  <si>
    <t>机械外弃料推平</t>
  </si>
  <si>
    <t>混凝土挡土墙</t>
  </si>
  <si>
    <t>梳齿板式伸缩缝 240型</t>
  </si>
  <si>
    <t>机械回填料推平</t>
  </si>
  <si>
    <t>干混抹灰砂浆 M15</t>
  </si>
  <si>
    <t>机械夯坑推平碾压</t>
  </si>
  <si>
    <t>桥梁盆式支座安装</t>
  </si>
  <si>
    <t>非泵送混凝土 C20</t>
  </si>
  <si>
    <t>机械DDC桩</t>
  </si>
  <si>
    <t>人工运土（石）方</t>
  </si>
  <si>
    <t>麻袋</t>
  </si>
  <si>
    <t>机械碎石桩</t>
  </si>
  <si>
    <t>锚杆（米）</t>
  </si>
  <si>
    <t>拉森钢板桩（租赁）</t>
  </si>
  <si>
    <t>机械CFG桩</t>
  </si>
  <si>
    <t>废弃管道灌浆</t>
  </si>
  <si>
    <t>桥梁支撑架（租赁）</t>
  </si>
  <si>
    <t>机械高压旋喷桩</t>
  </si>
  <si>
    <t>混凝土表面凿毛</t>
  </si>
  <si>
    <t>桥梁支撑架一次性摊销</t>
  </si>
  <si>
    <t>机械三轴搅拌桩</t>
  </si>
  <si>
    <t>花瓶墩定制钢模</t>
  </si>
  <si>
    <t>机械泥浆护壁成孔灌注桩</t>
  </si>
  <si>
    <t>机械道面硅烷浸渍</t>
  </si>
  <si>
    <t>沥青混合料集中搅拌</t>
  </si>
  <si>
    <t>沥青混凝土运输 1000m内</t>
  </si>
  <si>
    <t>沥青混凝土运输 每增加1000m</t>
  </si>
  <si>
    <t>沥青混凝土中、下面层摊铺</t>
  </si>
  <si>
    <t>沥青混凝土上面层摊铺</t>
  </si>
  <si>
    <t>沥青混凝土面层摊铺碾压</t>
  </si>
  <si>
    <t>沥青混凝土中、下面层碾压</t>
  </si>
  <si>
    <t>沥青混凝土上面层碾压</t>
  </si>
  <si>
    <t>沥青同步碎石封层</t>
  </si>
  <si>
    <t>智能沥青洒布车</t>
  </si>
  <si>
    <t>沥青稀浆封层</t>
  </si>
  <si>
    <t>导杆式柴油打桩机 锤质量1.2t以内</t>
  </si>
  <si>
    <t>箱梁吊装</t>
  </si>
  <si>
    <t>箱梁运输</t>
  </si>
  <si>
    <t>基层料自卸汽车运输500m内</t>
  </si>
  <si>
    <t>混凝土自卸汽车运输500m内</t>
  </si>
  <si>
    <t>汽车起重机5t</t>
  </si>
  <si>
    <t>载货汽车  
车长14m</t>
  </si>
  <si>
    <t>辆</t>
  </si>
  <si>
    <t>履带式铣刨机 铣刨宽度1000mm</t>
  </si>
  <si>
    <t>扫地车</t>
  </si>
  <si>
    <t>灰浆拌合机</t>
  </si>
  <si>
    <t>机械碎石土拌合回填</t>
  </si>
  <si>
    <t>锚杆成孔(70)</t>
  </si>
  <si>
    <t>网喷</t>
  </si>
  <si>
    <t>挖运土石方（1000米）</t>
  </si>
  <si>
    <t>挖运土方（15000米）</t>
  </si>
  <si>
    <t>切缝</t>
  </si>
  <si>
    <t>机械拆除沥青面层基层</t>
  </si>
  <si>
    <t>机械装运建渣（土石方）15000米</t>
  </si>
  <si>
    <t>路床碾压整型</t>
  </si>
  <si>
    <t>碎石摊铺碾压</t>
  </si>
  <si>
    <t>水稳摊铺碾压</t>
  </si>
  <si>
    <t>机械运输土方（15000米）</t>
  </si>
  <si>
    <t>机械运输石方（15000米）</t>
  </si>
  <si>
    <t>机械运输软土（15000米）</t>
  </si>
  <si>
    <t>弃土费</t>
  </si>
  <si>
    <t>钢护筒埋设</t>
  </si>
  <si>
    <t>声测管埋设</t>
  </si>
  <si>
    <t>机械运土（5000米）</t>
  </si>
  <si>
    <t>机械打钢板桩</t>
  </si>
  <si>
    <t>DDC桩（桩径0.8m）</t>
  </si>
  <si>
    <t>DDC桩（桩径1.4m）</t>
  </si>
  <si>
    <t>DDC桩（桩径1.5m）</t>
  </si>
  <si>
    <t>CFG桩（桩径0.35m）</t>
  </si>
  <si>
    <t>CFG桩（桩径0.4m）</t>
  </si>
  <si>
    <t>CFG桩（桩径0.5m）</t>
  </si>
  <si>
    <t>CFG桩（桩径0.6m）</t>
  </si>
  <si>
    <t>高压旋喷桩单管法</t>
  </si>
  <si>
    <t>高压旋喷桩二重管法</t>
  </si>
  <si>
    <t>高压旋喷桩三重管法</t>
  </si>
  <si>
    <t>三轴搅拌桩（桩径0.65m)</t>
  </si>
  <si>
    <t>三轴搅拌桩（桩径0.85m)</t>
  </si>
  <si>
    <t>泥浆护壁成孔灌注桩（桩径0.8m)</t>
  </si>
  <si>
    <t>泥浆护壁成孔灌注桩（桩径0.9m)</t>
  </si>
  <si>
    <t>泥浆护壁成孔灌注桩（桩径1m)</t>
  </si>
  <si>
    <t>泥浆护壁成孔灌注桩（桩径1.1m)</t>
  </si>
  <si>
    <t>泥浆护壁成孔灌注桩（桩径1.2m)</t>
  </si>
  <si>
    <t>打设塑料排水板</t>
  </si>
  <si>
    <t>长螺旋钻机成孔砂袋井</t>
  </si>
  <si>
    <t>外弃料推平</t>
  </si>
  <si>
    <t>回填料推平</t>
  </si>
  <si>
    <t>夯坑推平碾压</t>
  </si>
  <si>
    <t>DDC桩</t>
  </si>
  <si>
    <t>碎石桩</t>
  </si>
  <si>
    <t>CFG桩</t>
  </si>
  <si>
    <t>高压旋喷桩</t>
  </si>
  <si>
    <t>三轴搅拌桩</t>
  </si>
  <si>
    <t>泥浆护壁成孔灌注桩</t>
  </si>
  <si>
    <t>道面硅烷浸渍</t>
  </si>
  <si>
    <t>沥青复合基封层</t>
  </si>
  <si>
    <t>吊车</t>
  </si>
  <si>
    <t>台班/月</t>
  </si>
  <si>
    <t>工程项目成本预算表</t>
  </si>
  <si>
    <t xml:space="preserve">                                                             预算01表</t>
  </si>
  <si>
    <t>单位：元</t>
  </si>
  <si>
    <t>序号</t>
  </si>
  <si>
    <t>项目名称</t>
  </si>
  <si>
    <t>投标预算收入</t>
  </si>
  <si>
    <t>复核收入总价</t>
  </si>
  <si>
    <t>预算支出总价</t>
  </si>
  <si>
    <t>降低额总价</t>
  </si>
  <si>
    <t>降低率%</t>
  </si>
  <si>
    <t>增值税进项税额</t>
  </si>
  <si>
    <t>备注</t>
  </si>
  <si>
    <t>请在本行以下添加或删除数据</t>
  </si>
  <si>
    <t>R</t>
  </si>
  <si>
    <t>分部分项</t>
  </si>
  <si>
    <t>成本数据来自03表</t>
  </si>
  <si>
    <t>R01</t>
  </si>
  <si>
    <t>C</t>
  </si>
  <si>
    <t>措施费（其他直接费）</t>
  </si>
  <si>
    <t>成本数据来自07表</t>
  </si>
  <si>
    <t>C01</t>
  </si>
  <si>
    <t>绿色施工安全防护措施费</t>
  </si>
  <si>
    <t>C02</t>
  </si>
  <si>
    <t>其他措施费</t>
  </si>
  <si>
    <t>C04</t>
  </si>
  <si>
    <t>工程优质费</t>
  </si>
  <si>
    <t>Q</t>
  </si>
  <si>
    <t>期间费用（间接费）</t>
  </si>
  <si>
    <t>成本数据来自08表</t>
  </si>
  <si>
    <t>Q01</t>
  </si>
  <si>
    <t>预算包干费</t>
  </si>
  <si>
    <t>请在本行以上添加或删除数据</t>
  </si>
  <si>
    <t>汇总</t>
  </si>
  <si>
    <t>合计</t>
  </si>
  <si>
    <t>暂列金</t>
  </si>
  <si>
    <t>增值税销项税额</t>
  </si>
  <si>
    <t>增值税税负</t>
  </si>
  <si>
    <t>总计</t>
  </si>
  <si>
    <t xml:space="preserve">                                                              工程项目分项对比分析表</t>
  </si>
  <si>
    <t>编码</t>
  </si>
  <si>
    <t>工程部位</t>
  </si>
  <si>
    <t>费用类别</t>
  </si>
  <si>
    <t>清单项目名称</t>
  </si>
  <si>
    <t>项目特征</t>
  </si>
  <si>
    <t>投标数量</t>
  </si>
  <si>
    <t>投标单价(不含税)</t>
  </si>
  <si>
    <t>投标总价</t>
  </si>
  <si>
    <t>图纸复核数量</t>
  </si>
  <si>
    <t>复核单价</t>
  </si>
  <si>
    <t>复核总价</t>
  </si>
  <si>
    <t>成本数量</t>
  </si>
  <si>
    <t>成本单价</t>
  </si>
  <si>
    <t>成本合价</t>
  </si>
  <si>
    <t>请在本栏以下输入内容</t>
  </si>
  <si>
    <t>A01</t>
  </si>
  <si>
    <t>单项</t>
  </si>
  <si>
    <t>A01001</t>
  </si>
  <si>
    <t>1#桥梁</t>
  </si>
  <si>
    <t>A01001001</t>
  </si>
  <si>
    <t>分项</t>
  </si>
  <si>
    <t>C35现浇商品砼承台</t>
  </si>
  <si>
    <t>A01001001001</t>
  </si>
  <si>
    <t>A01001001002</t>
  </si>
  <si>
    <t>A01001001003</t>
  </si>
  <si>
    <t>A01001001004</t>
  </si>
  <si>
    <t>A01001001005</t>
  </si>
  <si>
    <t>A01001002</t>
  </si>
  <si>
    <t>C35现浇商品砼墩身</t>
  </si>
  <si>
    <t>A01001002001</t>
  </si>
  <si>
    <t>A01001002002</t>
  </si>
  <si>
    <t>圆柱</t>
  </si>
  <si>
    <t>A01001002003</t>
  </si>
  <si>
    <t>A01001002004</t>
  </si>
  <si>
    <t>A01001002005</t>
  </si>
  <si>
    <t>A01001003</t>
  </si>
  <si>
    <t>C50现浇商品砼墩身</t>
  </si>
  <si>
    <t>A01001003001</t>
  </si>
  <si>
    <t>A01001003002</t>
  </si>
  <si>
    <t>异型模板</t>
  </si>
  <si>
    <t>A01001003003</t>
  </si>
  <si>
    <t>A01001003004</t>
  </si>
  <si>
    <t>A01001003005</t>
  </si>
  <si>
    <t>A01002</t>
  </si>
  <si>
    <t>2#桥</t>
  </si>
  <si>
    <t>A01002001</t>
  </si>
  <si>
    <t>C35现浇商品砼系梁</t>
  </si>
  <si>
    <t>A01002001001</t>
  </si>
  <si>
    <t>A01002001002</t>
  </si>
  <si>
    <t>A01002001003</t>
  </si>
  <si>
    <t>A01002001004</t>
  </si>
  <si>
    <t>A01002001005</t>
  </si>
  <si>
    <t>A01002002</t>
  </si>
  <si>
    <t>C35现浇商品砼盖梁C50现浇商品砼盖梁</t>
  </si>
  <si>
    <t>A01002002001</t>
  </si>
  <si>
    <t>A01002002002</t>
  </si>
  <si>
    <t>A01002002003</t>
  </si>
  <si>
    <t>A01002002004</t>
  </si>
  <si>
    <t>A01002002005</t>
  </si>
  <si>
    <t>A01002003</t>
  </si>
  <si>
    <t>C35现浇商品砼桥台、耳背墙</t>
  </si>
  <si>
    <t>A01002003001</t>
  </si>
  <si>
    <t>A01002003002</t>
  </si>
  <si>
    <t>含支架搭拆、材料费</t>
  </si>
  <si>
    <t>A01002003003</t>
  </si>
  <si>
    <t>A01002003004</t>
  </si>
  <si>
    <t>A01002003005</t>
  </si>
  <si>
    <t>A01002004</t>
  </si>
  <si>
    <t>C50现浇商品砼挡块</t>
  </si>
  <si>
    <t>A01002004001</t>
  </si>
  <si>
    <t>A01002004002</t>
  </si>
  <si>
    <t>A01002004003</t>
  </si>
  <si>
    <t>A01002004004</t>
  </si>
  <si>
    <t>A01002004005</t>
  </si>
  <si>
    <t>A01002005</t>
  </si>
  <si>
    <t>灌注桩</t>
  </si>
  <si>
    <t>包括成孔、固壁、钢筋、混凝土、桩尖、截桩、场地清理等全部工程内容</t>
  </si>
  <si>
    <t>A01002005001</t>
  </si>
  <si>
    <t>A01002005002</t>
  </si>
  <si>
    <t>A01002005003</t>
  </si>
  <si>
    <t>A01002005004</t>
  </si>
  <si>
    <t>A01002005005</t>
  </si>
  <si>
    <t>A01002005006</t>
  </si>
  <si>
    <t>A01002005007</t>
  </si>
  <si>
    <t>A01002005008</t>
  </si>
  <si>
    <t>A01002005009</t>
  </si>
  <si>
    <t>余土外弃</t>
  </si>
  <si>
    <t>A01002005010</t>
  </si>
  <si>
    <t>A02</t>
  </si>
  <si>
    <t>措施费</t>
  </si>
  <si>
    <t>包括环境保护费、安全施工费、文明施工费、临时设施费等全部工程内容</t>
  </si>
  <si>
    <t>A02001</t>
  </si>
  <si>
    <t>总价措施</t>
  </si>
  <si>
    <t>A02001001</t>
  </si>
  <si>
    <t>安全文明施工费</t>
  </si>
  <si>
    <t>A02002</t>
  </si>
  <si>
    <t>单价措施</t>
  </si>
  <si>
    <t>发承包人认为需要单列的措施项目</t>
  </si>
  <si>
    <t>A03</t>
  </si>
  <si>
    <t>其他项目费</t>
  </si>
  <si>
    <t>A03001</t>
  </si>
  <si>
    <t>A03002</t>
  </si>
  <si>
    <t>暂估价</t>
  </si>
  <si>
    <t>A04</t>
  </si>
  <si>
    <t>规费</t>
  </si>
  <si>
    <t>A05</t>
  </si>
  <si>
    <t>人工费预算表</t>
  </si>
  <si>
    <t>预算07表</t>
  </si>
  <si>
    <t>&lt;&lt;&lt;&lt;增值税率</t>
  </si>
  <si>
    <t>成本预算项目名称</t>
  </si>
  <si>
    <t>复核收入数量</t>
  </si>
  <si>
    <t>复核收入单价</t>
  </si>
  <si>
    <t>预算支出数量</t>
  </si>
  <si>
    <t>预算支出单价</t>
  </si>
  <si>
    <t>降低额数量</t>
  </si>
  <si>
    <t>降低额单价</t>
  </si>
  <si>
    <t>B01</t>
  </si>
  <si>
    <t>人工费</t>
  </si>
  <si>
    <t>材料费预算表</t>
  </si>
  <si>
    <t>材料费</t>
  </si>
  <si>
    <t>C01001</t>
  </si>
  <si>
    <t>C01001001</t>
  </si>
  <si>
    <t>C01001002</t>
  </si>
  <si>
    <t>C01001003</t>
  </si>
  <si>
    <t>C01001004</t>
  </si>
  <si>
    <t>C01002</t>
  </si>
  <si>
    <t>C01002001</t>
  </si>
  <si>
    <t>C01002002</t>
  </si>
  <si>
    <t>C01002003</t>
  </si>
  <si>
    <t>C01002004</t>
  </si>
  <si>
    <t>C01002005</t>
  </si>
  <si>
    <t>C01002006</t>
  </si>
  <si>
    <t>机械费预算表</t>
  </si>
  <si>
    <t>D01</t>
  </si>
  <si>
    <t>机械费</t>
  </si>
  <si>
    <t>D01001</t>
  </si>
  <si>
    <t>D01002</t>
  </si>
  <si>
    <t>D01002001</t>
  </si>
  <si>
    <t>D01002002</t>
  </si>
  <si>
    <t>分包费用预算表</t>
  </si>
  <si>
    <t>E01</t>
  </si>
  <si>
    <t>分包费</t>
  </si>
  <si>
    <t>措施费预算表</t>
  </si>
  <si>
    <t>F01</t>
  </si>
  <si>
    <t>安全生产费</t>
  </si>
  <si>
    <t>F01001</t>
  </si>
  <si>
    <t>楼板、屋面、阳台等临边防护设施安拆费（含材料费、人工费）</t>
  </si>
  <si>
    <t>洞口、临边安全防护支出</t>
  </si>
  <si>
    <t>F01002</t>
  </si>
  <si>
    <t>通道口防护设施安拆费（含材料费、人工费）</t>
  </si>
  <si>
    <t>F01003</t>
  </si>
  <si>
    <t>电梯井口、洞口、楼梯边防护安拆费（含材料费、人工费）</t>
  </si>
  <si>
    <t>F01004</t>
  </si>
  <si>
    <t>施工安全防护通道搭设安拆费（含材料费、人工费）</t>
  </si>
  <si>
    <t>F01005</t>
  </si>
  <si>
    <t>外电线路隔离防护（含材料费、人工费）</t>
  </si>
  <si>
    <t>临时用电安全防护设施设备支出</t>
  </si>
  <si>
    <t>F01006</t>
  </si>
  <si>
    <t>配电箱（柜）及其防护隔离设施、电缆、电气开关、漏电保护器、防潮灯、应急照明设备、警示照明设备、变压器、低压灯泡、发电机、电缆防护卸荷设施等材料费及安装、检测、维护等发生的人工费</t>
  </si>
  <si>
    <t>F01007</t>
  </si>
  <si>
    <t>水平防护架、垂直防护架、外架封闭等所需的安全网、挡脚板、油漆等设施材料费、人工费</t>
  </si>
  <si>
    <t>脚手架安全防护设施设备支出</t>
  </si>
  <si>
    <t>F01008</t>
  </si>
  <si>
    <t>起重机械和施工机具安全防护设施的材料费、人工费</t>
  </si>
  <si>
    <t>机械设备安全防护设施设备支出</t>
  </si>
  <si>
    <t>F01009</t>
  </si>
  <si>
    <t>群塔防碰撞措施费用</t>
  </si>
  <si>
    <t>F01010</t>
  </si>
  <si>
    <t>起重机械设备监控系统安装、运行、维护费用</t>
  </si>
  <si>
    <t>F01011</t>
  </si>
  <si>
    <t>围堰施工安全设施的材料费、人工费、机械费</t>
  </si>
  <si>
    <t>围堰施工安全设施支出</t>
  </si>
  <si>
    <t>F01012</t>
  </si>
  <si>
    <t>地下管网、管线的保护</t>
  </si>
  <si>
    <t>F01013</t>
  </si>
  <si>
    <t>高处作业、交叉作业安全防护设施及安全绳及自锁器、气瓶防护笼、接火盆、火花斗等设施的材料费、人工费</t>
  </si>
  <si>
    <t>高处作业、交叉作业防护设施设备</t>
  </si>
  <si>
    <t>F01014</t>
  </si>
  <si>
    <t>灭火器材、消防栓系统（包括消防栓、给水管网、消防水池、消防水箱、加压设备等）以及其他设施如消防砂、锹等设施设备购置费及安装、检测、维护等发生的人工费</t>
  </si>
  <si>
    <t>防火设施设备支出</t>
  </si>
  <si>
    <t>F01015</t>
  </si>
  <si>
    <t>防爆电气设备及易燃易爆物品、放射性物品运输、储存、使用时安全监控、防护隔离等支出及机械、设备防爆改造支出</t>
  </si>
  <si>
    <t>防爆设施设备支出</t>
  </si>
  <si>
    <t>F01016</t>
  </si>
  <si>
    <t>防雷接地所需的镀锌扁钢、镀锌接地极、接闪器、角钢、镀锌圆钢等材料费、人工费</t>
  </si>
  <si>
    <t>防雷接地设施设备支出</t>
  </si>
  <si>
    <t>F01017</t>
  </si>
  <si>
    <t>安装、装修、地下工程施工等有毒有害气体检测、监测仪器购置费及安装、维护发生的人工费</t>
  </si>
  <si>
    <t>防毒设施设备支出</t>
  </si>
  <si>
    <t>F01018</t>
  </si>
  <si>
    <t>防台风生产、生活房屋加固材料费、人工费</t>
  </si>
  <si>
    <t>防台风设施设备支出</t>
  </si>
  <si>
    <t>F01019</t>
  </si>
  <si>
    <t>防台风防护设施建造费</t>
  </si>
  <si>
    <t>F01020</t>
  </si>
  <si>
    <t>施工现场操作场地和道路硬化、现场绿化、防尘洒水、土石方和建筑垃圾外运车辆冲洗、易飞扬建筑材料密封存放或覆盖措施、临喷设备及相关配套设施等费用</t>
  </si>
  <si>
    <t>防尘设施设备支出</t>
  </si>
  <si>
    <t>F01021</t>
  </si>
  <si>
    <t>通风设施购置费及安装、维护发生的人工费</t>
  </si>
  <si>
    <t>通风及地下工程有害气体监测支出</t>
  </si>
  <si>
    <t>F01022</t>
  </si>
  <si>
    <t>地下工程、有限空间有害气体检测设备及治理发生的设备、人工费用</t>
  </si>
  <si>
    <t>F01023</t>
  </si>
  <si>
    <t>动火作业、交叉作业、高处作业等施工所需的临时围挡、警示绳、警示牌、警示灯、油漆以及存在危险源场所、事故易发部位警示标志牌</t>
  </si>
  <si>
    <t>临时安全防护设施设备支出</t>
  </si>
  <si>
    <t>F01024</t>
  </si>
  <si>
    <t>各种应急救援器材、物资、设备等购置费、安装费、人工费及维护保养费</t>
  </si>
  <si>
    <t>应急救援物资设备支出</t>
  </si>
  <si>
    <t>F01025</t>
  </si>
  <si>
    <t>开展应急救援演练所需设备设施的材料费、人工费及场地费</t>
  </si>
  <si>
    <t>应急救援演练支出</t>
  </si>
  <si>
    <t>F01026</t>
  </si>
  <si>
    <t>对重大危险源、重大事故隐患辨识、评估、监控、监管所需设备设施的材料费、人工费（如爆破监理费用、重要道口人员费用等）</t>
  </si>
  <si>
    <t>重大危险源、重大事故隐患辨识、评估等支出</t>
  </si>
  <si>
    <t>F01027</t>
  </si>
  <si>
    <t>对重大事故隐患整改的费用</t>
  </si>
  <si>
    <t>重大事故隐患整改支出</t>
  </si>
  <si>
    <t>F01028</t>
  </si>
  <si>
    <t>危险性较大分项分项工程安全专项施工方案进行论证、咨询费（如爆破作业专家评估、论证等）</t>
  </si>
  <si>
    <t>危大方案论证支出</t>
  </si>
  <si>
    <t>F01029</t>
  </si>
  <si>
    <t>日常安全生产检查所需工具购置费</t>
  </si>
  <si>
    <t>安全生产检查、评价和咨询费用</t>
  </si>
  <si>
    <t>F01030</t>
  </si>
  <si>
    <t>隐患整改费用支出</t>
  </si>
  <si>
    <t>F01031</t>
  </si>
  <si>
    <t>聘请专家参与安全检查和评估费用</t>
  </si>
  <si>
    <t>F01032</t>
  </si>
  <si>
    <t>各级安全生产检查督导与评价费用</t>
  </si>
  <si>
    <t>F01033</t>
  </si>
  <si>
    <t>委托评价机构进行安全生产评价发生的费用</t>
  </si>
  <si>
    <t>F01034</t>
  </si>
  <si>
    <t>编制、发布、实施安全生产制度、设施标准化图集发生的材料费、人工费</t>
  </si>
  <si>
    <t>标准化建设支出</t>
  </si>
  <si>
    <t>F01035</t>
  </si>
  <si>
    <t>聘请专家参与编制制度、图集的费用</t>
  </si>
  <si>
    <t>F01036</t>
  </si>
  <si>
    <t>作业人员个人安全防护用具、用品（包括特种劳动防护用品和一般劳动防护用品）的购置费、季节性安全费用（夏季防暑降温、冬季防滑防冻等费用）</t>
  </si>
  <si>
    <t>职业健康费用支出</t>
  </si>
  <si>
    <t>F01037</t>
  </si>
  <si>
    <t>接害人员体检费用</t>
  </si>
  <si>
    <t>F01038</t>
  </si>
  <si>
    <t>职业病隐患、危害因素测评等支出</t>
  </si>
  <si>
    <t>F01039</t>
  </si>
  <si>
    <t>其他与职业健康相关投入费用（如改善水质、空气净化等）</t>
  </si>
  <si>
    <t>F01040</t>
  </si>
  <si>
    <t>管理人员的入职教育和再教育等所需教材费、授课费及场地和设备租赁费、差旅费</t>
  </si>
  <si>
    <t>安全生产教育支出</t>
  </si>
  <si>
    <t>F01041</t>
  </si>
  <si>
    <t>工人入场教育和再教育、节假日和季节性安全教育、作业人员换岗转岗教育等所需教材费、授课费及场地和设备租赁费（如特种作业证件办理、继续教育等）</t>
  </si>
  <si>
    <t>F01042</t>
  </si>
  <si>
    <t>开展施工现场安全操作技术方法演示、现场事故事件分析会等所发生的场地费、设备设施租赁费、人工费、差旅费</t>
  </si>
  <si>
    <t>F01043</t>
  </si>
  <si>
    <t>组织开展安全知识竞赛、技能比赛等活动发生的场地和设备租赁费、人工费、差旅费</t>
  </si>
  <si>
    <t>F01044</t>
  </si>
  <si>
    <t>组织开展观摩学习、经验交流等所需的材料费、人工费、差旅费</t>
  </si>
  <si>
    <t>F01045</t>
  </si>
  <si>
    <t>个人安全技能培训、企业培训、相关安全法律法规及规范培训、推广安全生产适用的新技术和新设备培训等发生的资料费、差旅费、培训费</t>
  </si>
  <si>
    <t>安全生产培训支出</t>
  </si>
  <si>
    <t>F01046</t>
  </si>
  <si>
    <t>安全教育宣传横幅、安全标语、安全标志、安全警示牌、安全操作违章图牌、安全挂图、相关安全知识书籍、安全技术操作规程牌、安全宣传栏、危险源辨识与分析图牌等购买、制作、安装及维护费用、安全体验建设费用</t>
  </si>
  <si>
    <t>安全生产宣传支出</t>
  </si>
  <si>
    <t>F01047</t>
  </si>
  <si>
    <t>样品试做材料费、人工费及固定制作场地的租赁费用</t>
  </si>
  <si>
    <t>新技术、新标准、新工艺、新装备的前期研发支出</t>
  </si>
  <si>
    <t>F01048</t>
  </si>
  <si>
    <t>包括新技术、新标准、新工艺、新装备的购置费及新设备的维护支出</t>
  </si>
  <si>
    <t>新技术、新标准、新工艺、新装备的推广使用支出</t>
  </si>
  <si>
    <t>F01049</t>
  </si>
  <si>
    <t>锅炉、压力容器、压缩机械及各种有爆炸危险的机械设备的保险装置和信号装置（安全阀、自动控制装置、水封安全器、水位表、压力表）检测检验费用</t>
  </si>
  <si>
    <t>承压类特种设备检测检验支出</t>
  </si>
  <si>
    <t>F01050</t>
  </si>
  <si>
    <t>升降机和起重机械上各种防护装置及保险装置（如安全卡、安全钩、安全门、过速限位器、门电锁、安全制动器）检测检验费用</t>
  </si>
  <si>
    <t>机电类特种设备检测检验支出</t>
  </si>
  <si>
    <t>F01051</t>
  </si>
  <si>
    <t>电气设备安装的防护接地、防雷接地的装置检测检验费用</t>
  </si>
  <si>
    <t>电气防雷、接地装置检测检验支出</t>
  </si>
  <si>
    <t>F01052</t>
  </si>
  <si>
    <t>为安全而设的信号装置检测检验费用</t>
  </si>
  <si>
    <t>其他装置检测检验支出</t>
  </si>
  <si>
    <t>F01053</t>
  </si>
  <si>
    <t>安全资料编制、安全资料编制所需规范、软件等支出</t>
  </si>
  <si>
    <t>安全资料费用支出</t>
  </si>
  <si>
    <t>F01054</t>
  </si>
  <si>
    <t>机场出入证件办理（含人员、车辆、）</t>
  </si>
  <si>
    <t>不停航施工安全支出</t>
  </si>
  <si>
    <t>F01055</t>
  </si>
  <si>
    <t>道口开启关闭费用、人员安保费</t>
  </si>
  <si>
    <t>现场安保人员</t>
  </si>
  <si>
    <t>F01056</t>
  </si>
  <si>
    <t>机场临时围界购置费及围界的拆除、安装人工费</t>
  </si>
  <si>
    <t>道闸</t>
  </si>
  <si>
    <t>F01057</t>
  </si>
  <si>
    <t>相关设备、装置恢复；道面清扫</t>
  </si>
  <si>
    <t>F01058</t>
  </si>
  <si>
    <t>分包单位计提的安全施工、文明施工费用（劳务分包）合同计提</t>
  </si>
  <si>
    <t>分包安全支出</t>
  </si>
  <si>
    <t>数据链接03表</t>
  </si>
  <si>
    <t>F01059</t>
  </si>
  <si>
    <t>分包单位计提的安全施工、文明施工费用（机械分包）合同计提</t>
  </si>
  <si>
    <t>数据链接05表</t>
  </si>
  <si>
    <t>F01060</t>
  </si>
  <si>
    <t>分包单位计提的安全施工、文明施工费用（专业分包）合同计提</t>
  </si>
  <si>
    <t>数据链接06表</t>
  </si>
  <si>
    <t>F01061</t>
  </si>
  <si>
    <t>七牌一图制作与安装</t>
  </si>
  <si>
    <t>文明施工</t>
  </si>
  <si>
    <t>F01062</t>
  </si>
  <si>
    <t>现场围挡、临时设施美化、绿化</t>
  </si>
  <si>
    <t>F01063</t>
  </si>
  <si>
    <t>场容场貌、地面硬化、临时便道处理所产生的机械费、材料费、人工费</t>
  </si>
  <si>
    <t>搅拌站硬化及临时道路硬化，材料堆场3.5万m2、30cm山皮石垫层+20cm厚C25,临时道路1万m2、30cm山皮石垫层+25cm厚C30+考虑人工费</t>
  </si>
  <si>
    <t>F01064</t>
  </si>
  <si>
    <t>现场污染源控制、生活垃圾清运支出</t>
  </si>
  <si>
    <t>F01065</t>
  </si>
  <si>
    <t>数字化监控支出</t>
  </si>
  <si>
    <t>参考哈尔滨智慧工地招标：系统平台建设费、终端安装维护费、数字化设备费</t>
  </si>
  <si>
    <t>F01066</t>
  </si>
  <si>
    <t>水体保护设施支出（水体检测、水体保护、水处理费用）</t>
  </si>
  <si>
    <t>3套污水净化器</t>
  </si>
  <si>
    <t>F01067</t>
  </si>
  <si>
    <t>其它</t>
  </si>
  <si>
    <t>按1.5%全部用完考虑</t>
  </si>
  <si>
    <t>F02</t>
  </si>
  <si>
    <t>临时设施费</t>
  </si>
  <si>
    <t>F02001</t>
  </si>
  <si>
    <t>临时办公、住宿、食堂、卫生间等用房</t>
  </si>
  <si>
    <t>F02002</t>
  </si>
  <si>
    <t>临时库房、加工房</t>
  </si>
  <si>
    <t>F02003</t>
  </si>
  <si>
    <t>临时用水管线</t>
  </si>
  <si>
    <t>F02004</t>
  </si>
  <si>
    <t>临时用电线路、通讯</t>
  </si>
  <si>
    <t>F02005</t>
  </si>
  <si>
    <t>临时道路</t>
  </si>
  <si>
    <t>F02006</t>
  </si>
  <si>
    <t>搅拌站搭建</t>
  </si>
  <si>
    <t>料仓、地磅、大棚</t>
  </si>
  <si>
    <t>F02007</t>
  </si>
  <si>
    <t>F02008</t>
  </si>
  <si>
    <t>拌合站拆除后恢复</t>
  </si>
  <si>
    <t>F02009</t>
  </si>
  <si>
    <t>F03</t>
  </si>
  <si>
    <t>F03001</t>
  </si>
  <si>
    <t>大型机械进出场及安拆费</t>
  </si>
  <si>
    <t>在分享对比中体现</t>
  </si>
  <si>
    <t>F03002</t>
  </si>
  <si>
    <t>检验试验费</t>
  </si>
  <si>
    <t>下穿桩基工程33万元，实验室修建费25万元、设备费18万元、资质管理费30万元</t>
  </si>
  <si>
    <t>F03003</t>
  </si>
  <si>
    <t>测量（仪器检测、试验检测外包等）</t>
  </si>
  <si>
    <t>F03004</t>
  </si>
  <si>
    <t>工程保修费</t>
  </si>
  <si>
    <t>造价*3‰计提</t>
  </si>
  <si>
    <t>F03005</t>
  </si>
  <si>
    <t>其他</t>
  </si>
  <si>
    <t>F03006</t>
  </si>
  <si>
    <t>迎检综合展示区</t>
  </si>
  <si>
    <t>F03007</t>
  </si>
  <si>
    <t>BIM技术服务费</t>
  </si>
  <si>
    <t>F03008</t>
  </si>
  <si>
    <t>周转材料费</t>
  </si>
  <si>
    <t>F03009</t>
  </si>
  <si>
    <t>下穿垂直运输费</t>
  </si>
  <si>
    <t>F03010</t>
  </si>
  <si>
    <t>班车费用</t>
  </si>
  <si>
    <t>F03011</t>
  </si>
  <si>
    <t>零星人材机</t>
  </si>
  <si>
    <t>请在本栏以上输入内容</t>
  </si>
  <si>
    <t>合计（不扣除安全生产费）</t>
  </si>
  <si>
    <t>其中，安全生产费</t>
  </si>
  <si>
    <t>合计（扣除安全生产费）</t>
  </si>
  <si>
    <t>期间费用预算表</t>
  </si>
  <si>
    <t>预算08表</t>
  </si>
  <si>
    <t>G01</t>
  </si>
  <si>
    <t>工作人员薪酬</t>
  </si>
  <si>
    <t>G01001</t>
  </si>
  <si>
    <t>工作人员工资</t>
  </si>
  <si>
    <t xml:space="preserve">详见08-1表 </t>
  </si>
  <si>
    <t>G01002</t>
  </si>
  <si>
    <t>工作人员福利</t>
  </si>
  <si>
    <t>G02</t>
  </si>
  <si>
    <t>劳动保护费</t>
  </si>
  <si>
    <t>G02001</t>
  </si>
  <si>
    <t>按40人次计算，600元/人/年，税率为9%，</t>
  </si>
  <si>
    <t>G03</t>
  </si>
  <si>
    <t>固定资产折旧及修理费</t>
  </si>
  <si>
    <t>G03001</t>
  </si>
  <si>
    <t>固定资产折旧</t>
  </si>
  <si>
    <t>G04</t>
  </si>
  <si>
    <t>低值易耗品摊销</t>
  </si>
  <si>
    <t>G05001</t>
  </si>
  <si>
    <t>G05</t>
  </si>
  <si>
    <t>租赁费</t>
  </si>
  <si>
    <t>（房产、设备、土地等租赁）</t>
  </si>
  <si>
    <t>G06</t>
  </si>
  <si>
    <t>办公费</t>
  </si>
  <si>
    <t>G06001</t>
  </si>
  <si>
    <t>办公用品</t>
  </si>
  <si>
    <t>打印纸、笔、墨盒、复印装订等</t>
  </si>
  <si>
    <t xml:space="preserve">        </t>
  </si>
  <si>
    <t>G06002</t>
  </si>
  <si>
    <t>办公设备摊销</t>
  </si>
  <si>
    <t>办公桌椅，不购成固定资产办公设备等</t>
  </si>
  <si>
    <t>G06003</t>
  </si>
  <si>
    <t>绿化排污、快递、会议费等</t>
  </si>
  <si>
    <t>G07</t>
  </si>
  <si>
    <t>差旅费</t>
  </si>
  <si>
    <t>G07001</t>
  </si>
  <si>
    <t>职工差旅费</t>
  </si>
  <si>
    <t>G07002</t>
  </si>
  <si>
    <t>车辆使用费</t>
  </si>
  <si>
    <t>G08</t>
  </si>
  <si>
    <t>水电费</t>
  </si>
  <si>
    <t>G08001</t>
  </si>
  <si>
    <t>办公区水电费</t>
  </si>
  <si>
    <t>主要为办公区、生活区水电费用，施工期间每月18000元计算，共计26个月；完工后每月5000元计算，共计10个月，税费13%计算。</t>
  </si>
  <si>
    <t>G08002</t>
  </si>
  <si>
    <t>排污费</t>
  </si>
  <si>
    <t>拌合站电费</t>
  </si>
  <si>
    <t>G09</t>
  </si>
  <si>
    <t>保险费</t>
  </si>
  <si>
    <t>G09001</t>
  </si>
  <si>
    <t>建筑工程一切险</t>
  </si>
  <si>
    <t>建筑工程一切险、人生意外伤害保险、工伤保险、财产保险等</t>
  </si>
  <si>
    <t>G09002</t>
  </si>
  <si>
    <t>人生意外伤害保险</t>
  </si>
  <si>
    <t>G09003</t>
  </si>
  <si>
    <t>财产保险</t>
  </si>
  <si>
    <t>G10</t>
  </si>
  <si>
    <t>修理费</t>
  </si>
  <si>
    <t>（除车辆以外）</t>
  </si>
  <si>
    <t>G11</t>
  </si>
  <si>
    <t>业务招待费</t>
  </si>
  <si>
    <t>G11001</t>
  </si>
  <si>
    <t>商务接待费</t>
  </si>
  <si>
    <t>G12</t>
  </si>
  <si>
    <t>销售费用</t>
  </si>
  <si>
    <t>G12001</t>
  </si>
  <si>
    <t>投标费用</t>
  </si>
  <si>
    <t>G12002</t>
  </si>
  <si>
    <t>交易服务费</t>
  </si>
  <si>
    <t>含招标代理费；交易服务费</t>
  </si>
  <si>
    <t>G12003</t>
  </si>
  <si>
    <t>其他销售费用</t>
  </si>
  <si>
    <t>G13</t>
  </si>
  <si>
    <t>财务费用</t>
  </si>
  <si>
    <t xml:space="preserve">详见08-2表 </t>
  </si>
  <si>
    <t>G13001</t>
  </si>
  <si>
    <t>贷款及往来利息支出</t>
  </si>
  <si>
    <t>G13002</t>
  </si>
  <si>
    <t>保函手续费</t>
  </si>
  <si>
    <t>G13003</t>
  </si>
  <si>
    <t>其他财务费用</t>
  </si>
  <si>
    <t>G14</t>
  </si>
  <si>
    <t>管理费用</t>
  </si>
  <si>
    <t>管理费用（不含上交公司管理费）</t>
  </si>
  <si>
    <t>G14001</t>
  </si>
  <si>
    <t>工会经费</t>
  </si>
  <si>
    <t>根据工资总额2%计算</t>
  </si>
  <si>
    <t>G14002</t>
  </si>
  <si>
    <t>其他管理费用</t>
  </si>
  <si>
    <t>G15</t>
  </si>
  <si>
    <t>税金及附加</t>
  </si>
  <si>
    <t>G15001</t>
  </si>
  <si>
    <t>增值税附加</t>
  </si>
  <si>
    <t>按增值税的12%计取</t>
  </si>
  <si>
    <t>G15002</t>
  </si>
  <si>
    <t>印花税</t>
  </si>
  <si>
    <t>G15003</t>
  </si>
  <si>
    <t>其他税费</t>
  </si>
  <si>
    <t>G16</t>
  </si>
  <si>
    <t>G16001</t>
  </si>
  <si>
    <t>项目伙食费</t>
  </si>
  <si>
    <t>工作人员工资表</t>
  </si>
  <si>
    <t>预算08-1表</t>
  </si>
  <si>
    <t>岗位名称</t>
  </si>
  <si>
    <t>人数</t>
  </si>
  <si>
    <t>项目起止时间</t>
  </si>
  <si>
    <t>时间期限
（月）</t>
  </si>
  <si>
    <t>每人工资标准</t>
  </si>
  <si>
    <t>合计（元）</t>
  </si>
  <si>
    <t>基础工资</t>
  </si>
  <si>
    <t>岗位工资</t>
  </si>
  <si>
    <t>工龄工资</t>
  </si>
  <si>
    <t>职称证书津贴类</t>
  </si>
  <si>
    <t>外区、防尘防噪等补贴类</t>
  </si>
  <si>
    <t>绩效工资</t>
  </si>
  <si>
    <t>五险二金单位部分</t>
  </si>
  <si>
    <t>补充医疗保险单位部分</t>
  </si>
  <si>
    <t>小计（元）</t>
  </si>
  <si>
    <t>一</t>
  </si>
  <si>
    <t>自有职工</t>
  </si>
  <si>
    <t>2024年3月—2025年6月</t>
  </si>
  <si>
    <t>项目经理</t>
  </si>
  <si>
    <t>技术负责人</t>
  </si>
  <si>
    <t>项目副经理</t>
  </si>
  <si>
    <t>现场工长</t>
  </si>
  <si>
    <t>现场安全</t>
  </si>
  <si>
    <t>现场测量</t>
  </si>
  <si>
    <t>材料设备</t>
  </si>
  <si>
    <t>商务人员</t>
  </si>
  <si>
    <t>工程部</t>
  </si>
  <si>
    <t>办公室</t>
  </si>
  <si>
    <t>试验室</t>
  </si>
  <si>
    <t>其他一般管理人员</t>
  </si>
  <si>
    <t>小计</t>
  </si>
  <si>
    <t>二</t>
  </si>
  <si>
    <t>外聘人员</t>
  </si>
  <si>
    <t>现场门卫</t>
  </si>
  <si>
    <t>现场保洁、厨师</t>
  </si>
  <si>
    <t>司机</t>
  </si>
  <si>
    <t>其它人员</t>
  </si>
  <si>
    <t>合  计</t>
  </si>
  <si>
    <t>工作人员工资表08-1表</t>
  </si>
  <si>
    <t>1、</t>
  </si>
  <si>
    <t>工作人员工资表包含项目所有人员薪酬。</t>
  </si>
  <si>
    <t>2、</t>
  </si>
  <si>
    <t>本表内数据为参考，请根据实际情况修改</t>
  </si>
  <si>
    <t>财务费用预算表</t>
  </si>
  <si>
    <t>预算08-2表</t>
  </si>
  <si>
    <t>计算基数</t>
  </si>
  <si>
    <t>费率</t>
  </si>
  <si>
    <t>计算时间</t>
  </si>
  <si>
    <t>成本预算支出</t>
  </si>
  <si>
    <t>预付款保函手续费</t>
  </si>
  <si>
    <t>预付款（银行）保函手续费</t>
  </si>
  <si>
    <t>预付款（保险）保函手续费</t>
  </si>
  <si>
    <t>预付款（担保公司及其他）保函手续费</t>
  </si>
  <si>
    <t>履约保函手续费</t>
  </si>
  <si>
    <t>履约（银行）保函手续费</t>
  </si>
  <si>
    <t>履约（保险）保函手续费</t>
  </si>
  <si>
    <t>履约（担保公司及其他）保函手续费</t>
  </si>
  <si>
    <t>农民工工资保函</t>
  </si>
  <si>
    <t>内部银行贷款利息</t>
  </si>
  <si>
    <t>内部资金往来占用利息</t>
  </si>
  <si>
    <t>贴现利息支出</t>
  </si>
  <si>
    <t>-</t>
  </si>
  <si>
    <t>小   计</t>
  </si>
  <si>
    <t>财务费用预算表08-2表</t>
  </si>
  <si>
    <t>财务费用预算包含预付款保函手续费、履约保函手续费、内部银行贷款利息、内部资金往来占用利息、贴现利息支出。</t>
  </si>
  <si>
    <t>上述费用细目不得更改，如有增加在最后增加。</t>
  </si>
  <si>
    <t>列1</t>
  </si>
  <si>
    <t>板撑</t>
  </si>
  <si>
    <t>试验</t>
  </si>
  <si>
    <t>漏风</t>
  </si>
  <si>
    <t>漏光</t>
  </si>
  <si>
    <t>咬合</t>
  </si>
  <si>
    <t>指示器</t>
  </si>
  <si>
    <t>水流</t>
  </si>
  <si>
    <t>报警</t>
  </si>
  <si>
    <t>特种门</t>
  </si>
  <si>
    <t>涂料</t>
  </si>
  <si>
    <t>玻璃</t>
  </si>
  <si>
    <t>散水</t>
  </si>
  <si>
    <t>坡道</t>
  </si>
  <si>
    <t>消火栓</t>
  </si>
  <si>
    <t>粘土</t>
  </si>
  <si>
    <t>钢护筒</t>
  </si>
  <si>
    <t>砌体</t>
  </si>
  <si>
    <t>扶手</t>
  </si>
  <si>
    <t>楼梯</t>
  </si>
  <si>
    <t>楼面</t>
  </si>
  <si>
    <t>合成</t>
  </si>
  <si>
    <t>防静电</t>
  </si>
  <si>
    <t>屋面</t>
  </si>
  <si>
    <t>降阻剂</t>
  </si>
  <si>
    <t>避雷</t>
  </si>
  <si>
    <t>栏杆</t>
  </si>
  <si>
    <t>石膏板</t>
  </si>
  <si>
    <t>吸声</t>
  </si>
  <si>
    <t>穿孔</t>
  </si>
  <si>
    <t>管井</t>
  </si>
  <si>
    <t>电气</t>
  </si>
  <si>
    <t>窗台</t>
  </si>
  <si>
    <t>蹲位</t>
  </si>
  <si>
    <t>门槛</t>
  </si>
  <si>
    <t>台阶</t>
  </si>
  <si>
    <t>石材</t>
  </si>
  <si>
    <t>不锈钢</t>
  </si>
  <si>
    <t>备餐间</t>
  </si>
  <si>
    <t>地弹簧</t>
  </si>
  <si>
    <t>挡鼠板</t>
  </si>
  <si>
    <t>平开</t>
  </si>
  <si>
    <t>灯具</t>
  </si>
  <si>
    <t>消防</t>
  </si>
  <si>
    <t>供电</t>
  </si>
  <si>
    <t>电源</t>
  </si>
  <si>
    <t>风帽</t>
  </si>
  <si>
    <t>洗脸</t>
  </si>
  <si>
    <t>洗手台</t>
  </si>
  <si>
    <t>洗涤</t>
  </si>
  <si>
    <t>大便器</t>
  </si>
  <si>
    <t>沐浴器</t>
  </si>
  <si>
    <t>小便器</t>
  </si>
  <si>
    <t>按钮</t>
  </si>
  <si>
    <t>远程</t>
  </si>
  <si>
    <t>水表</t>
  </si>
  <si>
    <t>消声器</t>
  </si>
  <si>
    <t>风机</t>
  </si>
  <si>
    <t>水处理器</t>
  </si>
  <si>
    <t>压顶</t>
  </si>
  <si>
    <t>栏板</t>
  </si>
  <si>
    <t>圈梁</t>
  </si>
  <si>
    <t>构造</t>
  </si>
  <si>
    <t>条形</t>
  </si>
  <si>
    <t>集水井</t>
  </si>
  <si>
    <t>砌块</t>
  </si>
  <si>
    <t>实心砖</t>
  </si>
  <si>
    <t>空调器</t>
  </si>
  <si>
    <t>镀锌</t>
  </si>
  <si>
    <t>排管</t>
  </si>
  <si>
    <t>声测管</t>
  </si>
  <si>
    <t>抽芯管</t>
  </si>
  <si>
    <t>截水沟</t>
  </si>
  <si>
    <t>反滤层</t>
  </si>
  <si>
    <t>桩头</t>
  </si>
  <si>
    <t>箍筋</t>
  </si>
  <si>
    <t>伸缩缝</t>
  </si>
  <si>
    <t>帽石</t>
  </si>
  <si>
    <t>反光</t>
  </si>
  <si>
    <t>警示柱</t>
  </si>
  <si>
    <t>钢丝</t>
  </si>
  <si>
    <t>静载</t>
  </si>
  <si>
    <t>涵顶</t>
  </si>
  <si>
    <t>悬挑</t>
  </si>
  <si>
    <t>警告</t>
  </si>
  <si>
    <t>应急</t>
  </si>
  <si>
    <t>路床</t>
  </si>
  <si>
    <t>整形</t>
  </si>
  <si>
    <t>标记</t>
  </si>
  <si>
    <t>箭头</t>
  </si>
  <si>
    <t>限高</t>
  </si>
  <si>
    <t>门架</t>
  </si>
  <si>
    <t>缘石</t>
  </si>
  <si>
    <t>诱导</t>
  </si>
  <si>
    <t>植物</t>
  </si>
  <si>
    <t>堆土点</t>
  </si>
  <si>
    <t>构件</t>
  </si>
  <si>
    <t>人行道</t>
  </si>
  <si>
    <t>咬合桩</t>
  </si>
  <si>
    <t>泥浆护壁</t>
  </si>
  <si>
    <t>荤桩</t>
  </si>
  <si>
    <t>墙身</t>
  </si>
  <si>
    <t>素桩</t>
  </si>
  <si>
    <t>桩径</t>
  </si>
  <si>
    <t>中风化</t>
  </si>
  <si>
    <t>微风化</t>
  </si>
  <si>
    <t>桩底</t>
  </si>
  <si>
    <t>预应力</t>
  </si>
  <si>
    <t>导墙</t>
  </si>
  <si>
    <t>发包人</t>
  </si>
  <si>
    <t>工期</t>
  </si>
  <si>
    <t>延误</t>
  </si>
  <si>
    <t>租赁</t>
  </si>
  <si>
    <t>格构柱</t>
  </si>
  <si>
    <t>SMW</t>
  </si>
  <si>
    <t>钻孔</t>
  </si>
  <si>
    <t>注浆</t>
  </si>
  <si>
    <t>工法桩</t>
  </si>
  <si>
    <t>型钢</t>
  </si>
  <si>
    <t>支撑</t>
  </si>
  <si>
    <t>成孔</t>
  </si>
  <si>
    <t>下管</t>
  </si>
  <si>
    <t>代标号</t>
  </si>
  <si>
    <t>自密实</t>
  </si>
  <si>
    <t>泡沫</t>
  </si>
  <si>
    <t>浆液</t>
  </si>
  <si>
    <t>重力式</t>
  </si>
  <si>
    <t>挡土墙</t>
  </si>
  <si>
    <t>过渡区</t>
  </si>
  <si>
    <t>企口缝</t>
  </si>
  <si>
    <t>假缝</t>
  </si>
  <si>
    <t>平缝</t>
  </si>
  <si>
    <t>施工</t>
  </si>
  <si>
    <t>胀缝</t>
  </si>
  <si>
    <t>服务车道</t>
  </si>
  <si>
    <t>围场</t>
  </si>
  <si>
    <t>暗沟</t>
  </si>
  <si>
    <t>淤泥</t>
  </si>
  <si>
    <t>构筑物</t>
  </si>
  <si>
    <t>碾压</t>
  </si>
  <si>
    <t>夯实</t>
  </si>
  <si>
    <t>原地面</t>
  </si>
  <si>
    <t>换填</t>
  </si>
  <si>
    <t>砂岩</t>
  </si>
  <si>
    <t>盲沟</t>
  </si>
  <si>
    <t>表土</t>
  </si>
  <si>
    <t>压实</t>
  </si>
  <si>
    <t>振动</t>
  </si>
  <si>
    <t>冲击</t>
  </si>
  <si>
    <t>支护</t>
  </si>
  <si>
    <t>浆砌</t>
  </si>
  <si>
    <t>片石</t>
  </si>
  <si>
    <t>护坡</t>
  </si>
  <si>
    <t>基层</t>
  </si>
  <si>
    <t>拉杆</t>
  </si>
  <si>
    <t>植筋</t>
  </si>
  <si>
    <t>预埋</t>
  </si>
  <si>
    <t>刺铁丝</t>
  </si>
  <si>
    <t>排水</t>
  </si>
  <si>
    <t>砂砾</t>
  </si>
  <si>
    <t>油水分离</t>
  </si>
  <si>
    <t>消力池</t>
  </si>
  <si>
    <t>雨水</t>
  </si>
  <si>
    <t>飞机</t>
  </si>
  <si>
    <t>汽车</t>
  </si>
  <si>
    <t>挖方</t>
  </si>
  <si>
    <t>荷载</t>
  </si>
  <si>
    <t>预制</t>
  </si>
  <si>
    <t>基坑</t>
  </si>
  <si>
    <t>试车</t>
  </si>
  <si>
    <t>栅栏</t>
  </si>
  <si>
    <t>钢管</t>
  </si>
  <si>
    <t>涂塑</t>
  </si>
  <si>
    <t>止回阀</t>
  </si>
  <si>
    <t>网格</t>
  </si>
  <si>
    <t>改性</t>
  </si>
  <si>
    <t>面层</t>
  </si>
  <si>
    <t>粘层油</t>
  </si>
  <si>
    <t>封层</t>
  </si>
  <si>
    <t>透层油</t>
  </si>
  <si>
    <t>标志</t>
  </si>
  <si>
    <t>标线</t>
  </si>
  <si>
    <t>板缝</t>
  </si>
  <si>
    <t>清理</t>
  </si>
  <si>
    <t>修补</t>
  </si>
  <si>
    <t>铣刨</t>
  </si>
  <si>
    <t>电力</t>
  </si>
  <si>
    <t>电缆</t>
  </si>
  <si>
    <t>铝合金</t>
  </si>
  <si>
    <t>散流器</t>
  </si>
  <si>
    <t>支架</t>
  </si>
  <si>
    <t>通风</t>
  </si>
  <si>
    <t>管道</t>
  </si>
  <si>
    <t>外墙</t>
  </si>
  <si>
    <t>筏板</t>
  </si>
  <si>
    <t>聚合物</t>
  </si>
  <si>
    <t>砂浆</t>
  </si>
  <si>
    <t>迎土面</t>
  </si>
  <si>
    <t>楼地面</t>
  </si>
  <si>
    <t>集水池</t>
  </si>
  <si>
    <t>钢板</t>
  </si>
  <si>
    <t>集水坑</t>
  </si>
  <si>
    <t>爬梯</t>
  </si>
  <si>
    <t>钢构件</t>
  </si>
  <si>
    <t>踢脚线</t>
  </si>
  <si>
    <t>格栅</t>
  </si>
  <si>
    <t>钢梁</t>
  </si>
  <si>
    <t>风管</t>
  </si>
  <si>
    <t>墙面</t>
  </si>
  <si>
    <t>电缆头</t>
  </si>
  <si>
    <t>照明</t>
  </si>
  <si>
    <t>涵洞</t>
  </si>
  <si>
    <t>等电位</t>
  </si>
  <si>
    <t>端子箱</t>
  </si>
  <si>
    <t>防雷接地</t>
  </si>
  <si>
    <t>建筑</t>
  </si>
  <si>
    <t>自控化</t>
  </si>
  <si>
    <t>运行</t>
  </si>
  <si>
    <t>备用</t>
  </si>
  <si>
    <t>转换</t>
  </si>
  <si>
    <t>光端</t>
  </si>
  <si>
    <t>探测器</t>
  </si>
  <si>
    <t>葫芦</t>
  </si>
  <si>
    <t>水位计</t>
  </si>
  <si>
    <t>法兰</t>
  </si>
  <si>
    <t>接头</t>
  </si>
  <si>
    <t>软管</t>
  </si>
  <si>
    <t>排水沟</t>
  </si>
  <si>
    <t>毛石</t>
  </si>
  <si>
    <t>支撑梁</t>
  </si>
  <si>
    <t>横梁</t>
  </si>
  <si>
    <t>防撞</t>
  </si>
  <si>
    <t>护栏</t>
  </si>
  <si>
    <t>搭板</t>
  </si>
  <si>
    <t>底板</t>
  </si>
  <si>
    <t>顶板</t>
  </si>
  <si>
    <t>变形缝</t>
  </si>
  <si>
    <t>侧墙</t>
  </si>
  <si>
    <t>土工膜</t>
  </si>
  <si>
    <t>石方</t>
  </si>
  <si>
    <t>污水</t>
  </si>
  <si>
    <t>检查井</t>
  </si>
  <si>
    <t>水泥土</t>
  </si>
  <si>
    <t>帷幕</t>
  </si>
  <si>
    <t>挂网</t>
  </si>
  <si>
    <t>喷射</t>
  </si>
  <si>
    <t>扩坡</t>
  </si>
  <si>
    <t>冠梁</t>
  </si>
  <si>
    <t>盖板</t>
  </si>
  <si>
    <t>铸铁</t>
  </si>
  <si>
    <t>箱涵</t>
  </si>
  <si>
    <t>垫块</t>
  </si>
  <si>
    <t>填方</t>
  </si>
  <si>
    <t>外运</t>
  </si>
  <si>
    <t>碎石</t>
  </si>
  <si>
    <t>级配</t>
  </si>
  <si>
    <t>隔离层</t>
  </si>
  <si>
    <t>后浇带</t>
  </si>
  <si>
    <t>垫板</t>
  </si>
  <si>
    <t>混凝土</t>
  </si>
  <si>
    <t>沥青</t>
  </si>
  <si>
    <t>油毡</t>
  </si>
  <si>
    <t>胀缝板</t>
  </si>
  <si>
    <t>地锚</t>
  </si>
  <si>
    <t>钢筋</t>
  </si>
  <si>
    <t>现浇</t>
  </si>
  <si>
    <t>回填</t>
  </si>
  <si>
    <t>水泥</t>
  </si>
  <si>
    <t>土工合成材料</t>
  </si>
  <si>
    <t>山皮石</t>
  </si>
  <si>
    <t>边坡</t>
  </si>
  <si>
    <t>基础</t>
  </si>
  <si>
    <t>强夯</t>
  </si>
  <si>
    <t>垫层</t>
  </si>
  <si>
    <t>地基</t>
  </si>
  <si>
    <t>土方</t>
  </si>
  <si>
    <t>传力杆</t>
  </si>
  <si>
    <t>连接</t>
  </si>
  <si>
    <t>轨道</t>
  </si>
  <si>
    <t>立面</t>
  </si>
  <si>
    <t>平面</t>
  </si>
  <si>
    <t>零星</t>
  </si>
  <si>
    <t>结构</t>
  </si>
  <si>
    <t>矩形</t>
  </si>
  <si>
    <t>挡水</t>
  </si>
  <si>
    <t>防护</t>
  </si>
  <si>
    <t>搅拌桩</t>
  </si>
  <si>
    <t>橡胶</t>
  </si>
  <si>
    <t>同步</t>
  </si>
  <si>
    <t>临时</t>
  </si>
  <si>
    <t>清扫</t>
  </si>
  <si>
    <t>接坡</t>
  </si>
  <si>
    <t>前场</t>
  </si>
  <si>
    <t>进出场</t>
  </si>
  <si>
    <t>费用</t>
  </si>
  <si>
    <t>SMA</t>
  </si>
  <si>
    <t>AC</t>
  </si>
  <si>
    <t>工程</t>
  </si>
  <si>
    <t>铁件</t>
  </si>
  <si>
    <t>检修</t>
  </si>
  <si>
    <t>超声波</t>
  </si>
  <si>
    <t>钢梯</t>
  </si>
  <si>
    <t>清除</t>
  </si>
  <si>
    <t>除污机</t>
  </si>
  <si>
    <t>液位计</t>
  </si>
  <si>
    <t>机坪</t>
  </si>
  <si>
    <t>软弱土</t>
  </si>
  <si>
    <t>保护层</t>
  </si>
  <si>
    <t>粉质黏土</t>
  </si>
  <si>
    <t>素填土</t>
  </si>
  <si>
    <t>闸门</t>
  </si>
  <si>
    <t>防吹篱</t>
  </si>
  <si>
    <t>挖沟槽</t>
  </si>
  <si>
    <t>隔油设备</t>
  </si>
  <si>
    <t>聚乙烯</t>
  </si>
  <si>
    <t>渠体</t>
  </si>
  <si>
    <t>沟体</t>
  </si>
  <si>
    <t>植物土</t>
  </si>
  <si>
    <t>高压</t>
  </si>
  <si>
    <t>低压</t>
  </si>
  <si>
    <t>绿化土</t>
  </si>
  <si>
    <t>覆绿土</t>
  </si>
  <si>
    <t>道面区</t>
  </si>
  <si>
    <t>弃置</t>
  </si>
  <si>
    <t>开关</t>
  </si>
  <si>
    <t>金属</t>
  </si>
  <si>
    <t>导流槽</t>
  </si>
  <si>
    <t>止水</t>
  </si>
  <si>
    <t>满夯</t>
  </si>
  <si>
    <t>点夯</t>
  </si>
  <si>
    <t>kN</t>
  </si>
  <si>
    <t>DN</t>
  </si>
  <si>
    <t>HDPE</t>
  </si>
  <si>
    <t>M5</t>
  </si>
  <si>
    <t>M7.5</t>
  </si>
  <si>
    <t>M10</t>
  </si>
  <si>
    <t>3%</t>
  </si>
  <si>
    <t>3.5%</t>
  </si>
  <si>
    <t>4%</t>
  </si>
  <si>
    <t>4.5%</t>
  </si>
  <si>
    <t>5%</t>
  </si>
  <si>
    <t>5.5%</t>
  </si>
  <si>
    <t>6%</t>
  </si>
  <si>
    <t>φ1000</t>
  </si>
  <si>
    <t>φ1250</t>
  </si>
  <si>
    <t>φ1500</t>
  </si>
  <si>
    <t>φ850</t>
  </si>
  <si>
    <t>φ800</t>
  </si>
  <si>
    <t>cm</t>
  </si>
  <si>
    <t>1cm</t>
  </si>
  <si>
    <t>2cm</t>
  </si>
  <si>
    <t>14cm</t>
  </si>
  <si>
    <t>16cm</t>
  </si>
  <si>
    <t>18cm</t>
  </si>
  <si>
    <t>20cm</t>
  </si>
  <si>
    <t>22cm</t>
  </si>
  <si>
    <t>25cm</t>
  </si>
  <si>
    <t>28cm</t>
  </si>
  <si>
    <t>30cm</t>
  </si>
  <si>
    <t>32cm</t>
  </si>
  <si>
    <t>34cm</t>
  </si>
  <si>
    <t>36cm</t>
  </si>
  <si>
    <t>38cm</t>
  </si>
  <si>
    <t>40cm</t>
  </si>
  <si>
    <t>42cm</t>
  </si>
  <si>
    <t>44cm</t>
  </si>
  <si>
    <t>60cm</t>
  </si>
  <si>
    <t>HPB</t>
  </si>
  <si>
    <t>HRB</t>
  </si>
  <si>
    <t>C10</t>
  </si>
  <si>
    <t>C15</t>
  </si>
  <si>
    <t>C20</t>
  </si>
  <si>
    <t>C25</t>
  </si>
  <si>
    <t>C30</t>
  </si>
  <si>
    <t>C35</t>
  </si>
  <si>
    <t>C40</t>
  </si>
  <si>
    <t>C45</t>
  </si>
  <si>
    <t>C50</t>
  </si>
  <si>
    <t>C55</t>
  </si>
  <si>
    <t>C60</t>
  </si>
  <si>
    <t>警示墩</t>
  </si>
  <si>
    <t>LF类</t>
  </si>
  <si>
    <t>LD类</t>
  </si>
  <si>
    <t>LC类</t>
  </si>
  <si>
    <t>箅子</t>
  </si>
  <si>
    <t>土面区</t>
  </si>
  <si>
    <t>填缝</t>
  </si>
  <si>
    <t>实木门</t>
  </si>
  <si>
    <t>安装</t>
  </si>
  <si>
    <t>制作</t>
  </si>
  <si>
    <t>铺设</t>
  </si>
  <si>
    <t>离心式</t>
  </si>
  <si>
    <t>风口</t>
  </si>
  <si>
    <t>测试板</t>
  </si>
  <si>
    <t>卷材防水</t>
  </si>
  <si>
    <t>仪表</t>
  </si>
  <si>
    <t>保护管</t>
  </si>
  <si>
    <t>调试</t>
  </si>
  <si>
    <t>双绞线缆</t>
  </si>
  <si>
    <t>绝热</t>
  </si>
  <si>
    <t>温度</t>
  </si>
  <si>
    <t>监控系统</t>
  </si>
  <si>
    <t>电话</t>
  </si>
  <si>
    <t>插孔</t>
  </si>
  <si>
    <t>报警电话</t>
  </si>
  <si>
    <t>机柜</t>
  </si>
  <si>
    <t>系统调试</t>
  </si>
  <si>
    <t>细石混凝土</t>
  </si>
  <si>
    <t>水泥稳定</t>
  </si>
  <si>
    <t>灯光站</t>
  </si>
  <si>
    <t>碳钢</t>
  </si>
  <si>
    <t>铜管</t>
  </si>
  <si>
    <t>模块</t>
  </si>
  <si>
    <t>隔油器</t>
  </si>
  <si>
    <t>喷淋</t>
  </si>
  <si>
    <t>飞行区</t>
  </si>
  <si>
    <t>组合式</t>
  </si>
  <si>
    <t>充电桩</t>
  </si>
  <si>
    <t>甲供</t>
  </si>
  <si>
    <t>轴流</t>
  </si>
  <si>
    <t>软件</t>
  </si>
  <si>
    <t>监测</t>
  </si>
  <si>
    <t>智慧</t>
  </si>
  <si>
    <t>物联网</t>
  </si>
  <si>
    <t>场内</t>
  </si>
  <si>
    <t>净空处理</t>
  </si>
  <si>
    <t>建渣</t>
  </si>
  <si>
    <t>利用</t>
  </si>
  <si>
    <t>混石</t>
  </si>
  <si>
    <t>充填</t>
  </si>
  <si>
    <t>土溶洞</t>
  </si>
  <si>
    <t>土体</t>
  </si>
  <si>
    <t>袖阀管</t>
  </si>
  <si>
    <t>含量</t>
  </si>
  <si>
    <t>空桩</t>
  </si>
  <si>
    <t>实桩</t>
  </si>
  <si>
    <t>框格</t>
  </si>
  <si>
    <t>格宾</t>
  </si>
  <si>
    <t>井圈</t>
  </si>
  <si>
    <t>包封</t>
  </si>
  <si>
    <t>明沟</t>
  </si>
  <si>
    <t>交汇井</t>
  </si>
  <si>
    <t>砖石</t>
  </si>
  <si>
    <t>流态固化土</t>
  </si>
  <si>
    <t>湿贫混凝土</t>
  </si>
  <si>
    <t>安防</t>
  </si>
  <si>
    <t>厚度</t>
  </si>
  <si>
    <t>消除</t>
  </si>
  <si>
    <t>简易</t>
  </si>
  <si>
    <t>直立面</t>
  </si>
  <si>
    <t>设备</t>
  </si>
  <si>
    <t>防水</t>
  </si>
  <si>
    <t>雨篷</t>
  </si>
  <si>
    <t>运输</t>
  </si>
  <si>
    <t>垂直</t>
  </si>
  <si>
    <t>成品</t>
  </si>
  <si>
    <t>防潮</t>
  </si>
  <si>
    <t>木质</t>
  </si>
  <si>
    <t>电动</t>
  </si>
  <si>
    <t>门连窗</t>
  </si>
  <si>
    <t>铜包钢</t>
  </si>
  <si>
    <t>暖通</t>
  </si>
  <si>
    <t>排风机</t>
  </si>
  <si>
    <t>电器</t>
  </si>
  <si>
    <t>百叶</t>
  </si>
  <si>
    <t>蓄电池</t>
  </si>
  <si>
    <t>工厂</t>
  </si>
  <si>
    <t>控制</t>
  </si>
  <si>
    <t>灭火</t>
  </si>
  <si>
    <t>气体</t>
  </si>
  <si>
    <t>器具</t>
  </si>
  <si>
    <t>卫生</t>
  </si>
  <si>
    <t>装置</t>
  </si>
  <si>
    <t>贮存</t>
  </si>
  <si>
    <t>泄压阀</t>
  </si>
  <si>
    <t>搭拆</t>
  </si>
  <si>
    <t>瞭望</t>
  </si>
  <si>
    <t>东区</t>
  </si>
  <si>
    <t>地点</t>
  </si>
  <si>
    <t>指定</t>
  </si>
  <si>
    <t>余方</t>
  </si>
  <si>
    <t>独立</t>
  </si>
  <si>
    <t>红火蚁</t>
  </si>
  <si>
    <t>白蚁</t>
  </si>
  <si>
    <t>一般</t>
  </si>
  <si>
    <t>块料</t>
  </si>
  <si>
    <t>天棚</t>
  </si>
  <si>
    <t>风扇</t>
  </si>
  <si>
    <t>普通</t>
  </si>
  <si>
    <t>开水炉</t>
  </si>
  <si>
    <t>热水器</t>
  </si>
  <si>
    <t>自动</t>
  </si>
  <si>
    <t>螺纹</t>
  </si>
  <si>
    <t>智能</t>
  </si>
  <si>
    <t>沟槽</t>
  </si>
  <si>
    <t>围界</t>
  </si>
  <si>
    <t>道面</t>
  </si>
  <si>
    <t>道肩</t>
  </si>
  <si>
    <t>巡逻道</t>
  </si>
  <si>
    <t>防吹坪</t>
  </si>
  <si>
    <t>保温</t>
  </si>
  <si>
    <t>洗漱台</t>
  </si>
  <si>
    <t>吊顶</t>
  </si>
  <si>
    <t>隔断</t>
  </si>
  <si>
    <t>地板</t>
  </si>
  <si>
    <t>窗套</t>
  </si>
  <si>
    <t>夹丝</t>
  </si>
  <si>
    <t>防火</t>
  </si>
  <si>
    <t>排烟</t>
  </si>
  <si>
    <t>焊接</t>
  </si>
  <si>
    <t>淋浴器</t>
  </si>
  <si>
    <t>火灾</t>
  </si>
  <si>
    <t>流量</t>
  </si>
  <si>
    <t>数据采集</t>
  </si>
  <si>
    <t>巡回</t>
  </si>
  <si>
    <t>检测</t>
  </si>
  <si>
    <t>起重机</t>
  </si>
  <si>
    <t>漏斗</t>
  </si>
  <si>
    <t>水泵</t>
  </si>
  <si>
    <t>接合器</t>
  </si>
  <si>
    <t>水鹤</t>
  </si>
  <si>
    <t>补偿器</t>
  </si>
  <si>
    <t>广播</t>
  </si>
  <si>
    <t>对讲电话</t>
  </si>
  <si>
    <t>高度</t>
  </si>
  <si>
    <t>障碍</t>
  </si>
  <si>
    <t>复合</t>
  </si>
  <si>
    <t>液面计</t>
  </si>
  <si>
    <t>雨蓬</t>
  </si>
  <si>
    <t>透层</t>
  </si>
  <si>
    <t>路面</t>
  </si>
  <si>
    <t>项目编号</t>
  </si>
  <si>
    <t>项目简称</t>
  </si>
  <si>
    <t>省份</t>
  </si>
  <si>
    <t>地市</t>
  </si>
  <si>
    <t>所属分子公司</t>
  </si>
  <si>
    <t>项目负责人</t>
  </si>
  <si>
    <t>商务负责人</t>
  </si>
  <si>
    <t>合同工期(天）</t>
  </si>
  <si>
    <t>计划完工</t>
  </si>
  <si>
    <t>实际完工</t>
  </si>
  <si>
    <t>合同价</t>
  </si>
  <si>
    <t>不含税合同价</t>
  </si>
  <si>
    <t>上交指标</t>
  </si>
  <si>
    <t>预期利润</t>
  </si>
  <si>
    <t>地理经度</t>
  </si>
  <si>
    <t>地理纬度</t>
  </si>
  <si>
    <t>本月完成产值</t>
  </si>
  <si>
    <t>累计完成产值</t>
  </si>
  <si>
    <t>业主本月计量</t>
  </si>
  <si>
    <t>业主累计计量</t>
  </si>
  <si>
    <t>完成比例</t>
  </si>
  <si>
    <t>实际利润率%</t>
  </si>
  <si>
    <t>项目经济运行状态</t>
  </si>
  <si>
    <t>图例</t>
  </si>
  <si>
    <t>总成本</t>
  </si>
  <si>
    <t>专业分包</t>
  </si>
  <si>
    <t>其它直接费</t>
  </si>
  <si>
    <t>期间费</t>
  </si>
  <si>
    <t>分部分项（项）</t>
  </si>
  <si>
    <t>金额阀值</t>
  </si>
  <si>
    <t>数量阀值</t>
  </si>
  <si>
    <t>超支大于-5.%</t>
  </si>
  <si>
    <t>超支于-5.%~-1.%</t>
  </si>
  <si>
    <t>介于-1.%~1.%</t>
  </si>
  <si>
    <t>节约于1.%~5.%</t>
  </si>
  <si>
    <t>节约大于5.%</t>
  </si>
  <si>
    <t>工程成本费用（月度）汇总表</t>
  </si>
  <si>
    <t>工程名称：厦门新机场项目—机场工程—飞行区场道工程四标段施工</t>
  </si>
  <si>
    <t>复核后的合同金额（元）
（不含增值税）</t>
  </si>
  <si>
    <t>截止本月累计完成产值（元）
（不含增值税）</t>
  </si>
  <si>
    <t>责任书约定的上交管理费指标（%）</t>
  </si>
  <si>
    <t xml:space="preserve">   
 产值完成比例（%）
    （产值/复核后合同额）
</t>
  </si>
  <si>
    <t>截止本月业主已审核计量（元）
（不含增值税）</t>
  </si>
  <si>
    <r>
      <rPr>
        <b/>
        <sz val="9"/>
        <rFont val="宋体"/>
        <charset val="134"/>
      </rPr>
      <t xml:space="preserve">实际利润率（%）
</t>
    </r>
    <r>
      <rPr>
        <b/>
        <sz val="8"/>
        <rFont val="宋体"/>
        <charset val="134"/>
      </rPr>
      <t>（累计完成产值-累计实际支出）/累计完成产值</t>
    </r>
  </si>
  <si>
    <t>费用项目</t>
  </si>
  <si>
    <t>成本预算总额
（元）①</t>
  </si>
  <si>
    <t>截止本月累计预算支出（元）②</t>
  </si>
  <si>
    <t>截止本月累计已计量支出（元）</t>
  </si>
  <si>
    <t>截止本月累计实际支出（元）</t>
  </si>
  <si>
    <t xml:space="preserve">
成本预算降低额（元）
</t>
  </si>
  <si>
    <t>成本预算完成比例（%）
③=②/①</t>
  </si>
  <si>
    <t>支出数据链接03表</t>
  </si>
  <si>
    <t>支出数据链接04表</t>
  </si>
  <si>
    <t>清单材料费</t>
  </si>
  <si>
    <t>购买柴油费</t>
  </si>
  <si>
    <t>支出数据链接05表</t>
  </si>
  <si>
    <t>清单机械费</t>
  </si>
  <si>
    <t>代扣柴油费</t>
  </si>
  <si>
    <t>专业分包工程费</t>
  </si>
  <si>
    <t>支出数据链接06表</t>
  </si>
  <si>
    <t>其他直接费</t>
  </si>
  <si>
    <t>支出数据链接07表</t>
  </si>
  <si>
    <t>单价措施费</t>
  </si>
  <si>
    <r>
      <rPr>
        <b/>
        <sz val="10"/>
        <rFont val="宋体"/>
        <charset val="134"/>
      </rPr>
      <t>期间费用</t>
    </r>
    <r>
      <rPr>
        <sz val="8"/>
        <rFont val="宋体"/>
        <charset val="134"/>
      </rPr>
      <t>（不含上交管理费）</t>
    </r>
  </si>
  <si>
    <t>支出数据链接08表</t>
  </si>
  <si>
    <t>其中</t>
  </si>
  <si>
    <t>调整金额</t>
  </si>
  <si>
    <t>表10 调整金额</t>
  </si>
  <si>
    <r>
      <rPr>
        <b/>
        <sz val="10"/>
        <rFont val="宋体"/>
        <charset val="134"/>
      </rPr>
      <t xml:space="preserve">合  计
</t>
    </r>
    <r>
      <rPr>
        <b/>
        <sz val="6"/>
        <rFont val="宋体"/>
        <charset val="134"/>
      </rPr>
      <t>（1+2+3+4+5+6+7）</t>
    </r>
  </si>
  <si>
    <t>项目安全：</t>
  </si>
  <si>
    <t>项目材料：</t>
  </si>
  <si>
    <t>项目造价：</t>
  </si>
  <si>
    <t>项目经理：</t>
  </si>
  <si>
    <t>项目技术负责人：</t>
  </si>
  <si>
    <t>项目财务：</t>
  </si>
  <si>
    <t>说明：1、期间费用不含上交管理费，截止本月累计实际支出为财务账面实际金额+本月调整金额（含本月支出）；</t>
  </si>
  <si>
    <t xml:space="preserve">     2、第5.2项 安全生产费截止本月累计实际支出应链接07表中截止本月累计预算支出和截止本月累计实际支出金额较大者；</t>
  </si>
  <si>
    <t xml:space="preserve">     3、第7项 调整金额仅反映超出成本预算的金额，详表10。仅供本月临时调整，偏差较大时，应在该季度内调整成本预算。</t>
  </si>
  <si>
    <t>工程产值对比表</t>
  </si>
  <si>
    <t>合同</t>
  </si>
  <si>
    <t>图纸复核</t>
  </si>
  <si>
    <t>预算成本</t>
  </si>
  <si>
    <t>变更</t>
  </si>
  <si>
    <t>本月
完成产值（或预算）</t>
  </si>
  <si>
    <t>截止本月累计
完成产值（或预算）</t>
  </si>
  <si>
    <t>剩余工作量</t>
  </si>
  <si>
    <r>
      <rPr>
        <sz val="11"/>
        <color theme="1"/>
        <rFont val="宋体"/>
        <charset val="134"/>
      </rPr>
      <t>截止</t>
    </r>
    <r>
      <rPr>
        <b/>
        <sz val="11"/>
        <color rgb="FFFF0000"/>
        <rFont val="宋体"/>
        <charset val="134"/>
      </rPr>
      <t>XX</t>
    </r>
    <r>
      <rPr>
        <sz val="11"/>
        <color theme="1"/>
        <rFont val="宋体"/>
        <charset val="134"/>
      </rPr>
      <t>月业主已审核计量</t>
    </r>
  </si>
  <si>
    <t>数量</t>
  </si>
  <si>
    <t>金额(元)</t>
  </si>
  <si>
    <t>数量2</t>
  </si>
  <si>
    <t>金额(元)2</t>
  </si>
  <si>
    <t>数量3</t>
  </si>
  <si>
    <t>金额(元)22</t>
  </si>
  <si>
    <t>数量4</t>
  </si>
  <si>
    <t>金额(元)4</t>
  </si>
  <si>
    <t>数量5</t>
  </si>
  <si>
    <t>金额(元)5</t>
  </si>
  <si>
    <t>数量6</t>
  </si>
  <si>
    <t>金额(元)6</t>
  </si>
  <si>
    <t>数量7</t>
  </si>
  <si>
    <t>金额(元)7</t>
  </si>
  <si>
    <t>数量8</t>
  </si>
  <si>
    <t>金额(元)8</t>
  </si>
  <si>
    <t xml:space="preserve"> </t>
  </si>
  <si>
    <t>成孔含混泥土浇筑</t>
  </si>
  <si>
    <t>含桩头整理</t>
  </si>
  <si>
    <t>A01001001006</t>
  </si>
  <si>
    <t>A01001001007</t>
  </si>
  <si>
    <t>A01001001008</t>
  </si>
  <si>
    <t>A01001001009</t>
  </si>
  <si>
    <t>包括混凝土、钢筋、模板、脚手架或支架（含基础）等全部工程内容</t>
  </si>
  <si>
    <t>含摊销</t>
  </si>
  <si>
    <t>A01001002006</t>
  </si>
  <si>
    <t>A01001041</t>
  </si>
  <si>
    <t>挡墙</t>
  </si>
  <si>
    <t>包括砌体、混凝土、钢筋、盖板、模板、脚手架、土石方开挖、运输、回填、余方处置等全部工程内容</t>
  </si>
  <si>
    <t>A01001041001</t>
  </si>
  <si>
    <t>A01001041002</t>
  </si>
  <si>
    <t>A01001041003</t>
  </si>
  <si>
    <t>A01001041004</t>
  </si>
  <si>
    <t>A01001041005</t>
  </si>
  <si>
    <t>A01001041006</t>
  </si>
  <si>
    <t>A01001041007</t>
  </si>
  <si>
    <t>A01001041008</t>
  </si>
  <si>
    <t>A01001041009</t>
  </si>
  <si>
    <t>含碎石土中的碎石</t>
  </si>
  <si>
    <t>A01001041010</t>
  </si>
  <si>
    <t>A01001041011</t>
  </si>
  <si>
    <t>A01001041012</t>
  </si>
  <si>
    <t>A01001041013</t>
  </si>
  <si>
    <t>A01001041014</t>
  </si>
  <si>
    <t>A01001041015</t>
  </si>
  <si>
    <t>A01001041016</t>
  </si>
  <si>
    <t>A01001041017</t>
  </si>
  <si>
    <t>A01001041018</t>
  </si>
  <si>
    <t>A01001041019</t>
  </si>
  <si>
    <t>含防渗土工膜、镀锌钢丝网</t>
  </si>
  <si>
    <t>A01001041020</t>
  </si>
  <si>
    <t>A01001041021</t>
  </si>
  <si>
    <t>2#桥梁</t>
  </si>
  <si>
    <t>A01002001006</t>
  </si>
  <si>
    <t>A01002001007</t>
  </si>
  <si>
    <t>A01002001008</t>
  </si>
  <si>
    <t>A01002001009</t>
  </si>
  <si>
    <t>A01002039</t>
  </si>
  <si>
    <t>边坡网喷</t>
  </si>
  <si>
    <t>包括用于地下结构施工及基坑周边环境安全的全部支档、加固及保护措施等全部工程内容</t>
  </si>
  <si>
    <t>A01002039001</t>
  </si>
  <si>
    <t>A01002039002</t>
  </si>
  <si>
    <t>A01002039003</t>
  </si>
  <si>
    <t>A01002039004</t>
  </si>
  <si>
    <t>A01002039005</t>
  </si>
  <si>
    <t>A01002039006</t>
  </si>
  <si>
    <t>A01002039007</t>
  </si>
  <si>
    <t>A01003</t>
  </si>
  <si>
    <t>3#桥梁土石方</t>
  </si>
  <si>
    <t>A01003001</t>
  </si>
  <si>
    <t>竖向土石方开挖</t>
  </si>
  <si>
    <t>包括竖向土石方（含障碍物）开挖、运输、余方处置等全部工程内容</t>
  </si>
  <si>
    <t>A01003001001</t>
  </si>
  <si>
    <t>A01003002</t>
  </si>
  <si>
    <t>竖向土石方回填</t>
  </si>
  <si>
    <t>包括取土、运输、回填、压实、土工合成材料等全部工程内容</t>
  </si>
  <si>
    <t>A01003002001</t>
  </si>
  <si>
    <t>A01004</t>
  </si>
  <si>
    <t>3#道路工程</t>
  </si>
  <si>
    <t>A01004001</t>
  </si>
  <si>
    <t xml:space="preserve">特殊地基处理 </t>
  </si>
  <si>
    <t>包括地基强夯、预压、振冲挤密、换填、抛石挤淤、注浆等处理方式以及余方弃置等全部工程内容</t>
  </si>
  <si>
    <t>A01004001001</t>
  </si>
  <si>
    <t>A01004001002</t>
  </si>
  <si>
    <t>A01004009</t>
  </si>
  <si>
    <t>露骨料透水混凝土面层</t>
  </si>
  <si>
    <t>包括面层、表面处理、侧（平、缘）石及嵌边石、树池围牙及盖板、模板、钢筋等全部工程内容</t>
  </si>
  <si>
    <t>A01004009001</t>
  </si>
  <si>
    <t>A01004009002</t>
  </si>
  <si>
    <t>A01004010</t>
  </si>
  <si>
    <t>块料面层</t>
  </si>
  <si>
    <t>A01004010001</t>
  </si>
  <si>
    <t>A01004010002</t>
  </si>
  <si>
    <t>A01004010003</t>
  </si>
  <si>
    <t>A01004010004</t>
  </si>
  <si>
    <t>A01005</t>
  </si>
  <si>
    <t>3#交通工程</t>
  </si>
  <si>
    <t>A01005001</t>
  </si>
  <si>
    <t>标记标线</t>
  </si>
  <si>
    <t>包括清洗标线、标志、标线、标牌、防护、基础及模板等全部工程内容</t>
  </si>
  <si>
    <t>A01005001001</t>
  </si>
  <si>
    <t>A01005002</t>
  </si>
  <si>
    <t>交通安全设施（安全岛）</t>
  </si>
  <si>
    <t>包括标志、标线、标牌、防护、基础及模板等全部工程内容</t>
  </si>
  <si>
    <t>A01005002001</t>
  </si>
  <si>
    <t>A01005003</t>
  </si>
  <si>
    <t>隔离防护栏</t>
  </si>
  <si>
    <t>A01005003001</t>
  </si>
  <si>
    <t>A01005004</t>
  </si>
  <si>
    <t>交通安全设施（标志板）</t>
  </si>
  <si>
    <t>包括标志、标线、标牌、防护、基础及模板、钢筋、土石方开挖、回填、外运等全部工程内容</t>
  </si>
  <si>
    <t>A01005004001</t>
  </si>
  <si>
    <t>A01006</t>
  </si>
  <si>
    <t>3#照明工程</t>
  </si>
  <si>
    <t>A01006001</t>
  </si>
  <si>
    <t>高杆灯 LED 3*200W H=15m</t>
  </si>
  <si>
    <t>包括设备、金属构件、防雷接地及辅助项目等全部工程内容</t>
  </si>
  <si>
    <t>A01006001001</t>
  </si>
  <si>
    <t>A01006002</t>
  </si>
  <si>
    <t>单臂路灯 LED 300W H=12m</t>
  </si>
  <si>
    <t>包括设备、线缆、配管、金属构件、管沟开挖回填及弃运、混凝土包封、砂包封、防雷接地及辅助项目等全部工程内容</t>
  </si>
  <si>
    <t>A01006008</t>
  </si>
  <si>
    <t>防雷接地系统</t>
  </si>
  <si>
    <t>包括防雷接地材料、金属构件及辅助项目等全部工程内容</t>
  </si>
  <si>
    <t>A01006008001</t>
  </si>
  <si>
    <t>A01007</t>
  </si>
  <si>
    <t>3#智能交通</t>
  </si>
  <si>
    <t>A01007001</t>
  </si>
  <si>
    <t>智能交通信号控制系统</t>
  </si>
  <si>
    <t>包括监控、通信、信号灯、智能交通、管线、调试、基础及模板等全部工程内容</t>
  </si>
  <si>
    <t>A01007001001</t>
  </si>
  <si>
    <t>A01007008</t>
  </si>
  <si>
    <t>管沟回填、砂包封</t>
  </si>
  <si>
    <t>A01007008001</t>
  </si>
  <si>
    <t>A01008</t>
  </si>
  <si>
    <t>3#排水工程</t>
  </si>
  <si>
    <t>A01008001</t>
  </si>
  <si>
    <t>沟槽土石方开挖</t>
  </si>
  <si>
    <t>A01008001001</t>
  </si>
  <si>
    <t>A01008001002</t>
  </si>
  <si>
    <t>A01008001003</t>
  </si>
  <si>
    <t>A01008001004</t>
  </si>
  <si>
    <t>A01008011</t>
  </si>
  <si>
    <t>包括砌体、混凝土、钢筋、盖板、模板、脚手架等全部工程内容</t>
  </si>
  <si>
    <t>A01008011001</t>
  </si>
  <si>
    <t>A01008011002</t>
  </si>
  <si>
    <t>A01008011003</t>
  </si>
  <si>
    <t>A01008011004</t>
  </si>
  <si>
    <t>A01008011005</t>
  </si>
  <si>
    <t>A01008011006</t>
  </si>
  <si>
    <t>A01009</t>
  </si>
  <si>
    <t>3#景观绿化</t>
  </si>
  <si>
    <t>A01009001</t>
  </si>
  <si>
    <t>包括路床整形、基层等全部工程内容</t>
  </si>
  <si>
    <t>A01009001001</t>
  </si>
  <si>
    <t>A01009008</t>
  </si>
  <si>
    <t>绿地喷灌</t>
  </si>
  <si>
    <t>包括电气、设备、管道、阀门、喷头、井及附件、系统调试及试验等全部工程内容</t>
  </si>
  <si>
    <t>A01009008001</t>
  </si>
  <si>
    <t>A01010</t>
  </si>
  <si>
    <t>3#主桥电气照明工程</t>
  </si>
  <si>
    <t>A01010001</t>
  </si>
  <si>
    <t>激光大灯</t>
  </si>
  <si>
    <t>包括设备、线缆、金属构件、防雷接地及辅助项目等全部工程内容</t>
  </si>
  <si>
    <t>A01010001001</t>
  </si>
  <si>
    <t>A01010008</t>
  </si>
  <si>
    <t>A01010008001</t>
  </si>
  <si>
    <t>A01011</t>
  </si>
  <si>
    <t>3#引桥工程</t>
  </si>
  <si>
    <t>A01011001</t>
  </si>
  <si>
    <t>C35灌注桩</t>
  </si>
  <si>
    <t>A01011001001</t>
  </si>
  <si>
    <t>A01011001002</t>
  </si>
  <si>
    <t>A01011001003</t>
  </si>
  <si>
    <t>A01011001004</t>
  </si>
  <si>
    <t>A01011001005</t>
  </si>
  <si>
    <t>劳务分包、成孔，灌注商混</t>
  </si>
  <si>
    <t>A01011001006</t>
  </si>
  <si>
    <t>A01011001007</t>
  </si>
  <si>
    <t>A01011031</t>
  </si>
  <si>
    <t>锥体护坡</t>
  </si>
  <si>
    <t>包括修整边坡、混凝土、钢筋、砌体、模板、脚手架、锚杆（索）、种植土、植草、养护等全部工程内容</t>
  </si>
  <si>
    <t>A01011031001</t>
  </si>
  <si>
    <t>A01011031002</t>
  </si>
  <si>
    <t>A01011031003</t>
  </si>
  <si>
    <t>A01011031004</t>
  </si>
  <si>
    <t>A01011031005</t>
  </si>
  <si>
    <t>A01011031006</t>
  </si>
  <si>
    <t>防水粘土层</t>
  </si>
  <si>
    <t>A01011032</t>
  </si>
  <si>
    <t>立面装饰 真石漆</t>
  </si>
  <si>
    <t>包括面层处理、面层、结合层、基层、保温隔热层、脚手架等全部工程内容</t>
  </si>
  <si>
    <t>A01011032001</t>
  </si>
  <si>
    <t>A01012</t>
  </si>
  <si>
    <t>3#主桥工程</t>
  </si>
  <si>
    <t>A01012001</t>
  </si>
  <si>
    <t>A01012001001</t>
  </si>
  <si>
    <t>A01012001002</t>
  </si>
  <si>
    <t>A01012001003</t>
  </si>
  <si>
    <t>A01012001004</t>
  </si>
  <si>
    <t>A01012001005</t>
  </si>
  <si>
    <t>A01012001006</t>
  </si>
  <si>
    <t>A01012001007</t>
  </si>
  <si>
    <t>A01012001008</t>
  </si>
  <si>
    <t>A01012001009</t>
  </si>
  <si>
    <t>A01012001010</t>
  </si>
  <si>
    <t>A01012024</t>
  </si>
  <si>
    <t>5mm厚防滑聚脲</t>
  </si>
  <si>
    <t>A01012024001</t>
  </si>
  <si>
    <t>A01013</t>
  </si>
  <si>
    <t>3#东北角人行梯道</t>
  </si>
  <si>
    <t>A01013001</t>
  </si>
  <si>
    <t>A01013001001</t>
  </si>
  <si>
    <t>A01013001002</t>
  </si>
  <si>
    <t>A01013001003</t>
  </si>
  <si>
    <t>A01013001004</t>
  </si>
  <si>
    <t>A01013001005</t>
  </si>
  <si>
    <t>A01013001006</t>
  </si>
  <si>
    <t>A01013001007</t>
  </si>
  <si>
    <t>A01013001008</t>
  </si>
  <si>
    <t>A01013001009</t>
  </si>
  <si>
    <t>A01013007</t>
  </si>
  <si>
    <t>包括成品钢构件、支架（撑）及基础、探伤、防腐、油漆等全部工程内容</t>
  </si>
  <si>
    <t>A01013007001</t>
  </si>
  <si>
    <t>A01013008</t>
  </si>
  <si>
    <t>A01013008001</t>
  </si>
  <si>
    <t>A01014</t>
  </si>
  <si>
    <t>3#东南角人行梯道</t>
  </si>
  <si>
    <t>A01014001</t>
  </si>
  <si>
    <t>C35现浇钢筋混凝土承台</t>
  </si>
  <si>
    <t>A01014001001</t>
  </si>
  <si>
    <t>A01014001002</t>
  </si>
  <si>
    <t>A01014001003</t>
  </si>
  <si>
    <t>A01014001004</t>
  </si>
  <si>
    <t>A01014001005</t>
  </si>
  <si>
    <t>A01014005</t>
  </si>
  <si>
    <t>A01014005001</t>
  </si>
  <si>
    <t>A01015</t>
  </si>
  <si>
    <t>3#基坑支护</t>
  </si>
  <si>
    <t>A01015001</t>
  </si>
  <si>
    <t>基坑（锚杆）支护</t>
  </si>
  <si>
    <t xml:space="preserve">1.地层情况：综合 
2.锚杆(索)类型、部位 ：边坡
3.钻孔深度 ：满足设计及规范要求
4.钻孔直径：φ90 
5.杆体材料品种、规格、数量 ：φ22钢筋
</t>
  </si>
  <si>
    <t>A01015001001</t>
  </si>
  <si>
    <t>成孔、灌浆、钢筋制安</t>
  </si>
  <si>
    <t>A01015001002</t>
  </si>
  <si>
    <t>A01015001003</t>
  </si>
  <si>
    <t>A01015016</t>
  </si>
  <si>
    <t>4.有无钢筋：有，含钢筋整理</t>
  </si>
  <si>
    <t>A01015016001</t>
  </si>
  <si>
    <t>A01015016002</t>
  </si>
  <si>
    <t>A01016</t>
  </si>
  <si>
    <t>3#钢箱梁工程施工专项方案</t>
  </si>
  <si>
    <t>A01016001</t>
  </si>
  <si>
    <t>1.管径、壁厚：综合（符合设计要求）
2.摊销周转使用</t>
  </si>
  <si>
    <t>A01016001001</t>
  </si>
  <si>
    <t>A01016024</t>
  </si>
  <si>
    <t>部分桥梁支撑架无法抽出，一次性摊销</t>
  </si>
  <si>
    <t>A01016024001</t>
  </si>
  <si>
    <t>A02003</t>
  </si>
  <si>
    <t>3#桥梁</t>
  </si>
  <si>
    <t>其他措施项目</t>
  </si>
  <si>
    <t>A03002001</t>
  </si>
  <si>
    <t>A03002001001</t>
  </si>
  <si>
    <t>A03002001002</t>
  </si>
  <si>
    <t>A03002001003</t>
  </si>
  <si>
    <t>A03002001004</t>
  </si>
  <si>
    <t>A03002001005</t>
  </si>
  <si>
    <t>A03002001006</t>
  </si>
  <si>
    <t>A03002001007</t>
  </si>
  <si>
    <t>A03002002</t>
  </si>
  <si>
    <t>A03002002001</t>
  </si>
  <si>
    <t>A03003</t>
  </si>
  <si>
    <t>A03003001</t>
  </si>
  <si>
    <t>A03003001001</t>
  </si>
  <si>
    <t>A03003001002</t>
  </si>
  <si>
    <t>A03003001003</t>
  </si>
  <si>
    <t>A03003001004</t>
  </si>
  <si>
    <t>A03003001005</t>
  </si>
  <si>
    <t>暂列金（3#桥）</t>
  </si>
  <si>
    <t>工程总承包其他费（3#桥设计费用）</t>
  </si>
  <si>
    <t>A06</t>
  </si>
  <si>
    <t>规费已进入清单单价</t>
  </si>
  <si>
    <t>A07</t>
  </si>
  <si>
    <t>综合台账</t>
  </si>
  <si>
    <t>综合台账02表</t>
  </si>
  <si>
    <t>请在此列前插后插入列--》</t>
  </si>
  <si>
    <t>合同内容</t>
  </si>
  <si>
    <t>累计中间计量</t>
  </si>
  <si>
    <t>实际支出
(实际盘点或出库数量）</t>
  </si>
  <si>
    <t>结算</t>
  </si>
  <si>
    <t xml:space="preserve">备注
</t>
  </si>
  <si>
    <t>中间计量</t>
  </si>
  <si>
    <t>生产资源方名称</t>
  </si>
  <si>
    <t>招标方式</t>
  </si>
  <si>
    <t>招标申请编号</t>
  </si>
  <si>
    <t>合同编码</t>
  </si>
  <si>
    <t>合同类型</t>
  </si>
  <si>
    <t>合同金额
（元）</t>
  </si>
  <si>
    <t>合同签
订日期</t>
  </si>
  <si>
    <t>同份合同编码唯一性验证</t>
  </si>
  <si>
    <t>细目编码</t>
  </si>
  <si>
    <t>细目名称</t>
  </si>
  <si>
    <t>单价
（不含税）</t>
  </si>
  <si>
    <t>合同
数量</t>
  </si>
  <si>
    <t>金额</t>
  </si>
  <si>
    <t>剩余工程量</t>
  </si>
  <si>
    <t xml:space="preserve">累计完成比例
</t>
  </si>
  <si>
    <t>实际数量</t>
  </si>
  <si>
    <t>实际金额</t>
  </si>
  <si>
    <t>日期</t>
  </si>
  <si>
    <t>①</t>
  </si>
  <si>
    <t>②</t>
  </si>
  <si>
    <t>③</t>
  </si>
  <si>
    <t>④=②-③</t>
  </si>
  <si>
    <t>④/②</t>
  </si>
  <si>
    <t>据实录入（对应产值）</t>
  </si>
  <si>
    <t>一、劳务合同</t>
  </si>
  <si>
    <t>四川乐成－零星劳务合同</t>
  </si>
  <si>
    <t>劳务合同</t>
  </si>
  <si>
    <t>临设劳务合同</t>
  </si>
  <si>
    <t>临时设施费（办公室区）</t>
  </si>
  <si>
    <t>四川乐成－临设劳务</t>
  </si>
  <si>
    <t>砌筑砖墙</t>
  </si>
  <si>
    <t>零星用工（普工）</t>
  </si>
  <si>
    <t>工日</t>
  </si>
  <si>
    <t>刮腻子</t>
  </si>
  <si>
    <t>围墙安装刺圈</t>
  </si>
  <si>
    <t>搅拌站基础模板制安</t>
  </si>
  <si>
    <t>搅拌站基础钢筋制安</t>
  </si>
  <si>
    <t>搅拌站基础预埋件钢板制安</t>
  </si>
  <si>
    <t>搅拌站砖砌体抹面</t>
  </si>
  <si>
    <t>搅拌站硬化及临时道路硬化，材料堆场</t>
  </si>
  <si>
    <t>搅拌站地坪硬化</t>
  </si>
  <si>
    <t>施工现场绿化、降尘、降燥措施</t>
  </si>
  <si>
    <t>搅拌站料仓砖墙砌筑</t>
  </si>
  <si>
    <t>搅拌站料仓砖墙抹灰</t>
  </si>
  <si>
    <t>搅拌站料仓砖墙圈梁、构造柱</t>
  </si>
  <si>
    <t>搅拌站料仓砖墙圈梁、构造柱模板制安</t>
  </si>
  <si>
    <t>室外管道铺设</t>
  </si>
  <si>
    <t>脚手架</t>
  </si>
  <si>
    <t>临设模板制作、安装</t>
  </si>
  <si>
    <t>四川乐成-排水沟劳务</t>
  </si>
  <si>
    <t>零星人工</t>
  </si>
  <si>
    <t>道面劳务</t>
  </si>
  <si>
    <t>**采购单位</t>
  </si>
  <si>
    <r>
      <rPr>
        <sz val="10"/>
        <color rgb="FF000000"/>
        <rFont val="宋体"/>
        <charset val="134"/>
      </rPr>
      <t>钢筋制安</t>
    </r>
  </si>
  <si>
    <r>
      <rPr>
        <sz val="10"/>
        <color rgb="FF000000"/>
        <rFont val="宋体"/>
        <charset val="134"/>
      </rPr>
      <t>t</t>
    </r>
  </si>
  <si>
    <r>
      <rPr>
        <sz val="10"/>
        <color rgb="FF000000"/>
        <rFont val="宋体"/>
        <charset val="134"/>
      </rPr>
      <t>m3</t>
    </r>
  </si>
  <si>
    <r>
      <rPr>
        <sz val="10"/>
        <color rgb="FF000000"/>
        <rFont val="宋体"/>
        <charset val="134"/>
      </rPr>
      <t>铺设土工布、杂工综合</t>
    </r>
  </si>
  <si>
    <r>
      <rPr>
        <sz val="10"/>
        <color rgb="FF000000"/>
        <rFont val="宋体"/>
        <charset val="134"/>
      </rPr>
      <t>m2</t>
    </r>
  </si>
  <si>
    <r>
      <rPr>
        <sz val="10"/>
        <color rgb="FF000000"/>
        <rFont val="宋体"/>
        <charset val="134"/>
      </rPr>
      <t>地锚</t>
    </r>
  </si>
  <si>
    <r>
      <rPr>
        <sz val="10"/>
        <color rgb="FF000000"/>
        <rFont val="宋体"/>
        <charset val="134"/>
      </rPr>
      <t>个</t>
    </r>
  </si>
  <si>
    <t>二、材料合同</t>
  </si>
  <si>
    <t>水泥采购**单位</t>
  </si>
  <si>
    <t>普通水泥</t>
  </si>
  <si>
    <t>中粗砂</t>
  </si>
  <si>
    <t>道面用中粗砂</t>
  </si>
  <si>
    <t>10以内</t>
  </si>
  <si>
    <t>10以外</t>
  </si>
  <si>
    <t>机砂</t>
  </si>
  <si>
    <t>石屑</t>
  </si>
  <si>
    <t>三、机械合同</t>
  </si>
  <si>
    <t>四川省场道工程有限公司租赁分公司－砼搅拌站</t>
  </si>
  <si>
    <t>砼搅拌站机械租赁</t>
  </si>
  <si>
    <t>道面混凝土混凝土搅拌站HZS180/  1套</t>
  </si>
  <si>
    <t>预拌商品混凝土混凝土搅拌站</t>
  </si>
  <si>
    <t>稳定土拌合站WCB800</t>
  </si>
  <si>
    <t>进出场费(若无下个项目承接，由甲方承担运至黄水基地运费；若有下个项目承接，甲方不承担运费）</t>
  </si>
  <si>
    <t>混凝土运输1km</t>
  </si>
  <si>
    <t>水稳运输1km</t>
  </si>
  <si>
    <t>混凝土泵送及运输1km</t>
  </si>
  <si>
    <t>摊铺碾压</t>
  </si>
  <si>
    <t>土石方机械</t>
  </si>
  <si>
    <t>精平</t>
  </si>
  <si>
    <t>道床(槽)整形精平</t>
  </si>
  <si>
    <t>挖土方</t>
  </si>
  <si>
    <t>装车</t>
  </si>
  <si>
    <t>土方装车</t>
  </si>
  <si>
    <t>运土</t>
  </si>
  <si>
    <t>五、费用合同</t>
  </si>
  <si>
    <t>总  计</t>
  </si>
  <si>
    <t>2、综合台账（02表）</t>
  </si>
  <si>
    <t>2.1合同应分类按时间先后排序录入，补充协议录入到相对应主合同下，其他合同录入与直接工程费相关的合同。</t>
  </si>
  <si>
    <t xml:space="preserve">
2.2招标方式：公开、邀请、竞争性谈判、单一来源。
</t>
  </si>
  <si>
    <t xml:space="preserve">
2.3招标申请编码：若为云采招标需填写招标申请的编码，若为费用合同在此栏备注。
</t>
  </si>
  <si>
    <t xml:space="preserve">
2.4合同类型：主合同、补充协议。
</t>
  </si>
  <si>
    <t xml:space="preserve">
2.5中间计量按月如实录入。
</t>
  </si>
  <si>
    <t xml:space="preserve">
2.6累计中间计量汇总每月中间计量。
</t>
  </si>
  <si>
    <t xml:space="preserve">
2.7剩余工程量=合同工程数量-累计中间中数量。
</t>
  </si>
  <si>
    <t xml:space="preserve">
2.8累计完成比例=累计中间计量中数量/合同工程数量。
</t>
  </si>
  <si>
    <t xml:space="preserve">
2.9结算办理后及时录入结算相关信息。
</t>
  </si>
  <si>
    <r>
      <rPr>
        <sz val="12"/>
        <rFont val="宋体"/>
        <charset val="134"/>
      </rPr>
      <t>2.10当出现未及时计量，但又实际发生了相应工作时，实际数量与金额应按实填入；但请</t>
    </r>
    <r>
      <rPr>
        <b/>
        <sz val="14"/>
        <color rgb="FFFF0000"/>
        <rFont val="微软雅黑"/>
        <charset val="134"/>
      </rPr>
      <t>注意要与产值收入相匹配</t>
    </r>
    <r>
      <rPr>
        <sz val="12"/>
        <rFont val="宋体"/>
        <charset val="134"/>
      </rPr>
      <t>。</t>
    </r>
  </si>
  <si>
    <t>人工费预算对比表</t>
  </si>
  <si>
    <t>到产值表</t>
  </si>
  <si>
    <t>到综合台帐</t>
  </si>
  <si>
    <t>到汇总表</t>
  </si>
  <si>
    <t>人工费预算对比03表</t>
  </si>
  <si>
    <t>成本预算</t>
  </si>
  <si>
    <t>截止本月累计预算支出</t>
  </si>
  <si>
    <t>截止本月累计已计量支出</t>
  </si>
  <si>
    <t>截止本月累计实际支出</t>
  </si>
  <si>
    <t>成本预算降低额</t>
  </si>
  <si>
    <t>预算项目分类</t>
  </si>
  <si>
    <t>数量1</t>
  </si>
  <si>
    <t>合价（元）1</t>
  </si>
  <si>
    <t>数量2（对应产值）</t>
  </si>
  <si>
    <t>合价2（元）</t>
  </si>
  <si>
    <t>合价（元）3</t>
  </si>
  <si>
    <t>合价（元）4</t>
  </si>
  <si>
    <t>价差</t>
  </si>
  <si>
    <t>量差</t>
  </si>
  <si>
    <t>合价（元）5</t>
  </si>
  <si>
    <t>对应台帐细目编码</t>
  </si>
  <si>
    <t>不同计量单位转换系数</t>
  </si>
  <si>
    <t>材料费预算对比表</t>
  </si>
  <si>
    <t>机械租赁费预算对比表</t>
  </si>
  <si>
    <t>机械租赁费预算对比05-2表</t>
  </si>
  <si>
    <t>降低率</t>
  </si>
  <si>
    <t>专业分包预算对比表</t>
  </si>
  <si>
    <t xml:space="preserve">对应台帐细目编码
</t>
  </si>
  <si>
    <t>其他直接费预算对比表</t>
  </si>
  <si>
    <t>其他直接费预算对比表07表</t>
  </si>
  <si>
    <t>此列不适用</t>
  </si>
  <si>
    <t>成本预算
（元）</t>
  </si>
  <si>
    <t xml:space="preserve">产值完成比例    </t>
  </si>
  <si>
    <t>截止本月累计预算支出（元）</t>
  </si>
  <si>
    <t xml:space="preserve">此列不使用
</t>
  </si>
  <si>
    <t>成本预算降低额（元）</t>
  </si>
  <si>
    <t>F01001001</t>
  </si>
  <si>
    <t>临时宿舍、办公室、食堂、厨房、厕所、诊疗所、临时文化福利用房、临时仓库、加工场、搅拌台、临时简易水塔、水池等</t>
  </si>
  <si>
    <t>F01001002</t>
  </si>
  <si>
    <t>F01001003</t>
  </si>
  <si>
    <t>如临时供水管道、临时供电管线、小型临时设施等</t>
  </si>
  <si>
    <t>F01001004</t>
  </si>
  <si>
    <t>F01001005</t>
  </si>
  <si>
    <t>施工现场规定范围内临时简易道路铺设，临时排水沟、排水设施安砌、维修、拆除</t>
  </si>
  <si>
    <t>F01001006</t>
  </si>
  <si>
    <t>搅拌站零星材料</t>
  </si>
  <si>
    <t>F01001007</t>
  </si>
  <si>
    <t>其他临时设施搭设、维修、拆除或摊销费用。临时设施费不包括因施工场地狭小由建设单位负责申办租用临时用地的租金。</t>
  </si>
  <si>
    <t>F01001008</t>
  </si>
  <si>
    <t>料场隔断</t>
  </si>
  <si>
    <t>F01001009</t>
  </si>
  <si>
    <t>现场临时围档</t>
  </si>
  <si>
    <t>施工现场采用彩色、定型钢板、砖、混凝土切块等围挡的安砌、维修、拆除费或摊销费</t>
  </si>
  <si>
    <t>F01002006</t>
  </si>
  <si>
    <t>F01002007</t>
  </si>
  <si>
    <t>F01002008</t>
  </si>
  <si>
    <t>F01002009</t>
  </si>
  <si>
    <t>F01002010</t>
  </si>
  <si>
    <t>F01002011</t>
  </si>
  <si>
    <t>F01002012</t>
  </si>
  <si>
    <t>F01002013</t>
  </si>
  <si>
    <t>深基坑降排水</t>
  </si>
  <si>
    <t>F01002014</t>
  </si>
  <si>
    <t>F01002015</t>
  </si>
  <si>
    <t>F01002016</t>
  </si>
  <si>
    <t>八牌一图制作与安装</t>
  </si>
  <si>
    <t>F01002017</t>
  </si>
  <si>
    <t>现场围挡的墙面美化(包括内外粉刷、刷白、标语等)、压顶装饰费用</t>
  </si>
  <si>
    <t>F01002018</t>
  </si>
  <si>
    <t>F01002019</t>
  </si>
  <si>
    <t>其他施工现场临时设施的装饰装修、美化（绿化）措施费用</t>
  </si>
  <si>
    <t>F01002020</t>
  </si>
  <si>
    <t>现场生活卫生设施费用</t>
  </si>
  <si>
    <t>F01002021</t>
  </si>
  <si>
    <t>符合卫生要求的饮水设备、淋浴、消毒等设施费用</t>
  </si>
  <si>
    <t>F01002022</t>
  </si>
  <si>
    <t>生活用洁净燃料费用</t>
  </si>
  <si>
    <t>F01002023</t>
  </si>
  <si>
    <t>防煤气中毒、防蚊虫叮咬等设施费用</t>
  </si>
  <si>
    <t>F01002024</t>
  </si>
  <si>
    <t>施工现场操作场地的硬化费用</t>
  </si>
  <si>
    <t>F01002025</t>
  </si>
  <si>
    <t>治安综合治理费用</t>
  </si>
  <si>
    <t>F01002026</t>
  </si>
  <si>
    <t>现场配备医药保健器材、物品费用和急救人员培训费用</t>
  </si>
  <si>
    <t>F01002027</t>
  </si>
  <si>
    <t>F01002028</t>
  </si>
  <si>
    <t>F01002029</t>
  </si>
  <si>
    <t>数字化监控支出、智慧工地建设支出</t>
  </si>
  <si>
    <t>F01002030</t>
  </si>
  <si>
    <t>F01002031</t>
  </si>
  <si>
    <t>其他文明施工措施费用</t>
  </si>
  <si>
    <t>F01002032</t>
  </si>
  <si>
    <t>安全防护支出</t>
  </si>
  <si>
    <t>F01002033</t>
  </si>
  <si>
    <t>防火、防爆、防雷、防毒、防台风、防尘等</t>
  </si>
  <si>
    <t>F01002034</t>
  </si>
  <si>
    <t>有害气体监测支出</t>
  </si>
  <si>
    <t>F01002035</t>
  </si>
  <si>
    <t>应急救援、重大危险评估方案等支出</t>
  </si>
  <si>
    <t>F01002036</t>
  </si>
  <si>
    <t>F01002037</t>
  </si>
  <si>
    <t>安全标志标牌、警示标识</t>
  </si>
  <si>
    <t>F01002038</t>
  </si>
  <si>
    <t>设备检测检验支出</t>
  </si>
  <si>
    <t>F01002039</t>
  </si>
  <si>
    <t>新技术、新标准、新工艺、新装备的前期研发、推广支出</t>
  </si>
  <si>
    <t>F01002040</t>
  </si>
  <si>
    <t>安全教育、培训、宣传等支出</t>
  </si>
  <si>
    <t>F01002041</t>
  </si>
  <si>
    <t>其他安全施工措施费</t>
  </si>
  <si>
    <t>F01003001</t>
  </si>
  <si>
    <t>零星材料</t>
  </si>
  <si>
    <t>F01003002</t>
  </si>
  <si>
    <t>周转材料</t>
  </si>
  <si>
    <t>F01003003</t>
  </si>
  <si>
    <t>F01003004</t>
  </si>
  <si>
    <t>添加项目在此行前插入数据，灰色单元格内为公式，计量单位为元时，在数量栏内填入金额，便于合价公式统一</t>
  </si>
  <si>
    <t>7、其他直接费（07表）</t>
  </si>
  <si>
    <t>期间费用预算对比表</t>
  </si>
  <si>
    <t>期间费08表</t>
  </si>
  <si>
    <t xml:space="preserve">产值完成比例     </t>
  </si>
  <si>
    <t xml:space="preserve">截止本月财务账面实际支出      </t>
  </si>
  <si>
    <t xml:space="preserve">本月调整金额        </t>
  </si>
  <si>
    <t>期间费用</t>
  </si>
  <si>
    <t>截止24.4工资+截止24.4月单位社保</t>
  </si>
  <si>
    <t>会计期间23.1-23.12应付职工-工资</t>
  </si>
  <si>
    <t>会计期间24.1-24.5应付职工-工资</t>
  </si>
  <si>
    <t>23年单位部分五险两金</t>
  </si>
  <si>
    <t>24.1月单位部分五险两金</t>
  </si>
  <si>
    <t>24.2月单位部分五险两金</t>
  </si>
  <si>
    <t>24.3月单位部分五险两金</t>
  </si>
  <si>
    <t>G04001</t>
  </si>
  <si>
    <t>24.4月单位部分五险两金</t>
  </si>
  <si>
    <t>绿化排污、快递、会议费、空调、热水器等</t>
  </si>
  <si>
    <t>按产值进行摊销</t>
  </si>
  <si>
    <t>仪器修理费</t>
  </si>
  <si>
    <t>外包服务人员</t>
  </si>
  <si>
    <t>外包服务人员+门卫+保洁</t>
  </si>
  <si>
    <t>调 整 表</t>
  </si>
  <si>
    <t>工程名称：</t>
  </si>
  <si>
    <t>日期：</t>
  </si>
  <si>
    <t>调整类别</t>
  </si>
  <si>
    <t>调整因素</t>
  </si>
  <si>
    <t>截止本月累计实际支出合计（元）</t>
  </si>
  <si>
    <t>调整金额
②-①</t>
  </si>
  <si>
    <t xml:space="preserve">
合价（元）
</t>
  </si>
  <si>
    <t>实际单价</t>
  </si>
  <si>
    <t>超出成本预算的数量</t>
  </si>
  <si>
    <t>超出成本预算的单价</t>
  </si>
  <si>
    <t>超出成本预算的合价</t>
  </si>
  <si>
    <t>举例1</t>
  </si>
  <si>
    <t>浆砌块石明沟</t>
  </si>
  <si>
    <t>工程变更增加工程量</t>
  </si>
  <si>
    <t>举例2</t>
  </si>
  <si>
    <t>预算单价偏低</t>
  </si>
  <si>
    <t>举例3</t>
  </si>
  <si>
    <t>量价均超成本预算</t>
  </si>
  <si>
    <t>合 计</t>
  </si>
  <si>
    <t>合计数据链接到汇总表</t>
  </si>
  <si>
    <t>10、成本预算调整表（10表）</t>
  </si>
  <si>
    <t>10.1该表仅对人材机（03、04、05表）、专业分包（06表）中，成本预算降低额/材料节超为负数时进行成本预算的当月临时调整，调整后的汇总金额链接到汇总表中，一季度或出现较大变化时调整成本预算。</t>
  </si>
  <si>
    <t>10.2成本预算项目名称应与对应表格中项目一致，尽量采用链接方式以便追溯。</t>
  </si>
  <si>
    <t>10.3该表只体现成本预算变化的部分，调整金额仅反应超出成本预算的金额。</t>
  </si>
  <si>
    <t>实际产值</t>
  </si>
  <si>
    <t>增加月份请在G列前插入--》</t>
  </si>
  <si>
    <t>第01期</t>
  </si>
  <si>
    <t>报公司产值-》</t>
  </si>
  <si>
    <t>累计数量</t>
  </si>
  <si>
    <t>道面及附属工程</t>
  </si>
  <si>
    <t>道床(槽)整形</t>
  </si>
  <si>
    <t>220mm厚水泥稳定碎石基层</t>
  </si>
  <si>
    <t>180mm厚水泥稳定碎石基层</t>
  </si>
  <si>
    <t>A01001004</t>
  </si>
  <si>
    <t>土工布隔离层</t>
  </si>
  <si>
    <t>A01001005</t>
  </si>
  <si>
    <t>220mm厚水泥混凝土面层</t>
  </si>
  <si>
    <t>A01001006</t>
  </si>
  <si>
    <t>180mm厚水泥混凝土面层</t>
  </si>
  <si>
    <t>A01001007</t>
  </si>
  <si>
    <t>道面拉槽毛</t>
  </si>
  <si>
    <t>A01001008</t>
  </si>
  <si>
    <t>道面拉毛</t>
  </si>
  <si>
    <t>A01001009</t>
  </si>
  <si>
    <t>道面切缝1</t>
  </si>
  <si>
    <t>A01001010</t>
  </si>
  <si>
    <t>道面切缝2</t>
  </si>
  <si>
    <t>A01001011</t>
  </si>
  <si>
    <t>道面切缝4</t>
  </si>
  <si>
    <t>A01001012</t>
  </si>
  <si>
    <t>道面填缝1</t>
  </si>
  <si>
    <t>A01001013</t>
  </si>
  <si>
    <t>道面填缝2</t>
  </si>
  <si>
    <t>A01001014</t>
  </si>
  <si>
    <t>道面填缝4</t>
  </si>
  <si>
    <t>A01001015</t>
  </si>
  <si>
    <t>抗风系留形式地锚</t>
  </si>
  <si>
    <t>A01001016</t>
  </si>
  <si>
    <t>标志标线</t>
  </si>
  <si>
    <t>A01001017</t>
  </si>
  <si>
    <t>消除直立面</t>
  </si>
  <si>
    <t>A01001018</t>
  </si>
  <si>
    <t>A01001019</t>
  </si>
  <si>
    <t>道面传力杆</t>
  </si>
  <si>
    <t>A01001020</t>
  </si>
  <si>
    <t>道面拉杆</t>
  </si>
  <si>
    <t>A01001021</t>
  </si>
  <si>
    <t>挖沟槽土石方，甩边</t>
  </si>
  <si>
    <t>A01001022</t>
  </si>
  <si>
    <t>挖沟槽土石方，场内运输</t>
  </si>
  <si>
    <t>A01001023</t>
  </si>
  <si>
    <t>回填土石方，沟槽</t>
  </si>
  <si>
    <t>A01001024</t>
  </si>
  <si>
    <t>碎石基础</t>
  </si>
  <si>
    <t>A01001025</t>
  </si>
  <si>
    <t>C15垫层</t>
  </si>
  <si>
    <t>A01001026</t>
  </si>
  <si>
    <t>A01001027</t>
  </si>
  <si>
    <t>C30P6钢筋混凝土排水沟</t>
  </si>
  <si>
    <t>A01001028</t>
  </si>
  <si>
    <t>排水沟钢筋</t>
  </si>
  <si>
    <t>A01001029</t>
  </si>
  <si>
    <t>A01001030</t>
  </si>
  <si>
    <t>A01001031</t>
  </si>
  <si>
    <t>A01001032</t>
  </si>
  <si>
    <t>A01001033</t>
  </si>
  <si>
    <t>钢筋网刺铁丝围界</t>
  </si>
  <si>
    <t>A01001034</t>
  </si>
  <si>
    <t>双向开启式围界大门</t>
  </si>
  <si>
    <t>樘</t>
  </si>
  <si>
    <t>A02002001</t>
  </si>
  <si>
    <t>大型机械设备进出场及安拆</t>
  </si>
  <si>
    <t>A02002002</t>
  </si>
  <si>
    <t>施工排水</t>
  </si>
  <si>
    <t>A02002003</t>
  </si>
  <si>
    <t>施工降水</t>
  </si>
  <si>
    <t>A02002004</t>
  </si>
  <si>
    <t>搅拌站场地硬化</t>
  </si>
  <si>
    <t>第05期</t>
  </si>
  <si>
    <t>截止本月累计数量</t>
  </si>
  <si>
    <t>项目图纸问题汇总</t>
  </si>
  <si>
    <t>问题描述</t>
  </si>
  <si>
    <t>处理意见</t>
  </si>
  <si>
    <t>业主/设计回复</t>
  </si>
  <si>
    <t>部位</t>
  </si>
  <si>
    <t>计算式</t>
  </si>
  <si>
    <t>系数</t>
  </si>
  <si>
    <t>工程量</t>
  </si>
  <si>
    <t>变量</t>
  </si>
  <si>
    <t>2263.81+4949.06+7142.66</t>
  </si>
  <si>
    <t>2263.81+7142.66+4949.06</t>
  </si>
  <si>
    <t>7142.66+8970.28+8970.28</t>
  </si>
</sst>
</file>

<file path=xl/styles.xml><?xml version="1.0" encoding="utf-8"?>
<styleSheet xmlns="http://schemas.openxmlformats.org/spreadsheetml/2006/main" xmlns:mc="http://schemas.openxmlformats.org/markup-compatibility/2006" xmlns:xr9="http://schemas.microsoft.com/office/spreadsheetml/2016/revision9" mc:Ignorable="xr9">
  <numFmts count="2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quot;-&quot;"/>
    <numFmt numFmtId="177" formatCode="&quot;?#,##0.00;\-&quot;&quot;\?&quot;#,##0.00"/>
    <numFmt numFmtId="178" formatCode="#,##0;[Red]\(#,##0\)"/>
    <numFmt numFmtId="179" formatCode="&quot;\&quot;#,##0;[Red]&quot;\&quot;&quot;\&quot;\-#,##0"/>
    <numFmt numFmtId="180" formatCode="&quot;\&quot;#,##0.00;[Red]&quot;\&quot;&quot;\&quot;&quot;\&quot;&quot;\&quot;&quot;\&quot;&quot;\&quot;\-#,##0.00"/>
    <numFmt numFmtId="181" formatCode="&quot;\&quot;#,##0.00;[Red]&quot;\&quot;\-#,##0.00"/>
    <numFmt numFmtId="182" formatCode="&quot;\&quot;#,##0;[Red]&quot;\&quot;\-#,##0"/>
    <numFmt numFmtId="183" formatCode="0.00_ "/>
    <numFmt numFmtId="184" formatCode="yyyy&quot;年&quot;mm&quot;月&quot;;@"/>
    <numFmt numFmtId="185" formatCode="0.00_);[Red]\(0.00\)"/>
    <numFmt numFmtId="186" formatCode="0_ "/>
    <numFmt numFmtId="187" formatCode="0.00_ ;[Red]\-0.00\ "/>
    <numFmt numFmtId="188" formatCode="0.000_ "/>
    <numFmt numFmtId="189" formatCode="#,##0.00_ "/>
    <numFmt numFmtId="190" formatCode="0.0%"/>
    <numFmt numFmtId="191" formatCode="&quot;其中：&quot;General"/>
    <numFmt numFmtId="192" formatCode="0.0_ "/>
    <numFmt numFmtId="193" formatCode="0.00000000"/>
    <numFmt numFmtId="194" formatCode="_ * #,##0.00_ ;_ * \-#,##0.00_ ;_ * &quot;-&quot;??????_ ;_ @_ "/>
    <numFmt numFmtId="195" formatCode="_ * #,##0.00_ ;_ * \-#,##0.00_ ;_ * &quot;-&quot;?????_ ;_ @_ "/>
    <numFmt numFmtId="196" formatCode="0.000_);[Red]\(0.000\)"/>
    <numFmt numFmtId="197" formatCode="#,##0.00_);[Red]\(#,##0.00\)"/>
    <numFmt numFmtId="198" formatCode="0.0000_);[Red]\(0.0000\)"/>
  </numFmts>
  <fonts count="173">
    <font>
      <sz val="12"/>
      <name val="宋体"/>
      <charset val="134"/>
    </font>
    <font>
      <sz val="11"/>
      <color theme="1"/>
      <name val="宋体"/>
      <charset val="134"/>
      <scheme val="minor"/>
    </font>
    <font>
      <sz val="9"/>
      <color theme="1"/>
      <name val="宋体"/>
      <charset val="134"/>
      <scheme val="minor"/>
    </font>
    <font>
      <sz val="9"/>
      <color rgb="FF0000FF"/>
      <name val="宋体"/>
      <charset val="134"/>
      <scheme val="minor"/>
    </font>
    <font>
      <sz val="9"/>
      <color rgb="FFCAEACE"/>
      <name val="宋体"/>
      <charset val="134"/>
      <scheme val="minor"/>
    </font>
    <font>
      <sz val="10"/>
      <color theme="1"/>
      <name val="宋体"/>
      <charset val="134"/>
      <scheme val="minor"/>
    </font>
    <font>
      <b/>
      <sz val="9"/>
      <name val="宋体"/>
      <charset val="134"/>
      <scheme val="minor"/>
    </font>
    <font>
      <sz val="10"/>
      <color theme="1"/>
      <name val="宋体"/>
      <charset val="134"/>
    </font>
    <font>
      <b/>
      <sz val="10"/>
      <color theme="1"/>
      <name val="宋体"/>
      <charset val="134"/>
    </font>
    <font>
      <sz val="10"/>
      <name val="宋体"/>
      <charset val="134"/>
    </font>
    <font>
      <b/>
      <sz val="12"/>
      <name val="宋体"/>
      <charset val="134"/>
    </font>
    <font>
      <sz val="11"/>
      <color theme="1"/>
      <name val="宋体"/>
      <charset val="134"/>
    </font>
    <font>
      <b/>
      <sz val="10"/>
      <name val="宋体"/>
      <charset val="134"/>
    </font>
    <font>
      <b/>
      <sz val="11"/>
      <name val="宋体"/>
      <charset val="134"/>
    </font>
    <font>
      <b/>
      <sz val="18"/>
      <name val="宋体"/>
      <charset val="134"/>
    </font>
    <font>
      <sz val="11"/>
      <name val="宋体"/>
      <charset val="134"/>
    </font>
    <font>
      <u/>
      <sz val="12"/>
      <color rgb="FF800080"/>
      <name val="宋体"/>
      <charset val="134"/>
    </font>
    <font>
      <sz val="11"/>
      <color rgb="FFFF0000"/>
      <name val="宋体"/>
      <charset val="134"/>
    </font>
    <font>
      <b/>
      <i/>
      <sz val="10"/>
      <color rgb="FFFF0000"/>
      <name val="宋体"/>
      <charset val="134"/>
    </font>
    <font>
      <sz val="10"/>
      <color indexed="8"/>
      <name val="宋体"/>
      <charset val="134"/>
    </font>
    <font>
      <sz val="10"/>
      <color rgb="FFFF0000"/>
      <name val="宋体"/>
      <charset val="134"/>
    </font>
    <font>
      <i/>
      <sz val="11"/>
      <name val="宋体"/>
      <charset val="134"/>
    </font>
    <font>
      <sz val="9"/>
      <name val="宋体"/>
      <charset val="134"/>
    </font>
    <font>
      <sz val="11"/>
      <color theme="0"/>
      <name val="宋体"/>
      <charset val="134"/>
    </font>
    <font>
      <i/>
      <sz val="9"/>
      <name val="宋体"/>
      <charset val="134"/>
    </font>
    <font>
      <sz val="12"/>
      <color rgb="FFFF0000"/>
      <name val="宋体"/>
      <charset val="134"/>
    </font>
    <font>
      <sz val="12"/>
      <color theme="0"/>
      <name val="宋体"/>
      <charset val="134"/>
    </font>
    <font>
      <sz val="10"/>
      <color theme="0"/>
      <name val="宋体"/>
      <charset val="134"/>
    </font>
    <font>
      <b/>
      <sz val="9"/>
      <color indexed="8"/>
      <name val="宋体"/>
      <charset val="134"/>
    </font>
    <font>
      <sz val="10"/>
      <color theme="9"/>
      <name val="宋体"/>
      <charset val="134"/>
    </font>
    <font>
      <u/>
      <sz val="12"/>
      <color theme="10"/>
      <name val="宋体"/>
      <charset val="134"/>
    </font>
    <font>
      <b/>
      <sz val="9"/>
      <name val="宋体"/>
      <charset val="134"/>
    </font>
    <font>
      <b/>
      <sz val="9"/>
      <color rgb="FF000000"/>
      <name val="宋体"/>
      <charset val="134"/>
    </font>
    <font>
      <sz val="10"/>
      <color rgb="FF000000"/>
      <name val="宋体"/>
      <charset val="134"/>
    </font>
    <font>
      <sz val="18"/>
      <name val="宋体"/>
      <charset val="134"/>
    </font>
    <font>
      <b/>
      <sz val="11"/>
      <color theme="1"/>
      <name val="宋体"/>
      <charset val="134"/>
    </font>
    <font>
      <sz val="12"/>
      <color theme="1"/>
      <name val="宋体"/>
      <charset val="134"/>
    </font>
    <font>
      <b/>
      <sz val="9"/>
      <color theme="1"/>
      <name val="宋体"/>
      <charset val="134"/>
    </font>
    <font>
      <b/>
      <sz val="20"/>
      <name val="宋体"/>
      <charset val="134"/>
    </font>
    <font>
      <sz val="14"/>
      <name val="宋体"/>
      <charset val="134"/>
    </font>
    <font>
      <b/>
      <sz val="10"/>
      <color theme="1"/>
      <name val="宋体"/>
      <charset val="134"/>
      <scheme val="minor"/>
    </font>
    <font>
      <b/>
      <sz val="11"/>
      <color rgb="FF000000"/>
      <name val="宋体"/>
      <charset val="134"/>
    </font>
    <font>
      <sz val="11"/>
      <color rgb="FF000000"/>
      <name val="宋体"/>
      <charset val="134"/>
    </font>
    <font>
      <sz val="9"/>
      <color rgb="FF000000"/>
      <name val="宋体"/>
      <charset val="134"/>
    </font>
    <font>
      <sz val="9"/>
      <color theme="0"/>
      <name val="宋体"/>
      <charset val="134"/>
    </font>
    <font>
      <b/>
      <sz val="20"/>
      <color theme="0"/>
      <name val="宋体"/>
      <charset val="134"/>
    </font>
    <font>
      <b/>
      <sz val="11"/>
      <color theme="0"/>
      <name val="宋体"/>
      <charset val="134"/>
    </font>
    <font>
      <b/>
      <sz val="9"/>
      <color theme="0"/>
      <name val="宋体"/>
      <charset val="134"/>
    </font>
    <font>
      <b/>
      <sz val="12"/>
      <color theme="1"/>
      <name val="宋体"/>
      <charset val="134"/>
    </font>
    <font>
      <b/>
      <sz val="16"/>
      <name val="宋体"/>
      <charset val="134"/>
    </font>
    <font>
      <sz val="12"/>
      <color rgb="FF1E1E1E"/>
      <name val="Courier New"/>
      <charset val="134"/>
    </font>
    <font>
      <i/>
      <sz val="12"/>
      <color rgb="FFFF0000"/>
      <name val="宋体"/>
      <charset val="134"/>
    </font>
    <font>
      <sz val="10"/>
      <color rgb="FF1E1E1E"/>
      <name val="Courier New"/>
      <charset val="134"/>
    </font>
    <font>
      <b/>
      <sz val="22"/>
      <name val="微软雅黑"/>
      <charset val="134"/>
    </font>
    <font>
      <sz val="12"/>
      <color rgb="FF000000"/>
      <name val="宋体"/>
      <charset val="134"/>
    </font>
    <font>
      <b/>
      <sz val="12"/>
      <color theme="0"/>
      <name val="微软雅黑"/>
      <charset val="134"/>
    </font>
    <font>
      <b/>
      <sz val="14"/>
      <color theme="0"/>
      <name val="微软雅黑"/>
      <charset val="134"/>
    </font>
    <font>
      <b/>
      <sz val="14"/>
      <name val="微软雅黑"/>
      <charset val="134"/>
    </font>
    <font>
      <b/>
      <sz val="12"/>
      <name val="微软雅黑"/>
      <charset val="134"/>
    </font>
    <font>
      <sz val="11"/>
      <name val="宋体"/>
      <charset val="134"/>
      <scheme val="minor"/>
    </font>
    <font>
      <sz val="12"/>
      <name val="宋体"/>
      <charset val="134"/>
      <scheme val="minor"/>
    </font>
    <font>
      <sz val="9"/>
      <color theme="1"/>
      <name val="宋体"/>
      <charset val="134"/>
    </font>
    <font>
      <sz val="9"/>
      <color rgb="FFFF0000"/>
      <name val="宋体"/>
      <charset val="134"/>
    </font>
    <font>
      <sz val="18"/>
      <name val="黑体"/>
      <charset val="134"/>
    </font>
    <font>
      <sz val="9"/>
      <color indexed="8"/>
      <name val="宋体"/>
      <charset val="134"/>
    </font>
    <font>
      <b/>
      <sz val="10"/>
      <color indexed="8"/>
      <name val="宋体"/>
      <charset val="134"/>
    </font>
    <font>
      <b/>
      <sz val="18"/>
      <name val="微软雅黑"/>
      <charset val="134"/>
    </font>
    <font>
      <b/>
      <sz val="18"/>
      <color theme="0"/>
      <name val="微软雅黑"/>
      <charset val="134"/>
    </font>
    <font>
      <sz val="18"/>
      <color theme="0"/>
      <name val="宋体"/>
      <charset val="134"/>
    </font>
    <font>
      <sz val="9"/>
      <color theme="0"/>
      <name val="宋体"/>
      <charset val="134"/>
      <scheme val="minor"/>
    </font>
    <font>
      <sz val="11"/>
      <name val="微软雅黑"/>
      <charset val="134"/>
    </font>
    <font>
      <sz val="11"/>
      <color rgb="FF000000"/>
      <name val="微软雅黑"/>
      <charset val="134"/>
    </font>
    <font>
      <b/>
      <sz val="10"/>
      <name val="微软雅黑"/>
      <charset val="134"/>
    </font>
    <font>
      <sz val="10"/>
      <name val="微软雅黑"/>
      <charset val="134"/>
    </font>
    <font>
      <b/>
      <sz val="12"/>
      <color rgb="FFFF0000"/>
      <name val="微软雅黑"/>
      <charset val="134"/>
    </font>
    <font>
      <sz val="10"/>
      <name val="黑体"/>
      <charset val="134"/>
    </font>
    <font>
      <sz val="10"/>
      <color theme="1"/>
      <name val="微软雅黑"/>
      <charset val="134"/>
    </font>
    <font>
      <b/>
      <sz val="11"/>
      <name val="微软雅黑"/>
      <charset val="134"/>
    </font>
    <font>
      <sz val="11"/>
      <color theme="1"/>
      <name val="微软雅黑"/>
      <charset val="134"/>
    </font>
    <font>
      <sz val="10"/>
      <name val="Microsoft YaHei"/>
      <charset val="134"/>
    </font>
    <font>
      <b/>
      <sz val="22"/>
      <name val="宋体"/>
      <charset val="134"/>
    </font>
    <font>
      <b/>
      <sz val="14"/>
      <name val="宋体"/>
      <charset val="134"/>
    </font>
    <font>
      <sz val="16"/>
      <name val="宋体"/>
      <charset val="134"/>
    </font>
    <font>
      <sz val="22"/>
      <name val="宋体"/>
      <charset val="134"/>
    </font>
    <font>
      <b/>
      <sz val="18"/>
      <color rgb="FFC00000"/>
      <name val="微软雅黑"/>
      <charset val="134"/>
    </font>
    <font>
      <sz val="11"/>
      <color theme="1"/>
      <name val="黑体"/>
      <charset val="134"/>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indexed="8"/>
      <name val="华文宋体"/>
      <charset val="134"/>
    </font>
    <font>
      <sz val="11"/>
      <color indexed="8"/>
      <name val="宋体"/>
      <charset val="134"/>
    </font>
    <font>
      <sz val="11"/>
      <color theme="0"/>
      <name val="宋体"/>
      <charset val="134"/>
      <scheme val="minor"/>
    </font>
    <font>
      <sz val="11"/>
      <color indexed="42"/>
      <name val="华文宋体"/>
      <charset val="134"/>
    </font>
    <font>
      <sz val="11"/>
      <color indexed="27"/>
      <name val="宋体"/>
      <charset val="134"/>
    </font>
    <font>
      <sz val="10"/>
      <color indexed="8"/>
      <name val="Arial"/>
      <charset val="134"/>
    </font>
    <font>
      <b/>
      <sz val="10"/>
      <name val="MS Sans Serif"/>
      <charset val="134"/>
    </font>
    <font>
      <sz val="10"/>
      <name val="Arial"/>
      <charset val="134"/>
    </font>
    <font>
      <sz val="12"/>
      <name val="Arial"/>
      <charset val="134"/>
    </font>
    <font>
      <b/>
      <sz val="12"/>
      <name val="Arial"/>
      <charset val="134"/>
    </font>
    <font>
      <sz val="14"/>
      <name val="柧挬"/>
      <charset val="134"/>
    </font>
    <font>
      <b/>
      <sz val="15"/>
      <color indexed="62"/>
      <name val="华文宋体"/>
      <charset val="134"/>
    </font>
    <font>
      <b/>
      <sz val="15"/>
      <color indexed="62"/>
      <name val="宋体"/>
      <charset val="134"/>
    </font>
    <font>
      <b/>
      <sz val="18"/>
      <color theme="3"/>
      <name val="宋体"/>
      <charset val="134"/>
      <scheme val="major"/>
    </font>
    <font>
      <b/>
      <sz val="13"/>
      <color indexed="62"/>
      <name val="华文宋体"/>
      <charset val="134"/>
    </font>
    <font>
      <b/>
      <sz val="13"/>
      <color indexed="62"/>
      <name val="宋体"/>
      <charset val="134"/>
    </font>
    <font>
      <b/>
      <sz val="11"/>
      <color indexed="62"/>
      <name val="华文宋体"/>
      <charset val="134"/>
    </font>
    <font>
      <b/>
      <sz val="11"/>
      <color indexed="62"/>
      <name val="宋体"/>
      <charset val="134"/>
    </font>
    <font>
      <b/>
      <sz val="18"/>
      <color indexed="62"/>
      <name val="宋体"/>
      <charset val="134"/>
    </font>
    <font>
      <sz val="11"/>
      <color rgb="FF9C0006"/>
      <name val="宋体"/>
      <charset val="134"/>
      <scheme val="minor"/>
    </font>
    <font>
      <sz val="11"/>
      <color indexed="20"/>
      <name val="华文宋体"/>
      <charset val="134"/>
    </font>
    <font>
      <sz val="11"/>
      <color indexed="20"/>
      <name val="宋体"/>
      <charset val="134"/>
    </font>
    <font>
      <sz val="12"/>
      <color indexed="8"/>
      <name val="宋体"/>
      <charset val="134"/>
    </font>
    <font>
      <sz val="11"/>
      <color rgb="FF006100"/>
      <name val="宋体"/>
      <charset val="134"/>
      <scheme val="minor"/>
    </font>
    <font>
      <sz val="11"/>
      <color indexed="17"/>
      <name val="华文宋体"/>
      <charset val="134"/>
    </font>
    <font>
      <sz val="11"/>
      <color indexed="17"/>
      <name val="宋体"/>
      <charset val="134"/>
    </font>
    <font>
      <b/>
      <sz val="11"/>
      <color theme="1"/>
      <name val="宋体"/>
      <charset val="134"/>
      <scheme val="minor"/>
    </font>
    <font>
      <b/>
      <sz val="11"/>
      <color indexed="8"/>
      <name val="华文宋体"/>
      <charset val="134"/>
    </font>
    <font>
      <b/>
      <sz val="11"/>
      <color indexed="8"/>
      <name val="宋体"/>
      <charset val="134"/>
    </font>
    <font>
      <b/>
      <sz val="11"/>
      <color rgb="FFFA7D00"/>
      <name val="宋体"/>
      <charset val="134"/>
      <scheme val="minor"/>
    </font>
    <font>
      <b/>
      <sz val="11"/>
      <color indexed="52"/>
      <name val="华文宋体"/>
      <charset val="134"/>
    </font>
    <font>
      <b/>
      <sz val="11"/>
      <color indexed="52"/>
      <name val="宋体"/>
      <charset val="134"/>
    </font>
    <font>
      <b/>
      <sz val="11"/>
      <color theme="0"/>
      <name val="宋体"/>
      <charset val="134"/>
      <scheme val="minor"/>
    </font>
    <font>
      <b/>
      <sz val="11"/>
      <color indexed="42"/>
      <name val="华文宋体"/>
      <charset val="134"/>
    </font>
    <font>
      <b/>
      <sz val="11"/>
      <color indexed="27"/>
      <name val="宋体"/>
      <charset val="134"/>
    </font>
    <font>
      <i/>
      <sz val="11"/>
      <color rgb="FF7F7F7F"/>
      <name val="宋体"/>
      <charset val="134"/>
      <scheme val="minor"/>
    </font>
    <font>
      <i/>
      <sz val="11"/>
      <color indexed="23"/>
      <name val="华文宋体"/>
      <charset val="134"/>
    </font>
    <font>
      <i/>
      <sz val="11"/>
      <color indexed="23"/>
      <name val="宋体"/>
      <charset val="134"/>
    </font>
    <font>
      <sz val="11"/>
      <color rgb="FFFF0000"/>
      <name val="宋体"/>
      <charset val="134"/>
      <scheme val="minor"/>
    </font>
    <font>
      <sz val="11"/>
      <color indexed="10"/>
      <name val="华文宋体"/>
      <charset val="134"/>
    </font>
    <font>
      <sz val="11"/>
      <color indexed="10"/>
      <name val="宋体"/>
      <charset val="134"/>
    </font>
    <font>
      <sz val="11"/>
      <color rgb="FFFA7D00"/>
      <name val="宋体"/>
      <charset val="134"/>
      <scheme val="minor"/>
    </font>
    <font>
      <sz val="11"/>
      <color indexed="52"/>
      <name val="华文宋体"/>
      <charset val="134"/>
    </font>
    <font>
      <sz val="11"/>
      <color indexed="52"/>
      <name val="宋体"/>
      <charset val="134"/>
    </font>
    <font>
      <sz val="12"/>
      <name val="官帕眉"/>
      <charset val="134"/>
    </font>
    <font>
      <sz val="12"/>
      <name val="Times New Roman"/>
      <charset val="134"/>
    </font>
    <font>
      <sz val="10"/>
      <name val="Helv"/>
      <charset val="134"/>
    </font>
    <font>
      <sz val="10"/>
      <name val="奔覆眉"/>
      <charset val="134"/>
    </font>
    <font>
      <sz val="11"/>
      <color rgb="FF9C6500"/>
      <name val="宋体"/>
      <charset val="134"/>
      <scheme val="minor"/>
    </font>
    <font>
      <sz val="11"/>
      <color indexed="60"/>
      <name val="华文宋体"/>
      <charset val="134"/>
    </font>
    <font>
      <sz val="11"/>
      <color indexed="60"/>
      <name val="宋体"/>
      <charset val="134"/>
    </font>
    <font>
      <b/>
      <sz val="11"/>
      <color rgb="FF3F3F3F"/>
      <name val="宋体"/>
      <charset val="134"/>
      <scheme val="minor"/>
    </font>
    <font>
      <b/>
      <sz val="11"/>
      <color indexed="63"/>
      <name val="华文宋体"/>
      <charset val="134"/>
    </font>
    <font>
      <b/>
      <sz val="11"/>
      <color indexed="63"/>
      <name val="宋体"/>
      <charset val="134"/>
    </font>
    <font>
      <sz val="11"/>
      <color rgb="FF3F3F76"/>
      <name val="宋体"/>
      <charset val="134"/>
      <scheme val="minor"/>
    </font>
    <font>
      <sz val="11"/>
      <color indexed="62"/>
      <name val="华文宋体"/>
      <charset val="134"/>
    </font>
    <font>
      <sz val="11"/>
      <color indexed="62"/>
      <name val="宋体"/>
      <charset val="134"/>
    </font>
    <font>
      <i/>
      <sz val="12"/>
      <name val="宋体"/>
      <charset val="134"/>
    </font>
    <font>
      <sz val="12"/>
      <name val="柧挬"/>
      <charset val="134"/>
    </font>
    <font>
      <b/>
      <sz val="14"/>
      <color rgb="FFFF0000"/>
      <name val="微软雅黑"/>
      <charset val="134"/>
    </font>
    <font>
      <b/>
      <sz val="11"/>
      <color rgb="FFFF0000"/>
      <name val="宋体"/>
      <charset val="134"/>
    </font>
    <font>
      <b/>
      <sz val="8"/>
      <name val="宋体"/>
      <charset val="134"/>
    </font>
    <font>
      <sz val="8"/>
      <name val="宋体"/>
      <charset val="134"/>
    </font>
    <font>
      <b/>
      <sz val="6"/>
      <name val="宋体"/>
      <charset val="134"/>
    </font>
    <font>
      <b/>
      <sz val="18"/>
      <color rgb="FFFF0000"/>
      <name val="宋体"/>
      <charset val="134"/>
    </font>
    <font>
      <b/>
      <sz val="11"/>
      <color rgb="FFC00000"/>
      <name val="宋体"/>
      <charset val="134"/>
    </font>
    <font>
      <b/>
      <sz val="12"/>
      <color rgb="FFC00000"/>
      <name val="宋体"/>
      <charset val="134"/>
    </font>
    <font>
      <b/>
      <sz val="9"/>
      <name val="宋体"/>
      <charset val="134"/>
    </font>
    <font>
      <sz val="9"/>
      <name val="宋体"/>
      <charset val="134"/>
    </font>
  </fonts>
  <fills count="91">
    <fill>
      <patternFill patternType="none"/>
    </fill>
    <fill>
      <patternFill patternType="gray125"/>
    </fill>
    <fill>
      <patternFill patternType="solid">
        <fgColor theme="0" tint="-0.0499893185216834"/>
        <bgColor indexed="64"/>
      </patternFill>
    </fill>
    <fill>
      <patternFill patternType="solid">
        <fgColor theme="0" tint="-0.14996795556505"/>
        <bgColor indexed="64"/>
      </patternFill>
    </fill>
    <fill>
      <patternFill patternType="solid">
        <fgColor theme="3" tint="0.79940183721427"/>
        <bgColor indexed="64"/>
      </patternFill>
    </fill>
    <fill>
      <patternFill patternType="solid">
        <fgColor theme="3" tint="0.799340800195319"/>
        <bgColor indexed="64"/>
      </patternFill>
    </fill>
    <fill>
      <patternFill patternType="solid">
        <fgColor rgb="FF92D050"/>
        <bgColor indexed="64"/>
      </patternFill>
    </fill>
    <fill>
      <patternFill patternType="solid">
        <fgColor rgb="FF66CCFF"/>
        <bgColor indexed="64"/>
      </patternFill>
    </fill>
    <fill>
      <patternFill patternType="solid">
        <fgColor theme="4" tint="0.799462874233222"/>
        <bgColor indexed="64"/>
      </patternFill>
    </fill>
    <fill>
      <patternFill patternType="solid">
        <fgColor rgb="FFFFFF00"/>
        <bgColor indexed="64"/>
      </patternFill>
    </fill>
    <fill>
      <patternFill patternType="solid">
        <fgColor theme="4" tint="0.799340800195319"/>
        <bgColor indexed="64"/>
      </patternFill>
    </fill>
    <fill>
      <patternFill patternType="solid">
        <fgColor theme="4" tint="0.599993896298105"/>
        <bgColor indexed="64"/>
      </patternFill>
    </fill>
    <fill>
      <patternFill patternType="solid">
        <fgColor theme="9"/>
        <bgColor indexed="64"/>
      </patternFill>
    </fill>
    <fill>
      <patternFill patternType="solid">
        <fgColor rgb="FFB5D67D"/>
        <bgColor indexed="64"/>
      </patternFill>
    </fill>
    <fill>
      <patternFill patternType="solid">
        <fgColor rgb="FFF7F6B6"/>
        <bgColor indexed="64"/>
      </patternFill>
    </fill>
    <fill>
      <patternFill patternType="solid">
        <fgColor rgb="FFFFFF00"/>
        <bgColor rgb="FF000000"/>
      </patternFill>
    </fill>
    <fill>
      <patternFill patternType="solid">
        <fgColor rgb="FFD9D9D9"/>
        <bgColor rgb="FFD9D9D9"/>
      </patternFill>
    </fill>
    <fill>
      <patternFill patternType="solid">
        <fgColor rgb="FFFFC000"/>
        <bgColor indexed="64"/>
      </patternFill>
    </fill>
    <fill>
      <patternFill patternType="solid">
        <fgColor rgb="FFB5D67D"/>
        <bgColor theme="0" tint="-0.149540696432386"/>
      </patternFill>
    </fill>
    <fill>
      <patternFill patternType="solid">
        <fgColor theme="0" tint="-0.149784844508194"/>
        <bgColor theme="0" tint="-0.149784844508194"/>
      </patternFill>
    </fill>
    <fill>
      <patternFill patternType="solid">
        <fgColor theme="6"/>
        <bgColor indexed="64"/>
      </patternFill>
    </fill>
    <fill>
      <patternFill patternType="solid">
        <fgColor theme="5"/>
        <bgColor indexed="64"/>
      </patternFill>
    </fill>
    <fill>
      <patternFill patternType="solid">
        <fgColor theme="0"/>
        <bgColor indexed="64"/>
      </patternFill>
    </fill>
    <fill>
      <patternFill patternType="solid">
        <fgColor rgb="FF00B0F0"/>
        <bgColor indexed="64"/>
      </patternFill>
    </fill>
    <fill>
      <patternFill patternType="solid">
        <fgColor rgb="FFC000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0" tint="-0.148533585619678"/>
        <bgColor indexed="64"/>
      </patternFill>
    </fill>
    <fill>
      <patternFill patternType="solid">
        <fgColor rgb="FFCAE7CD"/>
        <bgColor indexed="64"/>
      </patternFill>
    </fill>
    <fill>
      <patternFill patternType="solid">
        <fgColor rgb="FFFFFFFF"/>
        <bgColor indexed="64"/>
      </patternFill>
    </fill>
    <fill>
      <patternFill patternType="solid">
        <fgColor theme="0" tint="-0.148930326242866"/>
        <bgColor indexed="64"/>
      </patternFill>
    </fill>
    <fill>
      <patternFill patternType="solid">
        <fgColor theme="4"/>
        <bgColor indexed="64"/>
      </patternFill>
    </fill>
    <fill>
      <patternFill patternType="solid">
        <fgColor theme="0" tint="-0.148991363261818"/>
        <bgColor indexed="64"/>
      </patternFill>
    </fill>
    <fill>
      <patternFill patternType="solid">
        <fgColor theme="2"/>
        <bgColor indexed="64"/>
      </patternFill>
    </fill>
    <fill>
      <patternFill patternType="solid">
        <fgColor rgb="FF4472C4"/>
        <bgColor rgb="FF4472C4"/>
      </patternFill>
    </fill>
    <fill>
      <patternFill patternType="solid">
        <fgColor theme="4"/>
        <bgColor theme="4"/>
      </patternFill>
    </fill>
    <fill>
      <patternFill patternType="solid">
        <fgColor theme="4" tint="0.799768059327982"/>
        <bgColor theme="4" tint="0.799768059327982"/>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9"/>
        <bgColor indexed="64"/>
      </patternFill>
    </fill>
    <fill>
      <patternFill patternType="solid">
        <fgColor theme="5" tint="0.799340800195319"/>
        <bgColor indexed="64"/>
      </patternFill>
    </fill>
    <fill>
      <patternFill patternType="solid">
        <fgColor indexed="47"/>
        <bgColor indexed="64"/>
      </patternFill>
    </fill>
    <fill>
      <patternFill patternType="solid">
        <fgColor theme="6" tint="0.799340800195319"/>
        <bgColor indexed="64"/>
      </patternFill>
    </fill>
    <fill>
      <patternFill patternType="solid">
        <fgColor indexed="26"/>
        <bgColor indexed="64"/>
      </patternFill>
    </fill>
    <fill>
      <patternFill patternType="solid">
        <fgColor theme="7" tint="0.799340800195319"/>
        <bgColor indexed="64"/>
      </patternFill>
    </fill>
    <fill>
      <patternFill patternType="solid">
        <fgColor theme="8" tint="0.799340800195319"/>
        <bgColor indexed="64"/>
      </patternFill>
    </fill>
    <fill>
      <patternFill patternType="solid">
        <fgColor indexed="27"/>
        <bgColor indexed="64"/>
      </patternFill>
    </fill>
    <fill>
      <patternFill patternType="solid">
        <fgColor theme="9" tint="0.799340800195319"/>
        <bgColor indexed="64"/>
      </patternFill>
    </fill>
    <fill>
      <patternFill patternType="solid">
        <fgColor indexed="22"/>
        <bgColor indexed="64"/>
      </patternFill>
    </fill>
    <fill>
      <patternFill patternType="solid">
        <fgColor indexed="29"/>
        <bgColor indexed="64"/>
      </patternFill>
    </fill>
    <fill>
      <patternFill patternType="solid">
        <fgColor indexed="43"/>
        <bgColor indexed="64"/>
      </patternFill>
    </fill>
    <fill>
      <patternFill patternType="solid">
        <fgColor indexed="44"/>
        <bgColor indexed="64"/>
      </patternFill>
    </fill>
    <fill>
      <patternFill patternType="solid">
        <fgColor theme="4" tint="0.398815881832331"/>
        <bgColor indexed="64"/>
      </patternFill>
    </fill>
    <fill>
      <patternFill patternType="solid">
        <fgColor indexed="49"/>
        <bgColor indexed="64"/>
      </patternFill>
    </fill>
    <fill>
      <patternFill patternType="solid">
        <fgColor theme="5" tint="0.398815881832331"/>
        <bgColor indexed="64"/>
      </patternFill>
    </fill>
    <fill>
      <patternFill patternType="solid">
        <fgColor theme="6" tint="0.398815881832331"/>
        <bgColor indexed="64"/>
      </patternFill>
    </fill>
    <fill>
      <patternFill patternType="solid">
        <fgColor theme="7" tint="0.398815881832331"/>
        <bgColor indexed="64"/>
      </patternFill>
    </fill>
    <fill>
      <patternFill patternType="solid">
        <fgColor theme="8" tint="0.398815881832331"/>
        <bgColor indexed="64"/>
      </patternFill>
    </fill>
    <fill>
      <patternFill patternType="solid">
        <fgColor theme="9" tint="0.398815881832331"/>
        <bgColor indexed="64"/>
      </patternFill>
    </fill>
    <fill>
      <patternFill patternType="solid">
        <fgColor indexed="45"/>
        <bgColor indexed="64"/>
      </patternFill>
    </fill>
    <fill>
      <patternFill patternType="solid">
        <fgColor indexed="42"/>
        <bgColor indexed="64"/>
      </patternFill>
    </fill>
    <fill>
      <patternFill patternType="solid">
        <fgColor indexed="55"/>
        <bgColor indexed="64"/>
      </patternFill>
    </fill>
    <fill>
      <patternFill patternType="solid">
        <fgColor indexed="10"/>
        <bgColor indexed="64"/>
      </patternFill>
    </fill>
    <fill>
      <patternFill patternType="solid">
        <fgColor indexed="57"/>
        <bgColor indexed="64"/>
      </patternFill>
    </fill>
    <fill>
      <patternFill patternType="solid">
        <fgColor indexed="54"/>
        <bgColor indexed="64"/>
      </patternFill>
    </fill>
    <fill>
      <patternFill patternType="solid">
        <fgColor indexed="53"/>
        <bgColor indexed="64"/>
      </patternFill>
    </fill>
  </fills>
  <borders count="99">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thin">
        <color auto="1"/>
      </bottom>
      <diagonal/>
    </border>
    <border>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style="thin">
        <color auto="1"/>
      </bottom>
      <diagonal/>
    </border>
    <border>
      <left/>
      <right style="thin">
        <color auto="1"/>
      </right>
      <top style="medium">
        <color auto="1"/>
      </top>
      <bottom/>
      <diagonal/>
    </border>
    <border>
      <left/>
      <right/>
      <top style="medium">
        <color auto="1"/>
      </top>
      <bottom/>
      <diagonal/>
    </border>
    <border>
      <left style="medium">
        <color auto="1"/>
      </left>
      <right style="thin">
        <color auto="1"/>
      </right>
      <top/>
      <bottom style="thin">
        <color auto="1"/>
      </bottom>
      <diagonal/>
    </border>
    <border>
      <left/>
      <right style="thin">
        <color auto="1"/>
      </right>
      <top/>
      <bottom style="thin">
        <color auto="1"/>
      </bottom>
      <diagonal/>
    </border>
    <border>
      <left style="thin">
        <color auto="1"/>
      </left>
      <right/>
      <top style="medium">
        <color auto="1"/>
      </top>
      <bottom/>
      <diagonal/>
    </border>
    <border>
      <left style="thin">
        <color auto="1"/>
      </left>
      <right style="medium">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style="medium">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000000"/>
      </left>
      <right style="thin">
        <color rgb="FF000000"/>
      </right>
      <top style="thin">
        <color rgb="FF000000"/>
      </top>
      <bottom style="thin">
        <color rgb="FF000000"/>
      </bottom>
      <diagonal/>
    </border>
    <border>
      <left style="thin">
        <color auto="1"/>
      </left>
      <right/>
      <top/>
      <bottom/>
      <diagonal/>
    </border>
    <border>
      <left/>
      <right style="thin">
        <color auto="1"/>
      </right>
      <top style="thin">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rgb="FF000000"/>
      </left>
      <right style="thin">
        <color rgb="FF000000"/>
      </right>
      <top/>
      <bottom style="thin">
        <color rgb="FF000000"/>
      </bottom>
      <diagonal/>
    </border>
    <border>
      <left/>
      <right style="thin">
        <color auto="1"/>
      </right>
      <top style="thin">
        <color auto="1"/>
      </top>
      <bottom style="medium">
        <color auto="1"/>
      </bottom>
      <diagonal/>
    </border>
    <border>
      <left/>
      <right/>
      <top style="thin">
        <color auto="1"/>
      </top>
      <bottom style="medium">
        <color auto="1"/>
      </bottom>
      <diagonal/>
    </border>
    <border>
      <left/>
      <right style="medium">
        <color auto="1"/>
      </right>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ck">
        <color auto="1"/>
      </left>
      <right style="thin">
        <color auto="1"/>
      </right>
      <top/>
      <bottom style="medium">
        <color auto="1"/>
      </bottom>
      <diagonal/>
    </border>
    <border>
      <left style="thick">
        <color auto="1"/>
      </left>
      <right style="thin">
        <color auto="1"/>
      </right>
      <top/>
      <bottom style="thin">
        <color auto="1"/>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ck">
        <color auto="1"/>
      </top>
      <bottom/>
      <diagonal/>
    </border>
    <border>
      <left style="thin">
        <color auto="1"/>
      </left>
      <right style="thick">
        <color auto="1"/>
      </right>
      <top/>
      <bottom style="medium">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style="thick">
        <color auto="1"/>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style="thin">
        <color theme="0"/>
      </right>
      <top style="thin">
        <color theme="0"/>
      </top>
      <bottom style="thin">
        <color theme="0"/>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style="medium">
        <color auto="1"/>
      </top>
      <bottom style="medium">
        <color auto="1"/>
      </bottom>
      <diagonal/>
    </border>
    <border>
      <left/>
      <right/>
      <top style="thin">
        <color auto="1"/>
      </top>
      <bottom style="thin">
        <color auto="1"/>
      </bottom>
      <diagonal/>
    </border>
    <border>
      <left/>
      <right/>
      <top/>
      <bottom style="thick">
        <color theme="4"/>
      </bottom>
      <diagonal/>
    </border>
    <border>
      <left/>
      <right/>
      <top/>
      <bottom style="thick">
        <color indexed="49"/>
      </bottom>
      <diagonal/>
    </border>
    <border>
      <left/>
      <right/>
      <top/>
      <bottom style="thick">
        <color theme="4" tint="0.499984740745262"/>
      </bottom>
      <diagonal/>
    </border>
    <border>
      <left/>
      <right/>
      <top/>
      <bottom style="thick">
        <color indexed="22"/>
      </bottom>
      <diagonal/>
    </border>
    <border>
      <left/>
      <right/>
      <top/>
      <bottom style="medium">
        <color theme="4" tint="0.398815881832331"/>
      </bottom>
      <diagonal/>
    </border>
    <border>
      <left/>
      <right/>
      <top/>
      <bottom style="medium">
        <color indexed="49"/>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s>
  <cellStyleXfs count="2103">
    <xf numFmtId="0" fontId="0" fillId="0" borderId="0">
      <alignment vertical="center"/>
    </xf>
    <xf numFmtId="43" fontId="0" fillId="0" borderId="0" applyFont="0" applyFill="0" applyBorder="0" applyAlignment="0" applyProtection="0">
      <alignment vertical="center"/>
    </xf>
    <xf numFmtId="44" fontId="85" fillId="0" borderId="0" applyFont="0" applyFill="0" applyBorder="0" applyAlignment="0" applyProtection="0">
      <alignment vertical="center"/>
    </xf>
    <xf numFmtId="9" fontId="1" fillId="0" borderId="0" applyFont="0" applyFill="0" applyBorder="0" applyAlignment="0" applyProtection="0">
      <alignment vertical="center"/>
    </xf>
    <xf numFmtId="41" fontId="85" fillId="0" borderId="0" applyFont="0" applyFill="0" applyBorder="0" applyAlignment="0" applyProtection="0">
      <alignment vertical="center"/>
    </xf>
    <xf numFmtId="42" fontId="85" fillId="0" borderId="0" applyFont="0" applyFill="0" applyBorder="0" applyAlignment="0" applyProtection="0">
      <alignment vertical="center"/>
    </xf>
    <xf numFmtId="0" fontId="30" fillId="0" borderId="0" applyNumberFormat="0" applyFill="0" applyBorder="0" applyAlignment="0" applyProtection="0">
      <alignment vertical="center"/>
    </xf>
    <xf numFmtId="0" fontId="86" fillId="0" borderId="0" applyNumberFormat="0" applyFill="0" applyBorder="0" applyAlignment="0" applyProtection="0">
      <alignment vertical="center"/>
    </xf>
    <xf numFmtId="0" fontId="85" fillId="38" borderId="77" applyNumberFormat="0" applyFont="0" applyAlignment="0" applyProtection="0">
      <alignment vertical="center"/>
    </xf>
    <xf numFmtId="0" fontId="87"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9" fillId="0" borderId="0" applyNumberFormat="0" applyFill="0" applyBorder="0" applyAlignment="0" applyProtection="0">
      <alignment vertical="center"/>
    </xf>
    <xf numFmtId="0" fontId="90" fillId="0" borderId="78" applyNumberFormat="0" applyFill="0" applyAlignment="0" applyProtection="0">
      <alignment vertical="center"/>
    </xf>
    <xf numFmtId="0" fontId="91" fillId="0" borderId="78" applyNumberFormat="0" applyFill="0" applyAlignment="0" applyProtection="0">
      <alignment vertical="center"/>
    </xf>
    <xf numFmtId="0" fontId="92" fillId="0" borderId="79" applyNumberFormat="0" applyFill="0" applyAlignment="0" applyProtection="0">
      <alignment vertical="center"/>
    </xf>
    <xf numFmtId="0" fontId="92" fillId="0" borderId="0" applyNumberFormat="0" applyFill="0" applyBorder="0" applyAlignment="0" applyProtection="0">
      <alignment vertical="center"/>
    </xf>
    <xf numFmtId="0" fontId="93" fillId="39" borderId="80" applyNumberFormat="0" applyAlignment="0" applyProtection="0">
      <alignment vertical="center"/>
    </xf>
    <xf numFmtId="0" fontId="94" fillId="40" borderId="81" applyNumberFormat="0" applyAlignment="0" applyProtection="0">
      <alignment vertical="center"/>
    </xf>
    <xf numFmtId="0" fontId="95" fillId="40" borderId="80" applyNumberFormat="0" applyAlignment="0" applyProtection="0">
      <alignment vertical="center"/>
    </xf>
    <xf numFmtId="0" fontId="96" fillId="41" borderId="82" applyNumberFormat="0" applyAlignment="0" applyProtection="0">
      <alignment vertical="center"/>
    </xf>
    <xf numFmtId="0" fontId="97" fillId="0" borderId="83" applyNumberFormat="0" applyFill="0" applyAlignment="0" applyProtection="0">
      <alignment vertical="center"/>
    </xf>
    <xf numFmtId="0" fontId="98" fillId="0" borderId="84" applyNumberFormat="0" applyFill="0" applyAlignment="0" applyProtection="0">
      <alignment vertical="center"/>
    </xf>
    <xf numFmtId="0" fontId="99" fillId="42" borderId="0" applyNumberFormat="0" applyBorder="0" applyAlignment="0" applyProtection="0">
      <alignment vertical="center"/>
    </xf>
    <xf numFmtId="0" fontId="100" fillId="43" borderId="0" applyNumberFormat="0" applyBorder="0" applyAlignment="0" applyProtection="0">
      <alignment vertical="center"/>
    </xf>
    <xf numFmtId="0" fontId="101" fillId="44" borderId="0" applyNumberFormat="0" applyBorder="0" applyAlignment="0" applyProtection="0">
      <alignment vertical="center"/>
    </xf>
    <xf numFmtId="0" fontId="102" fillId="32" borderId="0" applyNumberFormat="0" applyBorder="0" applyAlignment="0" applyProtection="0">
      <alignment vertical="center"/>
    </xf>
    <xf numFmtId="0" fontId="103" fillId="45" borderId="0" applyNumberFormat="0" applyBorder="0" applyAlignment="0" applyProtection="0">
      <alignment vertical="center"/>
    </xf>
    <xf numFmtId="0" fontId="103" fillId="11" borderId="0" applyNumberFormat="0" applyBorder="0" applyAlignment="0" applyProtection="0">
      <alignment vertical="center"/>
    </xf>
    <xf numFmtId="0" fontId="102" fillId="46" borderId="0" applyNumberFormat="0" applyBorder="0" applyAlignment="0" applyProtection="0">
      <alignment vertical="center"/>
    </xf>
    <xf numFmtId="0" fontId="102" fillId="21" borderId="0" applyNumberFormat="0" applyBorder="0" applyAlignment="0" applyProtection="0">
      <alignment vertical="center"/>
    </xf>
    <xf numFmtId="0" fontId="103" fillId="47" borderId="0" applyNumberFormat="0" applyBorder="0" applyAlignment="0" applyProtection="0">
      <alignment vertical="center"/>
    </xf>
    <xf numFmtId="0" fontId="103" fillId="48" borderId="0" applyNumberFormat="0" applyBorder="0" applyAlignment="0" applyProtection="0">
      <alignment vertical="center"/>
    </xf>
    <xf numFmtId="0" fontId="102" fillId="49" borderId="0" applyNumberFormat="0" applyBorder="0" applyAlignment="0" applyProtection="0">
      <alignment vertical="center"/>
    </xf>
    <xf numFmtId="0" fontId="102" fillId="20" borderId="0" applyNumberFormat="0" applyBorder="0" applyAlignment="0" applyProtection="0">
      <alignment vertical="center"/>
    </xf>
    <xf numFmtId="0" fontId="103" fillId="50" borderId="0" applyNumberFormat="0" applyBorder="0" applyAlignment="0" applyProtection="0">
      <alignment vertical="center"/>
    </xf>
    <xf numFmtId="0" fontId="103" fillId="51" borderId="0" applyNumberFormat="0" applyBorder="0" applyAlignment="0" applyProtection="0">
      <alignment vertical="center"/>
    </xf>
    <xf numFmtId="0" fontId="102" fillId="52" borderId="0" applyNumberFormat="0" applyBorder="0" applyAlignment="0" applyProtection="0">
      <alignment vertical="center"/>
    </xf>
    <xf numFmtId="0" fontId="102" fillId="53" borderId="0" applyNumberFormat="0" applyBorder="0" applyAlignment="0" applyProtection="0">
      <alignment vertical="center"/>
    </xf>
    <xf numFmtId="0" fontId="103" fillId="54" borderId="0" applyNumberFormat="0" applyBorder="0" applyAlignment="0" applyProtection="0">
      <alignment vertical="center"/>
    </xf>
    <xf numFmtId="0" fontId="103" fillId="55" borderId="0" applyNumberFormat="0" applyBorder="0" applyAlignment="0" applyProtection="0">
      <alignment vertical="center"/>
    </xf>
    <xf numFmtId="0" fontId="102" fillId="56" borderId="0" applyNumberFormat="0" applyBorder="0" applyAlignment="0" applyProtection="0">
      <alignment vertical="center"/>
    </xf>
    <xf numFmtId="0" fontId="102" fillId="57" borderId="0" applyNumberFormat="0" applyBorder="0" applyAlignment="0" applyProtection="0">
      <alignment vertical="center"/>
    </xf>
    <xf numFmtId="0" fontId="103" fillId="58" borderId="0" applyNumberFormat="0" applyBorder="0" applyAlignment="0" applyProtection="0">
      <alignment vertical="center"/>
    </xf>
    <xf numFmtId="0" fontId="103" fillId="59" borderId="0" applyNumberFormat="0" applyBorder="0" applyAlignment="0" applyProtection="0">
      <alignment vertical="center"/>
    </xf>
    <xf numFmtId="0" fontId="102" fillId="60" borderId="0" applyNumberFormat="0" applyBorder="0" applyAlignment="0" applyProtection="0">
      <alignment vertical="center"/>
    </xf>
    <xf numFmtId="0" fontId="102" fillId="12" borderId="0" applyNumberFormat="0" applyBorder="0" applyAlignment="0" applyProtection="0">
      <alignment vertical="center"/>
    </xf>
    <xf numFmtId="0" fontId="103" fillId="61" borderId="0" applyNumberFormat="0" applyBorder="0" applyAlignment="0" applyProtection="0">
      <alignment vertical="center"/>
    </xf>
    <xf numFmtId="0" fontId="103" fillId="62" borderId="0" applyNumberFormat="0" applyBorder="0" applyAlignment="0" applyProtection="0">
      <alignment vertical="center"/>
    </xf>
    <xf numFmtId="0" fontId="102" fillId="63"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5"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05" fillId="64"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5"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05" fillId="66"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5"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4" fillId="68" borderId="0" applyNumberFormat="0" applyBorder="0" applyAlignment="0" applyProtection="0">
      <alignment vertical="center"/>
    </xf>
    <xf numFmtId="0" fontId="104"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4" fillId="68" borderId="0" applyNumberFormat="0" applyBorder="0" applyAlignment="0" applyProtection="0">
      <alignment vertical="center"/>
    </xf>
    <xf numFmtId="0" fontId="104"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5"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05" fillId="68"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7"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4" fillId="64" borderId="0" applyNumberFormat="0" applyBorder="0" applyAlignment="0" applyProtection="0">
      <alignment vertical="center"/>
    </xf>
    <xf numFmtId="0" fontId="104"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5"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05" fillId="64"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69"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4" fillId="71" borderId="0" applyNumberFormat="0" applyBorder="0" applyAlignment="0" applyProtection="0">
      <alignment vertical="center"/>
    </xf>
    <xf numFmtId="0" fontId="104"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4" fillId="71" borderId="0" applyNumberFormat="0" applyBorder="0" applyAlignment="0" applyProtection="0">
      <alignment vertical="center"/>
    </xf>
    <xf numFmtId="0" fontId="104"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5"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05" fillId="71"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0"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5"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05" fillId="66"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72"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5"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05" fillId="73"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4" fillId="74" borderId="0" applyNumberFormat="0" applyBorder="0" applyAlignment="0" applyProtection="0">
      <alignment vertical="center"/>
    </xf>
    <xf numFmtId="0" fontId="104"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4" fillId="74" borderId="0" applyNumberFormat="0" applyBorder="0" applyAlignment="0" applyProtection="0">
      <alignment vertical="center"/>
    </xf>
    <xf numFmtId="0" fontId="104"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5"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05" fillId="74"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48"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4" fillId="75" borderId="0" applyNumberFormat="0" applyBorder="0" applyAlignment="0" applyProtection="0">
      <alignment vertical="center"/>
    </xf>
    <xf numFmtId="0" fontId="104"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4" fillId="75" borderId="0" applyNumberFormat="0" applyBorder="0" applyAlignment="0" applyProtection="0">
      <alignment vertical="center"/>
    </xf>
    <xf numFmtId="0" fontId="104"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5"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05" fillId="75"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1"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4" fillId="73" borderId="0" applyNumberFormat="0" applyBorder="0" applyAlignment="0" applyProtection="0">
      <alignment vertical="center"/>
    </xf>
    <xf numFmtId="0" fontId="104"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5"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05" fillId="73"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5"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4" fillId="76" borderId="0" applyNumberFormat="0" applyBorder="0" applyAlignment="0" applyProtection="0">
      <alignment vertical="center"/>
    </xf>
    <xf numFmtId="0" fontId="104"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4" fillId="76" borderId="0" applyNumberFormat="0" applyBorder="0" applyAlignment="0" applyProtection="0">
      <alignment vertical="center"/>
    </xf>
    <xf numFmtId="0" fontId="104"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5"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05" fillId="76"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59"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4" fillId="66" borderId="0" applyNumberFormat="0" applyBorder="0" applyAlignment="0" applyProtection="0">
      <alignment vertical="center"/>
    </xf>
    <xf numFmtId="0" fontId="104"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5"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5" fillId="66"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 fillId="62"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8"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8" fillId="78"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7"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7" fillId="74" borderId="0" applyNumberFormat="0" applyBorder="0" applyAlignment="0" applyProtection="0">
      <alignment vertical="center"/>
    </xf>
    <xf numFmtId="0" fontId="107"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7" fillId="74" borderId="0" applyNumberFormat="0" applyBorder="0" applyAlignment="0" applyProtection="0">
      <alignment vertical="center"/>
    </xf>
    <xf numFmtId="0" fontId="107"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8"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8" fillId="74"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79"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7" fillId="75" borderId="0" applyNumberFormat="0" applyBorder="0" applyAlignment="0" applyProtection="0">
      <alignment vertical="center"/>
    </xf>
    <xf numFmtId="0" fontId="107"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7" fillId="75" borderId="0" applyNumberFormat="0" applyBorder="0" applyAlignment="0" applyProtection="0">
      <alignment vertical="center"/>
    </xf>
    <xf numFmtId="0" fontId="107"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8"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8" fillId="75"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0"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7" fillId="73" borderId="0" applyNumberFormat="0" applyBorder="0" applyAlignment="0" applyProtection="0">
      <alignment vertical="center"/>
    </xf>
    <xf numFmtId="0" fontId="107"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7" fillId="73" borderId="0" applyNumberFormat="0" applyBorder="0" applyAlignment="0" applyProtection="0">
      <alignment vertical="center"/>
    </xf>
    <xf numFmtId="0" fontId="107"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8"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8" fillId="73"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1"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8"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8" fillId="78"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2"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7" fillId="66" borderId="0" applyNumberFormat="0" applyBorder="0" applyAlignment="0" applyProtection="0">
      <alignment vertical="center"/>
    </xf>
    <xf numFmtId="0" fontId="107"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7" fillId="66" borderId="0" applyNumberFormat="0" applyBorder="0" applyAlignment="0" applyProtection="0">
      <alignment vertical="center"/>
    </xf>
    <xf numFmtId="0" fontId="107"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8"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8" fillId="66"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0" fontId="106" fillId="83" borderId="0" applyNumberFormat="0" applyBorder="0" applyAlignment="0" applyProtection="0">
      <alignment vertical="center"/>
    </xf>
    <xf numFmtId="176" fontId="109" fillId="0" borderId="0" applyFill="0" applyBorder="0" applyAlignment="0"/>
    <xf numFmtId="0" fontId="110" fillId="0" borderId="0" applyNumberFormat="0" applyFill="0" applyBorder="0" applyAlignment="0" applyProtection="0"/>
    <xf numFmtId="41" fontId="111" fillId="0" borderId="0" applyFont="0" applyFill="0" applyBorder="0" applyAlignment="0" applyProtection="0"/>
    <xf numFmtId="43" fontId="111" fillId="0" borderId="0" applyFont="0" applyFill="0" applyBorder="0" applyAlignment="0" applyProtection="0"/>
    <xf numFmtId="177" fontId="112" fillId="0" borderId="0" applyFont="0" applyFill="0" applyBorder="0" applyAlignment="0" applyProtection="0"/>
    <xf numFmtId="178" fontId="112" fillId="0" borderId="0" applyFont="0" applyFill="0" applyBorder="0" applyAlignment="0" applyProtection="0"/>
    <xf numFmtId="0" fontId="113" fillId="0" borderId="85" applyNumberFormat="0" applyAlignment="0" applyProtection="0">
      <alignment horizontal="left" vertical="center"/>
    </xf>
    <xf numFmtId="0" fontId="113" fillId="0" borderId="86">
      <alignment horizontal="left" vertical="center"/>
    </xf>
    <xf numFmtId="0" fontId="2" fillId="0" borderId="0"/>
    <xf numFmtId="0" fontId="110" fillId="0" borderId="0" applyNumberFormat="0" applyFill="0" applyBorder="0" applyAlignment="0" applyProtection="0"/>
    <xf numFmtId="9" fontId="0" fillId="0" borderId="0" applyFont="0" applyFill="0" applyBorder="0" applyAlignment="0" applyProtection="0"/>
    <xf numFmtId="9" fontId="0" fillId="0" borderId="0" applyFont="0" applyFill="0" applyBorder="0" applyAlignment="0" applyProtection="0">
      <alignment vertical="center"/>
    </xf>
    <xf numFmtId="0" fontId="114" fillId="0" borderId="0" applyFont="0" applyFill="0" applyBorder="0" applyAlignment="0" applyProtection="0"/>
    <xf numFmtId="0" fontId="114" fillId="0" borderId="0" applyFont="0" applyFill="0" applyBorder="0" applyAlignment="0" applyProtection="0"/>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5" fillId="0" borderId="88"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5" fillId="0" borderId="88"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6" fillId="0" borderId="88"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90" fillId="0" borderId="87" applyNumberFormat="0" applyFill="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8" fillId="0" borderId="90"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8" fillId="0" borderId="90"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9" fillId="0" borderId="90"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91" fillId="0" borderId="89" applyNumberFormat="0" applyFill="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20" fillId="0" borderId="92"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20" fillId="0" borderId="92"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21" fillId="0" borderId="92"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92" fillId="0" borderId="91" applyNumberFormat="0" applyFill="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20"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21"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92"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22" fillId="0" borderId="0" applyNumberFormat="0" applyFill="0" applyBorder="0" applyAlignment="0" applyProtection="0">
      <alignment vertical="center"/>
    </xf>
    <xf numFmtId="0" fontId="122" fillId="0" borderId="0" applyNumberFormat="0" applyFill="0" applyBorder="0" applyAlignment="0" applyProtection="0">
      <alignment vertical="center"/>
    </xf>
    <xf numFmtId="0" fontId="122"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4" fillId="84"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4" fillId="84"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5" fillId="84"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3" fillId="43"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4"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6" fillId="0" borderId="0"/>
    <xf numFmtId="0" fontId="126" fillId="0" borderId="0"/>
    <xf numFmtId="0" fontId="0" fillId="0" borderId="0">
      <alignment vertical="center"/>
    </xf>
    <xf numFmtId="0" fontId="126" fillId="0" borderId="0"/>
    <xf numFmtId="0" fontId="0" fillId="0" borderId="0">
      <alignment vertical="center"/>
    </xf>
    <xf numFmtId="0" fontId="126" fillId="0" borderId="0"/>
    <xf numFmtId="0" fontId="126" fillId="0" borderId="0"/>
    <xf numFmtId="0" fontId="0" fillId="0" borderId="0">
      <alignment vertical="center"/>
    </xf>
    <xf numFmtId="0" fontId="126" fillId="0" borderId="0"/>
    <xf numFmtId="0" fontId="0" fillId="0" borderId="0">
      <alignment vertical="center"/>
    </xf>
    <xf numFmtId="0" fontId="126" fillId="0" borderId="0"/>
    <xf numFmtId="0" fontId="126" fillId="0" borderId="0"/>
    <xf numFmtId="0" fontId="0" fillId="0" borderId="0">
      <alignment vertical="center"/>
    </xf>
    <xf numFmtId="0" fontId="126" fillId="0" borderId="0"/>
    <xf numFmtId="0" fontId="126" fillId="0" borderId="0"/>
    <xf numFmtId="0" fontId="126" fillId="0" borderId="0"/>
    <xf numFmtId="0" fontId="126" fillId="0" borderId="0"/>
    <xf numFmtId="0" fontId="0" fillId="0" borderId="0"/>
    <xf numFmtId="0" fontId="12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0" fillId="0" borderId="0">
      <alignment vertical="center"/>
    </xf>
    <xf numFmtId="0" fontId="64" fillId="0" borderId="0"/>
    <xf numFmtId="0" fontId="0" fillId="0" borderId="0">
      <alignment vertical="center"/>
    </xf>
    <xf numFmtId="0" fontId="126" fillId="0" borderId="0"/>
    <xf numFmtId="0" fontId="126" fillId="0" borderId="0"/>
    <xf numFmtId="0" fontId="126" fillId="0" borderId="0"/>
    <xf numFmtId="0" fontId="0" fillId="0" borderId="0">
      <alignment vertical="center"/>
    </xf>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0" fillId="0" borderId="0">
      <alignment vertical="center"/>
    </xf>
    <xf numFmtId="0" fontId="0" fillId="0" borderId="0">
      <alignment vertical="center"/>
    </xf>
    <xf numFmtId="0" fontId="0" fillId="0" borderId="0">
      <alignment vertical="center"/>
    </xf>
    <xf numFmtId="0" fontId="64" fillId="0" borderId="0"/>
    <xf numFmtId="0" fontId="0" fillId="0" borderId="0">
      <alignment vertical="center"/>
    </xf>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0" fillId="0" borderId="0">
      <alignment vertical="center"/>
    </xf>
    <xf numFmtId="0" fontId="0" fillId="0" borderId="0">
      <alignment vertical="center"/>
    </xf>
    <xf numFmtId="0" fontId="0" fillId="0" borderId="0">
      <alignment vertical="center"/>
    </xf>
    <xf numFmtId="0" fontId="64" fillId="0" borderId="0"/>
    <xf numFmtId="0" fontId="0" fillId="0" borderId="0">
      <alignment vertical="center"/>
    </xf>
    <xf numFmtId="0" fontId="0"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6" fillId="0" borderId="0"/>
    <xf numFmtId="0" fontId="64" fillId="0" borderId="0"/>
    <xf numFmtId="0" fontId="64" fillId="0" borderId="0"/>
    <xf numFmtId="0" fontId="64"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0" fillId="0" borderId="0"/>
    <xf numFmtId="0" fontId="0" fillId="0" borderId="0">
      <alignment vertical="center"/>
    </xf>
    <xf numFmtId="0" fontId="0" fillId="0" borderId="0">
      <alignment vertical="center"/>
    </xf>
    <xf numFmtId="0" fontId="126" fillId="0" borderId="0"/>
    <xf numFmtId="0" fontId="0" fillId="0" borderId="0"/>
    <xf numFmtId="0" fontId="0" fillId="0" borderId="0"/>
    <xf numFmtId="0" fontId="0" fillId="0" borderId="0"/>
    <xf numFmtId="0" fontId="0" fillId="0" borderId="0"/>
    <xf numFmtId="0" fontId="0" fillId="0" borderId="0"/>
    <xf numFmtId="0" fontId="0" fillId="0" borderId="0" applyBorder="0">
      <alignment vertical="center"/>
    </xf>
    <xf numFmtId="0" fontId="126" fillId="0" borderId="0"/>
    <xf numFmtId="0" fontId="0" fillId="0" borderId="0">
      <alignment vertical="center"/>
    </xf>
    <xf numFmtId="0" fontId="126" fillId="0" borderId="0"/>
    <xf numFmtId="0" fontId="105" fillId="0" borderId="0">
      <alignment vertical="center"/>
    </xf>
    <xf numFmtId="0" fontId="126" fillId="0" borderId="0"/>
    <xf numFmtId="0" fontId="0" fillId="0" borderId="0">
      <alignment vertical="center"/>
    </xf>
    <xf numFmtId="0" fontId="0" fillId="0" borderId="0"/>
    <xf numFmtId="0" fontId="0" fillId="0" borderId="0" applyBorder="0">
      <alignment vertical="center"/>
    </xf>
    <xf numFmtId="0" fontId="126" fillId="0" borderId="0"/>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8" fillId="85"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8" fillId="85"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9" fillId="85"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7" fillId="42"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8"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29" fillId="85" borderId="0" applyNumberFormat="0" applyBorder="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1" fillId="0" borderId="93"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1" fillId="0" borderId="93"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2" fillId="0" borderId="93"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0" fillId="0" borderId="84" applyNumberFormat="0" applyFill="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4" fillId="64" borderId="94"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4" fillId="64" borderId="94"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5" fillId="64" borderId="94"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3" fillId="40" borderId="80"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7" fillId="86" borderId="95"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7" fillId="86" borderId="95"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8" fillId="86" borderId="95"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6" fillId="41" borderId="82" applyNumberFormat="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4"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6" fillId="0" borderId="96"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6" fillId="0" borderId="96"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7" fillId="0" borderId="96"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0" fontId="145" fillId="0" borderId="83" applyNumberFormat="0" applyFill="0" applyAlignment="0" applyProtection="0">
      <alignment vertical="center"/>
    </xf>
    <xf numFmtId="179" fontId="111" fillId="0" borderId="0" applyFont="0" applyFill="0" applyBorder="0" applyAlignment="0" applyProtection="0"/>
    <xf numFmtId="180" fontId="111" fillId="0" borderId="0" applyFont="0" applyFill="0" applyBorder="0" applyAlignment="0" applyProtection="0"/>
    <xf numFmtId="181" fontId="148" fillId="0" borderId="0" applyFont="0" applyFill="0" applyBorder="0" applyAlignment="0" applyProtection="0"/>
    <xf numFmtId="182" fontId="148" fillId="0" borderId="0" applyFont="0" applyFill="0" applyBorder="0" applyAlignment="0" applyProtection="0"/>
    <xf numFmtId="0" fontId="149" fillId="0" borderId="0"/>
    <xf numFmtId="41" fontId="149" fillId="0" borderId="0" applyFont="0" applyFill="0" applyBorder="0" applyAlignment="0" applyProtection="0"/>
    <xf numFmtId="43" fontId="149" fillId="0" borderId="0" applyFont="0" applyFill="0" applyBorder="0" applyAlignment="0" applyProtection="0"/>
    <xf numFmtId="41" fontId="150" fillId="0" borderId="0" applyFont="0" applyFill="0" applyBorder="0" applyAlignment="0" applyProtection="0"/>
    <xf numFmtId="43" fontId="15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0" fontId="151" fillId="0" borderId="0"/>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8"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8" fillId="78"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32"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7" fillId="87" borderId="0" applyNumberFormat="0" applyBorder="0" applyAlignment="0" applyProtection="0">
      <alignment vertical="center"/>
    </xf>
    <xf numFmtId="0" fontId="107"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7" fillId="87" borderId="0" applyNumberFormat="0" applyBorder="0" applyAlignment="0" applyProtection="0">
      <alignment vertical="center"/>
    </xf>
    <xf numFmtId="0" fontId="107"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8"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8" fillId="87"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1"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7" fillId="88" borderId="0" applyNumberFormat="0" applyBorder="0" applyAlignment="0" applyProtection="0">
      <alignment vertical="center"/>
    </xf>
    <xf numFmtId="0" fontId="107"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7" fillId="88" borderId="0" applyNumberFormat="0" applyBorder="0" applyAlignment="0" applyProtection="0">
      <alignment vertical="center"/>
    </xf>
    <xf numFmtId="0" fontId="107"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8"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8" fillId="88"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20"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7" fillId="89" borderId="0" applyNumberFormat="0" applyBorder="0" applyAlignment="0" applyProtection="0">
      <alignment vertical="center"/>
    </xf>
    <xf numFmtId="0" fontId="107"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7" fillId="89" borderId="0" applyNumberFormat="0" applyBorder="0" applyAlignment="0" applyProtection="0">
      <alignment vertical="center"/>
    </xf>
    <xf numFmtId="0" fontId="107"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8"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8" fillId="89"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3"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7" fillId="78" borderId="0" applyNumberFormat="0" applyBorder="0" applyAlignment="0" applyProtection="0">
      <alignment vertical="center"/>
    </xf>
    <xf numFmtId="0" fontId="107"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8"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8" fillId="78"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57"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7" fillId="90" borderId="0" applyNumberFormat="0" applyBorder="0" applyAlignment="0" applyProtection="0">
      <alignment vertical="center"/>
    </xf>
    <xf numFmtId="0" fontId="107"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7" fillId="90" borderId="0" applyNumberFormat="0" applyBorder="0" applyAlignment="0" applyProtection="0">
      <alignment vertical="center"/>
    </xf>
    <xf numFmtId="0" fontId="107"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8"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8" fillId="90"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06" fillId="12"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3" fillId="75"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3" fillId="75"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4" fillId="75"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2" fillId="44" borderId="0" applyNumberFormat="0" applyBorder="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6" fillId="64" borderId="97"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6" fillId="64" borderId="97"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7" fillId="64" borderId="97"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5" fillId="40" borderId="81"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9" fillId="66" borderId="94"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9" fillId="66" borderId="94"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60" fillId="66" borderId="94"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8" fillId="39" borderId="80" applyNumberFormat="0" applyAlignment="0" applyProtection="0">
      <alignment vertical="center"/>
    </xf>
    <xf numFmtId="0" fontId="150" fillId="0" borderId="0"/>
    <xf numFmtId="0" fontId="161" fillId="0" borderId="0" applyNumberFormat="0" applyFill="0" applyBorder="0" applyAlignment="0" applyProtection="0">
      <alignment vertical="center"/>
    </xf>
    <xf numFmtId="0" fontId="162" fillId="0" borderId="0"/>
    <xf numFmtId="40" fontId="114" fillId="0" borderId="0" applyFont="0" applyFill="0" applyBorder="0" applyAlignment="0" applyProtection="0"/>
    <xf numFmtId="38" fontId="114" fillId="0" borderId="0" applyFont="0" applyFill="0" applyBorder="0" applyAlignment="0" applyProtection="0"/>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0" fillId="68" borderId="98"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xf numFmtId="0" fontId="105" fillId="38" borderId="77" applyNumberFormat="0" applyFont="0" applyAlignment="0" applyProtection="0">
      <alignment vertical="center"/>
    </xf>
  </cellStyleXfs>
  <cellXfs count="1106">
    <xf numFmtId="0" fontId="0" fillId="0" borderId="0" xfId="0">
      <alignment vertical="center"/>
    </xf>
    <xf numFmtId="0" fontId="1" fillId="0" borderId="0" xfId="0" applyFont="1" applyFill="1" applyAlignment="1">
      <alignment horizontal="center" vertical="center"/>
    </xf>
    <xf numFmtId="0" fontId="2" fillId="0" borderId="1" xfId="0" applyFont="1" applyFill="1" applyBorder="1" applyAlignment="1">
      <alignment horizontal="center" vertical="center"/>
    </xf>
    <xf numFmtId="49" fontId="2" fillId="0" borderId="1" xfId="0" applyNumberFormat="1" applyFont="1" applyFill="1" applyBorder="1" applyAlignment="1">
      <alignment horizontal="left" vertical="center" wrapText="1"/>
    </xf>
    <xf numFmtId="49"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xf>
    <xf numFmtId="183" fontId="2" fillId="0" borderId="1" xfId="0" applyNumberFormat="1" applyFont="1" applyFill="1" applyBorder="1" applyAlignment="1">
      <alignment horizontal="right" vertical="center"/>
    </xf>
    <xf numFmtId="0" fontId="3" fillId="0" borderId="1" xfId="0" applyNumberFormat="1" applyFont="1" applyFill="1" applyBorder="1" applyAlignment="1">
      <alignment horizontal="center" vertical="center"/>
    </xf>
    <xf numFmtId="49" fontId="4" fillId="0" borderId="1" xfId="0" applyNumberFormat="1" applyFont="1" applyFill="1" applyBorder="1" applyAlignment="1">
      <alignment horizontal="center" vertical="center"/>
    </xf>
    <xf numFmtId="49" fontId="3" fillId="0" borderId="1" xfId="0" applyNumberFormat="1" applyFont="1" applyFill="1" applyBorder="1" applyAlignment="1">
      <alignment horizontal="center" vertical="center" wrapText="1"/>
    </xf>
    <xf numFmtId="0" fontId="5" fillId="0" borderId="0" xfId="0" applyFont="1" applyFill="1" applyAlignment="1">
      <alignment vertical="center"/>
    </xf>
    <xf numFmtId="0" fontId="1" fillId="0" borderId="0" xfId="0" applyFont="1" applyFill="1" applyAlignment="1">
      <alignment vertical="center"/>
    </xf>
    <xf numFmtId="49" fontId="6" fillId="2" borderId="1" xfId="0" applyNumberFormat="1"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49" fontId="6" fillId="2" borderId="1" xfId="0" applyNumberFormat="1" applyFont="1" applyFill="1" applyBorder="1" applyAlignment="1">
      <alignment horizontal="center" vertical="center"/>
    </xf>
    <xf numFmtId="183" fontId="6"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5" fillId="0" borderId="0" xfId="0" applyFont="1" applyFill="1" applyAlignment="1">
      <alignment horizontal="center" vertical="center"/>
    </xf>
    <xf numFmtId="0" fontId="7" fillId="0" borderId="0" xfId="0" applyFont="1" applyFill="1" applyAlignment="1">
      <alignment horizontal="center" vertical="center"/>
    </xf>
    <xf numFmtId="0" fontId="7" fillId="0" borderId="0" xfId="0" applyFont="1" applyFill="1" applyAlignment="1">
      <alignment horizontal="left" vertical="center" wrapText="1"/>
    </xf>
    <xf numFmtId="0" fontId="8" fillId="0" borderId="0" xfId="0" applyFont="1" applyFill="1" applyAlignment="1">
      <alignment horizontal="center" vertical="center"/>
    </xf>
    <xf numFmtId="0" fontId="8" fillId="0" borderId="0" xfId="0" applyFont="1" applyFill="1" applyAlignment="1">
      <alignment horizontal="left" vertical="center"/>
    </xf>
    <xf numFmtId="0" fontId="8" fillId="3" borderId="2" xfId="0" applyFont="1" applyFill="1" applyBorder="1" applyAlignment="1">
      <alignment horizontal="center" vertical="center"/>
    </xf>
    <xf numFmtId="0" fontId="8" fillId="3" borderId="2" xfId="0" applyFont="1" applyFill="1" applyBorder="1" applyAlignment="1">
      <alignment horizontal="center" vertical="center" wrapText="1"/>
    </xf>
    <xf numFmtId="0" fontId="7" fillId="0" borderId="2" xfId="0" applyFont="1" applyFill="1" applyBorder="1" applyAlignment="1">
      <alignment horizontal="center" vertical="center"/>
    </xf>
    <xf numFmtId="0" fontId="7" fillId="0" borderId="2" xfId="0" applyFont="1" applyFill="1" applyBorder="1" applyAlignment="1">
      <alignment horizontal="left" vertical="center" wrapText="1"/>
    </xf>
    <xf numFmtId="0" fontId="0" fillId="0" borderId="0" xfId="1185" applyAlignment="1"/>
    <xf numFmtId="0" fontId="9" fillId="4" borderId="2" xfId="1185" applyFont="1" applyFill="1" applyBorder="1" applyAlignment="1">
      <alignment horizontal="centerContinuous" vertical="center"/>
    </xf>
    <xf numFmtId="184" fontId="10" fillId="5" borderId="3" xfId="1285" applyNumberFormat="1" applyFont="1" applyFill="1" applyBorder="1" applyAlignment="1" applyProtection="1">
      <alignment horizontal="center" vertical="center" wrapText="1"/>
      <protection locked="0"/>
    </xf>
    <xf numFmtId="0" fontId="0" fillId="0" borderId="2" xfId="1185" applyBorder="1" applyAlignment="1"/>
    <xf numFmtId="0" fontId="0" fillId="0" borderId="2" xfId="1185" applyBorder="1" applyAlignment="1">
      <alignment horizontal="center" vertical="center"/>
    </xf>
    <xf numFmtId="183" fontId="0" fillId="0" borderId="2" xfId="1185" applyNumberFormat="1" applyBorder="1" applyAlignment="1"/>
    <xf numFmtId="0" fontId="0" fillId="6" borderId="2" xfId="1185" applyFill="1" applyBorder="1" applyAlignment="1"/>
    <xf numFmtId="183" fontId="11" fillId="0" borderId="4" xfId="1185" applyNumberFormat="1" applyFont="1" applyBorder="1" applyAlignment="1" applyProtection="1">
      <alignment horizontal="left" vertical="center" wrapText="1" indent="2"/>
      <protection locked="0"/>
    </xf>
    <xf numFmtId="183" fontId="11" fillId="0" borderId="5" xfId="1185" applyNumberFormat="1" applyFont="1" applyBorder="1" applyAlignment="1" applyProtection="1">
      <alignment vertical="center" wrapText="1"/>
      <protection locked="0"/>
    </xf>
    <xf numFmtId="183" fontId="11" fillId="0" borderId="5" xfId="1185" applyNumberFormat="1" applyFont="1" applyBorder="1" applyAlignment="1" applyProtection="1">
      <alignment horizontal="center" vertical="center" wrapText="1"/>
      <protection locked="0"/>
    </xf>
    <xf numFmtId="183" fontId="0" fillId="0" borderId="0" xfId="1185" applyNumberFormat="1" applyAlignment="1"/>
    <xf numFmtId="0" fontId="10" fillId="0" borderId="2" xfId="1185" applyFont="1" applyBorder="1" applyAlignment="1">
      <alignment horizontal="center"/>
    </xf>
    <xf numFmtId="183" fontId="10" fillId="0" borderId="2" xfId="1185" applyNumberFormat="1" applyFont="1" applyBorder="1" applyAlignment="1">
      <alignment horizontal="center"/>
    </xf>
    <xf numFmtId="0" fontId="10" fillId="0" borderId="2" xfId="1185" applyFont="1" applyBorder="1" applyAlignment="1">
      <alignment horizontal="center" vertical="center"/>
    </xf>
    <xf numFmtId="0" fontId="10" fillId="0" borderId="0" xfId="1185" applyFont="1" applyAlignment="1">
      <alignment horizontal="center" vertical="center" wrapText="1"/>
    </xf>
    <xf numFmtId="0" fontId="10" fillId="0" borderId="0" xfId="1185" applyFont="1" applyAlignment="1"/>
    <xf numFmtId="0" fontId="12" fillId="0" borderId="6" xfId="1269" applyFont="1" applyBorder="1" applyAlignment="1">
      <alignment horizontal="left" vertical="center"/>
    </xf>
    <xf numFmtId="0" fontId="12" fillId="0" borderId="7" xfId="1269" applyFont="1" applyBorder="1" applyAlignment="1">
      <alignment horizontal="left" vertical="center"/>
    </xf>
    <xf numFmtId="0" fontId="13" fillId="0" borderId="8" xfId="1185" applyFont="1" applyBorder="1" applyAlignment="1">
      <alignment horizontal="center" vertical="center" wrapText="1"/>
    </xf>
    <xf numFmtId="0" fontId="13" fillId="0" borderId="9" xfId="1185" applyFont="1" applyBorder="1" applyAlignment="1">
      <alignment horizontal="center" vertical="center" wrapText="1"/>
    </xf>
    <xf numFmtId="0" fontId="13" fillId="0" borderId="10" xfId="1185" applyFont="1" applyBorder="1" applyAlignment="1">
      <alignment horizontal="center" vertical="center" wrapText="1"/>
    </xf>
    <xf numFmtId="0" fontId="13" fillId="0" borderId="11" xfId="1185" applyFont="1" applyBorder="1" applyAlignment="1">
      <alignment horizontal="center" vertical="center" wrapText="1"/>
    </xf>
    <xf numFmtId="0" fontId="0" fillId="0" borderId="12" xfId="1185" applyBorder="1" applyAlignment="1">
      <alignment horizontal="center" vertical="center" wrapText="1"/>
    </xf>
    <xf numFmtId="0" fontId="9" fillId="7" borderId="12" xfId="1185" applyFont="1" applyFill="1" applyBorder="1" applyAlignment="1">
      <alignment horizontal="center" vertical="center" wrapText="1"/>
    </xf>
    <xf numFmtId="0" fontId="0" fillId="0" borderId="2" xfId="1185" applyBorder="1" applyAlignment="1">
      <alignment horizontal="center" vertical="center" wrapText="1"/>
    </xf>
    <xf numFmtId="0" fontId="9" fillId="7" borderId="2" xfId="1185" applyFont="1" applyFill="1" applyBorder="1" applyAlignment="1">
      <alignment horizontal="center" vertical="center" wrapText="1"/>
    </xf>
    <xf numFmtId="0" fontId="0" fillId="0" borderId="0" xfId="1185" applyAlignment="1">
      <alignment horizontal="left" vertical="center" wrapText="1"/>
    </xf>
    <xf numFmtId="0" fontId="9" fillId="0" borderId="0" xfId="1185" applyFont="1" applyAlignment="1">
      <alignment horizontal="left" vertical="center" wrapText="1"/>
    </xf>
    <xf numFmtId="0" fontId="9" fillId="0" borderId="0" xfId="1185" applyFont="1" applyAlignment="1">
      <alignment vertical="center" wrapText="1"/>
    </xf>
    <xf numFmtId="0" fontId="12" fillId="0" borderId="13" xfId="1269" applyFont="1" applyBorder="1" applyAlignment="1">
      <alignment horizontal="left" vertical="center"/>
    </xf>
    <xf numFmtId="0" fontId="13" fillId="0" borderId="9" xfId="1185" applyFont="1" applyBorder="1" applyAlignment="1">
      <alignment vertical="center" wrapText="1"/>
    </xf>
    <xf numFmtId="0" fontId="13" fillId="0" borderId="14" xfId="1185" applyFont="1" applyBorder="1" applyAlignment="1">
      <alignment horizontal="center" vertical="center" wrapText="1"/>
    </xf>
    <xf numFmtId="0" fontId="13" fillId="0" borderId="15" xfId="1185" applyFont="1" applyBorder="1" applyAlignment="1">
      <alignment horizontal="center" vertical="center" wrapText="1"/>
    </xf>
    <xf numFmtId="0" fontId="0" fillId="7" borderId="2" xfId="1185" applyFill="1" applyBorder="1" applyAlignment="1">
      <alignment horizontal="center" vertical="center" wrapText="1"/>
    </xf>
    <xf numFmtId="0" fontId="0" fillId="0" borderId="0" xfId="0" applyAlignment="1">
      <alignment horizontal="left"/>
    </xf>
    <xf numFmtId="0" fontId="0" fillId="0" borderId="0" xfId="0" applyAlignment="1"/>
    <xf numFmtId="0" fontId="0" fillId="0" borderId="0" xfId="0" applyAlignment="1">
      <alignment horizontal="center"/>
    </xf>
    <xf numFmtId="0" fontId="14" fillId="0" borderId="0" xfId="0" applyFont="1" applyAlignment="1">
      <alignment horizontal="centerContinuous" vertical="center"/>
    </xf>
    <xf numFmtId="0" fontId="14" fillId="0" borderId="0" xfId="0" applyFont="1" applyAlignment="1">
      <alignment horizontal="centerContinuous" vertical="center" wrapText="1"/>
    </xf>
    <xf numFmtId="49" fontId="15" fillId="0" borderId="0" xfId="0" applyNumberFormat="1" applyFont="1" applyAlignment="1">
      <alignment horizontal="left" vertical="center"/>
    </xf>
    <xf numFmtId="49" fontId="15" fillId="0" borderId="0" xfId="0" applyNumberFormat="1" applyFont="1" applyAlignment="1">
      <alignment horizontal="center" vertical="center"/>
    </xf>
    <xf numFmtId="0" fontId="16" fillId="0" borderId="0" xfId="6" applyFont="1" applyAlignment="1" applyProtection="1">
      <alignment vertical="center"/>
    </xf>
    <xf numFmtId="0" fontId="17" fillId="0" borderId="0" xfId="0" applyFont="1" applyAlignment="1">
      <alignment horizontal="center" vertical="center"/>
    </xf>
    <xf numFmtId="0" fontId="17" fillId="0" borderId="0" xfId="0" applyFont="1" applyAlignment="1">
      <alignment horizontal="center" vertical="center" wrapText="1"/>
    </xf>
    <xf numFmtId="49" fontId="15" fillId="8" borderId="16" xfId="0" applyNumberFormat="1" applyFont="1" applyFill="1" applyBorder="1" applyAlignment="1">
      <alignment horizontal="left" vertical="center"/>
    </xf>
    <xf numFmtId="49" fontId="15" fillId="8" borderId="17" xfId="0" applyNumberFormat="1" applyFont="1" applyFill="1" applyBorder="1" applyAlignment="1">
      <alignment horizontal="center" vertical="center"/>
    </xf>
    <xf numFmtId="0" fontId="16" fillId="8" borderId="17" xfId="6" applyFont="1" applyFill="1" applyBorder="1" applyAlignment="1" applyProtection="1">
      <alignment vertical="center"/>
    </xf>
    <xf numFmtId="0" fontId="17" fillId="8" borderId="17" xfId="0" applyFont="1" applyFill="1" applyBorder="1" applyAlignment="1">
      <alignment horizontal="center" vertical="center"/>
    </xf>
    <xf numFmtId="0" fontId="17" fillId="8" borderId="17" xfId="0" applyFont="1" applyFill="1" applyBorder="1" applyAlignment="1">
      <alignment horizontal="center" vertical="center" wrapText="1"/>
    </xf>
    <xf numFmtId="49" fontId="12" fillId="8" borderId="8" xfId="0" applyNumberFormat="1" applyFont="1" applyFill="1" applyBorder="1" applyAlignment="1">
      <alignment horizontal="left" vertical="center"/>
    </xf>
    <xf numFmtId="49" fontId="12" fillId="8" borderId="9" xfId="0" applyNumberFormat="1" applyFont="1" applyFill="1" applyBorder="1" applyAlignment="1">
      <alignment horizontal="center" vertical="center"/>
    </xf>
    <xf numFmtId="0" fontId="12" fillId="8" borderId="9" xfId="0" applyFont="1" applyFill="1" applyBorder="1" applyAlignment="1">
      <alignment horizontal="center" vertical="center"/>
    </xf>
    <xf numFmtId="0" fontId="12" fillId="8" borderId="9" xfId="0" applyFont="1" applyFill="1" applyBorder="1" applyAlignment="1">
      <alignment horizontal="center" vertical="center" wrapText="1"/>
    </xf>
    <xf numFmtId="49" fontId="9" fillId="0" borderId="2" xfId="0" applyNumberFormat="1" applyFont="1" applyBorder="1" applyAlignment="1" applyProtection="1">
      <alignment horizontal="left" vertical="center"/>
      <protection locked="0"/>
    </xf>
    <xf numFmtId="49" fontId="9" fillId="0" borderId="2" xfId="0" applyNumberFormat="1" applyFont="1" applyBorder="1" applyAlignment="1" applyProtection="1">
      <alignment horizontal="center" vertical="center"/>
      <protection locked="0"/>
    </xf>
    <xf numFmtId="0" fontId="9" fillId="0" borderId="2" xfId="0" applyFont="1" applyBorder="1" applyAlignment="1" applyProtection="1">
      <alignment horizontal="center" vertical="center"/>
      <protection locked="0"/>
    </xf>
    <xf numFmtId="0" fontId="9" fillId="0" borderId="2" xfId="0" applyFont="1" applyBorder="1" applyAlignment="1" applyProtection="1">
      <alignment horizontal="center" vertical="center" wrapText="1"/>
      <protection locked="0"/>
    </xf>
    <xf numFmtId="0" fontId="9" fillId="0" borderId="18" xfId="0" applyFont="1" applyBorder="1" applyAlignment="1" applyProtection="1">
      <alignment horizontal="center" vertical="center"/>
      <protection locked="0"/>
    </xf>
    <xf numFmtId="0" fontId="9" fillId="0" borderId="2" xfId="0" applyFont="1" applyBorder="1" applyAlignment="1" applyProtection="1">
      <alignment horizontal="left" vertical="center"/>
      <protection locked="0"/>
    </xf>
    <xf numFmtId="0" fontId="18" fillId="0" borderId="2" xfId="0" applyFont="1" applyBorder="1" applyProtection="1">
      <alignment vertical="center"/>
      <protection locked="0"/>
    </xf>
    <xf numFmtId="0" fontId="9" fillId="0" borderId="18" xfId="0" applyFont="1" applyBorder="1" applyAlignment="1" applyProtection="1">
      <alignment horizontal="center" vertical="center" wrapText="1"/>
      <protection locked="0"/>
    </xf>
    <xf numFmtId="49" fontId="9" fillId="6" borderId="2" xfId="0" applyNumberFormat="1" applyFont="1" applyFill="1" applyBorder="1" applyAlignment="1" applyProtection="1">
      <alignment horizontal="left" vertical="center"/>
      <protection locked="0"/>
    </xf>
    <xf numFmtId="49" fontId="9" fillId="6" borderId="2" xfId="0" applyNumberFormat="1" applyFont="1" applyFill="1" applyBorder="1" applyAlignment="1" applyProtection="1">
      <alignment horizontal="center" vertical="center"/>
      <protection locked="0"/>
    </xf>
    <xf numFmtId="0" fontId="9" fillId="6" borderId="2" xfId="0" applyFont="1" applyFill="1" applyBorder="1" applyAlignment="1" applyProtection="1">
      <alignment horizontal="center" vertical="center"/>
      <protection locked="0"/>
    </xf>
    <xf numFmtId="0" fontId="9" fillId="6" borderId="2" xfId="0" applyFont="1" applyFill="1" applyBorder="1" applyAlignment="1" applyProtection="1">
      <alignment horizontal="center" vertical="center" wrapText="1"/>
      <protection locked="0"/>
    </xf>
    <xf numFmtId="0" fontId="9" fillId="6" borderId="18" xfId="0" applyFont="1" applyFill="1" applyBorder="1" applyAlignment="1" applyProtection="1">
      <alignment horizontal="center" vertical="center"/>
      <protection locked="0"/>
    </xf>
    <xf numFmtId="183" fontId="9" fillId="0" borderId="0" xfId="0" applyNumberFormat="1" applyFont="1" applyAlignment="1" applyProtection="1">
      <alignment horizontal="left" vertical="center"/>
      <protection locked="0"/>
    </xf>
    <xf numFmtId="183" fontId="9" fillId="0" borderId="0" xfId="0" applyNumberFormat="1" applyFont="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49" fontId="9" fillId="0" borderId="0" xfId="0" applyNumberFormat="1" applyFont="1" applyAlignment="1" applyProtection="1">
      <alignment horizontal="left" vertical="center" wrapText="1"/>
      <protection locked="0"/>
    </xf>
    <xf numFmtId="185" fontId="14" fillId="0" borderId="0" xfId="0" applyNumberFormat="1" applyFont="1" applyAlignment="1">
      <alignment horizontal="centerContinuous" vertical="center" wrapText="1"/>
    </xf>
    <xf numFmtId="185" fontId="14" fillId="0" borderId="0" xfId="0" applyNumberFormat="1" applyFont="1" applyAlignment="1">
      <alignment horizontal="centerContinuous" vertical="center"/>
    </xf>
    <xf numFmtId="0" fontId="14" fillId="0" borderId="0" xfId="0" applyFont="1" applyAlignment="1">
      <alignment horizontal="center" vertical="center"/>
    </xf>
    <xf numFmtId="185" fontId="15" fillId="0" borderId="0" xfId="0" applyNumberFormat="1" applyFont="1" applyAlignment="1">
      <alignment vertical="center" wrapText="1"/>
    </xf>
    <xf numFmtId="0" fontId="15" fillId="0" borderId="0" xfId="0" applyFont="1" applyAlignment="1">
      <alignment horizontal="center" vertical="center"/>
    </xf>
    <xf numFmtId="185" fontId="15" fillId="0" borderId="0" xfId="0" applyNumberFormat="1" applyFont="1" applyAlignment="1">
      <alignment horizontal="right" vertical="center"/>
    </xf>
    <xf numFmtId="185" fontId="15" fillId="8" borderId="17" xfId="0" applyNumberFormat="1" applyFont="1" applyFill="1" applyBorder="1" applyAlignment="1">
      <alignment vertical="center" wrapText="1"/>
    </xf>
    <xf numFmtId="0" fontId="15" fillId="8" borderId="17" xfId="0" applyFont="1" applyFill="1" applyBorder="1" applyAlignment="1">
      <alignment horizontal="center" vertical="center"/>
    </xf>
    <xf numFmtId="185" fontId="15" fillId="8" borderId="17" xfId="0" applyNumberFormat="1" applyFont="1" applyFill="1" applyBorder="1" applyAlignment="1">
      <alignment horizontal="right" vertical="center"/>
    </xf>
    <xf numFmtId="185" fontId="12" fillId="8" borderId="9" xfId="0" applyNumberFormat="1" applyFont="1" applyFill="1" applyBorder="1" applyAlignment="1">
      <alignment vertical="center" wrapText="1"/>
    </xf>
    <xf numFmtId="185" fontId="12" fillId="8" borderId="9" xfId="0" applyNumberFormat="1" applyFont="1" applyFill="1" applyBorder="1" applyAlignment="1">
      <alignment horizontal="right" vertical="center" wrapText="1"/>
    </xf>
    <xf numFmtId="0" fontId="0" fillId="8" borderId="9" xfId="0" applyFill="1" applyBorder="1" applyAlignment="1"/>
    <xf numFmtId="185" fontId="9" fillId="0" borderId="2" xfId="0" applyNumberFormat="1" applyFont="1" applyBorder="1" applyAlignment="1" applyProtection="1">
      <alignment vertical="center" wrapText="1"/>
      <protection locked="0"/>
    </xf>
    <xf numFmtId="10" fontId="9" fillId="0" borderId="2" xfId="3" applyNumberFormat="1" applyFont="1" applyFill="1" applyBorder="1" applyAlignment="1" applyProtection="1">
      <alignment horizontal="center" vertical="center" wrapText="1"/>
      <protection locked="0"/>
    </xf>
    <xf numFmtId="185" fontId="9" fillId="0" borderId="2" xfId="0" applyNumberFormat="1" applyFont="1" applyBorder="1" applyAlignment="1" applyProtection="1">
      <alignment horizontal="right" vertical="center" wrapText="1"/>
      <protection locked="0"/>
    </xf>
    <xf numFmtId="0" fontId="0" fillId="0" borderId="2" xfId="0" applyBorder="1" applyAlignment="1" applyProtection="1">
      <protection locked="0"/>
    </xf>
    <xf numFmtId="185" fontId="9" fillId="0" borderId="2" xfId="0" applyNumberFormat="1" applyFont="1" applyBorder="1" applyAlignment="1" applyProtection="1">
      <alignment horizontal="center" vertical="center" wrapText="1"/>
      <protection locked="0"/>
    </xf>
    <xf numFmtId="4" fontId="19" fillId="9" borderId="19" xfId="0" applyNumberFormat="1" applyFont="1" applyFill="1" applyBorder="1" applyAlignment="1" applyProtection="1">
      <alignment horizontal="center" vertical="center" wrapText="1"/>
      <protection locked="0"/>
    </xf>
    <xf numFmtId="185" fontId="20" fillId="0" borderId="2" xfId="0" applyNumberFormat="1" applyFont="1" applyBorder="1" applyAlignment="1" applyProtection="1">
      <alignment horizontal="right" vertical="center" wrapText="1"/>
      <protection locked="0"/>
    </xf>
    <xf numFmtId="4" fontId="19" fillId="0" borderId="19" xfId="0" applyNumberFormat="1" applyFont="1" applyBorder="1" applyAlignment="1" applyProtection="1">
      <alignment horizontal="center" vertical="center" wrapText="1"/>
      <protection locked="0"/>
    </xf>
    <xf numFmtId="183" fontId="9" fillId="0" borderId="2" xfId="0" applyNumberFormat="1" applyFont="1" applyBorder="1" applyAlignment="1" applyProtection="1">
      <alignment vertical="center" wrapText="1"/>
      <protection locked="0"/>
    </xf>
    <xf numFmtId="186" fontId="9" fillId="0" borderId="2" xfId="0" applyNumberFormat="1" applyFont="1" applyBorder="1" applyProtection="1">
      <alignment vertical="center"/>
      <protection locked="0"/>
    </xf>
    <xf numFmtId="185" fontId="9" fillId="0" borderId="2" xfId="0" applyNumberFormat="1" applyFont="1" applyBorder="1" applyAlignment="1" applyProtection="1">
      <alignment horizontal="right" vertical="center"/>
      <protection locked="0"/>
    </xf>
    <xf numFmtId="186" fontId="9" fillId="0" borderId="2" xfId="0" applyNumberFormat="1" applyFont="1" applyBorder="1" applyAlignment="1" applyProtection="1">
      <alignment horizontal="center" vertical="center"/>
      <protection locked="0"/>
    </xf>
    <xf numFmtId="0" fontId="9" fillId="9" borderId="2" xfId="0" applyFont="1" applyFill="1" applyBorder="1" applyAlignment="1" applyProtection="1">
      <alignment horizontal="center" vertical="center" wrapText="1"/>
      <protection locked="0"/>
    </xf>
    <xf numFmtId="185" fontId="9" fillId="6" borderId="2" xfId="0" applyNumberFormat="1" applyFont="1" applyFill="1" applyBorder="1" applyAlignment="1" applyProtection="1">
      <alignment vertical="center" wrapText="1"/>
      <protection locked="0"/>
    </xf>
    <xf numFmtId="10" fontId="9" fillId="6" borderId="2" xfId="3" applyNumberFormat="1" applyFont="1" applyFill="1" applyBorder="1" applyAlignment="1" applyProtection="1">
      <alignment horizontal="center" vertical="center" wrapText="1"/>
      <protection locked="0"/>
    </xf>
    <xf numFmtId="185" fontId="9" fillId="6" borderId="2" xfId="0" applyNumberFormat="1" applyFont="1" applyFill="1" applyBorder="1" applyAlignment="1" applyProtection="1">
      <alignment horizontal="right" vertical="center" wrapText="1"/>
      <protection locked="0"/>
    </xf>
    <xf numFmtId="0" fontId="0" fillId="6" borderId="2" xfId="0" applyFill="1" applyBorder="1" applyAlignment="1" applyProtection="1">
      <protection locked="0"/>
    </xf>
    <xf numFmtId="185" fontId="9" fillId="0" borderId="0" xfId="0" applyNumberFormat="1" applyFont="1" applyAlignment="1" applyProtection="1">
      <alignment vertical="center" wrapText="1"/>
      <protection locked="0"/>
    </xf>
    <xf numFmtId="185" fontId="9" fillId="0" borderId="0" xfId="0" applyNumberFormat="1" applyFont="1" applyAlignment="1" applyProtection="1">
      <alignment horizontal="right" vertical="center"/>
      <protection locked="0"/>
    </xf>
    <xf numFmtId="183" fontId="9" fillId="0" borderId="0" xfId="0" applyNumberFormat="1" applyFont="1" applyAlignment="1" applyProtection="1">
      <alignment horizontal="center" vertical="center"/>
      <protection locked="0"/>
    </xf>
    <xf numFmtId="49" fontId="9" fillId="0" borderId="0" xfId="0" applyNumberFormat="1" applyFont="1" applyAlignment="1" applyProtection="1">
      <alignment horizontal="center" vertical="center"/>
      <protection locked="0"/>
    </xf>
    <xf numFmtId="185" fontId="0" fillId="0" borderId="0" xfId="0" applyNumberFormat="1" applyAlignment="1" applyProtection="1">
      <alignment wrapText="1"/>
      <protection locked="0"/>
    </xf>
    <xf numFmtId="185" fontId="0" fillId="8" borderId="17" xfId="0" applyNumberFormat="1" applyFill="1" applyBorder="1" applyAlignment="1">
      <alignment horizontal="right"/>
    </xf>
    <xf numFmtId="0" fontId="15" fillId="8" borderId="20" xfId="0" applyFont="1" applyFill="1" applyBorder="1" applyAlignment="1">
      <alignment horizontal="left" vertical="center"/>
    </xf>
    <xf numFmtId="0" fontId="12" fillId="8" borderId="14" xfId="0" applyFont="1" applyFill="1" applyBorder="1" applyAlignment="1">
      <alignment horizontal="center" vertical="center"/>
    </xf>
    <xf numFmtId="0" fontId="0" fillId="0" borderId="0" xfId="0" applyAlignment="1" applyProtection="1">
      <protection locked="0"/>
    </xf>
    <xf numFmtId="0" fontId="9" fillId="0" borderId="3" xfId="0" applyFont="1" applyBorder="1" applyAlignment="1" applyProtection="1">
      <alignment horizontal="center" vertical="center"/>
      <protection locked="0"/>
    </xf>
    <xf numFmtId="0" fontId="9" fillId="0" borderId="21" xfId="0" applyFont="1" applyBorder="1" applyAlignment="1" applyProtection="1">
      <alignment horizontal="center" vertical="center"/>
      <protection locked="0"/>
    </xf>
    <xf numFmtId="0" fontId="9" fillId="0" borderId="12" xfId="0" applyFont="1" applyBorder="1" applyAlignment="1" applyProtection="1">
      <alignment horizontal="center" vertical="center"/>
      <protection locked="0"/>
    </xf>
    <xf numFmtId="187" fontId="19" fillId="0" borderId="2" xfId="0" applyNumberFormat="1" applyFont="1" applyBorder="1" applyAlignment="1" applyProtection="1">
      <alignment horizontal="right" vertical="center" wrapText="1"/>
      <protection locked="0"/>
    </xf>
    <xf numFmtId="0" fontId="0" fillId="0" borderId="0" xfId="1185" applyAlignment="1">
      <alignment horizontal="left"/>
    </xf>
    <xf numFmtId="0" fontId="14" fillId="0" borderId="0" xfId="1185" applyFont="1" applyAlignment="1">
      <alignment horizontal="left" vertical="center"/>
    </xf>
    <xf numFmtId="0" fontId="14" fillId="0" borderId="0" xfId="1185" applyFont="1" applyAlignment="1">
      <alignment horizontal="centerContinuous" vertical="center"/>
    </xf>
    <xf numFmtId="185" fontId="14" fillId="0" borderId="0" xfId="1185" applyNumberFormat="1" applyFont="1" applyAlignment="1">
      <alignment horizontal="centerContinuous" vertical="center"/>
    </xf>
    <xf numFmtId="0" fontId="15" fillId="0" borderId="0" xfId="1185" applyFont="1" applyAlignment="1">
      <alignment horizontal="left" vertical="center"/>
    </xf>
    <xf numFmtId="0" fontId="15" fillId="0" borderId="0" xfId="1185" applyFont="1">
      <alignment vertical="center"/>
    </xf>
    <xf numFmtId="185" fontId="15" fillId="0" borderId="0" xfId="1185" applyNumberFormat="1" applyFont="1" applyAlignment="1">
      <alignment horizontal="right" vertical="center"/>
    </xf>
    <xf numFmtId="0" fontId="15" fillId="10" borderId="16" xfId="1185" applyFont="1" applyFill="1" applyBorder="1" applyAlignment="1">
      <alignment horizontal="left" vertical="center"/>
    </xf>
    <xf numFmtId="0" fontId="15" fillId="10" borderId="17" xfId="1185" applyFont="1" applyFill="1" applyBorder="1">
      <alignment vertical="center"/>
    </xf>
    <xf numFmtId="0" fontId="16" fillId="10" borderId="17" xfId="6" applyFont="1" applyFill="1" applyBorder="1" applyAlignment="1" applyProtection="1">
      <alignment vertical="center"/>
    </xf>
    <xf numFmtId="185" fontId="15" fillId="10" borderId="17" xfId="1185" applyNumberFormat="1" applyFont="1" applyFill="1" applyBorder="1" applyAlignment="1">
      <alignment horizontal="right" vertical="center"/>
    </xf>
    <xf numFmtId="0" fontId="13" fillId="10" borderId="8" xfId="1185" applyFont="1" applyFill="1" applyBorder="1" applyAlignment="1">
      <alignment horizontal="left" vertical="center" wrapText="1"/>
    </xf>
    <xf numFmtId="0" fontId="13" fillId="10" borderId="9" xfId="1185" applyFont="1" applyFill="1" applyBorder="1" applyAlignment="1">
      <alignment horizontal="center" vertical="center" wrapText="1"/>
    </xf>
    <xf numFmtId="0" fontId="13" fillId="10" borderId="9" xfId="1185" applyFont="1" applyFill="1" applyBorder="1" applyAlignment="1">
      <alignment horizontal="center" vertical="center"/>
    </xf>
    <xf numFmtId="0" fontId="21" fillId="10" borderId="22" xfId="1185" applyFont="1" applyFill="1" applyBorder="1" applyAlignment="1">
      <alignment horizontal="center" vertical="center" wrapText="1"/>
    </xf>
    <xf numFmtId="0" fontId="21" fillId="10" borderId="23" xfId="1185" applyFont="1" applyFill="1" applyBorder="1" applyAlignment="1">
      <alignment horizontal="center" vertical="center" wrapText="1"/>
    </xf>
    <xf numFmtId="0" fontId="9" fillId="9" borderId="2" xfId="1185" applyFont="1" applyFill="1" applyBorder="1" applyAlignment="1" applyProtection="1">
      <alignment horizontal="left" vertical="center" wrapText="1"/>
      <protection locked="0"/>
    </xf>
    <xf numFmtId="0" fontId="9" fillId="9" borderId="2" xfId="1185" applyFont="1" applyFill="1" applyBorder="1" applyAlignment="1" applyProtection="1">
      <alignment horizontal="center" vertical="center" wrapText="1"/>
      <protection locked="0"/>
    </xf>
    <xf numFmtId="0" fontId="9" fillId="9" borderId="2" xfId="1185" applyFont="1" applyFill="1" applyBorder="1" applyProtection="1">
      <alignment vertical="center"/>
      <protection locked="0"/>
    </xf>
    <xf numFmtId="0" fontId="9" fillId="9" borderId="2" xfId="1185" applyFont="1" applyFill="1" applyBorder="1" applyAlignment="1" applyProtection="1">
      <alignment horizontal="center" vertical="center"/>
      <protection locked="0"/>
    </xf>
    <xf numFmtId="185" fontId="9" fillId="9" borderId="2" xfId="1185" applyNumberFormat="1" applyFont="1" applyFill="1" applyBorder="1" applyAlignment="1" applyProtection="1">
      <alignment horizontal="right" vertical="center"/>
      <protection locked="0"/>
    </xf>
    <xf numFmtId="0" fontId="9" fillId="9" borderId="18" xfId="1185" applyFont="1" applyFill="1" applyBorder="1" applyAlignment="1" applyProtection="1">
      <alignment horizontal="center" vertical="center"/>
      <protection locked="0"/>
    </xf>
    <xf numFmtId="185" fontId="9" fillId="9" borderId="18" xfId="1185" applyNumberFormat="1" applyFont="1" applyFill="1" applyBorder="1" applyAlignment="1" applyProtection="1">
      <alignment horizontal="right" vertical="center"/>
      <protection locked="0"/>
    </xf>
    <xf numFmtId="0" fontId="9" fillId="0" borderId="2" xfId="1185" applyFont="1" applyBorder="1" applyAlignment="1" applyProtection="1">
      <alignment horizontal="left" vertical="center" wrapText="1"/>
      <protection locked="0"/>
    </xf>
    <xf numFmtId="0" fontId="9" fillId="0" borderId="2" xfId="1185" applyFont="1" applyBorder="1" applyAlignment="1" applyProtection="1">
      <alignment horizontal="center" vertical="center" wrapText="1"/>
      <protection locked="0"/>
    </xf>
    <xf numFmtId="0" fontId="9" fillId="0" borderId="2" xfId="1185" applyFont="1" applyBorder="1" applyProtection="1">
      <alignment vertical="center"/>
      <protection locked="0"/>
    </xf>
    <xf numFmtId="0" fontId="9" fillId="0" borderId="2" xfId="1185" applyFont="1" applyBorder="1" applyAlignment="1" applyProtection="1">
      <alignment horizontal="center" vertical="center"/>
      <protection locked="0"/>
    </xf>
    <xf numFmtId="0" fontId="9" fillId="0" borderId="18" xfId="1185" applyFont="1" applyBorder="1" applyAlignment="1" applyProtection="1">
      <alignment horizontal="center" vertical="center"/>
      <protection locked="0"/>
    </xf>
    <xf numFmtId="185" fontId="9" fillId="0" borderId="18" xfId="1185" applyNumberFormat="1" applyFont="1" applyBorder="1" applyAlignment="1" applyProtection="1">
      <alignment horizontal="right" vertical="center"/>
      <protection locked="0"/>
    </xf>
    <xf numFmtId="0" fontId="22" fillId="0" borderId="2" xfId="1185" applyFont="1" applyBorder="1" applyAlignment="1" applyProtection="1">
      <alignment vertical="center" wrapText="1"/>
      <protection locked="0"/>
    </xf>
    <xf numFmtId="0" fontId="9" fillId="0" borderId="2" xfId="1185" applyFont="1" applyBorder="1" applyAlignment="1" applyProtection="1">
      <alignment vertical="center" wrapText="1"/>
      <protection locked="0"/>
    </xf>
    <xf numFmtId="0" fontId="22" fillId="0" borderId="2" xfId="1185" applyFont="1" applyBorder="1" applyProtection="1">
      <alignment vertical="center"/>
      <protection locked="0"/>
    </xf>
    <xf numFmtId="0" fontId="22" fillId="0" borderId="2" xfId="1185" applyFont="1" applyBorder="1" applyAlignment="1" applyProtection="1">
      <alignment horizontal="left" vertical="center"/>
      <protection locked="0"/>
    </xf>
    <xf numFmtId="0" fontId="9" fillId="9" borderId="2" xfId="1185" applyFont="1" applyFill="1" applyBorder="1" applyAlignment="1">
      <alignment horizontal="left" vertical="center"/>
    </xf>
    <xf numFmtId="0" fontId="9" fillId="9" borderId="2" xfId="1185" applyFont="1" applyFill="1" applyBorder="1" applyAlignment="1">
      <alignment horizontal="center" vertical="center" wrapText="1"/>
    </xf>
    <xf numFmtId="0" fontId="18" fillId="9" borderId="2" xfId="1185" applyFont="1" applyFill="1" applyBorder="1">
      <alignment vertical="center"/>
    </xf>
    <xf numFmtId="0" fontId="9" fillId="9" borderId="2" xfId="1185" applyFont="1" applyFill="1" applyBorder="1" applyAlignment="1">
      <alignment horizontal="center" vertical="center"/>
    </xf>
    <xf numFmtId="0" fontId="9" fillId="9" borderId="18" xfId="1185" applyFont="1" applyFill="1" applyBorder="1" applyAlignment="1">
      <alignment horizontal="center" vertical="center" wrapText="1"/>
    </xf>
    <xf numFmtId="185" fontId="9" fillId="9" borderId="18" xfId="1185" applyNumberFormat="1" applyFont="1" applyFill="1" applyBorder="1" applyAlignment="1">
      <alignment horizontal="right" vertical="center" wrapText="1"/>
    </xf>
    <xf numFmtId="185" fontId="0" fillId="0" borderId="0" xfId="1185" applyNumberFormat="1" applyAlignment="1">
      <alignment horizontal="right"/>
    </xf>
    <xf numFmtId="0" fontId="0" fillId="0" borderId="0" xfId="1185" applyAlignment="1" applyProtection="1">
      <alignment horizontal="left"/>
      <protection locked="0"/>
    </xf>
    <xf numFmtId="185" fontId="0" fillId="0" borderId="0" xfId="1185" applyNumberFormat="1" applyAlignment="1" applyProtection="1">
      <alignment horizontal="right"/>
      <protection locked="0"/>
    </xf>
    <xf numFmtId="185" fontId="14" fillId="0" borderId="0" xfId="1185" applyNumberFormat="1" applyFont="1" applyAlignment="1">
      <alignment horizontal="centerContinuous" vertical="center" wrapText="1"/>
    </xf>
    <xf numFmtId="185" fontId="15" fillId="0" borderId="0" xfId="1185" applyNumberFormat="1" applyFont="1" applyAlignment="1">
      <alignment vertical="center" wrapText="1"/>
    </xf>
    <xf numFmtId="0" fontId="15" fillId="0" borderId="0" xfId="1185" applyFont="1" applyAlignment="1">
      <alignment horizontal="right" vertical="center"/>
    </xf>
    <xf numFmtId="0" fontId="23" fillId="0" borderId="0" xfId="1185" applyFont="1" applyAlignment="1">
      <alignment horizontal="right" vertical="center"/>
    </xf>
    <xf numFmtId="185" fontId="15" fillId="10" borderId="17" xfId="1185" applyNumberFormat="1" applyFont="1" applyFill="1" applyBorder="1" applyAlignment="1">
      <alignment vertical="center" wrapText="1"/>
    </xf>
    <xf numFmtId="0" fontId="15" fillId="10" borderId="17" xfId="1185" applyFont="1" applyFill="1" applyBorder="1" applyAlignment="1">
      <alignment horizontal="right" vertical="center"/>
    </xf>
    <xf numFmtId="185" fontId="13" fillId="10" borderId="9" xfId="1185" applyNumberFormat="1" applyFont="1" applyFill="1" applyBorder="1" applyAlignment="1">
      <alignment vertical="center" wrapText="1"/>
    </xf>
    <xf numFmtId="0" fontId="12" fillId="10" borderId="9" xfId="1185" applyFont="1" applyFill="1" applyBorder="1" applyAlignment="1">
      <alignment horizontal="center" vertical="center" wrapText="1"/>
    </xf>
    <xf numFmtId="0" fontId="24" fillId="10" borderId="22" xfId="1185" applyFont="1" applyFill="1" applyBorder="1" applyAlignment="1">
      <alignment horizontal="center" wrapText="1"/>
    </xf>
    <xf numFmtId="0" fontId="24" fillId="10" borderId="24" xfId="1185" applyFont="1" applyFill="1" applyBorder="1" applyAlignment="1">
      <alignment horizontal="center" wrapText="1"/>
    </xf>
    <xf numFmtId="0" fontId="24" fillId="10" borderId="22" xfId="1185" applyFont="1" applyFill="1" applyBorder="1" applyAlignment="1">
      <alignment horizontal="center"/>
    </xf>
    <xf numFmtId="185" fontId="9" fillId="9" borderId="2" xfId="1185" applyNumberFormat="1" applyFont="1" applyFill="1" applyBorder="1" applyAlignment="1" applyProtection="1">
      <alignment vertical="center" wrapText="1"/>
      <protection locked="0"/>
    </xf>
    <xf numFmtId="10" fontId="9" fillId="9" borderId="2" xfId="870" applyNumberFormat="1" applyFont="1" applyFill="1" applyBorder="1" applyAlignment="1" applyProtection="1">
      <alignment horizontal="center" vertical="center" wrapText="1"/>
      <protection locked="0"/>
    </xf>
    <xf numFmtId="185" fontId="19" fillId="9" borderId="2" xfId="1286" applyNumberFormat="1" applyFont="1" applyFill="1" applyBorder="1" applyAlignment="1" applyProtection="1">
      <alignment horizontal="center" vertical="center" wrapText="1"/>
      <protection locked="0"/>
    </xf>
    <xf numFmtId="185" fontId="9" fillId="0" borderId="2" xfId="1185" applyNumberFormat="1" applyFont="1" applyBorder="1" applyAlignment="1" applyProtection="1">
      <alignment vertical="center" wrapText="1"/>
      <protection locked="0"/>
    </xf>
    <xf numFmtId="10" fontId="9" fillId="0" borderId="2" xfId="870" applyNumberFormat="1" applyFont="1" applyFill="1" applyBorder="1" applyAlignment="1" applyProtection="1">
      <alignment horizontal="center" vertical="center" wrapText="1"/>
      <protection locked="0"/>
    </xf>
    <xf numFmtId="185" fontId="9" fillId="0" borderId="2" xfId="1185" applyNumberFormat="1" applyFont="1" applyBorder="1" applyAlignment="1" applyProtection="1">
      <alignment horizontal="center" vertical="center" wrapText="1"/>
      <protection locked="0"/>
    </xf>
    <xf numFmtId="185" fontId="19" fillId="0" borderId="2" xfId="1286" applyNumberFormat="1" applyFont="1" applyBorder="1" applyAlignment="1" applyProtection="1">
      <alignment horizontal="center" vertical="center" wrapText="1"/>
      <protection locked="0"/>
    </xf>
    <xf numFmtId="183" fontId="9" fillId="0" borderId="2" xfId="1185" applyNumberFormat="1" applyFont="1" applyBorder="1" applyAlignment="1" applyProtection="1">
      <alignment horizontal="center" vertical="center" wrapText="1"/>
      <protection locked="0"/>
    </xf>
    <xf numFmtId="10" fontId="9" fillId="0" borderId="2" xfId="870" applyNumberFormat="1" applyFont="1" applyBorder="1" applyAlignment="1" applyProtection="1">
      <alignment horizontal="center" vertical="center" wrapText="1"/>
      <protection locked="0"/>
    </xf>
    <xf numFmtId="185" fontId="9" fillId="9" borderId="2" xfId="1185" applyNumberFormat="1" applyFont="1" applyFill="1" applyBorder="1" applyAlignment="1">
      <alignment vertical="center" wrapText="1"/>
    </xf>
    <xf numFmtId="186" fontId="9" fillId="9" borderId="2" xfId="1185" applyNumberFormat="1" applyFont="1" applyFill="1" applyBorder="1">
      <alignment vertical="center"/>
    </xf>
    <xf numFmtId="185" fontId="0" fillId="0" borderId="0" xfId="1185" applyNumberFormat="1" applyAlignment="1">
      <alignment wrapText="1"/>
    </xf>
    <xf numFmtId="185" fontId="0" fillId="0" borderId="0" xfId="1185" applyNumberFormat="1" applyAlignment="1" applyProtection="1">
      <alignment wrapText="1"/>
      <protection locked="0"/>
    </xf>
    <xf numFmtId="0" fontId="15" fillId="10" borderId="20" xfId="1185" applyFont="1" applyFill="1" applyBorder="1" applyAlignment="1">
      <alignment horizontal="right" vertical="center"/>
    </xf>
    <xf numFmtId="185" fontId="13" fillId="10" borderId="9" xfId="1185" applyNumberFormat="1" applyFont="1" applyFill="1" applyBorder="1" applyAlignment="1">
      <alignment horizontal="right" vertical="center" wrapText="1"/>
    </xf>
    <xf numFmtId="0" fontId="13" fillId="10" borderId="14" xfId="1185" applyFont="1" applyFill="1" applyBorder="1" applyAlignment="1">
      <alignment horizontal="center" vertical="center"/>
    </xf>
    <xf numFmtId="185" fontId="9" fillId="9" borderId="2" xfId="1185" applyNumberFormat="1" applyFont="1" applyFill="1" applyBorder="1" applyAlignment="1" applyProtection="1">
      <alignment horizontal="right" vertical="center" wrapText="1"/>
      <protection locked="0"/>
    </xf>
    <xf numFmtId="0" fontId="0" fillId="0" borderId="0" xfId="1185" applyAlignment="1" applyProtection="1">
      <protection locked="0"/>
    </xf>
    <xf numFmtId="185" fontId="9" fillId="0" borderId="2" xfId="1185" applyNumberFormat="1" applyFont="1" applyBorder="1" applyAlignment="1" applyProtection="1">
      <alignment horizontal="right" vertical="center" wrapText="1"/>
      <protection locked="0"/>
    </xf>
    <xf numFmtId="185" fontId="9" fillId="9" borderId="2" xfId="1185" applyNumberFormat="1" applyFont="1" applyFill="1" applyBorder="1" applyAlignment="1">
      <alignment horizontal="right" vertical="center"/>
    </xf>
    <xf numFmtId="187" fontId="19" fillId="9" borderId="2" xfId="1185" applyNumberFormat="1" applyFont="1" applyFill="1" applyBorder="1" applyAlignment="1">
      <alignment horizontal="right" vertical="center" wrapText="1"/>
    </xf>
    <xf numFmtId="0" fontId="25" fillId="0" borderId="0" xfId="1185" applyFont="1" applyAlignment="1" applyProtection="1">
      <alignment horizontal="left"/>
      <protection locked="0"/>
    </xf>
    <xf numFmtId="0" fontId="25" fillId="0" borderId="0" xfId="1185" applyFont="1" applyAlignment="1" applyProtection="1">
      <protection locked="0"/>
    </xf>
    <xf numFmtId="0" fontId="26" fillId="0" borderId="0" xfId="1185" applyFont="1" applyAlignment="1"/>
    <xf numFmtId="0" fontId="27" fillId="0" borderId="0" xfId="1185" applyFont="1" applyAlignment="1" applyProtection="1">
      <alignment horizontal="center" vertical="center"/>
      <protection locked="0"/>
    </xf>
    <xf numFmtId="0" fontId="23" fillId="0" borderId="0" xfId="1185" applyFont="1" applyAlignment="1">
      <alignment horizontal="left" vertical="center"/>
    </xf>
    <xf numFmtId="0" fontId="23" fillId="0" borderId="0" xfId="1185" applyFont="1">
      <alignment vertical="center"/>
    </xf>
    <xf numFmtId="0" fontId="13" fillId="11" borderId="16" xfId="1185" applyFont="1" applyFill="1" applyBorder="1" applyAlignment="1">
      <alignment horizontal="center" vertical="center" wrapText="1"/>
    </xf>
    <xf numFmtId="0" fontId="13" fillId="11" borderId="25" xfId="1185" applyFont="1" applyFill="1" applyBorder="1" applyAlignment="1">
      <alignment horizontal="center" vertical="center" wrapText="1"/>
    </xf>
    <xf numFmtId="0" fontId="13" fillId="11" borderId="17" xfId="1185" applyFont="1" applyFill="1" applyBorder="1" applyAlignment="1">
      <alignment horizontal="center" vertical="center" wrapText="1"/>
    </xf>
    <xf numFmtId="0" fontId="13" fillId="11" borderId="17" xfId="1185" applyFont="1" applyFill="1" applyBorder="1" applyAlignment="1">
      <alignment vertical="center" wrapText="1"/>
    </xf>
    <xf numFmtId="0" fontId="13" fillId="11" borderId="9" xfId="1185" applyFont="1" applyFill="1" applyBorder="1" applyAlignment="1">
      <alignment horizontal="centerContinuous" vertical="center" wrapText="1"/>
    </xf>
    <xf numFmtId="0" fontId="0" fillId="11" borderId="26" xfId="1185" applyFill="1" applyBorder="1" applyAlignment="1">
      <alignment horizontal="centerContinuous" wrapText="1"/>
    </xf>
    <xf numFmtId="0" fontId="13" fillId="0" borderId="27" xfId="1185" applyFont="1" applyBorder="1" applyAlignment="1">
      <alignment horizontal="center" vertical="center" wrapText="1"/>
    </xf>
    <xf numFmtId="0" fontId="13" fillId="0" borderId="28" xfId="1185" applyFont="1" applyBorder="1" applyAlignment="1">
      <alignment horizontal="center" vertical="center" wrapText="1"/>
    </xf>
    <xf numFmtId="0" fontId="13" fillId="0" borderId="12" xfId="1185" applyFont="1" applyBorder="1" applyAlignment="1">
      <alignment horizontal="center" vertical="center" wrapText="1"/>
    </xf>
    <xf numFmtId="185" fontId="28" fillId="0" borderId="2" xfId="1286" applyNumberFormat="1" applyFont="1" applyBorder="1" applyAlignment="1">
      <alignment horizontal="center" vertical="center" wrapText="1"/>
    </xf>
    <xf numFmtId="0" fontId="9" fillId="12" borderId="2" xfId="1185" applyFont="1" applyFill="1" applyBorder="1" applyAlignment="1" applyProtection="1">
      <alignment horizontal="center" vertical="center" wrapText="1"/>
      <protection locked="0"/>
    </xf>
    <xf numFmtId="0" fontId="29" fillId="12" borderId="2" xfId="1185" applyFont="1" applyFill="1" applyBorder="1" applyAlignment="1" applyProtection="1">
      <alignment horizontal="center" vertical="center" wrapText="1"/>
      <protection locked="0"/>
    </xf>
    <xf numFmtId="183" fontId="9" fillId="12" borderId="2" xfId="1185" applyNumberFormat="1" applyFont="1" applyFill="1" applyBorder="1" applyAlignment="1" applyProtection="1">
      <alignment horizontal="right" vertical="center" wrapText="1"/>
      <protection locked="0"/>
    </xf>
    <xf numFmtId="0" fontId="9" fillId="0" borderId="2" xfId="1185" applyFont="1" applyBorder="1" applyAlignment="1"/>
    <xf numFmtId="0" fontId="30" fillId="0" borderId="0" xfId="6" applyFill="1" applyAlignment="1" applyProtection="1">
      <alignment horizontal="center" vertical="center"/>
    </xf>
    <xf numFmtId="0" fontId="16" fillId="0" borderId="0" xfId="6" applyFont="1" applyFill="1" applyAlignment="1" applyProtection="1">
      <alignment horizontal="center" vertical="center"/>
    </xf>
    <xf numFmtId="0" fontId="16" fillId="0" borderId="0" xfId="6" applyFont="1" applyFill="1" applyAlignment="1" applyProtection="1">
      <alignment vertical="center"/>
    </xf>
    <xf numFmtId="183" fontId="26" fillId="0" borderId="0" xfId="1185" applyNumberFormat="1" applyFont="1" applyAlignment="1">
      <alignment horizontal="right" vertical="center"/>
    </xf>
    <xf numFmtId="185" fontId="26" fillId="0" borderId="0" xfId="1185" applyNumberFormat="1" applyFont="1" applyAlignment="1">
      <alignment horizontal="right" vertical="center"/>
    </xf>
    <xf numFmtId="185" fontId="13" fillId="11" borderId="9" xfId="1185" applyNumberFormat="1" applyFont="1" applyFill="1" applyBorder="1" applyAlignment="1">
      <alignment vertical="center" wrapText="1"/>
    </xf>
    <xf numFmtId="0" fontId="13" fillId="11" borderId="22" xfId="1185" applyFont="1" applyFill="1" applyBorder="1" applyAlignment="1">
      <alignment horizontal="centerContinuous" vertical="center" wrapText="1"/>
    </xf>
    <xf numFmtId="0" fontId="13" fillId="11" borderId="24" xfId="1185" applyFont="1" applyFill="1" applyBorder="1" applyAlignment="1">
      <alignment horizontal="centerContinuous" vertical="center" wrapText="1"/>
    </xf>
    <xf numFmtId="0" fontId="13" fillId="11" borderId="29" xfId="1185" applyFont="1" applyFill="1" applyBorder="1" applyAlignment="1">
      <alignment horizontal="centerContinuous" vertical="center" wrapText="1"/>
    </xf>
    <xf numFmtId="0" fontId="0" fillId="11" borderId="26" xfId="1185" applyFill="1" applyBorder="1" applyAlignment="1">
      <alignment horizontal="centerContinuous"/>
    </xf>
    <xf numFmtId="0" fontId="13" fillId="11" borderId="26" xfId="1185" applyFont="1" applyFill="1" applyBorder="1" applyAlignment="1">
      <alignment horizontal="centerContinuous" vertical="center" wrapText="1"/>
    </xf>
    <xf numFmtId="185" fontId="28" fillId="0" borderId="2" xfId="1286" applyNumberFormat="1" applyFont="1" applyBorder="1" applyAlignment="1">
      <alignment vertical="center" wrapText="1"/>
    </xf>
    <xf numFmtId="185" fontId="31" fillId="0" borderId="12" xfId="1286" applyNumberFormat="1" applyFont="1" applyBorder="1" applyAlignment="1">
      <alignment horizontal="center" vertical="center" wrapText="1"/>
    </xf>
    <xf numFmtId="185" fontId="28" fillId="0" borderId="12" xfId="1286" applyNumberFormat="1" applyFont="1" applyBorder="1" applyAlignment="1">
      <alignment horizontal="center" vertical="center" wrapText="1"/>
    </xf>
    <xf numFmtId="185" fontId="32" fillId="0" borderId="2" xfId="1286" applyNumberFormat="1" applyFont="1" applyBorder="1" applyAlignment="1">
      <alignment horizontal="center" vertical="center" wrapText="1"/>
    </xf>
    <xf numFmtId="185" fontId="29" fillId="12" borderId="2" xfId="1185" applyNumberFormat="1" applyFont="1" applyFill="1" applyBorder="1" applyAlignment="1" applyProtection="1">
      <alignment vertical="center" wrapText="1"/>
      <protection locked="0"/>
    </xf>
    <xf numFmtId="2" fontId="29" fillId="12" borderId="2" xfId="1286" applyNumberFormat="1" applyFont="1" applyFill="1" applyBorder="1" applyAlignment="1" applyProtection="1">
      <alignment horizontal="center" vertical="center" wrapText="1"/>
      <protection locked="0"/>
    </xf>
    <xf numFmtId="0" fontId="29" fillId="12" borderId="2" xfId="1286" applyFont="1" applyFill="1" applyBorder="1" applyAlignment="1" applyProtection="1">
      <alignment horizontal="center" vertical="center" wrapText="1"/>
      <protection locked="0"/>
    </xf>
    <xf numFmtId="185" fontId="29" fillId="12" borderId="2" xfId="1286" applyNumberFormat="1" applyFont="1" applyFill="1" applyBorder="1" applyAlignment="1" applyProtection="1">
      <alignment horizontal="right" vertical="center" wrapText="1"/>
      <protection locked="0"/>
    </xf>
    <xf numFmtId="2" fontId="19" fillId="12" borderId="2" xfId="1286" applyNumberFormat="1" applyFont="1" applyFill="1" applyBorder="1" applyAlignment="1" applyProtection="1">
      <alignment horizontal="right" vertical="center" wrapText="1"/>
      <protection locked="0"/>
    </xf>
    <xf numFmtId="0" fontId="33" fillId="12" borderId="2" xfId="1286" applyFont="1" applyFill="1" applyBorder="1" applyAlignment="1" applyProtection="1">
      <alignment horizontal="center" vertical="center" wrapText="1"/>
      <protection locked="0"/>
    </xf>
    <xf numFmtId="185" fontId="33" fillId="12" borderId="2" xfId="1286" applyNumberFormat="1" applyFont="1" applyFill="1" applyBorder="1" applyAlignment="1" applyProtection="1">
      <alignment horizontal="right" vertical="center" wrapText="1"/>
      <protection locked="0"/>
    </xf>
    <xf numFmtId="2" fontId="33" fillId="12" borderId="2" xfId="1286" applyNumberFormat="1" applyFont="1" applyFill="1" applyBorder="1" applyAlignment="1" applyProtection="1">
      <alignment horizontal="right" vertical="center" wrapText="1"/>
      <protection locked="0"/>
    </xf>
    <xf numFmtId="188" fontId="9" fillId="0" borderId="2" xfId="1185" applyNumberFormat="1" applyFont="1" applyBorder="1" applyAlignment="1"/>
    <xf numFmtId="183" fontId="9" fillId="0" borderId="2" xfId="1185" applyNumberFormat="1" applyFont="1" applyBorder="1" applyAlignment="1"/>
    <xf numFmtId="185" fontId="9" fillId="0" borderId="2" xfId="1185" applyNumberFormat="1" applyFont="1" applyBorder="1" applyAlignment="1"/>
    <xf numFmtId="0" fontId="10" fillId="11" borderId="20" xfId="1185" applyFont="1" applyFill="1" applyBorder="1" applyAlignment="1">
      <alignment vertical="center" wrapText="1"/>
    </xf>
    <xf numFmtId="0" fontId="10" fillId="0" borderId="30" xfId="1185" applyFont="1" applyBorder="1" applyAlignment="1">
      <alignment horizontal="center" vertical="center" wrapText="1"/>
    </xf>
    <xf numFmtId="183" fontId="29" fillId="12" borderId="2" xfId="1286" applyNumberFormat="1" applyFont="1" applyFill="1" applyBorder="1" applyAlignment="1" applyProtection="1">
      <alignment horizontal="right" vertical="center" wrapText="1"/>
      <protection locked="0"/>
    </xf>
    <xf numFmtId="0" fontId="9" fillId="12" borderId="2" xfId="1185" applyFont="1" applyFill="1" applyBorder="1" applyAlignment="1" applyProtection="1">
      <alignment horizontal="center" vertical="center"/>
      <protection locked="0"/>
    </xf>
    <xf numFmtId="0" fontId="9" fillId="12" borderId="30" xfId="1185" applyFont="1" applyFill="1" applyBorder="1" applyAlignment="1" applyProtection="1">
      <alignment horizontal="center" vertical="center"/>
      <protection locked="0"/>
    </xf>
    <xf numFmtId="0" fontId="19" fillId="12" borderId="2" xfId="1286" applyFont="1" applyFill="1" applyBorder="1" applyAlignment="1" applyProtection="1">
      <alignment horizontal="right" vertical="center" wrapText="1"/>
      <protection locked="0"/>
    </xf>
    <xf numFmtId="183" fontId="19" fillId="12" borderId="2" xfId="1286" applyNumberFormat="1" applyFont="1" applyFill="1" applyBorder="1" applyAlignment="1" applyProtection="1">
      <alignment horizontal="right" vertical="center" wrapText="1"/>
      <protection locked="0"/>
    </xf>
    <xf numFmtId="0" fontId="0" fillId="0" borderId="0" xfId="1185" applyAlignment="1">
      <alignment horizontal="center"/>
    </xf>
    <xf numFmtId="0" fontId="0" fillId="0" borderId="0" xfId="1185" applyAlignment="1">
      <alignment wrapText="1"/>
    </xf>
    <xf numFmtId="0" fontId="14" fillId="0" borderId="0" xfId="1185" applyFont="1" applyAlignment="1">
      <alignment horizontal="left" vertical="center" indent="13"/>
    </xf>
    <xf numFmtId="0" fontId="14" fillId="0" borderId="0" xfId="1185" applyFont="1" applyAlignment="1">
      <alignment horizontal="centerContinuous" vertical="center" wrapText="1"/>
    </xf>
    <xf numFmtId="0" fontId="14" fillId="0" borderId="0" xfId="1185" applyFont="1" applyAlignment="1">
      <alignment horizontal="center" vertical="center"/>
    </xf>
    <xf numFmtId="0" fontId="23" fillId="0" borderId="0" xfId="1185" applyFont="1" applyAlignment="1">
      <alignment horizontal="center" vertical="center"/>
    </xf>
    <xf numFmtId="0" fontId="26" fillId="0" borderId="0" xfId="1185" applyFont="1" applyAlignment="1">
      <alignment wrapText="1"/>
    </xf>
    <xf numFmtId="0" fontId="13" fillId="0" borderId="16" xfId="1185" applyFont="1" applyBorder="1" applyAlignment="1">
      <alignment horizontal="center" vertical="center" wrapText="1"/>
    </xf>
    <xf numFmtId="0" fontId="13" fillId="0" borderId="25" xfId="1185" applyFont="1" applyBorder="1" applyAlignment="1">
      <alignment horizontal="center" vertical="center" wrapText="1"/>
    </xf>
    <xf numFmtId="0" fontId="13" fillId="0" borderId="17" xfId="1185" applyFont="1" applyBorder="1" applyAlignment="1">
      <alignment horizontal="center" vertical="center" wrapText="1"/>
    </xf>
    <xf numFmtId="0" fontId="13" fillId="0" borderId="17" xfId="1185" applyFont="1" applyBorder="1" applyAlignment="1">
      <alignment horizontal="centerContinuous" vertical="center" wrapText="1"/>
    </xf>
    <xf numFmtId="0" fontId="0" fillId="0" borderId="26" xfId="1185" applyBorder="1" applyAlignment="1">
      <alignment horizontal="centerContinuous" wrapText="1"/>
    </xf>
    <xf numFmtId="0" fontId="13" fillId="0" borderId="31" xfId="1185" applyFont="1" applyBorder="1" applyAlignment="1">
      <alignment horizontal="center" vertical="center" wrapText="1"/>
    </xf>
    <xf numFmtId="0" fontId="13" fillId="0" borderId="32" xfId="1185" applyFont="1" applyBorder="1" applyAlignment="1">
      <alignment horizontal="center" vertical="center" wrapText="1"/>
    </xf>
    <xf numFmtId="185" fontId="28" fillId="0" borderId="32" xfId="1286" applyNumberFormat="1" applyFont="1" applyBorder="1" applyAlignment="1">
      <alignment horizontal="center" vertical="center" wrapText="1"/>
    </xf>
    <xf numFmtId="0" fontId="29" fillId="12" borderId="12" xfId="1185" applyFont="1" applyFill="1" applyBorder="1" applyAlignment="1" applyProtection="1">
      <alignment horizontal="center" vertical="center" wrapText="1"/>
      <protection locked="0"/>
    </xf>
    <xf numFmtId="0" fontId="9" fillId="0" borderId="2" xfId="1185" applyFont="1" applyBorder="1" applyAlignment="1">
      <alignment horizontal="center"/>
    </xf>
    <xf numFmtId="0" fontId="9" fillId="0" borderId="2" xfId="1185" applyFont="1" applyBorder="1" applyAlignment="1">
      <alignment wrapText="1"/>
    </xf>
    <xf numFmtId="185" fontId="14" fillId="0" borderId="0" xfId="1185" applyNumberFormat="1" applyFont="1" applyAlignment="1">
      <alignment horizontal="right" vertical="center"/>
    </xf>
    <xf numFmtId="185" fontId="13" fillId="0" borderId="17" xfId="1185" applyNumberFormat="1" applyFont="1" applyBorder="1" applyAlignment="1">
      <alignment vertical="center" wrapText="1"/>
    </xf>
    <xf numFmtId="0" fontId="13" fillId="0" borderId="29" xfId="1185" applyFont="1" applyBorder="1" applyAlignment="1">
      <alignment horizontal="left" vertical="center"/>
    </xf>
    <xf numFmtId="185" fontId="0" fillId="0" borderId="26" xfId="1185" applyNumberFormat="1" applyBorder="1" applyAlignment="1">
      <alignment horizontal="left"/>
    </xf>
    <xf numFmtId="0" fontId="13" fillId="0" borderId="26" xfId="1185" applyFont="1" applyBorder="1" applyAlignment="1">
      <alignment horizontal="left" vertical="center"/>
    </xf>
    <xf numFmtId="0" fontId="13" fillId="0" borderId="29" xfId="1185" applyFont="1" applyBorder="1" applyAlignment="1">
      <alignment horizontal="centerContinuous" vertical="center" wrapText="1"/>
    </xf>
    <xf numFmtId="185" fontId="28" fillId="0" borderId="32" xfId="1286" applyNumberFormat="1" applyFont="1" applyBorder="1" applyAlignment="1">
      <alignment vertical="center" wrapText="1"/>
    </xf>
    <xf numFmtId="185" fontId="31" fillId="0" borderId="32" xfId="1286" applyNumberFormat="1" applyFont="1" applyBorder="1" applyAlignment="1">
      <alignment horizontal="center" vertical="center" wrapText="1"/>
    </xf>
    <xf numFmtId="185" fontId="32" fillId="0" borderId="32" xfId="1286" applyNumberFormat="1" applyFont="1" applyBorder="1" applyAlignment="1">
      <alignment horizontal="center" vertical="center" wrapText="1"/>
    </xf>
    <xf numFmtId="185" fontId="29" fillId="12" borderId="12" xfId="1185" applyNumberFormat="1" applyFont="1" applyFill="1" applyBorder="1" applyAlignment="1" applyProtection="1">
      <alignment vertical="center" wrapText="1"/>
      <protection locked="0"/>
    </xf>
    <xf numFmtId="2" fontId="29" fillId="12" borderId="12" xfId="1286" applyNumberFormat="1" applyFont="1" applyFill="1" applyBorder="1" applyAlignment="1" applyProtection="1">
      <alignment horizontal="center" vertical="center" wrapText="1"/>
      <protection locked="0"/>
    </xf>
    <xf numFmtId="0" fontId="29" fillId="12" borderId="12" xfId="1286" applyFont="1" applyFill="1" applyBorder="1" applyAlignment="1" applyProtection="1">
      <alignment horizontal="center" vertical="center" wrapText="1"/>
      <protection locked="0"/>
    </xf>
    <xf numFmtId="185" fontId="29" fillId="12" borderId="12" xfId="1286" applyNumberFormat="1" applyFont="1" applyFill="1" applyBorder="1" applyAlignment="1" applyProtection="1">
      <alignment horizontal="right" vertical="center" wrapText="1"/>
      <protection locked="0"/>
    </xf>
    <xf numFmtId="0" fontId="34" fillId="0" borderId="0" xfId="1185" applyFont="1" applyAlignment="1">
      <alignment horizontal="centerContinuous" vertical="center"/>
    </xf>
    <xf numFmtId="183" fontId="0" fillId="0" borderId="0" xfId="1185" applyNumberFormat="1" applyAlignment="1">
      <alignment horizontal="right" vertical="center"/>
    </xf>
    <xf numFmtId="0" fontId="13" fillId="0" borderId="17" xfId="1185" applyFont="1" applyBorder="1" applyAlignment="1">
      <alignment vertical="center" wrapText="1"/>
    </xf>
    <xf numFmtId="0" fontId="10" fillId="0" borderId="20" xfId="1185" applyFont="1" applyBorder="1" applyAlignment="1">
      <alignment vertical="center" wrapText="1"/>
    </xf>
    <xf numFmtId="0" fontId="10" fillId="0" borderId="33" xfId="1185" applyFont="1" applyBorder="1" applyAlignment="1">
      <alignment horizontal="center" vertical="center" wrapText="1"/>
    </xf>
    <xf numFmtId="183" fontId="29" fillId="12" borderId="12" xfId="1286" applyNumberFormat="1" applyFont="1" applyFill="1" applyBorder="1" applyAlignment="1" applyProtection="1">
      <alignment horizontal="right" vertical="center" wrapText="1"/>
      <protection locked="0"/>
    </xf>
    <xf numFmtId="0" fontId="29" fillId="12" borderId="12" xfId="1185" applyFont="1" applyFill="1" applyBorder="1" applyAlignment="1" applyProtection="1">
      <alignment horizontal="center" vertical="center"/>
      <protection locked="0"/>
    </xf>
    <xf numFmtId="0" fontId="0" fillId="0" borderId="0" xfId="1185" applyAlignment="1">
      <alignment horizontal="centerContinuous"/>
    </xf>
    <xf numFmtId="0" fontId="14" fillId="0" borderId="0" xfId="1185" applyFont="1" applyAlignment="1">
      <alignment horizontal="right" vertical="center"/>
    </xf>
    <xf numFmtId="0" fontId="13" fillId="0" borderId="16" xfId="1185" applyFont="1" applyBorder="1" applyAlignment="1">
      <alignment horizontal="center" vertical="center"/>
    </xf>
    <xf numFmtId="0" fontId="13" fillId="0" borderId="17" xfId="1185" applyFont="1" applyBorder="1">
      <alignment vertical="center"/>
    </xf>
    <xf numFmtId="0" fontId="13" fillId="0" borderId="29" xfId="1185" applyFont="1" applyBorder="1" applyAlignment="1">
      <alignment horizontal="center" vertical="center"/>
    </xf>
    <xf numFmtId="0" fontId="13" fillId="0" borderId="31" xfId="1185" applyFont="1" applyBorder="1" applyAlignment="1">
      <alignment horizontal="center" vertical="center"/>
    </xf>
    <xf numFmtId="0" fontId="13" fillId="0" borderId="32" xfId="1185" applyFont="1" applyBorder="1" applyAlignment="1">
      <alignment horizontal="center" vertical="center"/>
    </xf>
    <xf numFmtId="0" fontId="13" fillId="0" borderId="33" xfId="1185" applyFont="1" applyBorder="1" applyAlignment="1">
      <alignment horizontal="center" vertical="center"/>
    </xf>
    <xf numFmtId="0" fontId="13" fillId="0" borderId="2" xfId="1185" applyFont="1" applyBorder="1" applyAlignment="1">
      <alignment horizontal="center" vertical="center" wrapText="1"/>
    </xf>
    <xf numFmtId="185" fontId="9" fillId="0" borderId="2" xfId="1185" applyNumberFormat="1" applyFont="1" applyBorder="1" applyAlignment="1">
      <alignment horizontal="right"/>
    </xf>
    <xf numFmtId="0" fontId="13" fillId="0" borderId="24" xfId="1185" applyFont="1" applyBorder="1" applyAlignment="1">
      <alignment horizontal="center" vertical="center"/>
    </xf>
    <xf numFmtId="0" fontId="13" fillId="0" borderId="26" xfId="1185" applyFont="1" applyBorder="1" applyAlignment="1">
      <alignment horizontal="center" vertical="center"/>
    </xf>
    <xf numFmtId="185" fontId="13" fillId="0" borderId="29" xfId="1185" applyNumberFormat="1" applyFont="1" applyBorder="1" applyAlignment="1">
      <alignment horizontal="center" vertical="center"/>
    </xf>
    <xf numFmtId="185" fontId="13" fillId="0" borderId="26" xfId="1185" applyNumberFormat="1" applyFont="1" applyBorder="1" applyAlignment="1">
      <alignment horizontal="center" vertical="center"/>
    </xf>
    <xf numFmtId="185" fontId="28" fillId="0" borderId="12" xfId="1286" applyNumberFormat="1" applyFont="1" applyBorder="1" applyAlignment="1">
      <alignment vertical="center" wrapText="1"/>
    </xf>
    <xf numFmtId="185" fontId="31" fillId="0" borderId="2" xfId="1286" applyNumberFormat="1" applyFont="1" applyBorder="1" applyAlignment="1">
      <alignment horizontal="center" vertical="center" wrapText="1"/>
    </xf>
    <xf numFmtId="185" fontId="28" fillId="0" borderId="2" xfId="1286" applyNumberFormat="1" applyFont="1" applyBorder="1" applyAlignment="1">
      <alignment horizontal="right" vertical="center" wrapText="1"/>
    </xf>
    <xf numFmtId="0" fontId="13" fillId="0" borderId="9" xfId="1185" applyFont="1" applyBorder="1" applyAlignment="1">
      <alignment horizontal="centerContinuous" vertical="center"/>
    </xf>
    <xf numFmtId="0" fontId="10" fillId="0" borderId="20" xfId="1185" applyFont="1" applyBorder="1">
      <alignment vertical="center"/>
    </xf>
    <xf numFmtId="0" fontId="10" fillId="0" borderId="2" xfId="1185" applyFont="1" applyBorder="1" applyAlignment="1">
      <alignment horizontal="center" vertical="center" wrapText="1"/>
    </xf>
    <xf numFmtId="0" fontId="35" fillId="0" borderId="16" xfId="1185" applyFont="1" applyBorder="1" applyAlignment="1">
      <alignment horizontal="center" vertical="center"/>
    </xf>
    <xf numFmtId="0" fontId="35" fillId="0" borderId="17" xfId="1185" applyFont="1" applyBorder="1">
      <alignment vertical="center"/>
    </xf>
    <xf numFmtId="0" fontId="35" fillId="0" borderId="17" xfId="1185" applyFont="1" applyBorder="1" applyAlignment="1">
      <alignment horizontal="center" vertical="center"/>
    </xf>
    <xf numFmtId="0" fontId="35" fillId="0" borderId="9" xfId="1185" applyFont="1" applyBorder="1" applyAlignment="1">
      <alignment horizontal="centerContinuous" vertical="center"/>
    </xf>
    <xf numFmtId="0" fontId="36" fillId="0" borderId="26" xfId="1185" applyFont="1" applyBorder="1" applyAlignment="1">
      <alignment horizontal="centerContinuous"/>
    </xf>
    <xf numFmtId="0" fontId="35" fillId="0" borderId="27" xfId="1185" applyFont="1" applyBorder="1" applyAlignment="1">
      <alignment horizontal="center" vertical="center" wrapText="1"/>
    </xf>
    <xf numFmtId="0" fontId="35" fillId="0" borderId="12" xfId="1185" applyFont="1" applyBorder="1" applyAlignment="1">
      <alignment horizontal="center" vertical="center" wrapText="1"/>
    </xf>
    <xf numFmtId="185" fontId="37" fillId="0" borderId="2" xfId="1286" applyNumberFormat="1" applyFont="1" applyBorder="1" applyAlignment="1">
      <alignment horizontal="center" vertical="center" wrapText="1"/>
    </xf>
    <xf numFmtId="185" fontId="35" fillId="0" borderId="9" xfId="1185" applyNumberFormat="1" applyFont="1" applyBorder="1">
      <alignment vertical="center"/>
    </xf>
    <xf numFmtId="0" fontId="36" fillId="0" borderId="24" xfId="1185" applyFont="1" applyBorder="1" applyAlignment="1">
      <alignment horizontal="centerContinuous"/>
    </xf>
    <xf numFmtId="0" fontId="35" fillId="0" borderId="29" xfId="1185" applyFont="1" applyBorder="1" applyAlignment="1">
      <alignment horizontal="centerContinuous" vertical="center"/>
    </xf>
    <xf numFmtId="185" fontId="35" fillId="0" borderId="26" xfId="1185" applyNumberFormat="1" applyFont="1" applyBorder="1" applyAlignment="1">
      <alignment horizontal="right" vertical="center"/>
    </xf>
    <xf numFmtId="185" fontId="35" fillId="0" borderId="29" xfId="1185" applyNumberFormat="1" applyFont="1" applyBorder="1" applyAlignment="1">
      <alignment horizontal="left" vertical="center"/>
    </xf>
    <xf numFmtId="185" fontId="37" fillId="0" borderId="2" xfId="1286" applyNumberFormat="1" applyFont="1" applyBorder="1" applyAlignment="1">
      <alignment vertical="center" wrapText="1"/>
    </xf>
    <xf numFmtId="185" fontId="37" fillId="0" borderId="2" xfId="1286" applyNumberFormat="1" applyFont="1" applyBorder="1" applyAlignment="1">
      <alignment horizontal="right" vertical="center" wrapText="1"/>
    </xf>
    <xf numFmtId="185" fontId="29" fillId="12" borderId="2" xfId="1286" applyNumberFormat="1" applyFont="1" applyFill="1" applyBorder="1" applyAlignment="1" applyProtection="1">
      <alignment horizontal="center" vertical="center" wrapText="1"/>
      <protection locked="0"/>
    </xf>
    <xf numFmtId="185" fontId="9" fillId="12" borderId="2" xfId="1185" applyNumberFormat="1" applyFont="1" applyFill="1" applyBorder="1" applyAlignment="1" applyProtection="1">
      <alignment vertical="center" wrapText="1"/>
      <protection locked="0"/>
    </xf>
    <xf numFmtId="185" fontId="9" fillId="0" borderId="2" xfId="1185" applyNumberFormat="1" applyFont="1" applyBorder="1" applyAlignment="1">
      <alignment vertical="center" wrapText="1"/>
    </xf>
    <xf numFmtId="185" fontId="9" fillId="0" borderId="2" xfId="1185" applyNumberFormat="1" applyFont="1" applyBorder="1" applyAlignment="1">
      <alignment horizontal="right" vertical="center"/>
    </xf>
    <xf numFmtId="0" fontId="10" fillId="13" borderId="0" xfId="1185" applyFont="1" applyFill="1" applyAlignment="1"/>
    <xf numFmtId="0" fontId="0" fillId="14" borderId="0" xfId="1185" applyFill="1" applyAlignment="1"/>
    <xf numFmtId="0" fontId="38" fillId="0" borderId="0" xfId="1277" applyFont="1" applyAlignment="1" applyProtection="1">
      <alignment horizontal="centerContinuous" vertical="center" wrapText="1"/>
      <protection locked="0"/>
    </xf>
    <xf numFmtId="0" fontId="38" fillId="0" borderId="0" xfId="1277" applyFont="1" applyAlignment="1" applyProtection="1">
      <alignment horizontal="center" vertical="center" wrapText="1"/>
      <protection locked="0"/>
    </xf>
    <xf numFmtId="0" fontId="34" fillId="0" borderId="0" xfId="1277" applyFont="1" applyAlignment="1" applyProtection="1">
      <alignment horizontal="center" vertical="center"/>
      <protection locked="0"/>
    </xf>
    <xf numFmtId="0" fontId="39" fillId="0" borderId="0" xfId="1277" applyFont="1" applyProtection="1">
      <alignment vertical="center"/>
      <protection locked="0"/>
    </xf>
    <xf numFmtId="0" fontId="39" fillId="0" borderId="0" xfId="1277" applyFont="1" applyAlignment="1" applyProtection="1">
      <alignment horizontal="center" vertical="center"/>
      <protection locked="0"/>
    </xf>
    <xf numFmtId="183" fontId="0" fillId="0" borderId="0" xfId="1277" applyNumberFormat="1" applyProtection="1">
      <alignment vertical="center"/>
      <protection locked="0"/>
    </xf>
    <xf numFmtId="0" fontId="10" fillId="5" borderId="34" xfId="1285" applyFont="1" applyFill="1" applyBorder="1" applyAlignment="1" applyProtection="1">
      <alignment horizontal="centerContinuous" vertical="center"/>
      <protection locked="0"/>
    </xf>
    <xf numFmtId="0" fontId="10" fillId="5" borderId="26" xfId="1285" applyFont="1" applyFill="1" applyBorder="1" applyAlignment="1" applyProtection="1">
      <alignment horizontal="centerContinuous" vertical="center"/>
      <protection locked="0"/>
    </xf>
    <xf numFmtId="0" fontId="10" fillId="5" borderId="26" xfId="1285" applyFont="1" applyFill="1" applyBorder="1" applyAlignment="1" applyProtection="1">
      <alignment horizontal="center" vertical="center"/>
      <protection locked="0"/>
    </xf>
    <xf numFmtId="0" fontId="10" fillId="5" borderId="35" xfId="1285" applyFont="1" applyFill="1" applyBorder="1" applyAlignment="1" applyProtection="1">
      <alignment horizontal="centerContinuous" vertical="center" wrapText="1"/>
      <protection locked="0"/>
    </xf>
    <xf numFmtId="0" fontId="10" fillId="5" borderId="36" xfId="1285" applyFont="1" applyFill="1" applyBorder="1" applyAlignment="1" applyProtection="1">
      <alignment horizontal="centerContinuous" vertical="center"/>
      <protection locked="0"/>
    </xf>
    <xf numFmtId="0" fontId="10" fillId="5" borderId="36" xfId="1285" applyFont="1" applyFill="1" applyBorder="1" applyAlignment="1" applyProtection="1">
      <alignment horizontal="center" vertical="center"/>
      <protection locked="0"/>
    </xf>
    <xf numFmtId="0" fontId="10" fillId="5" borderId="37" xfId="1285" applyFont="1" applyFill="1" applyBorder="1" applyAlignment="1" applyProtection="1">
      <alignment vertical="center" wrapText="1"/>
      <protection locked="0"/>
    </xf>
    <xf numFmtId="0" fontId="10" fillId="5" borderId="38" xfId="1285" applyFont="1" applyFill="1" applyBorder="1" applyAlignment="1" applyProtection="1">
      <alignment horizontal="center" vertical="center" wrapText="1"/>
      <protection locked="0"/>
    </xf>
    <xf numFmtId="0" fontId="0" fillId="12" borderId="21" xfId="1277" applyFill="1" applyBorder="1" applyAlignment="1" applyProtection="1">
      <alignment horizontal="center" vertical="center"/>
      <protection locked="0"/>
    </xf>
    <xf numFmtId="0" fontId="15" fillId="12" borderId="21" xfId="1285" applyFont="1" applyFill="1" applyBorder="1" applyAlignment="1" applyProtection="1">
      <alignment horizontal="center" vertical="center" wrapText="1"/>
      <protection locked="0"/>
    </xf>
    <xf numFmtId="0" fontId="10" fillId="13" borderId="2" xfId="1277" applyFont="1" applyFill="1" applyBorder="1" applyAlignment="1" applyProtection="1">
      <alignment horizontal="center" vertical="center"/>
      <protection locked="0"/>
    </xf>
    <xf numFmtId="0" fontId="40" fillId="13" borderId="2" xfId="1277" applyFont="1" applyFill="1" applyBorder="1" applyAlignment="1" applyProtection="1">
      <alignment horizontal="center" vertical="center" wrapText="1"/>
      <protection locked="0"/>
    </xf>
    <xf numFmtId="0" fontId="12" fillId="13" borderId="2" xfId="1285" applyFont="1" applyFill="1" applyBorder="1" applyAlignment="1" applyProtection="1">
      <alignment horizontal="center" vertical="center" wrapText="1"/>
      <protection locked="0"/>
    </xf>
    <xf numFmtId="0" fontId="0" fillId="14" borderId="2" xfId="1277" applyFill="1" applyBorder="1" applyAlignment="1" applyProtection="1">
      <alignment horizontal="center" vertical="center"/>
      <protection locked="0"/>
    </xf>
    <xf numFmtId="0" fontId="5" fillId="14" borderId="2" xfId="1277" applyFont="1" applyFill="1" applyBorder="1" applyAlignment="1" applyProtection="1">
      <alignment horizontal="center" vertical="center" wrapText="1"/>
      <protection locked="0"/>
    </xf>
    <xf numFmtId="0" fontId="9" fillId="14" borderId="2" xfId="1285" applyFont="1" applyFill="1" applyBorder="1" applyAlignment="1" applyProtection="1">
      <alignment horizontal="center" vertical="center" wrapText="1"/>
      <protection locked="0"/>
    </xf>
    <xf numFmtId="0" fontId="5" fillId="0" borderId="2" xfId="1277" applyFont="1" applyBorder="1" applyAlignment="1" applyProtection="1">
      <alignment vertical="center" wrapText="1"/>
      <protection locked="0"/>
    </xf>
    <xf numFmtId="0" fontId="5" fillId="0" borderId="2" xfId="1277" applyFont="1" applyBorder="1" applyAlignment="1" applyProtection="1">
      <alignment horizontal="center" vertical="center" wrapText="1"/>
      <protection locked="0"/>
    </xf>
    <xf numFmtId="0" fontId="9" fillId="0" borderId="2" xfId="1285" applyFont="1" applyBorder="1" applyAlignment="1" applyProtection="1">
      <alignment horizontal="center" vertical="center" wrapText="1"/>
      <protection locked="0"/>
    </xf>
    <xf numFmtId="0" fontId="15" fillId="0" borderId="2" xfId="1285" applyFont="1" applyBorder="1" applyAlignment="1" applyProtection="1">
      <alignment horizontal="center" vertical="center" wrapText="1"/>
      <protection locked="0"/>
    </xf>
    <xf numFmtId="0" fontId="0" fillId="2" borderId="2" xfId="1277" applyFill="1" applyBorder="1" applyAlignment="1" applyProtection="1">
      <alignment horizontal="center" vertical="center"/>
      <protection locked="0"/>
    </xf>
    <xf numFmtId="0" fontId="5" fillId="0" borderId="2" xfId="1277" applyFont="1" applyBorder="1" applyAlignment="1" applyProtection="1">
      <alignment horizontal="center" vertical="center"/>
      <protection locked="0"/>
    </xf>
    <xf numFmtId="0" fontId="15" fillId="0" borderId="2" xfId="1285" applyFont="1" applyBorder="1" applyAlignment="1" applyProtection="1">
      <alignment vertical="center" wrapText="1"/>
      <protection locked="0"/>
    </xf>
    <xf numFmtId="0" fontId="5" fillId="0" borderId="2" xfId="1277" applyFont="1" applyBorder="1" applyProtection="1">
      <alignment vertical="center"/>
      <protection locked="0"/>
    </xf>
    <xf numFmtId="0" fontId="40" fillId="13" borderId="2" xfId="1277" applyFont="1" applyFill="1" applyBorder="1" applyAlignment="1" applyProtection="1">
      <alignment vertical="center" wrapText="1"/>
      <protection locked="0"/>
    </xf>
    <xf numFmtId="0" fontId="13" fillId="13" borderId="2" xfId="1285" applyFont="1" applyFill="1" applyBorder="1" applyAlignment="1" applyProtection="1">
      <alignment vertical="center" wrapText="1"/>
      <protection locked="0"/>
    </xf>
    <xf numFmtId="0" fontId="40" fillId="13" borderId="2" xfId="1277" applyFont="1" applyFill="1" applyBorder="1" applyAlignment="1" applyProtection="1">
      <alignment horizontal="center" vertical="center"/>
      <protection locked="0"/>
    </xf>
    <xf numFmtId="0" fontId="40" fillId="13" borderId="2" xfId="1277" applyFont="1" applyFill="1" applyBorder="1" applyProtection="1">
      <alignment vertical="center"/>
      <protection locked="0"/>
    </xf>
    <xf numFmtId="183" fontId="40" fillId="13" borderId="2" xfId="1277" applyNumberFormat="1" applyFont="1" applyFill="1" applyBorder="1" applyProtection="1">
      <alignment vertical="center"/>
      <protection locked="0"/>
    </xf>
    <xf numFmtId="183" fontId="5" fillId="0" borderId="2" xfId="1277" applyNumberFormat="1" applyFont="1" applyBorder="1" applyAlignment="1" applyProtection="1">
      <alignment horizontal="center" vertical="center"/>
      <protection locked="0"/>
    </xf>
    <xf numFmtId="0" fontId="13" fillId="13" borderId="2" xfId="1285" applyFont="1" applyFill="1" applyBorder="1" applyAlignment="1" applyProtection="1">
      <alignment horizontal="center" vertical="center" wrapText="1"/>
      <protection locked="0"/>
    </xf>
    <xf numFmtId="183" fontId="13" fillId="13" borderId="2" xfId="1285" applyNumberFormat="1" applyFont="1" applyFill="1" applyBorder="1" applyAlignment="1" applyProtection="1">
      <alignment horizontal="center" vertical="center" wrapText="1"/>
      <protection locked="0"/>
    </xf>
    <xf numFmtId="0" fontId="0" fillId="14" borderId="2" xfId="1277" applyFill="1" applyBorder="1" applyAlignment="1" applyProtection="1">
      <alignment vertical="top"/>
      <protection locked="0"/>
    </xf>
    <xf numFmtId="0" fontId="15" fillId="14" borderId="2" xfId="1285" applyFont="1" applyFill="1" applyBorder="1" applyAlignment="1" applyProtection="1">
      <alignment horizontal="center" vertical="center" wrapText="1"/>
      <protection locked="0"/>
    </xf>
    <xf numFmtId="0" fontId="5" fillId="0" borderId="2" xfId="1277" applyFont="1" applyBorder="1" applyAlignment="1" applyProtection="1">
      <alignment vertical="top" wrapText="1"/>
      <protection locked="0"/>
    </xf>
    <xf numFmtId="0" fontId="15" fillId="0" borderId="2" xfId="1285" applyFont="1" applyBorder="1" applyAlignment="1" applyProtection="1">
      <alignment vertical="top" wrapText="1"/>
      <protection locked="0"/>
    </xf>
    <xf numFmtId="0" fontId="0" fillId="2" borderId="12" xfId="1277" applyFill="1" applyBorder="1" applyAlignment="1" applyProtection="1">
      <alignment horizontal="center" vertical="center"/>
      <protection locked="0"/>
    </xf>
    <xf numFmtId="0" fontId="5" fillId="0" borderId="12" xfId="1277" applyFont="1" applyBorder="1" applyAlignment="1" applyProtection="1">
      <alignment horizontal="center" vertical="center" wrapText="1"/>
      <protection locked="0"/>
    </xf>
    <xf numFmtId="0" fontId="15" fillId="0" borderId="12" xfId="1285" applyFont="1" applyBorder="1" applyAlignment="1" applyProtection="1">
      <alignment horizontal="center" vertical="center" wrapText="1"/>
      <protection locked="0"/>
    </xf>
    <xf numFmtId="0" fontId="38" fillId="0" borderId="0" xfId="1277" applyFont="1" applyAlignment="1" applyProtection="1">
      <alignment horizontal="centerContinuous" vertical="center"/>
      <protection locked="0"/>
    </xf>
    <xf numFmtId="0" fontId="39" fillId="0" borderId="0" xfId="1277" applyFont="1" applyAlignment="1" applyProtection="1">
      <alignment horizontal="left" vertical="center" wrapText="1"/>
      <protection locked="0"/>
    </xf>
    <xf numFmtId="183" fontId="0" fillId="0" borderId="0" xfId="1277" applyNumberFormat="1" applyAlignment="1" applyProtection="1">
      <alignment horizontal="right" vertical="center"/>
      <protection locked="0"/>
    </xf>
    <xf numFmtId="0" fontId="10" fillId="5" borderId="25" xfId="1285" applyFont="1" applyFill="1" applyBorder="1" applyAlignment="1" applyProtection="1">
      <alignment horizontal="centerContinuous" vertical="center"/>
      <protection locked="0"/>
    </xf>
    <xf numFmtId="0" fontId="10" fillId="5" borderId="9" xfId="1285" applyFont="1" applyFill="1" applyBorder="1" applyAlignment="1" applyProtection="1">
      <alignment horizontal="center" vertical="center" wrapText="1"/>
      <protection locked="0"/>
    </xf>
    <xf numFmtId="0" fontId="10" fillId="5" borderId="39" xfId="1285" applyFont="1" applyFill="1" applyBorder="1" applyAlignment="1" applyProtection="1">
      <alignment horizontal="centerContinuous" vertical="center"/>
      <protection locked="0"/>
    </xf>
    <xf numFmtId="0" fontId="10" fillId="5" borderId="2" xfId="1285" applyFont="1" applyFill="1" applyBorder="1" applyAlignment="1" applyProtection="1">
      <alignment horizontal="center" vertical="center" wrapText="1"/>
      <protection locked="0"/>
    </xf>
    <xf numFmtId="0" fontId="10" fillId="5" borderId="39" xfId="1285" applyFont="1" applyFill="1" applyBorder="1" applyAlignment="1" applyProtection="1">
      <alignment horizontal="left" vertical="center" wrapText="1"/>
      <protection locked="0"/>
    </xf>
    <xf numFmtId="185" fontId="10" fillId="5" borderId="38" xfId="1285" applyNumberFormat="1" applyFont="1" applyFill="1" applyBorder="1" applyAlignment="1" applyProtection="1">
      <alignment horizontal="center" vertical="center" wrapText="1"/>
      <protection locked="0"/>
    </xf>
    <xf numFmtId="0" fontId="15" fillId="12" borderId="21" xfId="1285" applyFont="1" applyFill="1" applyBorder="1" applyAlignment="1" applyProtection="1">
      <alignment horizontal="left" vertical="center" wrapText="1"/>
      <protection locked="0"/>
    </xf>
    <xf numFmtId="185" fontId="15" fillId="12" borderId="21" xfId="1285" applyNumberFormat="1" applyFont="1" applyFill="1" applyBorder="1" applyAlignment="1" applyProtection="1">
      <alignment horizontal="right" vertical="center" wrapText="1"/>
      <protection locked="0"/>
    </xf>
    <xf numFmtId="0" fontId="15" fillId="12" borderId="21" xfId="1285" applyFont="1" applyFill="1" applyBorder="1" applyAlignment="1" applyProtection="1">
      <alignment horizontal="right" vertical="center" wrapText="1"/>
      <protection locked="0"/>
    </xf>
    <xf numFmtId="0" fontId="40" fillId="13" borderId="2" xfId="1277" applyFont="1" applyFill="1" applyBorder="1" applyAlignment="1" applyProtection="1">
      <alignment horizontal="left" vertical="center" wrapText="1"/>
      <protection locked="0"/>
    </xf>
    <xf numFmtId="185" fontId="40" fillId="13" borderId="2" xfId="1277" applyNumberFormat="1" applyFont="1" applyFill="1" applyBorder="1" applyAlignment="1" applyProtection="1">
      <alignment horizontal="right" vertical="center" wrapText="1"/>
      <protection locked="0"/>
    </xf>
    <xf numFmtId="0" fontId="40" fillId="13" borderId="2" xfId="1277" applyFont="1" applyFill="1" applyBorder="1" applyAlignment="1" applyProtection="1">
      <alignment horizontal="right" vertical="center" wrapText="1"/>
      <protection locked="0"/>
    </xf>
    <xf numFmtId="183" fontId="12" fillId="13" borderId="2" xfId="1285" applyNumberFormat="1" applyFont="1" applyFill="1" applyBorder="1" applyAlignment="1" applyProtection="1">
      <alignment horizontal="right" vertical="center" wrapText="1"/>
      <protection locked="0"/>
    </xf>
    <xf numFmtId="0" fontId="5" fillId="14" borderId="2" xfId="1277" applyFont="1" applyFill="1" applyBorder="1" applyAlignment="1" applyProtection="1">
      <alignment horizontal="left" vertical="center" wrapText="1"/>
      <protection locked="0"/>
    </xf>
    <xf numFmtId="185" fontId="5" fillId="14" borderId="2" xfId="1277" applyNumberFormat="1" applyFont="1" applyFill="1" applyBorder="1" applyAlignment="1" applyProtection="1">
      <alignment horizontal="right" vertical="center" wrapText="1"/>
      <protection locked="0"/>
    </xf>
    <xf numFmtId="0" fontId="5" fillId="14" borderId="2" xfId="1277" applyFont="1" applyFill="1" applyBorder="1" applyAlignment="1" applyProtection="1">
      <alignment horizontal="right" vertical="center" wrapText="1"/>
      <protection locked="0"/>
    </xf>
    <xf numFmtId="183" fontId="9" fillId="14" borderId="2" xfId="1285" applyNumberFormat="1" applyFont="1" applyFill="1" applyBorder="1" applyAlignment="1" applyProtection="1">
      <alignment horizontal="right" vertical="center" wrapText="1"/>
      <protection locked="0"/>
    </xf>
    <xf numFmtId="0" fontId="5" fillId="0" borderId="2" xfId="1277" applyFont="1" applyBorder="1" applyAlignment="1" applyProtection="1">
      <alignment horizontal="right" vertical="center" wrapText="1"/>
      <protection locked="0"/>
    </xf>
    <xf numFmtId="0" fontId="5" fillId="0" borderId="2" xfId="1277" applyFont="1" applyBorder="1" applyAlignment="1" applyProtection="1">
      <alignment horizontal="left" vertical="center" wrapText="1"/>
      <protection locked="0"/>
    </xf>
    <xf numFmtId="0" fontId="33" fillId="0" borderId="2" xfId="1185" applyFont="1" applyBorder="1" applyAlignment="1">
      <alignment horizontal="center" vertical="center" wrapText="1"/>
    </xf>
    <xf numFmtId="0" fontId="41" fillId="0" borderId="2" xfId="1185" applyFont="1" applyBorder="1" applyAlignment="1">
      <alignment horizontal="center" vertical="center" wrapText="1"/>
    </xf>
    <xf numFmtId="183" fontId="9" fillId="0" borderId="2" xfId="1285" applyNumberFormat="1" applyFont="1" applyBorder="1" applyAlignment="1" applyProtection="1">
      <alignment horizontal="right" vertical="center" wrapText="1"/>
      <protection locked="0"/>
    </xf>
    <xf numFmtId="0" fontId="0" fillId="0" borderId="2" xfId="1277" applyBorder="1" applyAlignment="1" applyProtection="1">
      <protection locked="0"/>
    </xf>
    <xf numFmtId="0" fontId="33" fillId="15" borderId="2" xfId="1185" applyFont="1" applyFill="1" applyBorder="1" applyAlignment="1">
      <alignment horizontal="center" vertical="center" wrapText="1"/>
    </xf>
    <xf numFmtId="0" fontId="33" fillId="0" borderId="12" xfId="1185" applyFont="1" applyBorder="1" applyAlignment="1">
      <alignment horizontal="center" vertical="center" wrapText="1"/>
    </xf>
    <xf numFmtId="185" fontId="5" fillId="0" borderId="2" xfId="1277" applyNumberFormat="1" applyFont="1" applyBorder="1" applyAlignment="1" applyProtection="1">
      <alignment horizontal="right" vertical="center" wrapText="1"/>
      <protection locked="0"/>
    </xf>
    <xf numFmtId="0" fontId="33" fillId="16" borderId="40" xfId="1185" applyFont="1" applyFill="1" applyBorder="1" applyAlignment="1">
      <alignment horizontal="center" vertical="center" wrapText="1"/>
    </xf>
    <xf numFmtId="183" fontId="42" fillId="16" borderId="40" xfId="1185" applyNumberFormat="1" applyFont="1" applyFill="1" applyBorder="1" applyAlignment="1">
      <alignment horizontal="center" vertical="center"/>
    </xf>
    <xf numFmtId="0" fontId="33" fillId="0" borderId="40" xfId="1185" applyFont="1" applyBorder="1" applyAlignment="1">
      <alignment horizontal="center" vertical="center" wrapText="1"/>
    </xf>
    <xf numFmtId="183" fontId="42" fillId="0" borderId="40" xfId="1185" applyNumberFormat="1" applyFont="1" applyBorder="1" applyAlignment="1">
      <alignment horizontal="center" vertical="center"/>
    </xf>
    <xf numFmtId="183" fontId="5" fillId="0" borderId="2" xfId="1277" applyNumberFormat="1" applyFont="1" applyBorder="1" applyProtection="1">
      <alignment vertical="center"/>
      <protection locked="0"/>
    </xf>
    <xf numFmtId="0" fontId="32" fillId="13" borderId="2" xfId="1185" applyFont="1" applyFill="1" applyBorder="1" applyAlignment="1" applyProtection="1">
      <alignment horizontal="left" vertical="center" wrapText="1"/>
      <protection locked="0"/>
    </xf>
    <xf numFmtId="0" fontId="13" fillId="13" borderId="2" xfId="1277" applyFont="1" applyFill="1" applyBorder="1" applyAlignment="1" applyProtection="1">
      <alignment horizontal="left" vertical="center" wrapText="1"/>
      <protection locked="0"/>
    </xf>
    <xf numFmtId="0" fontId="32" fillId="13" borderId="2" xfId="1185" applyFont="1" applyFill="1" applyBorder="1" applyAlignment="1" applyProtection="1">
      <alignment horizontal="center" vertical="center" wrapText="1"/>
      <protection locked="0"/>
    </xf>
    <xf numFmtId="185" fontId="13" fillId="13" borderId="2" xfId="1277" applyNumberFormat="1" applyFont="1" applyFill="1" applyBorder="1" applyAlignment="1" applyProtection="1">
      <alignment horizontal="right" vertical="center" wrapText="1"/>
      <protection locked="0"/>
    </xf>
    <xf numFmtId="0" fontId="13" fillId="13" borderId="2" xfId="1277" applyFont="1" applyFill="1" applyBorder="1" applyAlignment="1" applyProtection="1">
      <alignment horizontal="right" vertical="center" wrapText="1"/>
      <protection locked="0"/>
    </xf>
    <xf numFmtId="0" fontId="43" fillId="0" borderId="2" xfId="1185" applyFont="1" applyBorder="1" applyAlignment="1" applyProtection="1">
      <alignment horizontal="left" vertical="center" wrapText="1"/>
      <protection locked="0"/>
    </xf>
    <xf numFmtId="0" fontId="15" fillId="0" borderId="2" xfId="1277" applyFont="1" applyBorder="1" applyAlignment="1" applyProtection="1">
      <alignment horizontal="left" vertical="center" wrapText="1"/>
      <protection locked="0"/>
    </xf>
    <xf numFmtId="0" fontId="15" fillId="0" borderId="2" xfId="1277" applyFont="1" applyBorder="1" applyAlignment="1" applyProtection="1">
      <alignment horizontal="center" vertical="center" wrapText="1"/>
      <protection locked="0"/>
    </xf>
    <xf numFmtId="185" fontId="15" fillId="0" borderId="2" xfId="1277" applyNumberFormat="1" applyFont="1" applyBorder="1" applyAlignment="1" applyProtection="1">
      <alignment horizontal="right" vertical="center" wrapText="1"/>
      <protection locked="0"/>
    </xf>
    <xf numFmtId="0" fontId="15" fillId="0" borderId="2" xfId="1277" applyFont="1" applyBorder="1" applyAlignment="1" applyProtection="1">
      <alignment horizontal="right" vertical="center" wrapText="1"/>
      <protection locked="0"/>
    </xf>
    <xf numFmtId="0" fontId="15" fillId="14" borderId="2" xfId="1285" applyFont="1" applyFill="1" applyBorder="1" applyAlignment="1" applyProtection="1">
      <alignment vertical="top" wrapText="1"/>
      <protection locked="0"/>
    </xf>
    <xf numFmtId="0" fontId="43" fillId="14" borderId="2" xfId="1185" applyFont="1" applyFill="1" applyBorder="1" applyAlignment="1" applyProtection="1">
      <alignment horizontal="left" vertical="center" wrapText="1"/>
      <protection locked="0"/>
    </xf>
    <xf numFmtId="0" fontId="15" fillId="0" borderId="2" xfId="1285" applyFont="1" applyBorder="1" applyAlignment="1" applyProtection="1">
      <alignment horizontal="left" vertical="center" wrapText="1"/>
      <protection locked="0"/>
    </xf>
    <xf numFmtId="185" fontId="15" fillId="0" borderId="2" xfId="1285" applyNumberFormat="1" applyFont="1" applyBorder="1" applyAlignment="1" applyProtection="1">
      <alignment horizontal="right" vertical="center" wrapText="1"/>
      <protection locked="0"/>
    </xf>
    <xf numFmtId="0" fontId="15" fillId="0" borderId="2" xfId="1285" applyFont="1" applyBorder="1" applyAlignment="1" applyProtection="1">
      <alignment horizontal="right" vertical="center" wrapText="1"/>
      <protection locked="0"/>
    </xf>
    <xf numFmtId="0" fontId="38" fillId="0" borderId="0" xfId="1277" applyFont="1" applyAlignment="1" applyProtection="1">
      <alignment horizontal="right" vertical="center" wrapText="1"/>
      <protection locked="0"/>
    </xf>
    <xf numFmtId="185" fontId="0" fillId="0" borderId="0" xfId="1277" applyNumberFormat="1" applyProtection="1">
      <alignment vertical="center"/>
      <protection locked="0"/>
    </xf>
    <xf numFmtId="185" fontId="0" fillId="0" borderId="0" xfId="1277" applyNumberFormat="1" applyAlignment="1" applyProtection="1">
      <alignment horizontal="right" vertical="center"/>
      <protection locked="0"/>
    </xf>
    <xf numFmtId="0" fontId="10" fillId="17" borderId="9" xfId="1285" applyFont="1" applyFill="1" applyBorder="1" applyAlignment="1" applyProtection="1">
      <alignment horizontal="center" vertical="center" wrapText="1"/>
      <protection locked="0"/>
    </xf>
    <xf numFmtId="0" fontId="10" fillId="17" borderId="2" xfId="1285" applyFont="1" applyFill="1" applyBorder="1" applyAlignment="1" applyProtection="1">
      <alignment horizontal="center" vertical="center" wrapText="1"/>
      <protection locked="0"/>
    </xf>
    <xf numFmtId="0" fontId="10" fillId="5" borderId="21" xfId="1285" applyFont="1" applyFill="1" applyBorder="1" applyAlignment="1" applyProtection="1">
      <alignment horizontal="center" vertical="center" wrapText="1"/>
      <protection locked="0"/>
    </xf>
    <xf numFmtId="0" fontId="10" fillId="5" borderId="38" xfId="1285" applyFont="1" applyFill="1" applyBorder="1" applyAlignment="1" applyProtection="1">
      <alignment vertical="center" wrapText="1"/>
      <protection locked="0"/>
    </xf>
    <xf numFmtId="0" fontId="10" fillId="5" borderId="38" xfId="1285" applyFont="1" applyFill="1" applyBorder="1" applyAlignment="1" applyProtection="1">
      <alignment horizontal="right" vertical="center" wrapText="1"/>
      <protection locked="0"/>
    </xf>
    <xf numFmtId="0" fontId="12" fillId="5" borderId="11" xfId="1285" applyFont="1" applyFill="1" applyBorder="1" applyAlignment="1" applyProtection="1">
      <alignment horizontal="center" vertical="center" wrapText="1"/>
      <protection locked="0"/>
    </xf>
    <xf numFmtId="0" fontId="0" fillId="12" borderId="3" xfId="1277" applyFill="1" applyBorder="1" applyAlignment="1" applyProtection="1">
      <alignment horizontal="center" vertical="center"/>
      <protection locked="0"/>
    </xf>
    <xf numFmtId="0" fontId="15" fillId="12" borderId="41" xfId="1285" applyFont="1" applyFill="1" applyBorder="1" applyAlignment="1" applyProtection="1">
      <alignment horizontal="center" vertical="center" wrapText="1"/>
      <protection locked="0"/>
    </xf>
    <xf numFmtId="0" fontId="15" fillId="12" borderId="41" xfId="1285" applyFont="1" applyFill="1" applyBorder="1" applyAlignment="1" applyProtection="1">
      <alignment horizontal="right" vertical="center" wrapText="1"/>
      <protection locked="0"/>
    </xf>
    <xf numFmtId="10" fontId="12" fillId="13" borderId="2" xfId="870" applyNumberFormat="1" applyFont="1" applyFill="1" applyBorder="1" applyAlignment="1" applyProtection="1">
      <alignment horizontal="right" vertical="center" wrapText="1"/>
      <protection locked="0"/>
    </xf>
    <xf numFmtId="0" fontId="12" fillId="13" borderId="2" xfId="870" applyNumberFormat="1" applyFont="1" applyFill="1" applyBorder="1" applyAlignment="1" applyProtection="1">
      <alignment horizontal="right" vertical="center" wrapText="1"/>
      <protection locked="0"/>
    </xf>
    <xf numFmtId="10" fontId="9" fillId="14" borderId="2" xfId="870" applyNumberFormat="1" applyFont="1" applyFill="1" applyBorder="1" applyAlignment="1" applyProtection="1">
      <alignment horizontal="right" vertical="center" wrapText="1"/>
      <protection locked="0"/>
    </xf>
    <xf numFmtId="0" fontId="9" fillId="14" borderId="2" xfId="870" applyNumberFormat="1" applyFont="1" applyFill="1" applyBorder="1" applyAlignment="1" applyProtection="1">
      <alignment horizontal="right" vertical="center" wrapText="1"/>
      <protection locked="0"/>
    </xf>
    <xf numFmtId="183" fontId="7" fillId="14" borderId="2" xfId="1285" applyNumberFormat="1" applyFont="1" applyFill="1" applyBorder="1" applyAlignment="1" applyProtection="1">
      <alignment horizontal="right" vertical="center" wrapText="1"/>
      <protection locked="0"/>
    </xf>
    <xf numFmtId="10" fontId="9" fillId="0" borderId="2" xfId="870" applyNumberFormat="1" applyFont="1" applyFill="1" applyBorder="1" applyAlignment="1" applyProtection="1">
      <alignment horizontal="right" vertical="center" wrapText="1"/>
      <protection locked="0"/>
    </xf>
    <xf numFmtId="0" fontId="9" fillId="0" borderId="2" xfId="870" applyNumberFormat="1" applyFont="1" applyFill="1" applyBorder="1" applyAlignment="1" applyProtection="1">
      <alignment horizontal="right" vertical="center" wrapText="1"/>
      <protection locked="0"/>
    </xf>
    <xf numFmtId="183" fontId="9" fillId="0" borderId="2" xfId="870" applyNumberFormat="1" applyFont="1" applyFill="1" applyBorder="1" applyAlignment="1" applyProtection="1">
      <alignment horizontal="right" vertical="center" wrapText="1"/>
      <protection locked="0"/>
    </xf>
    <xf numFmtId="183" fontId="8" fillId="18" borderId="2" xfId="1285" applyNumberFormat="1" applyFont="1" applyFill="1" applyBorder="1" applyAlignment="1" applyProtection="1">
      <alignment horizontal="right" vertical="center" wrapText="1"/>
      <protection locked="0"/>
    </xf>
    <xf numFmtId="0" fontId="8" fillId="13" borderId="2" xfId="870" applyNumberFormat="1" applyFont="1" applyFill="1" applyBorder="1" applyAlignment="1" applyProtection="1">
      <alignment horizontal="right" vertical="center" wrapText="1"/>
      <protection locked="0"/>
    </xf>
    <xf numFmtId="183" fontId="40" fillId="13" borderId="2" xfId="1277" applyNumberFormat="1" applyFont="1" applyFill="1" applyBorder="1" applyAlignment="1" applyProtection="1">
      <alignment horizontal="center" vertical="center"/>
      <protection locked="0"/>
    </xf>
    <xf numFmtId="183" fontId="9" fillId="0" borderId="2" xfId="1285" applyNumberFormat="1" applyFont="1" applyBorder="1" applyAlignment="1" applyProtection="1">
      <alignment horizontal="center" vertical="center" wrapText="1"/>
      <protection locked="0"/>
    </xf>
    <xf numFmtId="0" fontId="0" fillId="0" borderId="42" xfId="1277" applyBorder="1" applyAlignment="1" applyProtection="1">
      <protection locked="0"/>
    </xf>
    <xf numFmtId="0" fontId="0" fillId="0" borderId="0" xfId="1185" applyAlignment="1">
      <alignment horizontal="right"/>
    </xf>
    <xf numFmtId="0" fontId="10" fillId="5" borderId="22" xfId="1285" applyFont="1" applyFill="1" applyBorder="1" applyAlignment="1" applyProtection="1">
      <alignment horizontal="center" vertical="center" wrapText="1"/>
      <protection locked="0"/>
    </xf>
    <xf numFmtId="0" fontId="10" fillId="5" borderId="18" xfId="1285" applyFont="1" applyFill="1" applyBorder="1" applyAlignment="1" applyProtection="1">
      <alignment horizontal="center" vertical="center" wrapText="1"/>
      <protection locked="0"/>
    </xf>
    <xf numFmtId="57" fontId="10" fillId="5" borderId="2" xfId="1285" applyNumberFormat="1" applyFont="1" applyFill="1" applyBorder="1" applyAlignment="1" applyProtection="1">
      <alignment horizontal="center" vertical="center" wrapText="1"/>
      <protection locked="0"/>
    </xf>
    <xf numFmtId="0" fontId="10" fillId="5" borderId="43" xfId="1285" applyFont="1" applyFill="1" applyBorder="1" applyAlignment="1" applyProtection="1">
      <alignment horizontal="center" vertical="center" wrapText="1"/>
      <protection locked="0"/>
    </xf>
    <xf numFmtId="0" fontId="11" fillId="0" borderId="2" xfId="1285" applyFont="1" applyBorder="1" applyAlignment="1" applyProtection="1">
      <alignment horizontal="center" vertical="center" wrapText="1"/>
      <protection locked="0"/>
    </xf>
    <xf numFmtId="0" fontId="11" fillId="19" borderId="2" xfId="1285" applyFont="1" applyFill="1" applyBorder="1" applyAlignment="1" applyProtection="1">
      <alignment horizontal="center" vertical="center" wrapText="1"/>
      <protection locked="0"/>
    </xf>
    <xf numFmtId="183" fontId="35" fillId="13" borderId="2" xfId="1285" applyNumberFormat="1" applyFont="1" applyFill="1" applyBorder="1" applyAlignment="1" applyProtection="1">
      <alignment horizontal="center" vertical="center" wrapText="1"/>
      <protection locked="0"/>
    </xf>
    <xf numFmtId="0" fontId="11" fillId="14" borderId="2" xfId="1285" applyFont="1" applyFill="1" applyBorder="1" applyAlignment="1" applyProtection="1">
      <alignment horizontal="center" vertical="center" wrapText="1"/>
      <protection locked="0"/>
    </xf>
    <xf numFmtId="0" fontId="10" fillId="13" borderId="12" xfId="1277" applyFont="1" applyFill="1" applyBorder="1" applyAlignment="1" applyProtection="1">
      <alignment horizontal="center" vertical="center"/>
      <protection locked="0"/>
    </xf>
    <xf numFmtId="0" fontId="13" fillId="13" borderId="2" xfId="1285" applyFont="1" applyFill="1" applyBorder="1" applyAlignment="1" applyProtection="1">
      <alignment horizontal="right" vertical="center" wrapText="1"/>
      <protection locked="0"/>
    </xf>
    <xf numFmtId="0" fontId="0" fillId="14" borderId="2" xfId="1277" applyFill="1" applyBorder="1" applyAlignment="1" applyProtection="1">
      <protection locked="0"/>
    </xf>
    <xf numFmtId="0" fontId="10" fillId="14" borderId="2" xfId="1285" applyFont="1" applyFill="1" applyBorder="1" applyAlignment="1" applyProtection="1">
      <alignment horizontal="center" vertical="center" wrapText="1"/>
      <protection locked="0"/>
    </xf>
    <xf numFmtId="0" fontId="0" fillId="0" borderId="0" xfId="1277" applyAlignment="1" applyProtection="1">
      <protection locked="0"/>
    </xf>
    <xf numFmtId="0" fontId="13" fillId="13" borderId="2" xfId="1285" applyFont="1" applyFill="1" applyBorder="1" applyAlignment="1" applyProtection="1">
      <alignment horizontal="left" vertical="center" wrapText="1"/>
      <protection locked="0"/>
    </xf>
    <xf numFmtId="185" fontId="13" fillId="13" borderId="2" xfId="1285" applyNumberFormat="1" applyFont="1" applyFill="1" applyBorder="1" applyAlignment="1" applyProtection="1">
      <alignment horizontal="right" vertical="center" wrapText="1"/>
      <protection locked="0"/>
    </xf>
    <xf numFmtId="0" fontId="0" fillId="14" borderId="13" xfId="1185" applyFill="1" applyBorder="1" applyAlignment="1"/>
    <xf numFmtId="0" fontId="15" fillId="14" borderId="2" xfId="1285" applyFont="1" applyFill="1" applyBorder="1" applyAlignment="1" applyProtection="1">
      <alignment horizontal="left" vertical="center" wrapText="1"/>
      <protection locked="0"/>
    </xf>
    <xf numFmtId="185" fontId="15" fillId="14" borderId="2" xfId="1285" applyNumberFormat="1" applyFont="1" applyFill="1" applyBorder="1" applyAlignment="1" applyProtection="1">
      <alignment horizontal="right" vertical="center" wrapText="1"/>
      <protection locked="0"/>
    </xf>
    <xf numFmtId="0" fontId="15" fillId="14" borderId="2" xfId="1285" applyFont="1" applyFill="1" applyBorder="1" applyAlignment="1" applyProtection="1">
      <alignment horizontal="right" vertical="center" wrapText="1"/>
      <protection locked="0"/>
    </xf>
    <xf numFmtId="183" fontId="13" fillId="13" borderId="42" xfId="1285" applyNumberFormat="1" applyFont="1" applyFill="1" applyBorder="1" applyAlignment="1" applyProtection="1">
      <alignment horizontal="center" vertical="center" wrapText="1"/>
      <protection locked="0"/>
    </xf>
    <xf numFmtId="0" fontId="10" fillId="13" borderId="42" xfId="1277" applyFont="1" applyFill="1" applyBorder="1" applyAlignment="1" applyProtection="1">
      <protection locked="0"/>
    </xf>
    <xf numFmtId="0" fontId="10" fillId="13" borderId="2" xfId="1277" applyFont="1" applyFill="1" applyBorder="1" applyAlignment="1" applyProtection="1">
      <protection locked="0"/>
    </xf>
    <xf numFmtId="183" fontId="9" fillId="0" borderId="42" xfId="870" applyNumberFormat="1" applyFont="1" applyFill="1" applyBorder="1" applyAlignment="1" applyProtection="1">
      <alignment horizontal="right" vertical="center" wrapText="1"/>
      <protection locked="0"/>
    </xf>
    <xf numFmtId="183" fontId="9" fillId="14" borderId="42" xfId="870" applyNumberFormat="1" applyFont="1" applyFill="1" applyBorder="1" applyAlignment="1" applyProtection="1">
      <alignment horizontal="right" vertical="center" wrapText="1"/>
      <protection locked="0"/>
    </xf>
    <xf numFmtId="0" fontId="0" fillId="14" borderId="42" xfId="1277" applyFill="1" applyBorder="1" applyAlignment="1" applyProtection="1">
      <protection locked="0"/>
    </xf>
    <xf numFmtId="0" fontId="44" fillId="0" borderId="0" xfId="1185" applyFont="1" applyAlignment="1"/>
    <xf numFmtId="183" fontId="38" fillId="0" borderId="0" xfId="1185" applyNumberFormat="1" applyFont="1" applyProtection="1">
      <alignment vertical="center"/>
      <protection locked="0"/>
    </xf>
    <xf numFmtId="183" fontId="38" fillId="0" borderId="0" xfId="1185" applyNumberFormat="1" applyFont="1" applyAlignment="1" applyProtection="1">
      <alignment horizontal="center" vertical="center"/>
      <protection locked="0"/>
    </xf>
    <xf numFmtId="183" fontId="45" fillId="0" borderId="0" xfId="1185" applyNumberFormat="1" applyFont="1" applyProtection="1">
      <alignment vertical="center"/>
      <protection locked="0"/>
    </xf>
    <xf numFmtId="183" fontId="46" fillId="0" borderId="0" xfId="1185" applyNumberFormat="1" applyFont="1" applyAlignment="1" applyProtection="1">
      <alignment horizontal="center" vertical="center"/>
      <protection locked="0"/>
    </xf>
    <xf numFmtId="183" fontId="47" fillId="0" borderId="0" xfId="1185" applyNumberFormat="1" applyFont="1" applyProtection="1">
      <alignment vertical="center"/>
      <protection locked="0"/>
    </xf>
    <xf numFmtId="183" fontId="47" fillId="0" borderId="0" xfId="1185" applyNumberFormat="1" applyFont="1" applyAlignment="1" applyProtection="1">
      <alignment vertical="center" wrapText="1"/>
      <protection locked="0"/>
    </xf>
    <xf numFmtId="183" fontId="47" fillId="0" borderId="0" xfId="1185" applyNumberFormat="1" applyFont="1" applyAlignment="1" applyProtection="1">
      <alignment horizontal="center" vertical="center" wrapText="1"/>
      <protection locked="0"/>
    </xf>
    <xf numFmtId="183" fontId="47" fillId="0" borderId="0" xfId="1185" applyNumberFormat="1" applyFont="1" applyAlignment="1" applyProtection="1">
      <alignment horizontal="center" vertical="center"/>
      <protection locked="0"/>
    </xf>
    <xf numFmtId="0" fontId="36" fillId="0" borderId="8" xfId="1185" applyFont="1" applyBorder="1" applyAlignment="1" applyProtection="1">
      <alignment wrapText="1"/>
      <protection locked="0"/>
    </xf>
    <xf numFmtId="0" fontId="36" fillId="0" borderId="9" xfId="1185" applyFont="1" applyBorder="1" applyAlignment="1" applyProtection="1">
      <alignment wrapText="1"/>
      <protection locked="0"/>
    </xf>
    <xf numFmtId="0" fontId="36" fillId="0" borderId="9" xfId="1185" applyFont="1" applyBorder="1" applyAlignment="1" applyProtection="1">
      <alignment horizontal="center" wrapText="1"/>
      <protection locked="0"/>
    </xf>
    <xf numFmtId="183" fontId="35" fillId="0" borderId="9" xfId="1185" applyNumberFormat="1" applyFont="1" applyBorder="1" applyAlignment="1" applyProtection="1">
      <alignment horizontal="centerContinuous" vertical="center" wrapText="1"/>
      <protection locked="0"/>
    </xf>
    <xf numFmtId="183" fontId="35" fillId="0" borderId="44" xfId="1185" applyNumberFormat="1" applyFont="1" applyBorder="1" applyAlignment="1" applyProtection="1">
      <alignment horizontal="center" vertical="center" wrapText="1"/>
      <protection locked="0"/>
    </xf>
    <xf numFmtId="183" fontId="35" fillId="0" borderId="2" xfId="1185" applyNumberFormat="1" applyFont="1" applyBorder="1" applyAlignment="1" applyProtection="1">
      <alignment horizontal="center" vertical="center" wrapText="1"/>
      <protection locked="0"/>
    </xf>
    <xf numFmtId="183" fontId="11" fillId="12" borderId="45" xfId="1185" applyNumberFormat="1" applyFont="1" applyFill="1" applyBorder="1" applyAlignment="1" applyProtection="1">
      <alignment vertical="center" wrapText="1"/>
      <protection locked="0"/>
    </xf>
    <xf numFmtId="183" fontId="11" fillId="12" borderId="5" xfId="1185" applyNumberFormat="1" applyFont="1" applyFill="1" applyBorder="1" applyAlignment="1" applyProtection="1">
      <alignment vertical="center" wrapText="1"/>
      <protection locked="0"/>
    </xf>
    <xf numFmtId="183" fontId="11" fillId="12" borderId="5" xfId="1185" applyNumberFormat="1" applyFont="1" applyFill="1" applyBorder="1" applyAlignment="1" applyProtection="1">
      <alignment horizontal="center" vertical="center" wrapText="1"/>
      <protection locked="0"/>
    </xf>
    <xf numFmtId="0" fontId="0" fillId="0" borderId="2" xfId="0" applyBorder="1">
      <alignment vertical="center"/>
    </xf>
    <xf numFmtId="0" fontId="0" fillId="0" borderId="2" xfId="0" applyBorder="1" applyAlignment="1">
      <alignment horizontal="left" vertical="center" indent="1"/>
    </xf>
    <xf numFmtId="0" fontId="0" fillId="0" borderId="2" xfId="0" applyBorder="1" applyAlignment="1">
      <alignment horizontal="left" vertical="center" indent="2"/>
    </xf>
    <xf numFmtId="0" fontId="0" fillId="0" borderId="2" xfId="0" applyBorder="1" applyAlignment="1">
      <alignment horizontal="left" vertical="center" indent="3"/>
    </xf>
    <xf numFmtId="0" fontId="0" fillId="0" borderId="2" xfId="1185" applyBorder="1" applyAlignment="1">
      <alignment indent="2"/>
    </xf>
    <xf numFmtId="0" fontId="0" fillId="0" borderId="2" xfId="1185" applyBorder="1" applyAlignment="1">
      <alignment horizontal="center"/>
    </xf>
    <xf numFmtId="0" fontId="0" fillId="0" borderId="2" xfId="1185" applyBorder="1" applyAlignment="1">
      <alignment indent="3"/>
    </xf>
    <xf numFmtId="0" fontId="0" fillId="0" borderId="2" xfId="1185" applyBorder="1" applyAlignment="1">
      <alignment indent="1"/>
    </xf>
    <xf numFmtId="185" fontId="47" fillId="0" borderId="0" xfId="1185" applyNumberFormat="1" applyFont="1" applyAlignment="1" applyProtection="1">
      <alignment horizontal="right" vertical="center"/>
      <protection locked="0"/>
    </xf>
    <xf numFmtId="185" fontId="47" fillId="0" borderId="0" xfId="1185" applyNumberFormat="1" applyFont="1" applyAlignment="1" applyProtection="1">
      <alignment horizontal="right" vertical="center" wrapText="1"/>
      <protection locked="0"/>
    </xf>
    <xf numFmtId="185" fontId="47" fillId="0" borderId="0" xfId="1185" applyNumberFormat="1" applyFont="1" applyAlignment="1" applyProtection="1">
      <alignment vertical="center" wrapText="1"/>
      <protection locked="0"/>
    </xf>
    <xf numFmtId="183" fontId="48" fillId="0" borderId="9" xfId="1185" applyNumberFormat="1" applyFont="1" applyBorder="1" applyAlignment="1" applyProtection="1">
      <alignment horizontal="centerContinuous" vertical="center" wrapText="1"/>
      <protection locked="0"/>
    </xf>
    <xf numFmtId="185" fontId="35" fillId="0" borderId="2" xfId="1185" applyNumberFormat="1" applyFont="1" applyBorder="1" applyAlignment="1" applyProtection="1">
      <alignment horizontal="right" vertical="center" wrapText="1"/>
      <protection locked="0"/>
    </xf>
    <xf numFmtId="185" fontId="35" fillId="20" borderId="2" xfId="1185" applyNumberFormat="1" applyFont="1" applyFill="1" applyBorder="1" applyAlignment="1" applyProtection="1">
      <alignment horizontal="center" vertical="center" wrapText="1"/>
      <protection locked="0"/>
    </xf>
    <xf numFmtId="189" fontId="11" fillId="12" borderId="5" xfId="1185" applyNumberFormat="1" applyFont="1" applyFill="1" applyBorder="1" applyAlignment="1" applyProtection="1">
      <alignment vertical="center" wrapText="1"/>
      <protection locked="0"/>
    </xf>
    <xf numFmtId="185" fontId="11" fillId="12" borderId="5" xfId="1185" applyNumberFormat="1" applyFont="1" applyFill="1" applyBorder="1" applyAlignment="1" applyProtection="1">
      <alignment horizontal="right" vertical="center" wrapText="1"/>
      <protection locked="0"/>
    </xf>
    <xf numFmtId="185" fontId="11" fillId="12" borderId="2" xfId="1185" applyNumberFormat="1" applyFont="1" applyFill="1" applyBorder="1" applyAlignment="1" applyProtection="1">
      <alignment vertical="center" wrapText="1"/>
      <protection locked="0"/>
    </xf>
    <xf numFmtId="183" fontId="11" fillId="12" borderId="2" xfId="1185" applyNumberFormat="1" applyFont="1" applyFill="1" applyBorder="1" applyAlignment="1" applyProtection="1">
      <alignment vertical="center" wrapText="1"/>
      <protection locked="0"/>
    </xf>
    <xf numFmtId="185" fontId="0" fillId="0" borderId="2" xfId="1185" applyNumberFormat="1" applyBorder="1" applyAlignment="1">
      <alignment horizontal="right"/>
    </xf>
    <xf numFmtId="185" fontId="35" fillId="0" borderId="2" xfId="1185" applyNumberFormat="1" applyFont="1" applyBorder="1" applyAlignment="1" applyProtection="1">
      <alignment horizontal="center" vertical="center" wrapText="1"/>
      <protection locked="0"/>
    </xf>
    <xf numFmtId="183" fontId="35" fillId="21" borderId="2" xfId="1185" applyNumberFormat="1" applyFont="1" applyFill="1" applyBorder="1" applyAlignment="1" applyProtection="1">
      <alignment horizontal="center" vertical="center" wrapText="1"/>
      <protection locked="0"/>
    </xf>
    <xf numFmtId="183" fontId="46" fillId="0" borderId="0" xfId="1185" applyNumberFormat="1" applyFont="1" applyProtection="1">
      <alignment vertical="center"/>
      <protection locked="0"/>
    </xf>
    <xf numFmtId="183" fontId="31" fillId="0" borderId="0" xfId="1185" applyNumberFormat="1" applyFont="1" applyProtection="1">
      <alignment vertical="center"/>
      <protection locked="0"/>
    </xf>
    <xf numFmtId="183" fontId="44" fillId="0" borderId="0" xfId="1185" applyNumberFormat="1" applyFont="1" applyAlignment="1" applyProtection="1">
      <alignment vertical="center" wrapText="1"/>
      <protection locked="0"/>
    </xf>
    <xf numFmtId="183" fontId="11" fillId="0" borderId="9" xfId="1185" applyNumberFormat="1" applyFont="1" applyBorder="1" applyAlignment="1" applyProtection="1">
      <alignment horizontal="centerContinuous" vertical="center" wrapText="1"/>
      <protection locked="0"/>
    </xf>
    <xf numFmtId="0" fontId="49" fillId="0" borderId="0" xfId="1185" applyFont="1" applyAlignment="1">
      <alignment horizontal="center"/>
    </xf>
    <xf numFmtId="183" fontId="35" fillId="0" borderId="18" xfId="1185" applyNumberFormat="1" applyFont="1" applyBorder="1" applyAlignment="1" applyProtection="1">
      <alignment horizontal="center" vertical="center" wrapText="1"/>
      <protection locked="0"/>
    </xf>
    <xf numFmtId="0" fontId="14" fillId="0" borderId="0" xfId="1269" applyFont="1" applyAlignment="1">
      <alignment horizontal="center" vertical="center"/>
    </xf>
    <xf numFmtId="0" fontId="12" fillId="0" borderId="8" xfId="1269" applyFont="1" applyBorder="1" applyAlignment="1">
      <alignment horizontal="left" vertical="center"/>
    </xf>
    <xf numFmtId="0" fontId="12" fillId="0" borderId="9" xfId="1269" applyFont="1" applyBorder="1" applyAlignment="1">
      <alignment horizontal="left" vertical="center"/>
    </xf>
    <xf numFmtId="0" fontId="31" fillId="0" borderId="44" xfId="1269" applyFont="1" applyBorder="1" applyAlignment="1">
      <alignment horizontal="center" vertical="center" wrapText="1"/>
    </xf>
    <xf numFmtId="0" fontId="31" fillId="0" borderId="2" xfId="1269" applyFont="1" applyBorder="1" applyAlignment="1">
      <alignment horizontal="center" vertical="center" wrapText="1"/>
    </xf>
    <xf numFmtId="2" fontId="31" fillId="0" borderId="2" xfId="1269" applyNumberFormat="1" applyFont="1" applyBorder="1" applyAlignment="1">
      <alignment horizontal="center" vertical="center" wrapText="1"/>
    </xf>
    <xf numFmtId="0" fontId="12" fillId="0" borderId="2" xfId="1269" applyFont="1" applyBorder="1" applyAlignment="1">
      <alignment horizontal="center" vertical="center" wrapText="1"/>
    </xf>
    <xf numFmtId="0" fontId="12" fillId="0" borderId="2" xfId="1269" applyFont="1" applyBorder="1" applyAlignment="1">
      <alignment horizontal="center" vertical="center"/>
    </xf>
    <xf numFmtId="0" fontId="31" fillId="0" borderId="2" xfId="1269" applyFont="1" applyBorder="1" applyAlignment="1">
      <alignment vertical="center" wrapText="1"/>
    </xf>
    <xf numFmtId="190" fontId="31" fillId="0" borderId="2" xfId="1269" applyNumberFormat="1" applyFont="1" applyBorder="1" applyAlignment="1">
      <alignment horizontal="center" vertical="center" wrapText="1"/>
    </xf>
    <xf numFmtId="10" fontId="31" fillId="0" borderId="2" xfId="1269" applyNumberFormat="1" applyFont="1" applyBorder="1" applyAlignment="1">
      <alignment horizontal="center" vertical="center" wrapText="1"/>
    </xf>
    <xf numFmtId="10" fontId="31" fillId="0" borderId="2" xfId="870" applyNumberFormat="1" applyFont="1" applyBorder="1" applyAlignment="1">
      <alignment horizontal="center" vertical="center" wrapText="1"/>
    </xf>
    <xf numFmtId="0" fontId="12" fillId="0" borderId="44" xfId="1269" applyFont="1" applyBorder="1" applyAlignment="1">
      <alignment horizontal="center" vertical="center" wrapText="1"/>
    </xf>
    <xf numFmtId="0" fontId="12" fillId="22" borderId="2" xfId="1269" applyFont="1" applyFill="1" applyBorder="1" applyAlignment="1">
      <alignment horizontal="center" vertical="center" wrapText="1"/>
    </xf>
    <xf numFmtId="0" fontId="12" fillId="0" borderId="44" xfId="1269" applyFont="1" applyBorder="1" applyAlignment="1">
      <alignment horizontal="center" vertical="center"/>
    </xf>
    <xf numFmtId="0" fontId="12" fillId="0" borderId="2" xfId="1269" applyFont="1" applyBorder="1">
      <alignment vertical="center"/>
    </xf>
    <xf numFmtId="2" fontId="12" fillId="0" borderId="2" xfId="1269" applyNumberFormat="1" applyFont="1" applyBorder="1" applyAlignment="1">
      <alignment horizontal="right" vertical="center"/>
    </xf>
    <xf numFmtId="190" fontId="12" fillId="0" borderId="2" xfId="870" applyNumberFormat="1" applyFont="1" applyFill="1" applyBorder="1" applyAlignment="1">
      <alignment horizontal="center" vertical="center"/>
    </xf>
    <xf numFmtId="0" fontId="9" fillId="0" borderId="2" xfId="1269" applyFont="1" applyBorder="1">
      <alignment vertical="center"/>
    </xf>
    <xf numFmtId="2" fontId="12" fillId="0" borderId="2" xfId="1269" applyNumberFormat="1" applyFont="1" applyBorder="1" applyAlignment="1">
      <alignment horizontal="center" vertical="center"/>
    </xf>
    <xf numFmtId="2" fontId="9" fillId="0" borderId="2" xfId="1269" applyNumberFormat="1" applyFont="1" applyBorder="1" applyAlignment="1">
      <alignment horizontal="right" vertical="center"/>
    </xf>
    <xf numFmtId="10" fontId="9" fillId="0" borderId="2" xfId="870" applyNumberFormat="1" applyFont="1" applyFill="1" applyBorder="1" applyAlignment="1" applyProtection="1">
      <alignment horizontal="center" vertical="center"/>
    </xf>
    <xf numFmtId="0" fontId="9" fillId="0" borderId="44" xfId="1269" applyFont="1" applyBorder="1" applyAlignment="1">
      <alignment horizontal="center" vertical="center"/>
    </xf>
    <xf numFmtId="0" fontId="22" fillId="0" borderId="2" xfId="1269" applyFont="1" applyBorder="1" applyAlignment="1">
      <alignment horizontal="left" vertical="center" wrapText="1" indent="1"/>
    </xf>
    <xf numFmtId="2" fontId="9" fillId="0" borderId="2" xfId="1269" applyNumberFormat="1" applyFont="1" applyBorder="1" applyAlignment="1">
      <alignment horizontal="center" vertical="center"/>
    </xf>
    <xf numFmtId="10" fontId="9" fillId="0" borderId="2" xfId="870" applyNumberFormat="1" applyFont="1" applyFill="1" applyBorder="1" applyAlignment="1">
      <alignment horizontal="center" vertical="center"/>
    </xf>
    <xf numFmtId="0" fontId="9" fillId="0" borderId="2" xfId="1269" applyFont="1" applyBorder="1" applyAlignment="1">
      <alignment horizontal="left" vertical="center" indent="1"/>
    </xf>
    <xf numFmtId="190" fontId="9" fillId="0" borderId="2" xfId="870" applyNumberFormat="1" applyFont="1" applyFill="1" applyBorder="1" applyAlignment="1">
      <alignment horizontal="center" vertical="center"/>
    </xf>
    <xf numFmtId="191" fontId="9" fillId="0" borderId="2" xfId="1269" applyNumberFormat="1" applyFont="1" applyBorder="1" applyAlignment="1">
      <alignment horizontal="left" vertical="center" indent="1"/>
    </xf>
    <xf numFmtId="0" fontId="12" fillId="0" borderId="10" xfId="1269" applyFont="1" applyBorder="1" applyAlignment="1">
      <alignment horizontal="center" vertical="center"/>
    </xf>
    <xf numFmtId="0" fontId="12" fillId="0" borderId="11" xfId="1269" applyFont="1" applyBorder="1" applyAlignment="1">
      <alignment horizontal="center" vertical="center" wrapText="1"/>
    </xf>
    <xf numFmtId="2" fontId="12" fillId="0" borderId="11" xfId="1269" applyNumberFormat="1" applyFont="1" applyBorder="1" applyAlignment="1">
      <alignment horizontal="right" vertical="center"/>
    </xf>
    <xf numFmtId="190" fontId="12" fillId="0" borderId="11" xfId="870" applyNumberFormat="1" applyFont="1" applyFill="1" applyBorder="1" applyAlignment="1">
      <alignment horizontal="center" vertical="center"/>
    </xf>
    <xf numFmtId="0" fontId="12" fillId="0" borderId="0" xfId="1269" applyFont="1" applyAlignment="1">
      <alignment horizontal="center" vertical="center"/>
    </xf>
    <xf numFmtId="0" fontId="12" fillId="0" borderId="0" xfId="1185" applyFont="1" applyAlignment="1"/>
    <xf numFmtId="183" fontId="12" fillId="0" borderId="0" xfId="1269" applyNumberFormat="1" applyFont="1" applyAlignment="1">
      <alignment horizontal="center"/>
    </xf>
    <xf numFmtId="0" fontId="12" fillId="0" borderId="0" xfId="1185" applyFont="1" applyAlignment="1">
      <alignment horizontal="right"/>
    </xf>
    <xf numFmtId="0" fontId="12" fillId="0" borderId="0" xfId="1185" applyFont="1" applyAlignment="1">
      <alignment horizontal="left"/>
    </xf>
    <xf numFmtId="0" fontId="9" fillId="0" borderId="0" xfId="1185" applyFont="1" applyAlignment="1"/>
    <xf numFmtId="0" fontId="12" fillId="0" borderId="0" xfId="1185" applyFont="1" applyAlignment="1">
      <alignment horizontal="center"/>
    </xf>
    <xf numFmtId="0" fontId="50" fillId="0" borderId="0" xfId="1185" applyFont="1" applyAlignment="1"/>
    <xf numFmtId="0" fontId="12" fillId="0" borderId="14" xfId="1269" applyFont="1" applyBorder="1" applyAlignment="1">
      <alignment horizontal="left" vertical="center"/>
    </xf>
    <xf numFmtId="0" fontId="51" fillId="0" borderId="0" xfId="1185" applyFont="1">
      <alignment vertical="center"/>
    </xf>
    <xf numFmtId="190" fontId="31" fillId="0" borderId="46" xfId="1269" applyNumberFormat="1" applyFont="1" applyBorder="1" applyAlignment="1">
      <alignment horizontal="center" vertical="center" wrapText="1"/>
    </xf>
    <xf numFmtId="10" fontId="31" fillId="0" borderId="46" xfId="870" applyNumberFormat="1" applyFont="1" applyBorder="1" applyAlignment="1">
      <alignment horizontal="center" vertical="center" wrapText="1"/>
    </xf>
    <xf numFmtId="0" fontId="12" fillId="0" borderId="46" xfId="1269" applyFont="1" applyBorder="1" applyAlignment="1">
      <alignment horizontal="center" vertical="center" wrapText="1"/>
    </xf>
    <xf numFmtId="0" fontId="9" fillId="0" borderId="46" xfId="1269" applyFont="1" applyBorder="1" applyAlignment="1">
      <alignment vertical="center" wrapText="1"/>
    </xf>
    <xf numFmtId="185" fontId="0" fillId="0" borderId="0" xfId="870" applyNumberFormat="1" applyFont="1" applyAlignment="1"/>
    <xf numFmtId="183" fontId="52" fillId="0" borderId="0" xfId="1185" applyNumberFormat="1" applyFont="1" applyAlignment="1"/>
    <xf numFmtId="9" fontId="0" fillId="0" borderId="0" xfId="1185" applyNumberFormat="1" applyAlignment="1"/>
    <xf numFmtId="14" fontId="50" fillId="0" borderId="0" xfId="1185" applyNumberFormat="1" applyFont="1" applyAlignment="1"/>
    <xf numFmtId="0" fontId="9" fillId="0" borderId="47" xfId="1269" applyFont="1" applyBorder="1" applyAlignment="1">
      <alignment horizontal="center" vertical="center" wrapText="1"/>
    </xf>
    <xf numFmtId="192" fontId="52" fillId="0" borderId="0" xfId="1185" applyNumberFormat="1" applyFont="1" applyAlignment="1"/>
    <xf numFmtId="0" fontId="9" fillId="0" borderId="48" xfId="1269" applyFont="1" applyBorder="1" applyAlignment="1">
      <alignment horizontal="center" vertical="center" wrapText="1"/>
    </xf>
    <xf numFmtId="0" fontId="9" fillId="0" borderId="30" xfId="1269" applyFont="1" applyBorder="1" applyAlignment="1">
      <alignment horizontal="center" vertical="center" wrapText="1"/>
    </xf>
    <xf numFmtId="0" fontId="9" fillId="0" borderId="46" xfId="1269" applyFont="1" applyBorder="1">
      <alignment vertical="center"/>
    </xf>
    <xf numFmtId="0" fontId="9" fillId="0" borderId="47" xfId="1269" applyFont="1" applyBorder="1" applyAlignment="1">
      <alignment horizontal="center" vertical="center"/>
    </xf>
    <xf numFmtId="0" fontId="9" fillId="0" borderId="48" xfId="1269" applyFont="1" applyBorder="1" applyAlignment="1">
      <alignment horizontal="center" vertical="center"/>
    </xf>
    <xf numFmtId="0" fontId="9" fillId="0" borderId="30" xfId="1269" applyFont="1" applyBorder="1" applyAlignment="1">
      <alignment horizontal="center" vertical="center"/>
    </xf>
    <xf numFmtId="0" fontId="12" fillId="0" borderId="46" xfId="1269" applyFont="1" applyBorder="1" applyAlignment="1">
      <alignment vertical="center" wrapText="1"/>
    </xf>
    <xf numFmtId="0" fontId="12" fillId="0" borderId="15" xfId="1269" applyFont="1" applyBorder="1" applyAlignment="1">
      <alignment vertical="center" wrapText="1"/>
    </xf>
    <xf numFmtId="0" fontId="12" fillId="0" borderId="0" xfId="1269" applyFont="1" applyAlignment="1">
      <alignment vertical="center" wrapText="1"/>
    </xf>
    <xf numFmtId="0" fontId="15" fillId="23" borderId="2" xfId="1195" applyFont="1" applyFill="1" applyBorder="1" applyAlignment="1">
      <alignment horizontal="center" vertical="center"/>
    </xf>
    <xf numFmtId="0" fontId="9" fillId="17" borderId="2" xfId="1195" applyFont="1" applyFill="1" applyBorder="1" applyAlignment="1">
      <alignment horizontal="center" vertical="center"/>
    </xf>
    <xf numFmtId="0" fontId="9" fillId="17" borderId="2" xfId="1195" applyFont="1" applyFill="1" applyBorder="1" applyAlignment="1">
      <alignment horizontal="center" vertical="center" wrapText="1"/>
    </xf>
    <xf numFmtId="0" fontId="53" fillId="0" borderId="0" xfId="1185" applyFont="1" applyAlignment="1">
      <alignment horizontal="centerContinuous" vertical="center"/>
    </xf>
    <xf numFmtId="0" fontId="34" fillId="0" borderId="0" xfId="1185" applyFont="1" applyAlignment="1">
      <alignment horizontal="centerContinuous"/>
    </xf>
    <xf numFmtId="0" fontId="0" fillId="0" borderId="0" xfId="1185" applyAlignment="1">
      <alignment horizontal="center" vertical="center"/>
    </xf>
    <xf numFmtId="0" fontId="54" fillId="0" borderId="31" xfId="1185" applyFont="1" applyBorder="1" applyAlignment="1">
      <alignment horizontal="center" vertical="center"/>
    </xf>
    <xf numFmtId="0" fontId="54" fillId="0" borderId="32" xfId="1185" applyFont="1" applyBorder="1" applyAlignment="1">
      <alignment horizontal="center" vertical="center"/>
    </xf>
    <xf numFmtId="9" fontId="54" fillId="0" borderId="37" xfId="1185" applyNumberFormat="1" applyFont="1" applyBorder="1">
      <alignment vertical="center"/>
    </xf>
    <xf numFmtId="9" fontId="54" fillId="0" borderId="21" xfId="1185" applyNumberFormat="1" applyFont="1" applyBorder="1">
      <alignment vertical="center"/>
    </xf>
    <xf numFmtId="0" fontId="55" fillId="24" borderId="0" xfId="1185" applyFont="1" applyFill="1" applyAlignment="1">
      <alignment horizontal="center" vertical="center"/>
    </xf>
    <xf numFmtId="10" fontId="56" fillId="0" borderId="37" xfId="870" applyNumberFormat="1" applyFont="1" applyBorder="1" applyAlignment="1">
      <alignment horizontal="center" vertical="center"/>
    </xf>
    <xf numFmtId="10" fontId="56" fillId="0" borderId="21" xfId="870" applyNumberFormat="1" applyFont="1" applyBorder="1" applyAlignment="1">
      <alignment horizontal="center" vertical="center"/>
    </xf>
    <xf numFmtId="10" fontId="57" fillId="0" borderId="21" xfId="870" applyNumberFormat="1" applyFont="1" applyBorder="1" applyAlignment="1">
      <alignment horizontal="center" vertical="center"/>
    </xf>
    <xf numFmtId="0" fontId="55" fillId="25" borderId="0" xfId="1185" applyFont="1" applyFill="1" applyAlignment="1">
      <alignment horizontal="center" vertical="center"/>
    </xf>
    <xf numFmtId="0" fontId="58" fillId="9" borderId="0" xfId="1185" applyFont="1" applyFill="1" applyAlignment="1">
      <alignment horizontal="center" vertical="center"/>
    </xf>
    <xf numFmtId="10" fontId="57" fillId="0" borderId="37" xfId="870" applyNumberFormat="1" applyFont="1" applyBorder="1" applyAlignment="1">
      <alignment horizontal="center" vertical="center"/>
    </xf>
    <xf numFmtId="0" fontId="55" fillId="26" borderId="0" xfId="1185" applyFont="1" applyFill="1" applyAlignment="1">
      <alignment horizontal="center" vertical="center"/>
    </xf>
    <xf numFmtId="0" fontId="55" fillId="27" borderId="0" xfId="1185" applyFont="1" applyFill="1" applyAlignment="1">
      <alignment horizontal="center" vertical="center"/>
    </xf>
    <xf numFmtId="0" fontId="54" fillId="0" borderId="0" xfId="1185" applyFont="1" applyAlignment="1">
      <alignment horizontal="center" vertical="center"/>
    </xf>
    <xf numFmtId="10" fontId="56" fillId="0" borderId="49" xfId="870" applyNumberFormat="1" applyFont="1" applyBorder="1" applyAlignment="1">
      <alignment horizontal="center" vertical="center"/>
    </xf>
    <xf numFmtId="10" fontId="56" fillId="0" borderId="38" xfId="870" applyNumberFormat="1" applyFont="1" applyBorder="1" applyAlignment="1">
      <alignment horizontal="center" vertical="center"/>
    </xf>
    <xf numFmtId="10" fontId="57" fillId="0" borderId="38" xfId="870" applyNumberFormat="1" applyFont="1" applyBorder="1" applyAlignment="1">
      <alignment horizontal="center" vertical="center"/>
    </xf>
    <xf numFmtId="10" fontId="0" fillId="0" borderId="0" xfId="870" applyNumberFormat="1" applyFont="1" applyAlignment="1"/>
    <xf numFmtId="186" fontId="9" fillId="17" borderId="2" xfId="1195" applyNumberFormat="1" applyFont="1" applyFill="1" applyBorder="1" applyAlignment="1">
      <alignment horizontal="center" vertical="center"/>
    </xf>
    <xf numFmtId="183" fontId="9" fillId="17" borderId="2" xfId="1195" applyNumberFormat="1" applyFont="1" applyFill="1" applyBorder="1" applyAlignment="1">
      <alignment horizontal="center" vertical="center"/>
    </xf>
    <xf numFmtId="190" fontId="9" fillId="17" borderId="2" xfId="870" applyNumberFormat="1" applyFont="1" applyFill="1" applyBorder="1" applyAlignment="1">
      <alignment horizontal="center" vertical="center"/>
    </xf>
    <xf numFmtId="1" fontId="9" fillId="17" borderId="2" xfId="1195" applyNumberFormat="1" applyFont="1" applyFill="1" applyBorder="1" applyAlignment="1">
      <alignment horizontal="center" vertical="center"/>
    </xf>
    <xf numFmtId="193" fontId="9" fillId="17" borderId="2" xfId="1195" applyNumberFormat="1" applyFont="1" applyFill="1" applyBorder="1" applyAlignment="1">
      <alignment horizontal="center" vertical="center"/>
    </xf>
    <xf numFmtId="0" fontId="54" fillId="0" borderId="33" xfId="1185" applyFont="1" applyBorder="1" applyAlignment="1">
      <alignment horizontal="center" vertical="center"/>
    </xf>
    <xf numFmtId="0" fontId="54" fillId="0" borderId="48" xfId="1185" applyFont="1" applyBorder="1">
      <alignment vertical="center"/>
    </xf>
    <xf numFmtId="0" fontId="57" fillId="0" borderId="48" xfId="1185" applyFont="1" applyBorder="1" applyAlignment="1">
      <alignment horizontal="center" vertical="center"/>
    </xf>
    <xf numFmtId="9" fontId="57" fillId="0" borderId="0" xfId="870" applyFont="1" applyAlignment="1" applyProtection="1">
      <alignment horizontal="center" vertical="center" wrapText="1"/>
      <protection locked="0"/>
    </xf>
    <xf numFmtId="9" fontId="57" fillId="0" borderId="0" xfId="870" applyFont="1" applyAlignment="1" applyProtection="1">
      <alignment horizontal="center" vertical="center"/>
      <protection locked="0"/>
    </xf>
    <xf numFmtId="0" fontId="57" fillId="0" borderId="50" xfId="1185" applyFont="1" applyBorder="1" applyAlignment="1">
      <alignment horizontal="center" vertical="center"/>
    </xf>
    <xf numFmtId="0" fontId="15" fillId="28" borderId="0" xfId="1195" applyFont="1" applyFill="1" applyAlignment="1">
      <alignment horizontal="center" vertical="center"/>
    </xf>
    <xf numFmtId="49" fontId="0" fillId="0" borderId="0" xfId="0" applyNumberFormat="1">
      <alignment vertical="center"/>
    </xf>
    <xf numFmtId="49" fontId="0" fillId="0" borderId="2" xfId="0" applyNumberFormat="1" applyBorder="1" applyAlignment="1">
      <alignment vertical="center" wrapText="1"/>
    </xf>
    <xf numFmtId="49" fontId="0" fillId="0" borderId="0" xfId="0" applyNumberFormat="1" applyAlignment="1">
      <alignment horizontal="left" vertical="center"/>
    </xf>
    <xf numFmtId="9" fontId="0" fillId="0" borderId="0" xfId="0" applyNumberFormat="1">
      <alignment vertical="center"/>
    </xf>
    <xf numFmtId="49" fontId="0" fillId="0" borderId="0" xfId="3" applyNumberFormat="1" applyFont="1">
      <alignment vertical="center"/>
    </xf>
    <xf numFmtId="10" fontId="0" fillId="0" borderId="0" xfId="0" applyNumberFormat="1">
      <alignment vertical="center"/>
    </xf>
    <xf numFmtId="0" fontId="15" fillId="0" borderId="0" xfId="0" applyFont="1">
      <alignment vertical="center"/>
    </xf>
    <xf numFmtId="0" fontId="34" fillId="0" borderId="0" xfId="0" applyFont="1" applyAlignment="1">
      <alignment horizontal="center" vertical="center"/>
    </xf>
    <xf numFmtId="0" fontId="15" fillId="0" borderId="0" xfId="0" applyFont="1" applyAlignment="1">
      <alignment horizontal="right" vertical="center"/>
    </xf>
    <xf numFmtId="0" fontId="15" fillId="0" borderId="0" xfId="0" applyFont="1" applyAlignment="1">
      <alignment horizontal="left"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13" fillId="0" borderId="44" xfId="0" applyFont="1" applyBorder="1" applyAlignment="1">
      <alignment horizontal="center" vertical="center"/>
    </xf>
    <xf numFmtId="0" fontId="13" fillId="0" borderId="2" xfId="0" applyFont="1" applyBorder="1">
      <alignment vertical="center"/>
    </xf>
    <xf numFmtId="43" fontId="12" fillId="0" borderId="2" xfId="1" applyFont="1" applyBorder="1">
      <alignment vertical="center"/>
    </xf>
    <xf numFmtId="4" fontId="13" fillId="0" borderId="2" xfId="0" applyNumberFormat="1" applyFont="1" applyBorder="1">
      <alignment vertical="center"/>
    </xf>
    <xf numFmtId="0" fontId="13" fillId="0" borderId="46" xfId="0" applyFont="1" applyBorder="1">
      <alignment vertical="center"/>
    </xf>
    <xf numFmtId="0" fontId="15" fillId="0" borderId="44" xfId="0" applyFont="1" applyBorder="1" applyAlignment="1">
      <alignment horizontal="center" vertical="center"/>
    </xf>
    <xf numFmtId="0" fontId="15" fillId="0" borderId="2" xfId="0" applyFont="1" applyBorder="1">
      <alignment vertical="center"/>
    </xf>
    <xf numFmtId="43" fontId="9" fillId="0" borderId="2" xfId="1" applyFont="1" applyBorder="1">
      <alignment vertical="center"/>
    </xf>
    <xf numFmtId="10" fontId="15" fillId="0" borderId="2" xfId="0" applyNumberFormat="1" applyFont="1" applyBorder="1">
      <alignment vertical="center"/>
    </xf>
    <xf numFmtId="4" fontId="15" fillId="0" borderId="2" xfId="0" applyNumberFormat="1" applyFont="1" applyBorder="1">
      <alignment vertical="center"/>
    </xf>
    <xf numFmtId="0" fontId="15" fillId="0" borderId="46" xfId="0" applyFont="1" applyBorder="1">
      <alignment vertical="center"/>
    </xf>
    <xf numFmtId="43" fontId="15" fillId="0" borderId="2" xfId="1" applyFont="1" applyBorder="1">
      <alignment vertical="center"/>
    </xf>
    <xf numFmtId="43" fontId="15" fillId="0" borderId="2" xfId="1" applyFont="1" applyBorder="1" applyAlignment="1">
      <alignment horizontal="center" vertical="center"/>
    </xf>
    <xf numFmtId="10" fontId="13" fillId="0" borderId="2" xfId="0" applyNumberFormat="1" applyFont="1" applyBorder="1">
      <alignment vertical="center"/>
    </xf>
    <xf numFmtId="194" fontId="13" fillId="0" borderId="2" xfId="0" applyNumberFormat="1" applyFont="1" applyBorder="1" applyAlignment="1">
      <alignment horizontal="center" vertical="center"/>
    </xf>
    <xf numFmtId="0" fontId="13" fillId="0" borderId="46" xfId="0" applyFont="1" applyBorder="1" applyAlignment="1">
      <alignment vertical="center" wrapText="1"/>
    </xf>
    <xf numFmtId="195" fontId="13" fillId="0" borderId="2" xfId="0" applyNumberFormat="1" applyFont="1" applyBorder="1" applyAlignment="1">
      <alignment horizontal="center" vertical="center"/>
    </xf>
    <xf numFmtId="0" fontId="15" fillId="0" borderId="44" xfId="0" applyFont="1" applyBorder="1">
      <alignment vertical="center"/>
    </xf>
    <xf numFmtId="0" fontId="0" fillId="0" borderId="10" xfId="0" applyBorder="1">
      <alignment vertical="center"/>
    </xf>
    <xf numFmtId="0" fontId="15" fillId="0" borderId="11" xfId="0" applyFont="1" applyBorder="1" applyAlignment="1">
      <alignment horizontal="center" vertical="center"/>
    </xf>
    <xf numFmtId="0" fontId="0" fillId="0" borderId="11" xfId="0" applyBorder="1">
      <alignment vertical="center"/>
    </xf>
    <xf numFmtId="4" fontId="0" fillId="0" borderId="11" xfId="0" applyNumberFormat="1" applyBorder="1">
      <alignment vertical="center"/>
    </xf>
    <xf numFmtId="0" fontId="0" fillId="0" borderId="15" xfId="0" applyBorder="1">
      <alignment vertical="center"/>
    </xf>
    <xf numFmtId="0" fontId="0" fillId="0" borderId="0" xfId="0" applyAlignment="1">
      <alignment horizontal="right" vertical="center"/>
    </xf>
    <xf numFmtId="0" fontId="0" fillId="0" borderId="0" xfId="0" applyAlignment="1">
      <alignment horizontal="left" vertical="center"/>
    </xf>
    <xf numFmtId="0" fontId="25" fillId="0" borderId="0" xfId="0" applyFont="1">
      <alignment vertical="center"/>
    </xf>
    <xf numFmtId="0" fontId="59" fillId="0" borderId="0" xfId="0" applyFont="1" applyAlignment="1">
      <alignment horizontal="center" vertical="center"/>
    </xf>
    <xf numFmtId="0" fontId="59" fillId="0" borderId="0" xfId="0" applyFont="1">
      <alignmen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wrapText="1"/>
    </xf>
    <xf numFmtId="0" fontId="15" fillId="0" borderId="17" xfId="0" applyFont="1" applyBorder="1" applyAlignment="1">
      <alignment horizontal="center" vertical="center"/>
    </xf>
    <xf numFmtId="0" fontId="15" fillId="0" borderId="22" xfId="1185" applyFont="1" applyBorder="1" applyAlignment="1">
      <alignment horizontal="center" vertical="center"/>
    </xf>
    <xf numFmtId="0" fontId="15" fillId="0" borderId="24" xfId="1185" applyFont="1" applyBorder="1" applyAlignment="1">
      <alignment horizontal="center" vertical="center"/>
    </xf>
    <xf numFmtId="0" fontId="15" fillId="0" borderId="27" xfId="0" applyFont="1" applyBorder="1" applyAlignment="1">
      <alignment horizontal="center" vertical="center"/>
    </xf>
    <xf numFmtId="0" fontId="15" fillId="0" borderId="12" xfId="0" applyFont="1" applyBorder="1" applyAlignment="1">
      <alignment horizontal="center" vertical="center" wrapText="1"/>
    </xf>
    <xf numFmtId="0" fontId="15" fillId="0" borderId="12" xfId="0" applyFont="1" applyBorder="1" applyAlignment="1">
      <alignment horizontal="center" vertical="center"/>
    </xf>
    <xf numFmtId="0" fontId="15" fillId="0" borderId="2" xfId="1185" applyFont="1" applyBorder="1" applyAlignment="1">
      <alignment horizontal="center" vertical="center" wrapText="1"/>
    </xf>
    <xf numFmtId="0" fontId="15" fillId="0" borderId="12" xfId="0" applyFont="1" applyBorder="1" applyAlignment="1">
      <alignment horizontal="left" vertical="center" wrapText="1"/>
    </xf>
    <xf numFmtId="0" fontId="33" fillId="0" borderId="51" xfId="0" applyFont="1" applyBorder="1" applyAlignment="1">
      <alignment horizontal="center" vertical="center"/>
    </xf>
    <xf numFmtId="0" fontId="15" fillId="0" borderId="2" xfId="1185" applyFont="1" applyBorder="1" applyAlignment="1">
      <alignment horizontal="right" vertical="center" wrapText="1"/>
    </xf>
    <xf numFmtId="0" fontId="15" fillId="0" borderId="2" xfId="1200" applyFont="1" applyBorder="1" applyAlignment="1">
      <alignment vertical="center"/>
    </xf>
    <xf numFmtId="0" fontId="42" fillId="0" borderId="40" xfId="0" applyFont="1" applyBorder="1" applyAlignment="1">
      <alignment horizontal="center" vertical="center"/>
    </xf>
    <xf numFmtId="0" fontId="15" fillId="29" borderId="2" xfId="0" applyFont="1" applyFill="1" applyBorder="1" applyAlignment="1">
      <alignment horizontal="center" vertical="center"/>
    </xf>
    <xf numFmtId="0" fontId="15" fillId="29" borderId="12" xfId="0" applyFont="1" applyFill="1" applyBorder="1" applyAlignment="1">
      <alignment horizontal="center" vertical="center"/>
    </xf>
    <xf numFmtId="0" fontId="15" fillId="30" borderId="12" xfId="0" applyFont="1" applyFill="1" applyBorder="1" applyAlignment="1">
      <alignment horizontal="left" vertical="center"/>
    </xf>
    <xf numFmtId="0" fontId="15" fillId="30" borderId="2" xfId="0" applyFont="1" applyFill="1" applyBorder="1" applyAlignment="1">
      <alignment horizontal="center" vertical="center"/>
    </xf>
    <xf numFmtId="0" fontId="15" fillId="30" borderId="2" xfId="0" applyFont="1" applyFill="1" applyBorder="1" applyAlignment="1">
      <alignment horizontal="left" vertical="center"/>
    </xf>
    <xf numFmtId="0" fontId="42" fillId="30" borderId="2" xfId="0" applyFont="1" applyFill="1" applyBorder="1" applyAlignment="1">
      <alignment horizontal="left" vertical="center"/>
    </xf>
    <xf numFmtId="0" fontId="15" fillId="30" borderId="12" xfId="0" applyFont="1" applyFill="1" applyBorder="1" applyAlignment="1">
      <alignment horizontal="center" vertical="center"/>
    </xf>
    <xf numFmtId="0" fontId="15" fillId="0" borderId="10" xfId="0" applyFont="1" applyBorder="1" applyAlignment="1">
      <alignment horizontal="center" vertical="center"/>
    </xf>
    <xf numFmtId="0" fontId="15" fillId="0" borderId="11" xfId="0" applyFont="1" applyBorder="1">
      <alignment vertical="center"/>
    </xf>
    <xf numFmtId="0" fontId="0" fillId="0" borderId="0" xfId="0" applyAlignment="1">
      <alignment horizontal="center" vertical="center"/>
    </xf>
    <xf numFmtId="0" fontId="60" fillId="0" borderId="0" xfId="0" applyFont="1" applyAlignment="1">
      <alignment horizontal="right" vertical="center"/>
    </xf>
    <xf numFmtId="0" fontId="25" fillId="0" borderId="0" xfId="0" applyFont="1" applyAlignment="1">
      <alignment horizontal="left" vertical="center"/>
    </xf>
    <xf numFmtId="0" fontId="15" fillId="0" borderId="23" xfId="1185" applyFont="1" applyBorder="1" applyAlignment="1">
      <alignment horizontal="center" vertical="center"/>
    </xf>
    <xf numFmtId="0" fontId="15" fillId="0" borderId="17" xfId="1185" applyFont="1" applyBorder="1" applyAlignment="1">
      <alignment horizontal="center" vertical="center" wrapText="1"/>
    </xf>
    <xf numFmtId="0" fontId="15" fillId="0" borderId="20" xfId="0" applyFont="1" applyBorder="1" applyAlignment="1">
      <alignment horizontal="center" vertical="center"/>
    </xf>
    <xf numFmtId="0" fontId="15" fillId="0" borderId="12" xfId="1185" applyFont="1" applyBorder="1" applyAlignment="1">
      <alignment horizontal="center" vertical="center" wrapText="1"/>
    </xf>
    <xf numFmtId="0" fontId="15" fillId="0" borderId="30" xfId="0" applyFont="1" applyBorder="1" applyAlignment="1">
      <alignment horizontal="center" vertical="center"/>
    </xf>
    <xf numFmtId="0" fontId="17" fillId="0" borderId="2" xfId="1185" applyFont="1" applyBorder="1" applyAlignment="1">
      <alignment horizontal="center" vertical="center" wrapText="1"/>
    </xf>
    <xf numFmtId="0" fontId="15" fillId="0" borderId="12" xfId="0" applyFont="1" applyBorder="1">
      <alignment vertical="center"/>
    </xf>
    <xf numFmtId="0" fontId="15" fillId="0" borderId="15" xfId="0" applyFont="1" applyBorder="1">
      <alignment vertical="center"/>
    </xf>
    <xf numFmtId="185" fontId="15" fillId="0" borderId="0" xfId="0" applyNumberFormat="1" applyFont="1">
      <alignment vertical="center"/>
    </xf>
    <xf numFmtId="0" fontId="15" fillId="0" borderId="0" xfId="0" applyFont="1" applyAlignment="1">
      <alignment vertical="center" wrapText="1"/>
    </xf>
    <xf numFmtId="0" fontId="22" fillId="0" borderId="0" xfId="0" applyFont="1">
      <alignment vertical="center"/>
    </xf>
    <xf numFmtId="183" fontId="22" fillId="0" borderId="0" xfId="0" applyNumberFormat="1" applyFont="1">
      <alignment vertical="center"/>
    </xf>
    <xf numFmtId="183" fontId="9" fillId="0" borderId="0" xfId="0" applyNumberFormat="1" applyFont="1">
      <alignment vertical="center"/>
    </xf>
    <xf numFmtId="49" fontId="0" fillId="0" borderId="0" xfId="0" applyNumberFormat="1" applyAlignment="1">
      <alignment horizontal="center" vertical="center"/>
    </xf>
    <xf numFmtId="0" fontId="34" fillId="0" borderId="0" xfId="0" applyFont="1" applyAlignment="1">
      <alignment horizontal="left" vertical="center"/>
    </xf>
    <xf numFmtId="0" fontId="34" fillId="0" borderId="0" xfId="0" applyFont="1" applyAlignment="1">
      <alignment horizontal="centerContinuous" vertical="center"/>
    </xf>
    <xf numFmtId="0" fontId="15" fillId="0" borderId="8" xfId="0" applyFont="1" applyBorder="1" applyAlignment="1">
      <alignment horizontal="center" vertical="center" wrapText="1"/>
    </xf>
    <xf numFmtId="0" fontId="15" fillId="0" borderId="23" xfId="0" applyFont="1" applyBorder="1" applyAlignment="1">
      <alignment horizontal="center" vertical="center" wrapText="1"/>
    </xf>
    <xf numFmtId="0" fontId="15" fillId="0" borderId="9" xfId="0" applyFont="1" applyBorder="1" applyAlignment="1">
      <alignment horizontal="center" vertical="center" wrapText="1"/>
    </xf>
    <xf numFmtId="0" fontId="0" fillId="12" borderId="44" xfId="0" applyFill="1" applyBorder="1" applyAlignment="1">
      <alignment horizontal="centerContinuous" vertical="center" wrapText="1"/>
    </xf>
    <xf numFmtId="0" fontId="22" fillId="12" borderId="2" xfId="0" applyFont="1" applyFill="1" applyBorder="1" applyAlignment="1">
      <alignment horizontal="centerContinuous" vertical="center" wrapText="1"/>
    </xf>
    <xf numFmtId="0" fontId="22" fillId="12" borderId="42" xfId="0" applyFont="1" applyFill="1" applyBorder="1" applyAlignment="1">
      <alignment horizontal="centerContinuous" vertical="center" wrapText="1"/>
    </xf>
    <xf numFmtId="0" fontId="22" fillId="12" borderId="2" xfId="0" applyFont="1" applyFill="1" applyBorder="1" applyAlignment="1">
      <alignment horizontal="centerContinuous" vertical="center"/>
    </xf>
    <xf numFmtId="49" fontId="22" fillId="0" borderId="27" xfId="0" applyNumberFormat="1" applyFont="1" applyBorder="1" applyAlignment="1">
      <alignment horizontal="left" vertical="center"/>
    </xf>
    <xf numFmtId="49" fontId="22" fillId="0" borderId="28" xfId="0" applyNumberFormat="1" applyFont="1" applyBorder="1" applyAlignment="1">
      <alignment horizontal="center" vertical="center"/>
    </xf>
    <xf numFmtId="183" fontId="22" fillId="0" borderId="12" xfId="0" applyNumberFormat="1" applyFont="1" applyBorder="1">
      <alignment vertical="center"/>
    </xf>
    <xf numFmtId="183" fontId="22" fillId="0" borderId="12" xfId="0" applyNumberFormat="1" applyFont="1" applyBorder="1" applyAlignment="1">
      <alignment vertical="center" wrapText="1"/>
    </xf>
    <xf numFmtId="49" fontId="22" fillId="0" borderId="44" xfId="0" applyNumberFormat="1" applyFont="1" applyBorder="1" applyAlignment="1">
      <alignment horizontal="left" vertical="center" indent="1"/>
    </xf>
    <xf numFmtId="49" fontId="22" fillId="0" borderId="42" xfId="0" applyNumberFormat="1" applyFont="1" applyBorder="1" applyAlignment="1">
      <alignment horizontal="center" vertical="center"/>
    </xf>
    <xf numFmtId="183" fontId="22" fillId="0" borderId="2" xfId="0" applyNumberFormat="1" applyFont="1" applyBorder="1">
      <alignment vertical="center"/>
    </xf>
    <xf numFmtId="183" fontId="22" fillId="0" borderId="2" xfId="0" applyNumberFormat="1" applyFont="1" applyBorder="1" applyAlignment="1">
      <alignment vertical="center" wrapText="1"/>
    </xf>
    <xf numFmtId="49" fontId="22" fillId="0" borderId="44" xfId="0" applyNumberFormat="1" applyFont="1" applyBorder="1" applyAlignment="1">
      <alignment horizontal="left" vertical="center"/>
    </xf>
    <xf numFmtId="183" fontId="22" fillId="0" borderId="42" xfId="0" applyNumberFormat="1" applyFont="1" applyBorder="1">
      <alignment vertical="center"/>
    </xf>
    <xf numFmtId="183" fontId="22" fillId="0" borderId="3" xfId="0" applyNumberFormat="1" applyFont="1" applyBorder="1" applyAlignment="1">
      <alignment vertical="center" wrapText="1"/>
    </xf>
    <xf numFmtId="183" fontId="22" fillId="0" borderId="3" xfId="0" applyNumberFormat="1" applyFont="1" applyBorder="1">
      <alignment vertical="center"/>
    </xf>
    <xf numFmtId="49" fontId="22" fillId="0" borderId="42" xfId="0" applyNumberFormat="1" applyFont="1" applyBorder="1" applyAlignment="1">
      <alignment horizontal="left" vertical="center"/>
    </xf>
    <xf numFmtId="183" fontId="43" fillId="0" borderId="2" xfId="0" applyNumberFormat="1" applyFont="1" applyBorder="1">
      <alignment vertical="center"/>
    </xf>
    <xf numFmtId="183" fontId="43" fillId="0" borderId="2" xfId="0" applyNumberFormat="1" applyFont="1" applyBorder="1" applyAlignment="1">
      <alignment vertical="center" wrapText="1"/>
    </xf>
    <xf numFmtId="49" fontId="22" fillId="0" borderId="10" xfId="0" applyNumberFormat="1" applyFont="1" applyBorder="1" applyAlignment="1">
      <alignment horizontal="left" vertical="center" indent="1"/>
    </xf>
    <xf numFmtId="49" fontId="22" fillId="0" borderId="52" xfId="0" applyNumberFormat="1" applyFont="1" applyBorder="1" applyAlignment="1">
      <alignment horizontal="center" vertical="center"/>
    </xf>
    <xf numFmtId="183" fontId="22" fillId="0" borderId="52" xfId="0" applyNumberFormat="1" applyFont="1" applyBorder="1">
      <alignment vertical="center"/>
    </xf>
    <xf numFmtId="183" fontId="43" fillId="0" borderId="11" xfId="0" applyNumberFormat="1" applyFont="1" applyBorder="1">
      <alignment vertical="center"/>
    </xf>
    <xf numFmtId="183" fontId="22" fillId="0" borderId="11" xfId="0" applyNumberFormat="1" applyFont="1" applyBorder="1" applyAlignment="1">
      <alignment vertical="center" wrapText="1"/>
    </xf>
    <xf numFmtId="183" fontId="22" fillId="0" borderId="11" xfId="0" applyNumberFormat="1" applyFont="1" applyBorder="1">
      <alignment vertical="center"/>
    </xf>
    <xf numFmtId="49" fontId="9" fillId="0" borderId="0" xfId="0" applyNumberFormat="1" applyFont="1">
      <alignment vertical="center"/>
    </xf>
    <xf numFmtId="49" fontId="0" fillId="0" borderId="0" xfId="0" applyNumberFormat="1" applyAlignment="1">
      <alignment horizontal="right" vertical="center"/>
    </xf>
    <xf numFmtId="49" fontId="25" fillId="0" borderId="0" xfId="0" applyNumberFormat="1" applyFont="1">
      <alignment vertical="center"/>
    </xf>
    <xf numFmtId="185" fontId="15" fillId="0" borderId="9" xfId="0" applyNumberFormat="1" applyFont="1" applyBorder="1" applyAlignment="1">
      <alignment horizontal="center" vertical="center" wrapText="1"/>
    </xf>
    <xf numFmtId="185" fontId="22" fillId="12" borderId="2" xfId="0" applyNumberFormat="1" applyFont="1" applyFill="1" applyBorder="1" applyAlignment="1">
      <alignment horizontal="centerContinuous" vertical="center"/>
    </xf>
    <xf numFmtId="0" fontId="13" fillId="12" borderId="0" xfId="0" applyFont="1" applyFill="1" applyAlignment="1">
      <alignment horizontal="right" vertical="center"/>
    </xf>
    <xf numFmtId="183" fontId="22" fillId="0" borderId="2" xfId="0" applyNumberFormat="1" applyFont="1" applyBorder="1" applyAlignment="1">
      <alignment horizontal="right" vertical="center"/>
    </xf>
    <xf numFmtId="183" fontId="61" fillId="0" borderId="2" xfId="0" applyNumberFormat="1" applyFont="1" applyBorder="1" applyAlignment="1">
      <alignment horizontal="right" vertical="center"/>
    </xf>
    <xf numFmtId="183" fontId="22" fillId="0" borderId="3" xfId="0" applyNumberFormat="1" applyFont="1" applyBorder="1" applyAlignment="1">
      <alignment horizontal="right" vertical="center"/>
    </xf>
    <xf numFmtId="183" fontId="62" fillId="0" borderId="2" xfId="0" applyNumberFormat="1" applyFont="1" applyBorder="1" applyAlignment="1">
      <alignment horizontal="right" vertical="center"/>
    </xf>
    <xf numFmtId="183" fontId="22" fillId="0" borderId="11" xfId="0" applyNumberFormat="1" applyFont="1" applyBorder="1" applyAlignment="1">
      <alignment horizontal="right" vertical="center"/>
    </xf>
    <xf numFmtId="0" fontId="9" fillId="0" borderId="14" xfId="0" applyFont="1" applyBorder="1" applyAlignment="1">
      <alignment horizontal="center" vertical="center" wrapText="1"/>
    </xf>
    <xf numFmtId="0" fontId="22" fillId="12" borderId="46" xfId="0" applyFont="1" applyFill="1" applyBorder="1" applyAlignment="1">
      <alignment horizontal="centerContinuous" vertical="center"/>
    </xf>
    <xf numFmtId="183" fontId="22" fillId="0" borderId="46" xfId="0" applyNumberFormat="1" applyFont="1" applyBorder="1">
      <alignment vertical="center"/>
    </xf>
    <xf numFmtId="183" fontId="22" fillId="0" borderId="46" xfId="0" applyNumberFormat="1" applyFont="1" applyBorder="1" applyAlignment="1">
      <alignment vertical="center" wrapText="1"/>
    </xf>
    <xf numFmtId="183" fontId="22" fillId="0" borderId="47" xfId="0" applyNumberFormat="1" applyFont="1" applyBorder="1">
      <alignment vertical="center"/>
    </xf>
    <xf numFmtId="185" fontId="22" fillId="0" borderId="0" xfId="0" applyNumberFormat="1" applyFont="1">
      <alignment vertical="center"/>
    </xf>
    <xf numFmtId="183" fontId="62" fillId="0" borderId="0" xfId="0" applyNumberFormat="1" applyFont="1">
      <alignment vertical="center"/>
    </xf>
    <xf numFmtId="9" fontId="22" fillId="0" borderId="47" xfId="0" applyNumberFormat="1" applyFont="1" applyBorder="1" applyAlignment="1">
      <alignment horizontal="left" vertical="center"/>
    </xf>
    <xf numFmtId="183" fontId="22" fillId="0" borderId="47" xfId="0" applyNumberFormat="1" applyFont="1" applyBorder="1" applyAlignment="1">
      <alignment vertical="center" wrapText="1"/>
    </xf>
    <xf numFmtId="185" fontId="0" fillId="0" borderId="0" xfId="0" applyNumberFormat="1">
      <alignment vertical="center"/>
    </xf>
    <xf numFmtId="183" fontId="22" fillId="0" borderId="15" xfId="0" applyNumberFormat="1" applyFont="1" applyBorder="1">
      <alignment vertical="center"/>
    </xf>
    <xf numFmtId="0" fontId="15" fillId="0" borderId="0" xfId="0" applyFont="1" applyProtection="1">
      <alignment vertical="center"/>
      <protection locked="0"/>
    </xf>
    <xf numFmtId="0" fontId="15" fillId="0" borderId="0" xfId="0" applyFont="1" applyAlignment="1" applyProtection="1">
      <alignment vertical="center" wrapText="1"/>
      <protection locked="0"/>
    </xf>
    <xf numFmtId="0" fontId="9" fillId="0" borderId="0" xfId="0" applyFont="1" applyProtection="1">
      <alignment vertical="center"/>
      <protection locked="0"/>
    </xf>
    <xf numFmtId="0" fontId="22" fillId="0" borderId="0" xfId="0" applyFont="1" applyProtection="1">
      <alignment vertical="center"/>
      <protection locked="0"/>
    </xf>
    <xf numFmtId="0" fontId="12" fillId="0" borderId="0" xfId="0" applyFon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pplyProtection="1">
      <alignment vertical="center" wrapText="1"/>
      <protection locked="0"/>
    </xf>
    <xf numFmtId="185" fontId="0" fillId="0" borderId="0" xfId="0" applyNumberFormat="1" applyAlignment="1" applyProtection="1">
      <alignment horizontal="right" vertical="center"/>
      <protection locked="0"/>
    </xf>
    <xf numFmtId="183" fontId="0" fillId="0" borderId="0" xfId="0" applyNumberFormat="1" applyProtection="1">
      <alignment vertical="center"/>
      <protection locked="0"/>
    </xf>
    <xf numFmtId="0" fontId="63" fillId="0" borderId="0" xfId="0" applyFont="1" applyAlignment="1">
      <alignment horizontal="centerContinuous" vertical="center"/>
    </xf>
    <xf numFmtId="0" fontId="34" fillId="0" borderId="0" xfId="0" applyFont="1" applyAlignment="1">
      <alignment horizontal="centerContinuous" vertical="center" wrapText="1"/>
    </xf>
    <xf numFmtId="0" fontId="15" fillId="0" borderId="0" xfId="0" applyFont="1" applyAlignment="1">
      <alignment horizontal="centerContinuous" vertical="center"/>
    </xf>
    <xf numFmtId="0" fontId="15" fillId="0" borderId="0" xfId="0" applyFont="1" applyAlignment="1">
      <alignment horizontal="centerContinuous" vertical="center" wrapText="1"/>
    </xf>
    <xf numFmtId="0" fontId="15" fillId="31" borderId="8" xfId="0" applyFont="1" applyFill="1" applyBorder="1" applyAlignment="1">
      <alignment horizontal="center" vertical="center" wrapText="1"/>
    </xf>
    <xf numFmtId="0" fontId="15" fillId="31" borderId="23" xfId="0" applyFont="1" applyFill="1" applyBorder="1" applyAlignment="1">
      <alignment horizontal="center" vertical="center" wrapText="1"/>
    </xf>
    <xf numFmtId="0" fontId="15" fillId="31" borderId="9" xfId="0" applyFont="1" applyFill="1" applyBorder="1" applyAlignment="1">
      <alignment horizontal="center" vertical="center" wrapText="1"/>
    </xf>
    <xf numFmtId="0" fontId="15" fillId="12" borderId="44" xfId="0" applyFont="1" applyFill="1" applyBorder="1" applyAlignment="1">
      <alignment horizontal="centerContinuous" vertical="center" wrapText="1"/>
    </xf>
    <xf numFmtId="0" fontId="15" fillId="12" borderId="2" xfId="0" applyFont="1" applyFill="1" applyBorder="1" applyAlignment="1">
      <alignment horizontal="centerContinuous" vertical="center" wrapText="1"/>
    </xf>
    <xf numFmtId="0" fontId="15" fillId="12" borderId="42" xfId="0" applyFont="1" applyFill="1" applyBorder="1" applyAlignment="1">
      <alignment horizontal="centerContinuous" vertical="center" wrapText="1"/>
    </xf>
    <xf numFmtId="0" fontId="15" fillId="12" borderId="2" xfId="0" applyFont="1" applyFill="1" applyBorder="1" applyAlignment="1">
      <alignment horizontal="centerContinuous" vertical="center"/>
    </xf>
    <xf numFmtId="0" fontId="12" fillId="32" borderId="27" xfId="0" applyFont="1" applyFill="1" applyBorder="1" applyAlignment="1" applyProtection="1">
      <alignment horizontal="left" vertical="center" wrapText="1"/>
      <protection locked="0"/>
    </xf>
    <xf numFmtId="0" fontId="12" fillId="32" borderId="41" xfId="0" applyFont="1" applyFill="1" applyBorder="1" applyAlignment="1" applyProtection="1">
      <alignment horizontal="center" vertical="center" wrapText="1"/>
      <protection locked="0"/>
    </xf>
    <xf numFmtId="0" fontId="12" fillId="32" borderId="12" xfId="0" applyFont="1" applyFill="1" applyBorder="1" applyAlignment="1" applyProtection="1">
      <alignment horizontal="center" vertical="center" wrapText="1"/>
      <protection locked="0"/>
    </xf>
    <xf numFmtId="0" fontId="22" fillId="0" borderId="27" xfId="0" applyFont="1" applyBorder="1" applyAlignment="1" applyProtection="1">
      <alignment horizontal="left" vertical="center" wrapText="1" indent="1"/>
      <protection locked="0"/>
    </xf>
    <xf numFmtId="49" fontId="64" fillId="0" borderId="6" xfId="0" applyNumberFormat="1" applyFont="1" applyBorder="1" applyAlignment="1" applyProtection="1">
      <alignment horizontal="left" vertical="center" wrapText="1"/>
      <protection locked="0"/>
    </xf>
    <xf numFmtId="0" fontId="22" fillId="0" borderId="2" xfId="0" applyFont="1" applyBorder="1" applyProtection="1">
      <alignment vertical="center"/>
      <protection locked="0"/>
    </xf>
    <xf numFmtId="0" fontId="22" fillId="0" borderId="2" xfId="0" applyFont="1" applyBorder="1" applyAlignment="1" applyProtection="1">
      <alignment vertical="center" wrapText="1"/>
      <protection locked="0"/>
    </xf>
    <xf numFmtId="0" fontId="22" fillId="0" borderId="2" xfId="0" applyFont="1" applyBorder="1" applyAlignment="1" applyProtection="1">
      <alignment horizontal="center" vertical="center"/>
      <protection locked="0"/>
    </xf>
    <xf numFmtId="0" fontId="15" fillId="0" borderId="2" xfId="0" applyFont="1" applyBorder="1" applyAlignment="1" applyProtection="1">
      <alignment horizontal="center" vertical="center"/>
      <protection locked="0"/>
    </xf>
    <xf numFmtId="0" fontId="15" fillId="0" borderId="2" xfId="0" applyFont="1" applyBorder="1" applyProtection="1">
      <alignment vertical="center"/>
      <protection locked="0"/>
    </xf>
    <xf numFmtId="0" fontId="62" fillId="0" borderId="2" xfId="0" applyFont="1" applyBorder="1" applyAlignment="1" applyProtection="1">
      <alignment vertical="center" wrapText="1"/>
      <protection locked="0"/>
    </xf>
    <xf numFmtId="185" fontId="34" fillId="0" borderId="0" xfId="0" applyNumberFormat="1" applyFont="1" applyAlignment="1">
      <alignment horizontal="right" vertical="center"/>
    </xf>
    <xf numFmtId="183" fontId="34" fillId="0" borderId="0" xfId="0" applyNumberFormat="1" applyFont="1" applyAlignment="1">
      <alignment horizontal="centerContinuous" vertical="center"/>
    </xf>
    <xf numFmtId="183" fontId="15" fillId="0" borderId="0" xfId="0" applyNumberFormat="1" applyFont="1" applyAlignment="1">
      <alignment horizontal="centerContinuous" vertical="center"/>
    </xf>
    <xf numFmtId="183" fontId="15" fillId="0" borderId="0" xfId="0" applyNumberFormat="1" applyFont="1">
      <alignment vertical="center"/>
    </xf>
    <xf numFmtId="185" fontId="15" fillId="31" borderId="9" xfId="0" applyNumberFormat="1" applyFont="1" applyFill="1" applyBorder="1" applyAlignment="1">
      <alignment horizontal="center" vertical="center" wrapText="1"/>
    </xf>
    <xf numFmtId="185" fontId="15" fillId="31" borderId="9" xfId="0" applyNumberFormat="1" applyFont="1" applyFill="1" applyBorder="1" applyAlignment="1">
      <alignment horizontal="right" vertical="center" wrapText="1"/>
    </xf>
    <xf numFmtId="183" fontId="15" fillId="31" borderId="9" xfId="0" applyNumberFormat="1" applyFont="1" applyFill="1" applyBorder="1" applyAlignment="1">
      <alignment horizontal="center" vertical="center" wrapText="1"/>
    </xf>
    <xf numFmtId="185" fontId="15" fillId="12" borderId="2" xfId="0" applyNumberFormat="1" applyFont="1" applyFill="1" applyBorder="1" applyAlignment="1">
      <alignment horizontal="centerContinuous" vertical="center"/>
    </xf>
    <xf numFmtId="185" fontId="15" fillId="12" borderId="0" xfId="0" applyNumberFormat="1" applyFont="1" applyFill="1" applyAlignment="1">
      <alignment horizontal="centerContinuous" vertical="center"/>
    </xf>
    <xf numFmtId="183" fontId="15" fillId="12" borderId="2" xfId="0" applyNumberFormat="1" applyFont="1" applyFill="1" applyBorder="1" applyAlignment="1">
      <alignment horizontal="centerContinuous" vertical="center"/>
    </xf>
    <xf numFmtId="0" fontId="12" fillId="32" borderId="2" xfId="0" applyFont="1" applyFill="1" applyBorder="1" applyAlignment="1" applyProtection="1">
      <alignment horizontal="center" vertical="center"/>
      <protection locked="0"/>
    </xf>
    <xf numFmtId="185" fontId="9" fillId="32" borderId="2" xfId="0" applyNumberFormat="1" applyFont="1" applyFill="1" applyBorder="1" applyProtection="1">
      <alignment vertical="center"/>
      <protection locked="0"/>
    </xf>
    <xf numFmtId="183" fontId="12" fillId="32" borderId="12" xfId="0" applyNumberFormat="1" applyFont="1" applyFill="1" applyBorder="1" applyAlignment="1" applyProtection="1">
      <alignment horizontal="center" vertical="center"/>
      <protection locked="0"/>
    </xf>
    <xf numFmtId="183" fontId="12" fillId="32" borderId="12" xfId="0" applyNumberFormat="1" applyFont="1" applyFill="1" applyBorder="1" applyAlignment="1" applyProtection="1">
      <alignment horizontal="right" vertical="center"/>
      <protection locked="0"/>
    </xf>
    <xf numFmtId="183" fontId="12" fillId="32" borderId="2" xfId="0" applyNumberFormat="1" applyFont="1" applyFill="1" applyBorder="1" applyAlignment="1" applyProtection="1">
      <alignment horizontal="right" vertical="center"/>
      <protection locked="0"/>
    </xf>
    <xf numFmtId="185" fontId="12" fillId="32" borderId="2" xfId="0" applyNumberFormat="1" applyFont="1" applyFill="1" applyBorder="1" applyAlignment="1" applyProtection="1">
      <alignment horizontal="right" vertical="center"/>
      <protection locked="0"/>
    </xf>
    <xf numFmtId="185" fontId="22" fillId="0" borderId="2" xfId="0" applyNumberFormat="1" applyFont="1" applyBorder="1" applyAlignment="1" applyProtection="1">
      <alignment horizontal="right" vertical="center"/>
      <protection locked="0"/>
    </xf>
    <xf numFmtId="183" fontId="22" fillId="0" borderId="2" xfId="0" applyNumberFormat="1" applyFont="1" applyBorder="1" applyProtection="1">
      <alignment vertical="center"/>
      <protection locked="0"/>
    </xf>
    <xf numFmtId="183" fontId="22" fillId="0" borderId="2" xfId="0" applyNumberFormat="1" applyFont="1" applyBorder="1" applyAlignment="1" applyProtection="1">
      <alignment horizontal="right" vertical="center"/>
      <protection locked="0"/>
    </xf>
    <xf numFmtId="185" fontId="22" fillId="0" borderId="2" xfId="0" applyNumberFormat="1" applyFont="1" applyBorder="1" applyProtection="1">
      <alignment vertical="center"/>
      <protection locked="0"/>
    </xf>
    <xf numFmtId="0" fontId="15" fillId="0" borderId="0" xfId="0" applyFont="1" applyAlignment="1">
      <alignment horizontal="left" vertical="center" wrapText="1"/>
    </xf>
    <xf numFmtId="0" fontId="9" fillId="31" borderId="14" xfId="0" applyFont="1" applyFill="1" applyBorder="1" applyAlignment="1">
      <alignment horizontal="center" vertical="center" wrapText="1"/>
    </xf>
    <xf numFmtId="0" fontId="9" fillId="12" borderId="46" xfId="0" applyFont="1" applyFill="1" applyBorder="1" applyAlignment="1">
      <alignment horizontal="centerContinuous" vertical="center" wrapText="1"/>
    </xf>
    <xf numFmtId="0" fontId="12" fillId="32" borderId="46" xfId="0" applyFont="1" applyFill="1" applyBorder="1" applyAlignment="1" applyProtection="1">
      <alignment horizontal="center" vertical="center" wrapText="1"/>
      <protection locked="0"/>
    </xf>
    <xf numFmtId="0" fontId="22" fillId="0" borderId="46" xfId="0" applyFont="1" applyBorder="1" applyAlignment="1" applyProtection="1">
      <alignment vertical="center" wrapText="1"/>
      <protection locked="0"/>
    </xf>
    <xf numFmtId="0" fontId="9" fillId="0" borderId="46" xfId="0" applyFont="1" applyBorder="1" applyAlignment="1" applyProtection="1">
      <alignment vertical="center" wrapText="1"/>
      <protection locked="0"/>
    </xf>
    <xf numFmtId="49" fontId="65" fillId="32" borderId="6" xfId="0" applyNumberFormat="1" applyFont="1" applyFill="1" applyBorder="1" applyAlignment="1" applyProtection="1">
      <alignment horizontal="left" vertical="center" wrapText="1"/>
      <protection locked="0"/>
    </xf>
    <xf numFmtId="0" fontId="12" fillId="32" borderId="2" xfId="0" applyFont="1" applyFill="1" applyBorder="1" applyAlignment="1" applyProtection="1">
      <alignment vertical="center" wrapText="1"/>
      <protection locked="0"/>
    </xf>
    <xf numFmtId="0" fontId="12" fillId="32" borderId="2" xfId="0" applyFont="1" applyFill="1" applyBorder="1" applyProtection="1">
      <alignment vertical="center"/>
      <protection locked="0"/>
    </xf>
    <xf numFmtId="0" fontId="12" fillId="0" borderId="2" xfId="0" applyFont="1" applyBorder="1" applyProtection="1">
      <alignment vertical="center"/>
      <protection locked="0"/>
    </xf>
    <xf numFmtId="0" fontId="31" fillId="0" borderId="2" xfId="0" applyFont="1" applyBorder="1" applyProtection="1">
      <alignment vertical="center"/>
      <protection locked="0"/>
    </xf>
    <xf numFmtId="0" fontId="43" fillId="0" borderId="2" xfId="0" applyFont="1" applyBorder="1" applyAlignment="1" applyProtection="1">
      <alignment vertical="center" wrapText="1"/>
      <protection locked="0"/>
    </xf>
    <xf numFmtId="0" fontId="9" fillId="32" borderId="27" xfId="0" applyFont="1" applyFill="1" applyBorder="1" applyAlignment="1" applyProtection="1">
      <alignment horizontal="left" vertical="center" wrapText="1"/>
      <protection locked="0"/>
    </xf>
    <xf numFmtId="49" fontId="19" fillId="32" borderId="6" xfId="0" applyNumberFormat="1" applyFont="1" applyFill="1" applyBorder="1" applyAlignment="1" applyProtection="1">
      <alignment horizontal="left" vertical="center" wrapText="1"/>
      <protection locked="0"/>
    </xf>
    <xf numFmtId="0" fontId="9" fillId="32" borderId="2" xfId="0" applyFont="1" applyFill="1" applyBorder="1" applyAlignment="1" applyProtection="1">
      <alignment vertical="center" wrapText="1"/>
      <protection locked="0"/>
    </xf>
    <xf numFmtId="0" fontId="9" fillId="32" borderId="2" xfId="0" applyFont="1" applyFill="1" applyBorder="1" applyAlignment="1" applyProtection="1">
      <alignment horizontal="center" vertical="center"/>
      <protection locked="0"/>
    </xf>
    <xf numFmtId="49" fontId="64" fillId="0" borderId="18" xfId="0" applyNumberFormat="1" applyFont="1" applyBorder="1" applyAlignment="1" applyProtection="1">
      <alignment horizontal="left" vertical="center" wrapText="1"/>
      <protection locked="0"/>
    </xf>
    <xf numFmtId="49" fontId="64" fillId="0" borderId="5" xfId="0" applyNumberFormat="1" applyFont="1" applyBorder="1" applyAlignment="1" applyProtection="1">
      <alignment horizontal="left" vertical="center" wrapText="1"/>
      <protection locked="0"/>
    </xf>
    <xf numFmtId="0" fontId="22" fillId="0" borderId="2" xfId="0" applyFont="1" applyBorder="1" applyAlignment="1" applyProtection="1">
      <alignment horizontal="left" vertical="center"/>
      <protection locked="0"/>
    </xf>
    <xf numFmtId="0" fontId="15" fillId="0" borderId="2" xfId="0" applyFont="1" applyBorder="1" applyAlignment="1" applyProtection="1">
      <alignment vertical="center" wrapText="1"/>
      <protection locked="0"/>
    </xf>
    <xf numFmtId="0" fontId="15" fillId="0" borderId="42" xfId="0" applyFont="1" applyBorder="1" applyProtection="1">
      <alignment vertical="center"/>
      <protection locked="0"/>
    </xf>
    <xf numFmtId="0" fontId="22" fillId="12" borderId="42" xfId="0" applyFont="1" applyFill="1" applyBorder="1" applyAlignment="1">
      <alignment horizontal="centerContinuous" vertical="center"/>
    </xf>
    <xf numFmtId="0" fontId="22" fillId="33" borderId="44" xfId="0" applyFont="1" applyFill="1" applyBorder="1" applyAlignment="1">
      <alignment horizontal="center" vertical="center"/>
    </xf>
    <xf numFmtId="0" fontId="22" fillId="33" borderId="42" xfId="0" applyFont="1" applyFill="1" applyBorder="1" applyAlignment="1">
      <alignment horizontal="center" vertical="center"/>
    </xf>
    <xf numFmtId="0" fontId="22" fillId="33" borderId="2" xfId="0" applyFont="1" applyFill="1" applyBorder="1" applyAlignment="1">
      <alignment horizontal="left" vertical="center"/>
    </xf>
    <xf numFmtId="0" fontId="22" fillId="33" borderId="2" xfId="0" applyFont="1" applyFill="1" applyBorder="1" applyAlignment="1">
      <alignment horizontal="center" vertical="center"/>
    </xf>
    <xf numFmtId="0" fontId="22" fillId="33" borderId="2" xfId="0" applyFont="1" applyFill="1" applyBorder="1">
      <alignment vertical="center"/>
    </xf>
    <xf numFmtId="0" fontId="9" fillId="33" borderId="42" xfId="0" applyFont="1" applyFill="1" applyBorder="1" applyAlignment="1">
      <alignment horizontal="center" vertical="center"/>
    </xf>
    <xf numFmtId="0" fontId="20" fillId="33" borderId="2" xfId="0" applyFont="1" applyFill="1" applyBorder="1" applyAlignment="1">
      <alignment horizontal="left" vertical="center" indent="1"/>
    </xf>
    <xf numFmtId="0" fontId="20" fillId="33" borderId="2" xfId="0" applyFont="1" applyFill="1" applyBorder="1" applyAlignment="1">
      <alignment horizontal="center" vertical="center"/>
    </xf>
    <xf numFmtId="0" fontId="9" fillId="33" borderId="2" xfId="0" applyFont="1" applyFill="1" applyBorder="1" applyAlignment="1">
      <alignment horizontal="center" vertical="center"/>
    </xf>
    <xf numFmtId="0" fontId="9" fillId="33" borderId="2" xfId="0" applyFont="1" applyFill="1" applyBorder="1">
      <alignment vertical="center"/>
    </xf>
    <xf numFmtId="0" fontId="9" fillId="33" borderId="53" xfId="0" applyFont="1" applyFill="1" applyBorder="1" applyAlignment="1">
      <alignment horizontal="center" vertical="center"/>
    </xf>
    <xf numFmtId="0" fontId="9" fillId="33" borderId="11" xfId="0" applyFont="1" applyFill="1" applyBorder="1" applyAlignment="1">
      <alignment horizontal="center" vertical="center"/>
    </xf>
    <xf numFmtId="0" fontId="9" fillId="33" borderId="43" xfId="0" applyFont="1" applyFill="1" applyBorder="1" applyAlignment="1">
      <alignment vertical="center" wrapText="1"/>
    </xf>
    <xf numFmtId="0" fontId="9" fillId="33" borderId="11" xfId="0" applyFont="1" applyFill="1" applyBorder="1" applyAlignment="1">
      <alignment vertical="center" wrapText="1"/>
    </xf>
    <xf numFmtId="0" fontId="9" fillId="33" borderId="11" xfId="0" applyFont="1" applyFill="1" applyBorder="1" applyAlignment="1">
      <alignment horizontal="center" vertical="center" wrapText="1"/>
    </xf>
    <xf numFmtId="189" fontId="9" fillId="33" borderId="11" xfId="0" applyNumberFormat="1" applyFont="1" applyFill="1" applyBorder="1">
      <alignment vertical="center"/>
    </xf>
    <xf numFmtId="0" fontId="9" fillId="0" borderId="0" xfId="0" applyFont="1" applyAlignment="1" applyProtection="1">
      <alignment vertical="center" wrapText="1"/>
      <protection locked="0"/>
    </xf>
    <xf numFmtId="0" fontId="9" fillId="0" borderId="0" xfId="0" applyFont="1" applyAlignment="1" applyProtection="1">
      <alignment horizontal="right" vertical="center"/>
      <protection locked="0"/>
    </xf>
    <xf numFmtId="0" fontId="20" fillId="0" borderId="0" xfId="0" applyFont="1" applyProtection="1">
      <alignment vertical="center"/>
      <protection locked="0"/>
    </xf>
    <xf numFmtId="0" fontId="25" fillId="0" borderId="0" xfId="0" applyFont="1" applyProtection="1">
      <alignment vertical="center"/>
      <protection locked="0"/>
    </xf>
    <xf numFmtId="185" fontId="12" fillId="32" borderId="2" xfId="0" applyNumberFormat="1" applyFont="1" applyFill="1" applyBorder="1" applyProtection="1">
      <alignment vertical="center"/>
      <protection locked="0"/>
    </xf>
    <xf numFmtId="183" fontId="12" fillId="32" borderId="2" xfId="0" applyNumberFormat="1" applyFont="1" applyFill="1" applyBorder="1" applyProtection="1">
      <alignment vertical="center"/>
      <protection locked="0"/>
    </xf>
    <xf numFmtId="0" fontId="9" fillId="32" borderId="2" xfId="0" applyFont="1" applyFill="1" applyBorder="1" applyProtection="1">
      <alignment vertical="center"/>
      <protection locked="0"/>
    </xf>
    <xf numFmtId="183" fontId="9" fillId="32" borderId="2" xfId="0" applyNumberFormat="1" applyFont="1" applyFill="1" applyBorder="1" applyProtection="1">
      <alignment vertical="center"/>
      <protection locked="0"/>
    </xf>
    <xf numFmtId="183" fontId="9" fillId="32" borderId="2" xfId="0" applyNumberFormat="1" applyFont="1" applyFill="1" applyBorder="1" applyAlignment="1" applyProtection="1">
      <alignment horizontal="right" vertical="center"/>
      <protection locked="0"/>
    </xf>
    <xf numFmtId="185" fontId="22" fillId="0" borderId="2" xfId="0" applyNumberFormat="1" applyFont="1" applyBorder="1" applyAlignment="1">
      <alignment horizontal="right" vertical="center"/>
    </xf>
    <xf numFmtId="185" fontId="62" fillId="0" borderId="2" xfId="0" applyNumberFormat="1" applyFont="1" applyBorder="1" applyAlignment="1">
      <alignment horizontal="right" vertical="center"/>
    </xf>
    <xf numFmtId="183" fontId="22" fillId="12" borderId="2" xfId="0" applyNumberFormat="1" applyFont="1" applyFill="1" applyBorder="1" applyAlignment="1">
      <alignment horizontal="centerContinuous" vertical="center"/>
    </xf>
    <xf numFmtId="183" fontId="22" fillId="33" borderId="2" xfId="0" applyNumberFormat="1" applyFont="1" applyFill="1" applyBorder="1">
      <alignment vertical="center"/>
    </xf>
    <xf numFmtId="185" fontId="22" fillId="33" borderId="2" xfId="0" applyNumberFormat="1" applyFont="1" applyFill="1" applyBorder="1">
      <alignment vertical="center"/>
    </xf>
    <xf numFmtId="185" fontId="9" fillId="33" borderId="2" xfId="0" applyNumberFormat="1" applyFont="1" applyFill="1" applyBorder="1">
      <alignment vertical="center"/>
    </xf>
    <xf numFmtId="183" fontId="9" fillId="33" borderId="2" xfId="0" applyNumberFormat="1" applyFont="1" applyFill="1" applyBorder="1">
      <alignment vertical="center"/>
    </xf>
    <xf numFmtId="185" fontId="9" fillId="33" borderId="11" xfId="0" applyNumberFormat="1" applyFont="1" applyFill="1" applyBorder="1" applyAlignment="1">
      <alignment horizontal="right" vertical="center"/>
    </xf>
    <xf numFmtId="183" fontId="9" fillId="33" borderId="11" xfId="0" applyNumberFormat="1" applyFont="1" applyFill="1" applyBorder="1">
      <alignment vertical="center"/>
    </xf>
    <xf numFmtId="185" fontId="9" fillId="33" borderId="11" xfId="0" applyNumberFormat="1" applyFont="1" applyFill="1" applyBorder="1">
      <alignment vertical="center"/>
    </xf>
    <xf numFmtId="185" fontId="15" fillId="0" borderId="0" xfId="0" applyNumberFormat="1" applyFont="1" applyProtection="1">
      <alignment vertical="center"/>
      <protection locked="0"/>
    </xf>
    <xf numFmtId="183" fontId="15" fillId="0" borderId="0" xfId="0" applyNumberFormat="1" applyFont="1" applyProtection="1">
      <alignment vertical="center"/>
      <protection locked="0"/>
    </xf>
    <xf numFmtId="185" fontId="0" fillId="0" borderId="0" xfId="0" applyNumberFormat="1" applyProtection="1">
      <alignment vertical="center"/>
      <protection locked="0"/>
    </xf>
    <xf numFmtId="185" fontId="25" fillId="0" borderId="0" xfId="0" applyNumberFormat="1" applyFont="1" applyProtection="1">
      <alignment vertical="center"/>
      <protection locked="0"/>
    </xf>
    <xf numFmtId="183" fontId="25" fillId="0" borderId="0" xfId="0" applyNumberFormat="1" applyFont="1" applyProtection="1">
      <alignment vertical="center"/>
      <protection locked="0"/>
    </xf>
    <xf numFmtId="0" fontId="12" fillId="32" borderId="46" xfId="0" applyFont="1" applyFill="1" applyBorder="1" applyAlignment="1" applyProtection="1">
      <alignment vertical="center" wrapText="1"/>
      <protection locked="0"/>
    </xf>
    <xf numFmtId="0" fontId="43" fillId="0" borderId="46" xfId="0" applyFont="1" applyBorder="1" applyAlignment="1" applyProtection="1">
      <alignment vertical="center" wrapText="1"/>
      <protection locked="0"/>
    </xf>
    <xf numFmtId="0" fontId="9" fillId="32" borderId="46" xfId="0" applyFont="1" applyFill="1" applyBorder="1" applyAlignment="1" applyProtection="1">
      <alignment vertical="center" wrapText="1"/>
      <protection locked="0"/>
    </xf>
    <xf numFmtId="0" fontId="22" fillId="0" borderId="54" xfId="0" applyFont="1" applyBorder="1" applyAlignment="1" applyProtection="1">
      <alignment vertical="center" wrapText="1"/>
      <protection locked="0"/>
    </xf>
    <xf numFmtId="0" fontId="22" fillId="12" borderId="46" xfId="0" applyFont="1" applyFill="1" applyBorder="1" applyAlignment="1">
      <alignment horizontal="centerContinuous" vertical="center" wrapText="1"/>
    </xf>
    <xf numFmtId="0" fontId="22" fillId="33" borderId="46" xfId="0" applyFont="1" applyFill="1" applyBorder="1" applyAlignment="1">
      <alignment vertical="center" wrapText="1"/>
    </xf>
    <xf numFmtId="0" fontId="9" fillId="33" borderId="46" xfId="0" applyFont="1" applyFill="1" applyBorder="1" applyAlignment="1">
      <alignment vertical="center" wrapText="1"/>
    </xf>
    <xf numFmtId="0" fontId="9" fillId="33" borderId="15" xfId="0" applyFont="1" applyFill="1" applyBorder="1" applyAlignment="1">
      <alignment vertical="center" wrapText="1"/>
    </xf>
    <xf numFmtId="0" fontId="25" fillId="0" borderId="0" xfId="0" applyFont="1" applyAlignment="1" applyProtection="1">
      <alignment vertical="center" wrapText="1"/>
      <protection locked="0"/>
    </xf>
    <xf numFmtId="0" fontId="0" fillId="0" borderId="0" xfId="0" applyAlignment="1">
      <alignment vertical="center" wrapText="1"/>
    </xf>
    <xf numFmtId="0" fontId="27" fillId="0" borderId="0" xfId="0" applyFont="1" applyAlignment="1" applyProtection="1">
      <alignment horizontal="center" vertical="center"/>
      <protection locked="0"/>
    </xf>
    <xf numFmtId="0" fontId="23" fillId="0" borderId="0" xfId="0" applyFont="1" applyAlignment="1">
      <alignment horizontal="left" vertical="center"/>
    </xf>
    <xf numFmtId="0" fontId="23" fillId="0" borderId="0" xfId="0" applyFont="1" applyAlignment="1">
      <alignment horizontal="center" vertical="center"/>
    </xf>
    <xf numFmtId="0" fontId="23" fillId="0" borderId="0" xfId="0" applyFont="1" applyAlignment="1">
      <alignment horizontal="centerContinuous" vertical="center"/>
    </xf>
    <xf numFmtId="0" fontId="23" fillId="0" borderId="0" xfId="0" applyFont="1">
      <alignment vertical="center"/>
    </xf>
    <xf numFmtId="0" fontId="9" fillId="31" borderId="2" xfId="0" applyFont="1" applyFill="1" applyBorder="1" applyAlignment="1">
      <alignment horizontal="center" vertical="center" wrapText="1"/>
    </xf>
    <xf numFmtId="0" fontId="15" fillId="12" borderId="2" xfId="0" applyFont="1" applyFill="1" applyBorder="1" applyAlignment="1">
      <alignment horizontal="center" vertical="center" wrapText="1"/>
    </xf>
    <xf numFmtId="0" fontId="12" fillId="32" borderId="2" xfId="0" applyFont="1" applyFill="1" applyBorder="1" applyAlignment="1" applyProtection="1">
      <alignment horizontal="left" vertical="center" wrapText="1"/>
      <protection locked="0"/>
    </xf>
    <xf numFmtId="0" fontId="12" fillId="32" borderId="2" xfId="0" applyFont="1" applyFill="1" applyBorder="1" applyAlignment="1" applyProtection="1">
      <alignment horizontal="center" vertical="center" wrapText="1"/>
      <protection locked="0"/>
    </xf>
    <xf numFmtId="0" fontId="9" fillId="0" borderId="2" xfId="0" applyFont="1" applyBorder="1" applyProtection="1">
      <alignment vertical="center"/>
      <protection locked="0"/>
    </xf>
    <xf numFmtId="0" fontId="9" fillId="0" borderId="2" xfId="0" applyFont="1" applyBorder="1" applyAlignment="1" applyProtection="1">
      <alignment vertical="center" wrapText="1"/>
      <protection locked="0"/>
    </xf>
    <xf numFmtId="185" fontId="23" fillId="0" borderId="0" xfId="0" applyNumberFormat="1" applyFont="1" applyAlignment="1">
      <alignment horizontal="right" vertical="center"/>
    </xf>
    <xf numFmtId="185" fontId="9" fillId="31" borderId="2" xfId="0" applyNumberFormat="1" applyFont="1" applyFill="1" applyBorder="1" applyAlignment="1">
      <alignment horizontal="center" vertical="center" wrapText="1"/>
    </xf>
    <xf numFmtId="188" fontId="9" fillId="31" borderId="2" xfId="0" applyNumberFormat="1" applyFont="1" applyFill="1" applyBorder="1" applyAlignment="1">
      <alignment horizontal="center" vertical="center" wrapText="1"/>
    </xf>
    <xf numFmtId="183" fontId="9" fillId="31" borderId="2" xfId="0" applyNumberFormat="1" applyFont="1" applyFill="1" applyBorder="1" applyAlignment="1">
      <alignment horizontal="center" vertical="center" wrapText="1"/>
    </xf>
    <xf numFmtId="185" fontId="9" fillId="31" borderId="2" xfId="0" applyNumberFormat="1" applyFont="1" applyFill="1" applyBorder="1" applyAlignment="1">
      <alignment horizontal="right" vertical="center" wrapText="1"/>
    </xf>
    <xf numFmtId="188" fontId="12" fillId="32" borderId="2" xfId="0" applyNumberFormat="1" applyFont="1" applyFill="1" applyBorder="1" applyAlignment="1" applyProtection="1">
      <alignment horizontal="center" vertical="center"/>
      <protection locked="0"/>
    </xf>
    <xf numFmtId="183" fontId="12" fillId="32" borderId="2" xfId="0" applyNumberFormat="1" applyFont="1" applyFill="1" applyBorder="1" applyAlignment="1" applyProtection="1">
      <alignment horizontal="center" vertical="center"/>
      <protection locked="0"/>
    </xf>
    <xf numFmtId="185" fontId="9" fillId="32" borderId="2" xfId="0" applyNumberFormat="1" applyFont="1" applyFill="1" applyBorder="1" applyAlignment="1" applyProtection="1">
      <alignment horizontal="right" vertical="center"/>
      <protection locked="0"/>
    </xf>
    <xf numFmtId="183" fontId="9" fillId="0" borderId="2" xfId="0" applyNumberFormat="1" applyFont="1" applyBorder="1" applyProtection="1">
      <alignment vertical="center"/>
      <protection locked="0"/>
    </xf>
    <xf numFmtId="185" fontId="9" fillId="0" borderId="2" xfId="0" applyNumberFormat="1" applyFont="1" applyBorder="1" applyProtection="1">
      <alignment vertical="center"/>
      <protection locked="0"/>
    </xf>
    <xf numFmtId="9" fontId="15" fillId="0" borderId="0" xfId="0" applyNumberFormat="1" applyFont="1" applyProtection="1">
      <alignment vertical="center"/>
      <protection locked="0"/>
    </xf>
    <xf numFmtId="0" fontId="9" fillId="12" borderId="46" xfId="0" applyFont="1" applyFill="1" applyBorder="1" applyAlignment="1">
      <alignment horizontal="centerContinuous" vertical="center"/>
    </xf>
    <xf numFmtId="0" fontId="9" fillId="0" borderId="2" xfId="0" applyFont="1" applyBorder="1" applyAlignment="1" applyProtection="1">
      <alignment horizontal="left" vertical="center" indent="1"/>
      <protection locked="0"/>
    </xf>
    <xf numFmtId="0" fontId="9" fillId="0" borderId="2" xfId="0" applyFont="1" applyBorder="1" applyAlignment="1" applyProtection="1">
      <alignment horizontal="left" vertical="center" indent="2"/>
      <protection locked="0"/>
    </xf>
    <xf numFmtId="0" fontId="0" fillId="0" borderId="0" xfId="0" applyAlignment="1" applyProtection="1">
      <alignment horizontal="left" vertical="center" indent="1"/>
      <protection locked="0"/>
    </xf>
    <xf numFmtId="0" fontId="9" fillId="0" borderId="0" xfId="1284" applyFont="1"/>
    <xf numFmtId="196" fontId="0" fillId="0" borderId="0" xfId="0" applyNumberFormat="1">
      <alignment vertical="center"/>
    </xf>
    <xf numFmtId="0" fontId="9" fillId="0" borderId="0" xfId="0" applyFont="1">
      <alignment vertical="center"/>
    </xf>
    <xf numFmtId="0" fontId="66" fillId="0" borderId="0" xfId="0" applyFont="1">
      <alignment vertical="center"/>
    </xf>
    <xf numFmtId="0" fontId="66" fillId="0" borderId="0" xfId="0" applyFont="1" applyAlignment="1">
      <alignment horizontal="center" vertical="center"/>
    </xf>
    <xf numFmtId="0" fontId="67" fillId="0" borderId="0" xfId="0" applyFont="1">
      <alignment vertical="center"/>
    </xf>
    <xf numFmtId="183" fontId="44" fillId="0" borderId="0" xfId="0" applyNumberFormat="1" applyFont="1" applyAlignment="1">
      <alignment horizontal="center" vertical="center" wrapText="1"/>
    </xf>
    <xf numFmtId="0" fontId="15" fillId="0" borderId="0" xfId="0" applyFont="1" applyAlignment="1">
      <alignment horizontal="center" vertical="center" wrapText="1"/>
    </xf>
    <xf numFmtId="0" fontId="23" fillId="0" borderId="0" xfId="0" applyFont="1" applyAlignment="1">
      <alignment vertical="center" wrapText="1"/>
    </xf>
    <xf numFmtId="0" fontId="23" fillId="0" borderId="0" xfId="0" applyFont="1" applyAlignment="1">
      <alignment horizontal="center" vertical="center" wrapText="1"/>
    </xf>
    <xf numFmtId="0" fontId="15" fillId="34" borderId="2" xfId="0" applyFont="1" applyFill="1" applyBorder="1" applyAlignment="1">
      <alignment vertical="center" wrapText="1"/>
    </xf>
    <xf numFmtId="0" fontId="15" fillId="34" borderId="2" xfId="0" applyFont="1" applyFill="1" applyBorder="1" applyAlignment="1">
      <alignment horizontal="center" vertical="center" wrapText="1"/>
    </xf>
    <xf numFmtId="0" fontId="0" fillId="12" borderId="2" xfId="0" applyFill="1" applyBorder="1" applyAlignment="1">
      <alignment vertical="center" wrapText="1"/>
    </xf>
    <xf numFmtId="0" fontId="0" fillId="12" borderId="2" xfId="0" applyFill="1" applyBorder="1" applyAlignment="1">
      <alignment horizontal="center" vertical="center" wrapText="1"/>
    </xf>
    <xf numFmtId="0" fontId="0" fillId="34" borderId="2" xfId="0" applyFill="1" applyBorder="1" applyAlignment="1">
      <alignment horizontal="left" vertical="center" wrapText="1"/>
    </xf>
    <xf numFmtId="0" fontId="0" fillId="34" borderId="2" xfId="0" applyFill="1" applyBorder="1" applyAlignment="1">
      <alignment vertical="center" wrapText="1"/>
    </xf>
    <xf numFmtId="0" fontId="0" fillId="34" borderId="2" xfId="0" applyFill="1" applyBorder="1" applyAlignment="1">
      <alignment horizontal="center" vertical="center" wrapText="1"/>
    </xf>
    <xf numFmtId="0" fontId="0" fillId="0" borderId="2" xfId="0" applyBorder="1" applyAlignment="1">
      <alignment horizontal="center" vertical="center"/>
    </xf>
    <xf numFmtId="0" fontId="0" fillId="0" borderId="2" xfId="0" applyBorder="1" applyAlignment="1">
      <alignment vertical="center" wrapText="1"/>
    </xf>
    <xf numFmtId="0" fontId="68" fillId="0" borderId="0" xfId="0" applyFont="1">
      <alignment vertical="center"/>
    </xf>
    <xf numFmtId="185" fontId="68" fillId="0" borderId="0" xfId="0" applyNumberFormat="1" applyFont="1">
      <alignment vertical="center"/>
    </xf>
    <xf numFmtId="196" fontId="68" fillId="0" borderId="0" xfId="0" applyNumberFormat="1" applyFont="1">
      <alignment vertical="center"/>
    </xf>
    <xf numFmtId="185" fontId="69" fillId="0" borderId="0" xfId="1284" applyNumberFormat="1" applyFont="1" applyAlignment="1">
      <alignment vertical="center" wrapText="1"/>
    </xf>
    <xf numFmtId="185" fontId="44" fillId="0" borderId="0" xfId="0" applyNumberFormat="1" applyFont="1">
      <alignment vertical="center"/>
    </xf>
    <xf numFmtId="0" fontId="27" fillId="0" borderId="0" xfId="0" applyFont="1">
      <alignment vertical="center"/>
    </xf>
    <xf numFmtId="185" fontId="23" fillId="0" borderId="0" xfId="0" applyNumberFormat="1" applyFont="1">
      <alignment vertical="center"/>
    </xf>
    <xf numFmtId="196" fontId="23" fillId="0" borderId="0" xfId="0" applyNumberFormat="1" applyFont="1">
      <alignment vertical="center"/>
    </xf>
    <xf numFmtId="185" fontId="15" fillId="34" borderId="2" xfId="0" applyNumberFormat="1" applyFont="1" applyFill="1" applyBorder="1" applyAlignment="1">
      <alignment vertical="center" wrapText="1"/>
    </xf>
    <xf numFmtId="196" fontId="15" fillId="20" borderId="2" xfId="0" applyNumberFormat="1" applyFont="1" applyFill="1" applyBorder="1" applyAlignment="1">
      <alignment vertical="center" wrapText="1"/>
    </xf>
    <xf numFmtId="185" fontId="15" fillId="20" borderId="2" xfId="0" applyNumberFormat="1" applyFont="1" applyFill="1" applyBorder="1" applyAlignment="1">
      <alignment vertical="center" wrapText="1"/>
    </xf>
    <xf numFmtId="0" fontId="9" fillId="34" borderId="2" xfId="0" applyFont="1" applyFill="1" applyBorder="1" applyAlignment="1">
      <alignment vertical="center" wrapText="1"/>
    </xf>
    <xf numFmtId="189" fontId="0" fillId="12" borderId="2" xfId="0" applyNumberFormat="1" applyFill="1" applyBorder="1">
      <alignment vertical="center"/>
    </xf>
    <xf numFmtId="0" fontId="0" fillId="12" borderId="2" xfId="0" applyFill="1" applyBorder="1">
      <alignment vertical="center"/>
    </xf>
    <xf numFmtId="185" fontId="0" fillId="12" borderId="2" xfId="0" applyNumberFormat="1" applyFill="1" applyBorder="1">
      <alignment vertical="center"/>
    </xf>
    <xf numFmtId="196" fontId="0" fillId="12" borderId="2" xfId="0" applyNumberFormat="1" applyFill="1" applyBorder="1" applyAlignment="1">
      <alignment vertical="center" wrapText="1"/>
    </xf>
    <xf numFmtId="185" fontId="0" fillId="12" borderId="2" xfId="0" applyNumberFormat="1" applyFill="1" applyBorder="1" applyAlignment="1">
      <alignment vertical="center" wrapText="1"/>
    </xf>
    <xf numFmtId="185" fontId="0" fillId="34" borderId="2" xfId="0" applyNumberFormat="1" applyFill="1" applyBorder="1">
      <alignment vertical="center"/>
    </xf>
    <xf numFmtId="0" fontId="0" fillId="34" borderId="2" xfId="0" applyFill="1" applyBorder="1">
      <alignment vertical="center"/>
    </xf>
    <xf numFmtId="196" fontId="0" fillId="34" borderId="2" xfId="0" applyNumberFormat="1" applyFill="1" applyBorder="1" applyAlignment="1">
      <alignment vertical="center" wrapText="1"/>
    </xf>
    <xf numFmtId="185" fontId="0" fillId="34" borderId="2" xfId="0" applyNumberFormat="1" applyFill="1" applyBorder="1" applyAlignment="1">
      <alignment vertical="center" wrapText="1"/>
    </xf>
    <xf numFmtId="185" fontId="0" fillId="0" borderId="2" xfId="0" applyNumberFormat="1" applyBorder="1">
      <alignment vertical="center"/>
    </xf>
    <xf numFmtId="196" fontId="0" fillId="0" borderId="2" xfId="0" applyNumberFormat="1" applyBorder="1">
      <alignment vertical="center"/>
    </xf>
    <xf numFmtId="0" fontId="9" fillId="0" borderId="2" xfId="0" applyFont="1" applyBorder="1">
      <alignment vertical="center"/>
    </xf>
    <xf numFmtId="0" fontId="12" fillId="0" borderId="0" xfId="0" applyFont="1">
      <alignment vertical="center"/>
    </xf>
    <xf numFmtId="0" fontId="70" fillId="0" borderId="0" xfId="0" applyFont="1" applyAlignment="1">
      <alignment horizontal="right" vertical="center"/>
    </xf>
    <xf numFmtId="0" fontId="71" fillId="0" borderId="0" xfId="0" applyFont="1" applyAlignment="1">
      <alignment horizontal="left" vertical="center" wrapText="1"/>
    </xf>
    <xf numFmtId="0" fontId="70" fillId="0" borderId="0" xfId="0" applyFont="1" applyAlignment="1">
      <alignment horizontal="left" vertical="center" wrapText="1"/>
    </xf>
    <xf numFmtId="0" fontId="70" fillId="0" borderId="0" xfId="0" applyFont="1">
      <alignment vertical="center"/>
    </xf>
    <xf numFmtId="10" fontId="70" fillId="0" borderId="0" xfId="0" applyNumberFormat="1" applyFont="1">
      <alignment vertical="center"/>
    </xf>
    <xf numFmtId="0" fontId="70" fillId="0" borderId="55" xfId="0" applyFont="1" applyBorder="1" applyAlignment="1">
      <alignment horizontal="center" vertical="center" wrapText="1"/>
    </xf>
    <xf numFmtId="0" fontId="70" fillId="0" borderId="56" xfId="0" applyFont="1" applyBorder="1" applyAlignment="1">
      <alignment horizontal="center" vertical="center" wrapText="1"/>
    </xf>
    <xf numFmtId="10" fontId="70" fillId="0" borderId="56" xfId="0" applyNumberFormat="1" applyFont="1" applyBorder="1" applyAlignment="1">
      <alignment horizontal="center" vertical="center" wrapText="1"/>
    </xf>
    <xf numFmtId="0" fontId="15" fillId="12" borderId="57" xfId="0" applyFont="1" applyFill="1" applyBorder="1" applyAlignment="1">
      <alignment horizontal="left" vertical="center"/>
    </xf>
    <xf numFmtId="0" fontId="15" fillId="12" borderId="38" xfId="0" applyFont="1" applyFill="1" applyBorder="1" applyAlignment="1">
      <alignment vertical="center" wrapText="1"/>
    </xf>
    <xf numFmtId="10" fontId="15" fillId="12" borderId="38" xfId="0" applyNumberFormat="1" applyFont="1" applyFill="1" applyBorder="1" applyAlignment="1">
      <alignment vertical="center" wrapText="1"/>
    </xf>
    <xf numFmtId="0" fontId="72" fillId="32" borderId="58" xfId="0" applyFont="1" applyFill="1" applyBorder="1" applyAlignment="1">
      <alignment horizontal="left" vertical="center"/>
    </xf>
    <xf numFmtId="0" fontId="72" fillId="32" borderId="12" xfId="0" applyFont="1" applyFill="1" applyBorder="1">
      <alignment vertical="center"/>
    </xf>
    <xf numFmtId="185" fontId="72" fillId="32" borderId="12" xfId="0" applyNumberFormat="1" applyFont="1" applyFill="1" applyBorder="1">
      <alignment vertical="center"/>
    </xf>
    <xf numFmtId="183" fontId="72" fillId="32" borderId="12" xfId="0" applyNumberFormat="1" applyFont="1" applyFill="1" applyBorder="1">
      <alignment vertical="center"/>
    </xf>
    <xf numFmtId="10" fontId="72" fillId="32" borderId="12" xfId="0" applyNumberFormat="1" applyFont="1" applyFill="1" applyBorder="1">
      <alignment vertical="center"/>
    </xf>
    <xf numFmtId="0" fontId="73" fillId="0" borderId="59" xfId="0" applyFont="1" applyBorder="1" applyAlignment="1">
      <alignment horizontal="left" vertical="center" indent="1"/>
    </xf>
    <xf numFmtId="0" fontId="73" fillId="0" borderId="12" xfId="0" applyFont="1" applyBorder="1" applyAlignment="1">
      <alignment horizontal="left" vertical="center" indent="1"/>
    </xf>
    <xf numFmtId="185" fontId="73" fillId="0" borderId="12" xfId="0" applyNumberFormat="1" applyFont="1" applyBorder="1">
      <alignment vertical="center"/>
    </xf>
    <xf numFmtId="183" fontId="73" fillId="0" borderId="12" xfId="0" applyNumberFormat="1" applyFont="1" applyBorder="1">
      <alignment vertical="center"/>
    </xf>
    <xf numFmtId="10" fontId="73" fillId="0" borderId="12" xfId="0" applyNumberFormat="1" applyFont="1" applyBorder="1">
      <alignment vertical="center"/>
    </xf>
    <xf numFmtId="0" fontId="72" fillId="0" borderId="59" xfId="0" applyFont="1" applyBorder="1" applyAlignment="1">
      <alignment horizontal="left" vertical="center"/>
    </xf>
    <xf numFmtId="0" fontId="72" fillId="0" borderId="2" xfId="0" applyFont="1" applyBorder="1">
      <alignment vertical="center"/>
    </xf>
    <xf numFmtId="183" fontId="72" fillId="0" borderId="2" xfId="0" applyNumberFormat="1" applyFont="1" applyBorder="1">
      <alignment vertical="center"/>
    </xf>
    <xf numFmtId="10" fontId="72" fillId="0" borderId="2" xfId="0" applyNumberFormat="1" applyFont="1" applyBorder="1">
      <alignment vertical="center"/>
    </xf>
    <xf numFmtId="185" fontId="72" fillId="0" borderId="2" xfId="0" applyNumberFormat="1" applyFont="1" applyBorder="1">
      <alignment vertical="center"/>
    </xf>
    <xf numFmtId="0" fontId="73" fillId="0" borderId="2" xfId="0" applyFont="1" applyBorder="1" applyAlignment="1">
      <alignment horizontal="left" vertical="center" indent="1"/>
    </xf>
    <xf numFmtId="189" fontId="73" fillId="0" borderId="3" xfId="0" applyNumberFormat="1" applyFont="1" applyBorder="1">
      <alignment vertical="center"/>
    </xf>
    <xf numFmtId="10" fontId="73" fillId="0" borderId="2" xfId="0" applyNumberFormat="1" applyFont="1" applyBorder="1">
      <alignment vertical="center"/>
    </xf>
    <xf numFmtId="185" fontId="73" fillId="0" borderId="2" xfId="0" applyNumberFormat="1" applyFont="1" applyBorder="1">
      <alignment vertical="center"/>
    </xf>
    <xf numFmtId="183" fontId="72" fillId="0" borderId="3" xfId="0" applyNumberFormat="1" applyFont="1" applyBorder="1">
      <alignment vertical="center"/>
    </xf>
    <xf numFmtId="0" fontId="72" fillId="12" borderId="2" xfId="0" applyFont="1" applyFill="1" applyBorder="1">
      <alignment vertical="center"/>
    </xf>
    <xf numFmtId="185" fontId="72" fillId="12" borderId="2" xfId="0" applyNumberFormat="1" applyFont="1" applyFill="1" applyBorder="1">
      <alignment vertical="center"/>
    </xf>
    <xf numFmtId="183" fontId="72" fillId="12" borderId="3" xfId="0" applyNumberFormat="1" applyFont="1" applyFill="1" applyBorder="1">
      <alignment vertical="center"/>
    </xf>
    <xf numFmtId="10" fontId="72" fillId="12" borderId="2" xfId="0" applyNumberFormat="1" applyFont="1" applyFill="1" applyBorder="1">
      <alignment vertical="center"/>
    </xf>
    <xf numFmtId="0" fontId="73" fillId="0" borderId="59" xfId="0" applyFont="1" applyBorder="1" applyAlignment="1">
      <alignment horizontal="center" vertical="center"/>
    </xf>
    <xf numFmtId="185" fontId="72" fillId="0" borderId="2" xfId="0" applyNumberFormat="1" applyFont="1" applyBorder="1" applyAlignment="1">
      <alignment horizontal="right" vertical="center"/>
    </xf>
    <xf numFmtId="183" fontId="72" fillId="0" borderId="2" xfId="0" applyNumberFormat="1" applyFont="1" applyBorder="1" applyAlignment="1">
      <alignment horizontal="right" vertical="center"/>
    </xf>
    <xf numFmtId="10" fontId="74" fillId="0" borderId="2" xfId="0" applyNumberFormat="1" applyFont="1" applyBorder="1" applyAlignment="1">
      <alignment horizontal="right" vertical="center"/>
    </xf>
    <xf numFmtId="0" fontId="75" fillId="0" borderId="2" xfId="0" applyFont="1" applyBorder="1">
      <alignment vertical="center"/>
    </xf>
    <xf numFmtId="185" fontId="73" fillId="0" borderId="2" xfId="0" applyNumberFormat="1" applyFont="1" applyBorder="1" applyAlignment="1">
      <alignment horizontal="right" vertical="center"/>
    </xf>
    <xf numFmtId="183" fontId="73" fillId="0" borderId="2" xfId="0" applyNumberFormat="1" applyFont="1" applyBorder="1" applyAlignment="1">
      <alignment horizontal="right" vertical="center"/>
    </xf>
    <xf numFmtId="10" fontId="73" fillId="0" borderId="2" xfId="0" applyNumberFormat="1" applyFont="1" applyBorder="1" applyAlignment="1">
      <alignment horizontal="right" vertical="center"/>
    </xf>
    <xf numFmtId="0" fontId="73" fillId="0" borderId="2" xfId="0" applyFont="1" applyBorder="1" applyAlignment="1">
      <alignment horizontal="right" vertical="center"/>
    </xf>
    <xf numFmtId="0" fontId="73" fillId="0" borderId="2" xfId="0" applyFont="1" applyBorder="1">
      <alignment vertical="center"/>
    </xf>
    <xf numFmtId="183" fontId="76" fillId="0" borderId="2" xfId="0" applyNumberFormat="1" applyFont="1" applyBorder="1" applyAlignment="1">
      <alignment horizontal="right" vertical="center"/>
    </xf>
    <xf numFmtId="197" fontId="73" fillId="0" borderId="2" xfId="0" applyNumberFormat="1" applyFont="1" applyBorder="1" applyAlignment="1">
      <alignment horizontal="right" vertical="center"/>
    </xf>
    <xf numFmtId="0" fontId="73" fillId="0" borderId="60" xfId="0" applyFont="1" applyBorder="1" applyAlignment="1">
      <alignment horizontal="center" vertical="center"/>
    </xf>
    <xf numFmtId="0" fontId="73" fillId="0" borderId="61" xfId="0" applyFont="1" applyBorder="1">
      <alignment vertical="center"/>
    </xf>
    <xf numFmtId="185" fontId="73" fillId="0" borderId="61" xfId="0" applyNumberFormat="1" applyFont="1" applyBorder="1" applyAlignment="1">
      <alignment horizontal="right" vertical="center"/>
    </xf>
    <xf numFmtId="197" fontId="76" fillId="0" borderId="61" xfId="0" applyNumberFormat="1" applyFont="1" applyBorder="1" applyAlignment="1">
      <alignment horizontal="right" vertical="center"/>
    </xf>
    <xf numFmtId="183" fontId="76" fillId="0" borderId="61" xfId="0" applyNumberFormat="1" applyFont="1" applyBorder="1" applyAlignment="1">
      <alignment horizontal="right" vertical="center"/>
    </xf>
    <xf numFmtId="0" fontId="73" fillId="0" borderId="61" xfId="0" applyFont="1" applyBorder="1" applyAlignment="1">
      <alignment horizontal="right" vertical="center"/>
    </xf>
    <xf numFmtId="0" fontId="70" fillId="0" borderId="0" xfId="0" applyFont="1" applyAlignment="1">
      <alignment horizontal="center" vertical="center"/>
    </xf>
    <xf numFmtId="0" fontId="77" fillId="0" borderId="0" xfId="0" applyFont="1">
      <alignment vertical="center"/>
    </xf>
    <xf numFmtId="197" fontId="70" fillId="0" borderId="0" xfId="0" applyNumberFormat="1" applyFont="1">
      <alignment vertical="center"/>
    </xf>
    <xf numFmtId="197" fontId="78" fillId="0" borderId="0" xfId="0" applyNumberFormat="1" applyFont="1">
      <alignment vertical="center"/>
    </xf>
    <xf numFmtId="0" fontId="15" fillId="22" borderId="0" xfId="0" applyFont="1" applyFill="1" applyAlignment="1">
      <alignment vertical="center" wrapText="1"/>
    </xf>
    <xf numFmtId="0" fontId="11" fillId="0" borderId="0" xfId="0" applyFont="1" applyAlignment="1">
      <alignment vertical="center" wrapText="1"/>
    </xf>
    <xf numFmtId="0" fontId="70" fillId="0" borderId="62" xfId="0" applyFont="1" applyBorder="1" applyAlignment="1">
      <alignment horizontal="center" vertical="center" wrapText="1"/>
    </xf>
    <xf numFmtId="0" fontId="15" fillId="12" borderId="63" xfId="0" applyFont="1" applyFill="1" applyBorder="1" applyAlignment="1">
      <alignment vertical="center" wrapText="1"/>
    </xf>
    <xf numFmtId="0" fontId="72" fillId="32" borderId="64" xfId="0" applyFont="1" applyFill="1" applyBorder="1">
      <alignment vertical="center"/>
    </xf>
    <xf numFmtId="185" fontId="9" fillId="0" borderId="0" xfId="0" applyNumberFormat="1" applyFont="1">
      <alignment vertical="center"/>
    </xf>
    <xf numFmtId="10" fontId="9" fillId="0" borderId="0" xfId="3" applyNumberFormat="1" applyFont="1">
      <alignment vertical="center"/>
    </xf>
    <xf numFmtId="0" fontId="73" fillId="0" borderId="64" xfId="0" applyFont="1" applyBorder="1">
      <alignment vertical="center"/>
    </xf>
    <xf numFmtId="0" fontId="72" fillId="0" borderId="65" xfId="0" applyFont="1" applyBorder="1">
      <alignment vertical="center"/>
    </xf>
    <xf numFmtId="0" fontId="20" fillId="0" borderId="0" xfId="0" applyFont="1">
      <alignment vertical="center"/>
    </xf>
    <xf numFmtId="0" fontId="73" fillId="0" borderId="65" xfId="0" applyFont="1" applyBorder="1">
      <alignment vertical="center"/>
    </xf>
    <xf numFmtId="198" fontId="9" fillId="0" borderId="0" xfId="0" applyNumberFormat="1" applyFont="1">
      <alignment vertical="center"/>
    </xf>
    <xf numFmtId="0" fontId="72" fillId="12" borderId="65" xfId="0" applyFont="1" applyFill="1" applyBorder="1">
      <alignment vertical="center"/>
    </xf>
    <xf numFmtId="185" fontId="13" fillId="0" borderId="0" xfId="0" applyNumberFormat="1" applyFont="1">
      <alignment vertical="center"/>
    </xf>
    <xf numFmtId="185" fontId="12" fillId="0" borderId="0" xfId="0" applyNumberFormat="1" applyFont="1">
      <alignment vertical="center"/>
    </xf>
    <xf numFmtId="197" fontId="73" fillId="0" borderId="65" xfId="0" applyNumberFormat="1" applyFont="1" applyBorder="1" applyAlignment="1">
      <alignment horizontal="center" vertical="center" wrapText="1"/>
    </xf>
    <xf numFmtId="0" fontId="73" fillId="0" borderId="66" xfId="0" applyFont="1" applyBorder="1">
      <alignment vertical="center"/>
    </xf>
    <xf numFmtId="0" fontId="13" fillId="35" borderId="0" xfId="0" applyFont="1" applyFill="1">
      <alignment vertical="center"/>
    </xf>
    <xf numFmtId="0" fontId="13" fillId="0" borderId="0" xfId="0" applyFont="1" applyAlignment="1">
      <alignment horizontal="center" vertical="center"/>
    </xf>
    <xf numFmtId="0" fontId="13" fillId="0" borderId="0" xfId="0" applyFont="1">
      <alignment vertical="center"/>
    </xf>
    <xf numFmtId="2" fontId="0" fillId="0" borderId="0" xfId="0" applyNumberFormat="1">
      <alignment vertical="center"/>
    </xf>
    <xf numFmtId="186" fontId="42" fillId="0" borderId="0" xfId="0" applyNumberFormat="1" applyFont="1">
      <alignment vertical="center"/>
    </xf>
    <xf numFmtId="186" fontId="0" fillId="0" borderId="0" xfId="0" applyNumberFormat="1">
      <alignment vertical="center"/>
    </xf>
    <xf numFmtId="0" fontId="46" fillId="35" borderId="67" xfId="0" applyFont="1" applyFill="1" applyBorder="1">
      <alignment vertical="center"/>
    </xf>
    <xf numFmtId="0" fontId="46" fillId="36" borderId="68" xfId="0" applyFont="1" applyFill="1" applyBorder="1" applyAlignment="1">
      <alignment horizontal="center" vertical="center"/>
    </xf>
    <xf numFmtId="0" fontId="46" fillId="36" borderId="68" xfId="0" applyFont="1" applyFill="1" applyBorder="1">
      <alignment vertical="center"/>
    </xf>
    <xf numFmtId="0" fontId="46" fillId="36" borderId="69" xfId="0" applyFont="1" applyFill="1" applyBorder="1">
      <alignment vertical="center"/>
    </xf>
    <xf numFmtId="0" fontId="46" fillId="0" borderId="0" xfId="0" applyFont="1">
      <alignment vertical="center"/>
    </xf>
    <xf numFmtId="0" fontId="36" fillId="0" borderId="70" xfId="0" applyFont="1" applyBorder="1">
      <alignment vertical="center"/>
    </xf>
    <xf numFmtId="0" fontId="36" fillId="37" borderId="71" xfId="0" applyFont="1" applyFill="1" applyBorder="1" applyAlignment="1">
      <alignment horizontal="center" vertical="center"/>
    </xf>
    <xf numFmtId="186" fontId="42" fillId="0" borderId="72" xfId="0" applyNumberFormat="1" applyFont="1" applyBorder="1">
      <alignment vertical="center"/>
    </xf>
    <xf numFmtId="0" fontId="42" fillId="0" borderId="0" xfId="0" applyFont="1">
      <alignment vertical="center"/>
    </xf>
    <xf numFmtId="0" fontId="36" fillId="37" borderId="73" xfId="0" applyFont="1" applyFill="1" applyBorder="1">
      <alignment vertical="center"/>
    </xf>
    <xf numFmtId="0" fontId="36" fillId="37" borderId="71" xfId="0" applyFont="1" applyFill="1" applyBorder="1">
      <alignment vertical="center"/>
    </xf>
    <xf numFmtId="0" fontId="17" fillId="0" borderId="0" xfId="0" applyFont="1">
      <alignment vertical="center"/>
    </xf>
    <xf numFmtId="183" fontId="42" fillId="0" borderId="0" xfId="0" applyNumberFormat="1" applyFont="1">
      <alignment vertical="center"/>
    </xf>
    <xf numFmtId="0" fontId="42" fillId="0" borderId="0" xfId="0" applyFont="1" applyAlignment="1">
      <alignment horizontal="center" vertical="center"/>
    </xf>
    <xf numFmtId="0" fontId="0" fillId="27" borderId="0" xfId="0" applyFill="1">
      <alignment vertical="center"/>
    </xf>
    <xf numFmtId="0" fontId="79" fillId="0" borderId="0" xfId="0" applyFont="1" applyAlignment="1">
      <alignment horizontal="center" vertical="center" wrapText="1"/>
    </xf>
    <xf numFmtId="2" fontId="0" fillId="0" borderId="0" xfId="0" applyNumberFormat="1" applyAlignment="1">
      <alignment horizontal="right" vertical="center" wrapText="1"/>
    </xf>
    <xf numFmtId="0" fontId="0" fillId="0" borderId="0" xfId="0" applyAlignment="1">
      <alignment horizontal="center" vertical="center" wrapText="1"/>
    </xf>
    <xf numFmtId="2" fontId="9" fillId="0" borderId="0" xfId="0" applyNumberFormat="1" applyFont="1">
      <alignment vertical="center"/>
    </xf>
    <xf numFmtId="0" fontId="64" fillId="0" borderId="0" xfId="0" applyFont="1" applyAlignment="1">
      <alignment horizontal="center" vertical="center"/>
    </xf>
    <xf numFmtId="0" fontId="19" fillId="0" borderId="0" xfId="0" applyFont="1" applyAlignment="1">
      <alignment horizontal="center" vertical="center"/>
    </xf>
    <xf numFmtId="9" fontId="19" fillId="0" borderId="0" xfId="0" applyNumberFormat="1" applyFont="1" applyAlignment="1">
      <alignment horizontal="center" vertical="center"/>
    </xf>
    <xf numFmtId="183" fontId="19" fillId="0" borderId="0" xfId="0" applyNumberFormat="1" applyFont="1" applyAlignment="1">
      <alignment horizontal="center" vertical="center"/>
    </xf>
    <xf numFmtId="183" fontId="79" fillId="0" borderId="0" xfId="0" applyNumberFormat="1" applyFont="1" applyAlignment="1">
      <alignment horizontal="center" vertical="center" wrapText="1"/>
    </xf>
    <xf numFmtId="0" fontId="9" fillId="0" borderId="0" xfId="0" applyFont="1" applyAlignment="1">
      <alignment horizontal="center" vertical="center" wrapText="1"/>
    </xf>
    <xf numFmtId="10" fontId="19" fillId="0" borderId="0" xfId="0" applyNumberFormat="1" applyFont="1" applyAlignment="1">
      <alignment horizontal="center" vertical="center"/>
    </xf>
    <xf numFmtId="0" fontId="36" fillId="37" borderId="73" xfId="0" applyFont="1" applyFill="1" applyBorder="1" applyAlignment="1">
      <alignment vertical="center" wrapText="1"/>
    </xf>
    <xf numFmtId="0" fontId="15" fillId="0" borderId="74" xfId="0" applyFont="1" applyBorder="1">
      <alignment vertical="center"/>
    </xf>
    <xf numFmtId="0" fontId="15" fillId="0" borderId="75" xfId="0" applyFont="1" applyBorder="1" applyAlignment="1">
      <alignment horizontal="left" vertical="center"/>
    </xf>
    <xf numFmtId="0" fontId="15" fillId="0" borderId="75" xfId="0" applyFont="1" applyBorder="1">
      <alignment vertical="center"/>
    </xf>
    <xf numFmtId="0" fontId="15" fillId="0" borderId="75" xfId="0" applyFont="1" applyBorder="1" applyAlignment="1">
      <alignment horizontal="left" vertical="top" wrapText="1"/>
    </xf>
    <xf numFmtId="0" fontId="15" fillId="0" borderId="75" xfId="0" applyFont="1" applyBorder="1" applyAlignment="1">
      <alignment vertical="center" wrapText="1"/>
    </xf>
    <xf numFmtId="0" fontId="15" fillId="0" borderId="75" xfId="0" applyFont="1" applyBorder="1" applyAlignment="1">
      <alignment horizontal="left" vertical="top"/>
    </xf>
    <xf numFmtId="0" fontId="15" fillId="0" borderId="76" xfId="0" applyFont="1" applyBorder="1">
      <alignment vertical="center"/>
    </xf>
    <xf numFmtId="0" fontId="0" fillId="0" borderId="0" xfId="1185">
      <alignment vertical="center"/>
    </xf>
    <xf numFmtId="0" fontId="80" fillId="0" borderId="0" xfId="1185" applyFont="1" applyAlignment="1">
      <alignment horizontal="center" vertical="center"/>
    </xf>
    <xf numFmtId="0" fontId="10" fillId="0" borderId="0" xfId="1185" applyFont="1" applyAlignment="1">
      <alignment horizontal="right" vertical="center"/>
    </xf>
    <xf numFmtId="0" fontId="10" fillId="0" borderId="8" xfId="1185" applyFont="1" applyBorder="1" applyAlignment="1">
      <alignment horizontal="left" vertical="center"/>
    </xf>
    <xf numFmtId="0" fontId="0" fillId="0" borderId="9" xfId="1185" applyBorder="1" applyAlignment="1">
      <alignment horizontal="left" vertical="center"/>
    </xf>
    <xf numFmtId="0" fontId="0" fillId="0" borderId="14" xfId="1185" applyBorder="1" applyAlignment="1">
      <alignment horizontal="left" vertical="center"/>
    </xf>
    <xf numFmtId="0" fontId="10" fillId="0" borderId="44" xfId="1185" applyFont="1" applyBorder="1" applyAlignment="1">
      <alignment horizontal="left" vertical="center"/>
    </xf>
    <xf numFmtId="0" fontId="0" fillId="0" borderId="2" xfId="1185" applyBorder="1" applyAlignment="1">
      <alignment horizontal="left" vertical="center"/>
    </xf>
    <xf numFmtId="0" fontId="0" fillId="0" borderId="46" xfId="1185" applyBorder="1" applyAlignment="1">
      <alignment horizontal="left" vertical="center"/>
    </xf>
    <xf numFmtId="0" fontId="10" fillId="0" borderId="44" xfId="1185" applyFont="1" applyBorder="1" applyAlignment="1">
      <alignment vertical="center" wrapText="1"/>
    </xf>
    <xf numFmtId="183" fontId="0" fillId="0" borderId="46" xfId="1185" applyNumberFormat="1" applyBorder="1" applyAlignment="1">
      <alignment horizontal="center" vertical="center" wrapText="1"/>
    </xf>
    <xf numFmtId="0" fontId="10" fillId="0" borderId="44" xfId="1185" applyFont="1" applyBorder="1" applyAlignment="1">
      <alignment horizontal="left" vertical="center" wrapText="1"/>
    </xf>
    <xf numFmtId="0" fontId="0" fillId="0" borderId="2" xfId="1185" applyBorder="1" applyAlignment="1">
      <alignment horizontal="left" vertical="center" wrapText="1"/>
    </xf>
    <xf numFmtId="0" fontId="0" fillId="0" borderId="46" xfId="1185" applyBorder="1" applyAlignment="1">
      <alignment horizontal="left" vertical="center" wrapText="1"/>
    </xf>
    <xf numFmtId="0" fontId="0" fillId="0" borderId="44" xfId="1185" applyBorder="1" applyAlignment="1">
      <alignment horizontal="center" vertical="center" wrapText="1"/>
    </xf>
    <xf numFmtId="0" fontId="0" fillId="0" borderId="46" xfId="1185" applyBorder="1" applyAlignment="1">
      <alignment horizontal="center" vertical="center" wrapText="1"/>
    </xf>
    <xf numFmtId="0" fontId="81" fillId="0" borderId="44" xfId="1185" applyFont="1" applyBorder="1" applyAlignment="1">
      <alignment horizontal="center" vertical="center"/>
    </xf>
    <xf numFmtId="0" fontId="81" fillId="0" borderId="2" xfId="1185" applyFont="1" applyBorder="1" applyAlignment="1">
      <alignment horizontal="center" vertical="center"/>
    </xf>
    <xf numFmtId="0" fontId="81" fillId="0" borderId="46" xfId="1185" applyFont="1" applyBorder="1" applyAlignment="1">
      <alignment horizontal="center" vertical="center"/>
    </xf>
    <xf numFmtId="0" fontId="0" fillId="0" borderId="10" xfId="1185" applyBorder="1" applyAlignment="1">
      <alignment horizontal="center" vertical="center"/>
    </xf>
    <xf numFmtId="0" fontId="0" fillId="0" borderId="11" xfId="1185" applyBorder="1" applyAlignment="1">
      <alignment horizontal="center" vertical="center"/>
    </xf>
    <xf numFmtId="0" fontId="0" fillId="0" borderId="15" xfId="1185" applyBorder="1" applyAlignment="1">
      <alignment horizontal="center" vertical="center"/>
    </xf>
    <xf numFmtId="0" fontId="82" fillId="0" borderId="0" xfId="1185" applyFont="1">
      <alignment vertical="center"/>
    </xf>
    <xf numFmtId="0" fontId="0" fillId="0" borderId="0" xfId="0" applyAlignment="1">
      <alignment horizontal="left" vertical="center" wrapText="1"/>
    </xf>
    <xf numFmtId="0" fontId="83" fillId="0" borderId="0" xfId="0" applyFont="1" applyAlignment="1">
      <alignment horizontal="center" vertical="center"/>
    </xf>
    <xf numFmtId="0" fontId="84" fillId="0" borderId="0" xfId="0" applyFont="1">
      <alignment vertical="center"/>
    </xf>
    <xf numFmtId="0" fontId="42" fillId="0" borderId="3" xfId="0" applyFont="1" applyBorder="1" applyAlignment="1">
      <alignment vertical="center" wrapText="1"/>
    </xf>
    <xf numFmtId="0" fontId="42" fillId="0" borderId="0" xfId="0" applyFont="1" applyAlignment="1">
      <alignment vertical="center" wrapText="1"/>
    </xf>
    <xf numFmtId="0" fontId="42" fillId="0" borderId="21" xfId="0" applyFont="1" applyBorder="1" applyAlignment="1">
      <alignment vertical="center" wrapText="1"/>
    </xf>
    <xf numFmtId="0" fontId="0" fillId="0" borderId="21" xfId="0" applyBorder="1" applyAlignment="1">
      <alignment horizontal="left" vertical="center" wrapText="1"/>
    </xf>
    <xf numFmtId="0" fontId="15" fillId="0" borderId="21" xfId="0" applyFont="1" applyBorder="1" applyAlignment="1">
      <alignment horizontal="left" vertical="center" wrapText="1"/>
    </xf>
    <xf numFmtId="0" fontId="15" fillId="0" borderId="41" xfId="0" applyFont="1" applyBorder="1" applyAlignment="1">
      <alignment horizontal="left" vertical="center" wrapText="1"/>
    </xf>
  </cellXfs>
  <cellStyles count="210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20% - 强调文字颜色 1 10" xfId="49"/>
    <cellStyle name="20% - 强调文字颜色 1 11" xfId="50"/>
    <cellStyle name="20% - 强调文字颜色 1 12" xfId="51"/>
    <cellStyle name="20% - 强调文字颜色 1 13" xfId="52"/>
    <cellStyle name="20% - 强调文字颜色 1 14" xfId="53"/>
    <cellStyle name="20% - 强调文字颜色 1 15" xfId="54"/>
    <cellStyle name="20% - 强调文字颜色 1 16" xfId="55"/>
    <cellStyle name="20% - 强调文字颜色 1 17" xfId="56"/>
    <cellStyle name="20% - 强调文字颜色 1 18" xfId="57"/>
    <cellStyle name="20% - 强调文字颜色 1 19" xfId="58"/>
    <cellStyle name="20% - 强调文字颜色 1 2" xfId="59"/>
    <cellStyle name="20% - 强调文字颜色 1 2 2" xfId="60"/>
    <cellStyle name="20% - 强调文字颜色 1 20" xfId="61"/>
    <cellStyle name="20% - 强调文字颜色 1 21" xfId="62"/>
    <cellStyle name="20% - 强调文字颜色 1 22" xfId="63"/>
    <cellStyle name="20% - 强调文字颜色 1 23" xfId="64"/>
    <cellStyle name="20% - 强调文字颜色 1 24" xfId="65"/>
    <cellStyle name="20% - 强调文字颜色 1 25" xfId="66"/>
    <cellStyle name="20% - 强调文字颜色 1 26" xfId="67"/>
    <cellStyle name="20% - 强调文字颜色 1 27" xfId="68"/>
    <cellStyle name="20% - 强调文字颜色 1 28" xfId="69"/>
    <cellStyle name="20% - 强调文字颜色 1 29" xfId="70"/>
    <cellStyle name="20% - 强调文字颜色 1 3" xfId="71"/>
    <cellStyle name="20% - 强调文字颜色 1 3 2" xfId="72"/>
    <cellStyle name="20% - 强调文字颜色 1 30" xfId="73"/>
    <cellStyle name="20% - 强调文字颜色 1 31" xfId="74"/>
    <cellStyle name="20% - 强调文字颜色 1 32" xfId="75"/>
    <cellStyle name="20% - 强调文字颜色 1 33" xfId="76"/>
    <cellStyle name="20% - 强调文字颜色 1 34" xfId="77"/>
    <cellStyle name="20% - 强调文字颜色 1 35" xfId="78"/>
    <cellStyle name="20% - 强调文字颜色 1 36" xfId="79"/>
    <cellStyle name="20% - 强调文字颜色 1 37" xfId="80"/>
    <cellStyle name="20% - 强调文字颜色 1 38" xfId="81"/>
    <cellStyle name="20% - 强调文字颜色 1 39" xfId="82"/>
    <cellStyle name="20% - 强调文字颜色 1 4" xfId="83"/>
    <cellStyle name="20% - 强调文字颜色 1 40" xfId="84"/>
    <cellStyle name="20% - 强调文字颜色 1 41" xfId="85"/>
    <cellStyle name="20% - 强调文字颜色 1 42" xfId="86"/>
    <cellStyle name="20% - 强调文字颜色 1 43" xfId="87"/>
    <cellStyle name="20% - 强调文字颜色 1 44" xfId="88"/>
    <cellStyle name="20% - 强调文字颜色 1 5" xfId="89"/>
    <cellStyle name="20% - 强调文字颜色 1 6" xfId="90"/>
    <cellStyle name="20% - 强调文字颜色 1 7" xfId="91"/>
    <cellStyle name="20% - 强调文字颜色 1 8" xfId="92"/>
    <cellStyle name="20% - 强调文字颜色 1 9" xfId="93"/>
    <cellStyle name="20% - 强调文字颜色 2 10" xfId="94"/>
    <cellStyle name="20% - 强调文字颜色 2 11" xfId="95"/>
    <cellStyle name="20% - 强调文字颜色 2 12" xfId="96"/>
    <cellStyle name="20% - 强调文字颜色 2 13" xfId="97"/>
    <cellStyle name="20% - 强调文字颜色 2 14" xfId="98"/>
    <cellStyle name="20% - 强调文字颜色 2 15" xfId="99"/>
    <cellStyle name="20% - 强调文字颜色 2 16" xfId="100"/>
    <cellStyle name="20% - 强调文字颜色 2 17" xfId="101"/>
    <cellStyle name="20% - 强调文字颜色 2 18" xfId="102"/>
    <cellStyle name="20% - 强调文字颜色 2 19" xfId="103"/>
    <cellStyle name="20% - 强调文字颜色 2 2" xfId="104"/>
    <cellStyle name="20% - 强调文字颜色 2 2 2" xfId="105"/>
    <cellStyle name="20% - 强调文字颜色 2 20" xfId="106"/>
    <cellStyle name="20% - 强调文字颜色 2 21" xfId="107"/>
    <cellStyle name="20% - 强调文字颜色 2 22" xfId="108"/>
    <cellStyle name="20% - 强调文字颜色 2 23" xfId="109"/>
    <cellStyle name="20% - 强调文字颜色 2 24" xfId="110"/>
    <cellStyle name="20% - 强调文字颜色 2 25" xfId="111"/>
    <cellStyle name="20% - 强调文字颜色 2 26" xfId="112"/>
    <cellStyle name="20% - 强调文字颜色 2 27" xfId="113"/>
    <cellStyle name="20% - 强调文字颜色 2 28" xfId="114"/>
    <cellStyle name="20% - 强调文字颜色 2 29" xfId="115"/>
    <cellStyle name="20% - 强调文字颜色 2 3" xfId="116"/>
    <cellStyle name="20% - 强调文字颜色 2 3 2" xfId="117"/>
    <cellStyle name="20% - 强调文字颜色 2 30" xfId="118"/>
    <cellStyle name="20% - 强调文字颜色 2 31" xfId="119"/>
    <cellStyle name="20% - 强调文字颜色 2 32" xfId="120"/>
    <cellStyle name="20% - 强调文字颜色 2 33" xfId="121"/>
    <cellStyle name="20% - 强调文字颜色 2 34" xfId="122"/>
    <cellStyle name="20% - 强调文字颜色 2 35" xfId="123"/>
    <cellStyle name="20% - 强调文字颜色 2 36" xfId="124"/>
    <cellStyle name="20% - 强调文字颜色 2 37" xfId="125"/>
    <cellStyle name="20% - 强调文字颜色 2 38" xfId="126"/>
    <cellStyle name="20% - 强调文字颜色 2 39" xfId="127"/>
    <cellStyle name="20% - 强调文字颜色 2 4" xfId="128"/>
    <cellStyle name="20% - 强调文字颜色 2 40" xfId="129"/>
    <cellStyle name="20% - 强调文字颜色 2 41" xfId="130"/>
    <cellStyle name="20% - 强调文字颜色 2 42" xfId="131"/>
    <cellStyle name="20% - 强调文字颜色 2 43" xfId="132"/>
    <cellStyle name="20% - 强调文字颜色 2 44" xfId="133"/>
    <cellStyle name="20% - 强调文字颜色 2 5" xfId="134"/>
    <cellStyle name="20% - 强调文字颜色 2 6" xfId="135"/>
    <cellStyle name="20% - 强调文字颜色 2 7" xfId="136"/>
    <cellStyle name="20% - 强调文字颜色 2 8" xfId="137"/>
    <cellStyle name="20% - 强调文字颜色 2 9" xfId="138"/>
    <cellStyle name="20% - 强调文字颜色 3 10" xfId="139"/>
    <cellStyle name="20% - 强调文字颜色 3 11" xfId="140"/>
    <cellStyle name="20% - 强调文字颜色 3 12" xfId="141"/>
    <cellStyle name="20% - 强调文字颜色 3 13" xfId="142"/>
    <cellStyle name="20% - 强调文字颜色 3 14" xfId="143"/>
    <cellStyle name="20% - 强调文字颜色 3 15" xfId="144"/>
    <cellStyle name="20% - 强调文字颜色 3 16" xfId="145"/>
    <cellStyle name="20% - 强调文字颜色 3 17" xfId="146"/>
    <cellStyle name="20% - 强调文字颜色 3 18" xfId="147"/>
    <cellStyle name="20% - 强调文字颜色 3 19" xfId="148"/>
    <cellStyle name="20% - 强调文字颜色 3 2" xfId="149"/>
    <cellStyle name="20% - 强调文字颜色 3 2 2" xfId="150"/>
    <cellStyle name="20% - 强调文字颜色 3 20" xfId="151"/>
    <cellStyle name="20% - 强调文字颜色 3 21" xfId="152"/>
    <cellStyle name="20% - 强调文字颜色 3 22" xfId="153"/>
    <cellStyle name="20% - 强调文字颜色 3 23" xfId="154"/>
    <cellStyle name="20% - 强调文字颜色 3 24" xfId="155"/>
    <cellStyle name="20% - 强调文字颜色 3 25" xfId="156"/>
    <cellStyle name="20% - 强调文字颜色 3 26" xfId="157"/>
    <cellStyle name="20% - 强调文字颜色 3 27" xfId="158"/>
    <cellStyle name="20% - 强调文字颜色 3 28" xfId="159"/>
    <cellStyle name="20% - 强调文字颜色 3 29" xfId="160"/>
    <cellStyle name="20% - 强调文字颜色 3 3" xfId="161"/>
    <cellStyle name="20% - 强调文字颜色 3 3 2" xfId="162"/>
    <cellStyle name="20% - 强调文字颜色 3 30" xfId="163"/>
    <cellStyle name="20% - 强调文字颜色 3 31" xfId="164"/>
    <cellStyle name="20% - 强调文字颜色 3 32" xfId="165"/>
    <cellStyle name="20% - 强调文字颜色 3 33" xfId="166"/>
    <cellStyle name="20% - 强调文字颜色 3 34" xfId="167"/>
    <cellStyle name="20% - 强调文字颜色 3 35" xfId="168"/>
    <cellStyle name="20% - 强调文字颜色 3 36" xfId="169"/>
    <cellStyle name="20% - 强调文字颜色 3 37" xfId="170"/>
    <cellStyle name="20% - 强调文字颜色 3 38" xfId="171"/>
    <cellStyle name="20% - 强调文字颜色 3 39" xfId="172"/>
    <cellStyle name="20% - 强调文字颜色 3 4" xfId="173"/>
    <cellStyle name="20% - 强调文字颜色 3 40" xfId="174"/>
    <cellStyle name="20% - 强调文字颜色 3 41" xfId="175"/>
    <cellStyle name="20% - 强调文字颜色 3 42" xfId="176"/>
    <cellStyle name="20% - 强调文字颜色 3 43" xfId="177"/>
    <cellStyle name="20% - 强调文字颜色 3 44" xfId="178"/>
    <cellStyle name="20% - 强调文字颜色 3 5" xfId="179"/>
    <cellStyle name="20% - 强调文字颜色 3 6" xfId="180"/>
    <cellStyle name="20% - 强调文字颜色 3 7" xfId="181"/>
    <cellStyle name="20% - 强调文字颜色 3 8" xfId="182"/>
    <cellStyle name="20% - 强调文字颜色 3 9" xfId="183"/>
    <cellStyle name="20% - 强调文字颜色 4 10" xfId="184"/>
    <cellStyle name="20% - 强调文字颜色 4 11" xfId="185"/>
    <cellStyle name="20% - 强调文字颜色 4 12" xfId="186"/>
    <cellStyle name="20% - 强调文字颜色 4 13" xfId="187"/>
    <cellStyle name="20% - 强调文字颜色 4 14" xfId="188"/>
    <cellStyle name="20% - 强调文字颜色 4 15" xfId="189"/>
    <cellStyle name="20% - 强调文字颜色 4 16" xfId="190"/>
    <cellStyle name="20% - 强调文字颜色 4 17" xfId="191"/>
    <cellStyle name="20% - 强调文字颜色 4 18" xfId="192"/>
    <cellStyle name="20% - 强调文字颜色 4 19" xfId="193"/>
    <cellStyle name="20% - 强调文字颜色 4 2" xfId="194"/>
    <cellStyle name="20% - 强调文字颜色 4 2 2" xfId="195"/>
    <cellStyle name="20% - 强调文字颜色 4 20" xfId="196"/>
    <cellStyle name="20% - 强调文字颜色 4 21" xfId="197"/>
    <cellStyle name="20% - 强调文字颜色 4 22" xfId="198"/>
    <cellStyle name="20% - 强调文字颜色 4 23" xfId="199"/>
    <cellStyle name="20% - 强调文字颜色 4 24" xfId="200"/>
    <cellStyle name="20% - 强调文字颜色 4 25" xfId="201"/>
    <cellStyle name="20% - 强调文字颜色 4 26" xfId="202"/>
    <cellStyle name="20% - 强调文字颜色 4 27" xfId="203"/>
    <cellStyle name="20% - 强调文字颜色 4 28" xfId="204"/>
    <cellStyle name="20% - 强调文字颜色 4 29" xfId="205"/>
    <cellStyle name="20% - 强调文字颜色 4 3" xfId="206"/>
    <cellStyle name="20% - 强调文字颜色 4 3 2" xfId="207"/>
    <cellStyle name="20% - 强调文字颜色 4 30" xfId="208"/>
    <cellStyle name="20% - 强调文字颜色 4 31" xfId="209"/>
    <cellStyle name="20% - 强调文字颜色 4 32" xfId="210"/>
    <cellStyle name="20% - 强调文字颜色 4 33" xfId="211"/>
    <cellStyle name="20% - 强调文字颜色 4 34" xfId="212"/>
    <cellStyle name="20% - 强调文字颜色 4 35" xfId="213"/>
    <cellStyle name="20% - 强调文字颜色 4 36" xfId="214"/>
    <cellStyle name="20% - 强调文字颜色 4 37" xfId="215"/>
    <cellStyle name="20% - 强调文字颜色 4 38" xfId="216"/>
    <cellStyle name="20% - 强调文字颜色 4 39" xfId="217"/>
    <cellStyle name="20% - 强调文字颜色 4 4" xfId="218"/>
    <cellStyle name="20% - 强调文字颜色 4 40" xfId="219"/>
    <cellStyle name="20% - 强调文字颜色 4 41" xfId="220"/>
    <cellStyle name="20% - 强调文字颜色 4 42" xfId="221"/>
    <cellStyle name="20% - 强调文字颜色 4 43" xfId="222"/>
    <cellStyle name="20% - 强调文字颜色 4 44" xfId="223"/>
    <cellStyle name="20% - 强调文字颜色 4 5" xfId="224"/>
    <cellStyle name="20% - 强调文字颜色 4 6" xfId="225"/>
    <cellStyle name="20% - 强调文字颜色 4 7" xfId="226"/>
    <cellStyle name="20% - 强调文字颜色 4 8" xfId="227"/>
    <cellStyle name="20% - 强调文字颜色 4 9" xfId="228"/>
    <cellStyle name="20% - 强调文字颜色 5 10" xfId="229"/>
    <cellStyle name="20% - 强调文字颜色 5 11" xfId="230"/>
    <cellStyle name="20% - 强调文字颜色 5 12" xfId="231"/>
    <cellStyle name="20% - 强调文字颜色 5 13" xfId="232"/>
    <cellStyle name="20% - 强调文字颜色 5 14" xfId="233"/>
    <cellStyle name="20% - 强调文字颜色 5 15" xfId="234"/>
    <cellStyle name="20% - 强调文字颜色 5 16" xfId="235"/>
    <cellStyle name="20% - 强调文字颜色 5 17" xfId="236"/>
    <cellStyle name="20% - 强调文字颜色 5 18" xfId="237"/>
    <cellStyle name="20% - 强调文字颜色 5 19" xfId="238"/>
    <cellStyle name="20% - 强调文字颜色 5 2" xfId="239"/>
    <cellStyle name="20% - 强调文字颜色 5 2 2" xfId="240"/>
    <cellStyle name="20% - 强调文字颜色 5 20" xfId="241"/>
    <cellStyle name="20% - 强调文字颜色 5 21" xfId="242"/>
    <cellStyle name="20% - 强调文字颜色 5 22" xfId="243"/>
    <cellStyle name="20% - 强调文字颜色 5 23" xfId="244"/>
    <cellStyle name="20% - 强调文字颜色 5 24" xfId="245"/>
    <cellStyle name="20% - 强调文字颜色 5 25" xfId="246"/>
    <cellStyle name="20% - 强调文字颜色 5 26" xfId="247"/>
    <cellStyle name="20% - 强调文字颜色 5 27" xfId="248"/>
    <cellStyle name="20% - 强调文字颜色 5 28" xfId="249"/>
    <cellStyle name="20% - 强调文字颜色 5 29" xfId="250"/>
    <cellStyle name="20% - 强调文字颜色 5 3" xfId="251"/>
    <cellStyle name="20% - 强调文字颜色 5 3 2" xfId="252"/>
    <cellStyle name="20% - 强调文字颜色 5 30" xfId="253"/>
    <cellStyle name="20% - 强调文字颜色 5 31" xfId="254"/>
    <cellStyle name="20% - 强调文字颜色 5 32" xfId="255"/>
    <cellStyle name="20% - 强调文字颜色 5 33" xfId="256"/>
    <cellStyle name="20% - 强调文字颜色 5 34" xfId="257"/>
    <cellStyle name="20% - 强调文字颜色 5 35" xfId="258"/>
    <cellStyle name="20% - 强调文字颜色 5 36" xfId="259"/>
    <cellStyle name="20% - 强调文字颜色 5 37" xfId="260"/>
    <cellStyle name="20% - 强调文字颜色 5 38" xfId="261"/>
    <cellStyle name="20% - 强调文字颜色 5 39" xfId="262"/>
    <cellStyle name="20% - 强调文字颜色 5 4" xfId="263"/>
    <cellStyle name="20% - 强调文字颜色 5 40" xfId="264"/>
    <cellStyle name="20% - 强调文字颜色 5 41" xfId="265"/>
    <cellStyle name="20% - 强调文字颜色 5 42" xfId="266"/>
    <cellStyle name="20% - 强调文字颜色 5 43" xfId="267"/>
    <cellStyle name="20% - 强调文字颜色 5 44" xfId="268"/>
    <cellStyle name="20% - 强调文字颜色 5 5" xfId="269"/>
    <cellStyle name="20% - 强调文字颜色 5 6" xfId="270"/>
    <cellStyle name="20% - 强调文字颜色 5 7" xfId="271"/>
    <cellStyle name="20% - 强调文字颜色 5 8" xfId="272"/>
    <cellStyle name="20% - 强调文字颜色 5 9" xfId="273"/>
    <cellStyle name="20% - 强调文字颜色 6 10" xfId="274"/>
    <cellStyle name="20% - 强调文字颜色 6 11" xfId="275"/>
    <cellStyle name="20% - 强调文字颜色 6 12" xfId="276"/>
    <cellStyle name="20% - 强调文字颜色 6 13" xfId="277"/>
    <cellStyle name="20% - 强调文字颜色 6 14" xfId="278"/>
    <cellStyle name="20% - 强调文字颜色 6 15" xfId="279"/>
    <cellStyle name="20% - 强调文字颜色 6 16" xfId="280"/>
    <cellStyle name="20% - 强调文字颜色 6 17" xfId="281"/>
    <cellStyle name="20% - 强调文字颜色 6 18" xfId="282"/>
    <cellStyle name="20% - 强调文字颜色 6 19" xfId="283"/>
    <cellStyle name="20% - 强调文字颜色 6 2" xfId="284"/>
    <cellStyle name="20% - 强调文字颜色 6 2 2" xfId="285"/>
    <cellStyle name="20% - 强调文字颜色 6 20" xfId="286"/>
    <cellStyle name="20% - 强调文字颜色 6 21" xfId="287"/>
    <cellStyle name="20% - 强调文字颜色 6 22" xfId="288"/>
    <cellStyle name="20% - 强调文字颜色 6 23" xfId="289"/>
    <cellStyle name="20% - 强调文字颜色 6 24" xfId="290"/>
    <cellStyle name="20% - 强调文字颜色 6 25" xfId="291"/>
    <cellStyle name="20% - 强调文字颜色 6 26" xfId="292"/>
    <cellStyle name="20% - 强调文字颜色 6 27" xfId="293"/>
    <cellStyle name="20% - 强调文字颜色 6 28" xfId="294"/>
    <cellStyle name="20% - 强调文字颜色 6 29" xfId="295"/>
    <cellStyle name="20% - 强调文字颜色 6 3" xfId="296"/>
    <cellStyle name="20% - 强调文字颜色 6 3 2" xfId="297"/>
    <cellStyle name="20% - 强调文字颜色 6 30" xfId="298"/>
    <cellStyle name="20% - 强调文字颜色 6 31" xfId="299"/>
    <cellStyle name="20% - 强调文字颜色 6 32" xfId="300"/>
    <cellStyle name="20% - 强调文字颜色 6 33" xfId="301"/>
    <cellStyle name="20% - 强调文字颜色 6 34" xfId="302"/>
    <cellStyle name="20% - 强调文字颜色 6 35" xfId="303"/>
    <cellStyle name="20% - 强调文字颜色 6 36" xfId="304"/>
    <cellStyle name="20% - 强调文字颜色 6 37" xfId="305"/>
    <cellStyle name="20% - 强调文字颜色 6 38" xfId="306"/>
    <cellStyle name="20% - 强调文字颜色 6 39" xfId="307"/>
    <cellStyle name="20% - 强调文字颜色 6 4" xfId="308"/>
    <cellStyle name="20% - 强调文字颜色 6 40" xfId="309"/>
    <cellStyle name="20% - 强调文字颜色 6 41" xfId="310"/>
    <cellStyle name="20% - 强调文字颜色 6 42" xfId="311"/>
    <cellStyle name="20% - 强调文字颜色 6 43" xfId="312"/>
    <cellStyle name="20% - 强调文字颜色 6 44" xfId="313"/>
    <cellStyle name="20% - 强调文字颜色 6 5" xfId="314"/>
    <cellStyle name="20% - 强调文字颜色 6 6" xfId="315"/>
    <cellStyle name="20% - 强调文字颜色 6 7" xfId="316"/>
    <cellStyle name="20% - 强调文字颜色 6 8" xfId="317"/>
    <cellStyle name="20% - 强调文字颜色 6 9" xfId="318"/>
    <cellStyle name="40% - 强调文字颜色 1 10" xfId="319"/>
    <cellStyle name="40% - 强调文字颜色 1 11" xfId="320"/>
    <cellStyle name="40% - 强调文字颜色 1 12" xfId="321"/>
    <cellStyle name="40% - 强调文字颜色 1 13" xfId="322"/>
    <cellStyle name="40% - 强调文字颜色 1 14" xfId="323"/>
    <cellStyle name="40% - 强调文字颜色 1 15" xfId="324"/>
    <cellStyle name="40% - 强调文字颜色 1 16" xfId="325"/>
    <cellStyle name="40% - 强调文字颜色 1 17" xfId="326"/>
    <cellStyle name="40% - 强调文字颜色 1 18" xfId="327"/>
    <cellStyle name="40% - 强调文字颜色 1 19" xfId="328"/>
    <cellStyle name="40% - 强调文字颜色 1 2" xfId="329"/>
    <cellStyle name="40% - 强调文字颜色 1 2 2" xfId="330"/>
    <cellStyle name="40% - 强调文字颜色 1 20" xfId="331"/>
    <cellStyle name="40% - 强调文字颜色 1 21" xfId="332"/>
    <cellStyle name="40% - 强调文字颜色 1 22" xfId="333"/>
    <cellStyle name="40% - 强调文字颜色 1 23" xfId="334"/>
    <cellStyle name="40% - 强调文字颜色 1 24" xfId="335"/>
    <cellStyle name="40% - 强调文字颜色 1 25" xfId="336"/>
    <cellStyle name="40% - 强调文字颜色 1 26" xfId="337"/>
    <cellStyle name="40% - 强调文字颜色 1 27" xfId="338"/>
    <cellStyle name="40% - 强调文字颜色 1 28" xfId="339"/>
    <cellStyle name="40% - 强调文字颜色 1 29" xfId="340"/>
    <cellStyle name="40% - 强调文字颜色 1 3" xfId="341"/>
    <cellStyle name="40% - 强调文字颜色 1 3 2" xfId="342"/>
    <cellStyle name="40% - 强调文字颜色 1 30" xfId="343"/>
    <cellStyle name="40% - 强调文字颜色 1 31" xfId="344"/>
    <cellStyle name="40% - 强调文字颜色 1 32" xfId="345"/>
    <cellStyle name="40% - 强调文字颜色 1 33" xfId="346"/>
    <cellStyle name="40% - 强调文字颜色 1 34" xfId="347"/>
    <cellStyle name="40% - 强调文字颜色 1 35" xfId="348"/>
    <cellStyle name="40% - 强调文字颜色 1 36" xfId="349"/>
    <cellStyle name="40% - 强调文字颜色 1 37" xfId="350"/>
    <cellStyle name="40% - 强调文字颜色 1 38" xfId="351"/>
    <cellStyle name="40% - 强调文字颜色 1 39" xfId="352"/>
    <cellStyle name="40% - 强调文字颜色 1 4" xfId="353"/>
    <cellStyle name="40% - 强调文字颜色 1 40" xfId="354"/>
    <cellStyle name="40% - 强调文字颜色 1 41" xfId="355"/>
    <cellStyle name="40% - 强调文字颜色 1 42" xfId="356"/>
    <cellStyle name="40% - 强调文字颜色 1 43" xfId="357"/>
    <cellStyle name="40% - 强调文字颜色 1 44" xfId="358"/>
    <cellStyle name="40% - 强调文字颜色 1 5" xfId="359"/>
    <cellStyle name="40% - 强调文字颜色 1 6" xfId="360"/>
    <cellStyle name="40% - 强调文字颜色 1 7" xfId="361"/>
    <cellStyle name="40% - 强调文字颜色 1 8" xfId="362"/>
    <cellStyle name="40% - 强调文字颜色 1 9" xfId="363"/>
    <cellStyle name="40% - 强调文字颜色 2 10" xfId="364"/>
    <cellStyle name="40% - 强调文字颜色 2 11" xfId="365"/>
    <cellStyle name="40% - 强调文字颜色 2 12" xfId="366"/>
    <cellStyle name="40% - 强调文字颜色 2 13" xfId="367"/>
    <cellStyle name="40% - 强调文字颜色 2 14" xfId="368"/>
    <cellStyle name="40% - 强调文字颜色 2 15" xfId="369"/>
    <cellStyle name="40% - 强调文字颜色 2 16" xfId="370"/>
    <cellStyle name="40% - 强调文字颜色 2 17" xfId="371"/>
    <cellStyle name="40% - 强调文字颜色 2 18" xfId="372"/>
    <cellStyle name="40% - 强调文字颜色 2 19" xfId="373"/>
    <cellStyle name="40% - 强调文字颜色 2 2" xfId="374"/>
    <cellStyle name="40% - 强调文字颜色 2 2 2" xfId="375"/>
    <cellStyle name="40% - 强调文字颜色 2 20" xfId="376"/>
    <cellStyle name="40% - 强调文字颜色 2 21" xfId="377"/>
    <cellStyle name="40% - 强调文字颜色 2 22" xfId="378"/>
    <cellStyle name="40% - 强调文字颜色 2 23" xfId="379"/>
    <cellStyle name="40% - 强调文字颜色 2 24" xfId="380"/>
    <cellStyle name="40% - 强调文字颜色 2 25" xfId="381"/>
    <cellStyle name="40% - 强调文字颜色 2 26" xfId="382"/>
    <cellStyle name="40% - 强调文字颜色 2 27" xfId="383"/>
    <cellStyle name="40% - 强调文字颜色 2 28" xfId="384"/>
    <cellStyle name="40% - 强调文字颜色 2 29" xfId="385"/>
    <cellStyle name="40% - 强调文字颜色 2 3" xfId="386"/>
    <cellStyle name="40% - 强调文字颜色 2 3 2" xfId="387"/>
    <cellStyle name="40% - 强调文字颜色 2 30" xfId="388"/>
    <cellStyle name="40% - 强调文字颜色 2 31" xfId="389"/>
    <cellStyle name="40% - 强调文字颜色 2 32" xfId="390"/>
    <cellStyle name="40% - 强调文字颜色 2 33" xfId="391"/>
    <cellStyle name="40% - 强调文字颜色 2 34" xfId="392"/>
    <cellStyle name="40% - 强调文字颜色 2 35" xfId="393"/>
    <cellStyle name="40% - 强调文字颜色 2 36" xfId="394"/>
    <cellStyle name="40% - 强调文字颜色 2 37" xfId="395"/>
    <cellStyle name="40% - 强调文字颜色 2 38" xfId="396"/>
    <cellStyle name="40% - 强调文字颜色 2 39" xfId="397"/>
    <cellStyle name="40% - 强调文字颜色 2 4" xfId="398"/>
    <cellStyle name="40% - 强调文字颜色 2 40" xfId="399"/>
    <cellStyle name="40% - 强调文字颜色 2 41" xfId="400"/>
    <cellStyle name="40% - 强调文字颜色 2 42" xfId="401"/>
    <cellStyle name="40% - 强调文字颜色 2 43" xfId="402"/>
    <cellStyle name="40% - 强调文字颜色 2 44" xfId="403"/>
    <cellStyle name="40% - 强调文字颜色 2 5" xfId="404"/>
    <cellStyle name="40% - 强调文字颜色 2 6" xfId="405"/>
    <cellStyle name="40% - 强调文字颜色 2 7" xfId="406"/>
    <cellStyle name="40% - 强调文字颜色 2 8" xfId="407"/>
    <cellStyle name="40% - 强调文字颜色 2 9" xfId="408"/>
    <cellStyle name="40% - 强调文字颜色 3 10" xfId="409"/>
    <cellStyle name="40% - 强调文字颜色 3 11" xfId="410"/>
    <cellStyle name="40% - 强调文字颜色 3 12" xfId="411"/>
    <cellStyle name="40% - 强调文字颜色 3 13" xfId="412"/>
    <cellStyle name="40% - 强调文字颜色 3 14" xfId="413"/>
    <cellStyle name="40% - 强调文字颜色 3 15" xfId="414"/>
    <cellStyle name="40% - 强调文字颜色 3 16" xfId="415"/>
    <cellStyle name="40% - 强调文字颜色 3 17" xfId="416"/>
    <cellStyle name="40% - 强调文字颜色 3 18" xfId="417"/>
    <cellStyle name="40% - 强调文字颜色 3 19" xfId="418"/>
    <cellStyle name="40% - 强调文字颜色 3 2" xfId="419"/>
    <cellStyle name="40% - 强调文字颜色 3 2 2" xfId="420"/>
    <cellStyle name="40% - 强调文字颜色 3 20" xfId="421"/>
    <cellStyle name="40% - 强调文字颜色 3 21" xfId="422"/>
    <cellStyle name="40% - 强调文字颜色 3 22" xfId="423"/>
    <cellStyle name="40% - 强调文字颜色 3 23" xfId="424"/>
    <cellStyle name="40% - 强调文字颜色 3 24" xfId="425"/>
    <cellStyle name="40% - 强调文字颜色 3 25" xfId="426"/>
    <cellStyle name="40% - 强调文字颜色 3 26" xfId="427"/>
    <cellStyle name="40% - 强调文字颜色 3 27" xfId="428"/>
    <cellStyle name="40% - 强调文字颜色 3 28" xfId="429"/>
    <cellStyle name="40% - 强调文字颜色 3 29" xfId="430"/>
    <cellStyle name="40% - 强调文字颜色 3 3" xfId="431"/>
    <cellStyle name="40% - 强调文字颜色 3 3 2" xfId="432"/>
    <cellStyle name="40% - 强调文字颜色 3 30" xfId="433"/>
    <cellStyle name="40% - 强调文字颜色 3 31" xfId="434"/>
    <cellStyle name="40% - 强调文字颜色 3 32" xfId="435"/>
    <cellStyle name="40% - 强调文字颜色 3 33" xfId="436"/>
    <cellStyle name="40% - 强调文字颜色 3 34" xfId="437"/>
    <cellStyle name="40% - 强调文字颜色 3 35" xfId="438"/>
    <cellStyle name="40% - 强调文字颜色 3 36" xfId="439"/>
    <cellStyle name="40% - 强调文字颜色 3 37" xfId="440"/>
    <cellStyle name="40% - 强调文字颜色 3 38" xfId="441"/>
    <cellStyle name="40% - 强调文字颜色 3 39" xfId="442"/>
    <cellStyle name="40% - 强调文字颜色 3 4" xfId="443"/>
    <cellStyle name="40% - 强调文字颜色 3 40" xfId="444"/>
    <cellStyle name="40% - 强调文字颜色 3 41" xfId="445"/>
    <cellStyle name="40% - 强调文字颜色 3 42" xfId="446"/>
    <cellStyle name="40% - 强调文字颜色 3 43" xfId="447"/>
    <cellStyle name="40% - 强调文字颜色 3 44" xfId="448"/>
    <cellStyle name="40% - 强调文字颜色 3 5" xfId="449"/>
    <cellStyle name="40% - 强调文字颜色 3 6" xfId="450"/>
    <cellStyle name="40% - 强调文字颜色 3 7" xfId="451"/>
    <cellStyle name="40% - 强调文字颜色 3 8" xfId="452"/>
    <cellStyle name="40% - 强调文字颜色 3 9" xfId="453"/>
    <cellStyle name="40% - 强调文字颜色 4 10" xfId="454"/>
    <cellStyle name="40% - 强调文字颜色 4 11" xfId="455"/>
    <cellStyle name="40% - 强调文字颜色 4 12" xfId="456"/>
    <cellStyle name="40% - 强调文字颜色 4 13" xfId="457"/>
    <cellStyle name="40% - 强调文字颜色 4 14" xfId="458"/>
    <cellStyle name="40% - 强调文字颜色 4 15" xfId="459"/>
    <cellStyle name="40% - 强调文字颜色 4 16" xfId="460"/>
    <cellStyle name="40% - 强调文字颜色 4 17" xfId="461"/>
    <cellStyle name="40% - 强调文字颜色 4 18" xfId="462"/>
    <cellStyle name="40% - 强调文字颜色 4 19" xfId="463"/>
    <cellStyle name="40% - 强调文字颜色 4 2" xfId="464"/>
    <cellStyle name="40% - 强调文字颜色 4 2 2" xfId="465"/>
    <cellStyle name="40% - 强调文字颜色 4 20" xfId="466"/>
    <cellStyle name="40% - 强调文字颜色 4 21" xfId="467"/>
    <cellStyle name="40% - 强调文字颜色 4 22" xfId="468"/>
    <cellStyle name="40% - 强调文字颜色 4 23" xfId="469"/>
    <cellStyle name="40% - 强调文字颜色 4 24" xfId="470"/>
    <cellStyle name="40% - 强调文字颜色 4 25" xfId="471"/>
    <cellStyle name="40% - 强调文字颜色 4 26" xfId="472"/>
    <cellStyle name="40% - 强调文字颜色 4 27" xfId="473"/>
    <cellStyle name="40% - 强调文字颜色 4 28" xfId="474"/>
    <cellStyle name="40% - 强调文字颜色 4 29" xfId="475"/>
    <cellStyle name="40% - 强调文字颜色 4 3" xfId="476"/>
    <cellStyle name="40% - 强调文字颜色 4 3 2" xfId="477"/>
    <cellStyle name="40% - 强调文字颜色 4 30" xfId="478"/>
    <cellStyle name="40% - 强调文字颜色 4 31" xfId="479"/>
    <cellStyle name="40% - 强调文字颜色 4 32" xfId="480"/>
    <cellStyle name="40% - 强调文字颜色 4 33" xfId="481"/>
    <cellStyle name="40% - 强调文字颜色 4 34" xfId="482"/>
    <cellStyle name="40% - 强调文字颜色 4 35" xfId="483"/>
    <cellStyle name="40% - 强调文字颜色 4 36" xfId="484"/>
    <cellStyle name="40% - 强调文字颜色 4 37" xfId="485"/>
    <cellStyle name="40% - 强调文字颜色 4 38" xfId="486"/>
    <cellStyle name="40% - 强调文字颜色 4 39" xfId="487"/>
    <cellStyle name="40% - 强调文字颜色 4 4" xfId="488"/>
    <cellStyle name="40% - 强调文字颜色 4 40" xfId="489"/>
    <cellStyle name="40% - 强调文字颜色 4 41" xfId="490"/>
    <cellStyle name="40% - 强调文字颜色 4 42" xfId="491"/>
    <cellStyle name="40% - 强调文字颜色 4 43" xfId="492"/>
    <cellStyle name="40% - 强调文字颜色 4 44" xfId="493"/>
    <cellStyle name="40% - 强调文字颜色 4 5" xfId="494"/>
    <cellStyle name="40% - 强调文字颜色 4 6" xfId="495"/>
    <cellStyle name="40% - 强调文字颜色 4 7" xfId="496"/>
    <cellStyle name="40% - 强调文字颜色 4 8" xfId="497"/>
    <cellStyle name="40% - 强调文字颜色 4 9" xfId="498"/>
    <cellStyle name="40% - 强调文字颜色 5 10" xfId="499"/>
    <cellStyle name="40% - 强调文字颜色 5 11" xfId="500"/>
    <cellStyle name="40% - 强调文字颜色 5 12" xfId="501"/>
    <cellStyle name="40% - 强调文字颜色 5 13" xfId="502"/>
    <cellStyle name="40% - 强调文字颜色 5 14" xfId="503"/>
    <cellStyle name="40% - 强调文字颜色 5 15" xfId="504"/>
    <cellStyle name="40% - 强调文字颜色 5 16" xfId="505"/>
    <cellStyle name="40% - 强调文字颜色 5 17" xfId="506"/>
    <cellStyle name="40% - 强调文字颜色 5 18" xfId="507"/>
    <cellStyle name="40% - 强调文字颜色 5 19" xfId="508"/>
    <cellStyle name="40% - 强调文字颜色 5 2" xfId="509"/>
    <cellStyle name="40% - 强调文字颜色 5 2 2" xfId="510"/>
    <cellStyle name="40% - 强调文字颜色 5 20" xfId="511"/>
    <cellStyle name="40% - 强调文字颜色 5 21" xfId="512"/>
    <cellStyle name="40% - 强调文字颜色 5 22" xfId="513"/>
    <cellStyle name="40% - 强调文字颜色 5 23" xfId="514"/>
    <cellStyle name="40% - 强调文字颜色 5 24" xfId="515"/>
    <cellStyle name="40% - 强调文字颜色 5 25" xfId="516"/>
    <cellStyle name="40% - 强调文字颜色 5 26" xfId="517"/>
    <cellStyle name="40% - 强调文字颜色 5 27" xfId="518"/>
    <cellStyle name="40% - 强调文字颜色 5 28" xfId="519"/>
    <cellStyle name="40% - 强调文字颜色 5 29" xfId="520"/>
    <cellStyle name="40% - 强调文字颜色 5 3" xfId="521"/>
    <cellStyle name="40% - 强调文字颜色 5 3 2" xfId="522"/>
    <cellStyle name="40% - 强调文字颜色 5 30" xfId="523"/>
    <cellStyle name="40% - 强调文字颜色 5 31" xfId="524"/>
    <cellStyle name="40% - 强调文字颜色 5 32" xfId="525"/>
    <cellStyle name="40% - 强调文字颜色 5 33" xfId="526"/>
    <cellStyle name="40% - 强调文字颜色 5 34" xfId="527"/>
    <cellStyle name="40% - 强调文字颜色 5 35" xfId="528"/>
    <cellStyle name="40% - 强调文字颜色 5 36" xfId="529"/>
    <cellStyle name="40% - 强调文字颜色 5 37" xfId="530"/>
    <cellStyle name="40% - 强调文字颜色 5 38" xfId="531"/>
    <cellStyle name="40% - 强调文字颜色 5 39" xfId="532"/>
    <cellStyle name="40% - 强调文字颜色 5 4" xfId="533"/>
    <cellStyle name="40% - 强调文字颜色 5 40" xfId="534"/>
    <cellStyle name="40% - 强调文字颜色 5 41" xfId="535"/>
    <cellStyle name="40% - 强调文字颜色 5 42" xfId="536"/>
    <cellStyle name="40% - 强调文字颜色 5 43" xfId="537"/>
    <cellStyle name="40% - 强调文字颜色 5 44" xfId="538"/>
    <cellStyle name="40% - 强调文字颜色 5 5" xfId="539"/>
    <cellStyle name="40% - 强调文字颜色 5 6" xfId="540"/>
    <cellStyle name="40% - 强调文字颜色 5 7" xfId="541"/>
    <cellStyle name="40% - 强调文字颜色 5 8" xfId="542"/>
    <cellStyle name="40% - 强调文字颜色 5 9" xfId="543"/>
    <cellStyle name="40% - 强调文字颜色 6 10" xfId="544"/>
    <cellStyle name="40% - 强调文字颜色 6 11" xfId="545"/>
    <cellStyle name="40% - 强调文字颜色 6 12" xfId="546"/>
    <cellStyle name="40% - 强调文字颜色 6 13" xfId="547"/>
    <cellStyle name="40% - 强调文字颜色 6 14" xfId="548"/>
    <cellStyle name="40% - 强调文字颜色 6 15" xfId="549"/>
    <cellStyle name="40% - 强调文字颜色 6 16" xfId="550"/>
    <cellStyle name="40% - 强调文字颜色 6 17" xfId="551"/>
    <cellStyle name="40% - 强调文字颜色 6 18" xfId="552"/>
    <cellStyle name="40% - 强调文字颜色 6 19" xfId="553"/>
    <cellStyle name="40% - 强调文字颜色 6 2" xfId="554"/>
    <cellStyle name="40% - 强调文字颜色 6 2 2" xfId="555"/>
    <cellStyle name="40% - 强调文字颜色 6 20" xfId="556"/>
    <cellStyle name="40% - 强调文字颜色 6 21" xfId="557"/>
    <cellStyle name="40% - 强调文字颜色 6 22" xfId="558"/>
    <cellStyle name="40% - 强调文字颜色 6 23" xfId="559"/>
    <cellStyle name="40% - 强调文字颜色 6 24" xfId="560"/>
    <cellStyle name="40% - 强调文字颜色 6 25" xfId="561"/>
    <cellStyle name="40% - 强调文字颜色 6 26" xfId="562"/>
    <cellStyle name="40% - 强调文字颜色 6 27" xfId="563"/>
    <cellStyle name="40% - 强调文字颜色 6 28" xfId="564"/>
    <cellStyle name="40% - 强调文字颜色 6 29" xfId="565"/>
    <cellStyle name="40% - 强调文字颜色 6 3" xfId="566"/>
    <cellStyle name="40% - 强调文字颜色 6 3 2" xfId="567"/>
    <cellStyle name="40% - 强调文字颜色 6 30" xfId="568"/>
    <cellStyle name="40% - 强调文字颜色 6 31" xfId="569"/>
    <cellStyle name="40% - 强调文字颜色 6 32" xfId="570"/>
    <cellStyle name="40% - 强调文字颜色 6 33" xfId="571"/>
    <cellStyle name="40% - 强调文字颜色 6 34" xfId="572"/>
    <cellStyle name="40% - 强调文字颜色 6 35" xfId="573"/>
    <cellStyle name="40% - 强调文字颜色 6 36" xfId="574"/>
    <cellStyle name="40% - 强调文字颜色 6 37" xfId="575"/>
    <cellStyle name="40% - 强调文字颜色 6 38" xfId="576"/>
    <cellStyle name="40% - 强调文字颜色 6 39" xfId="577"/>
    <cellStyle name="40% - 强调文字颜色 6 4" xfId="578"/>
    <cellStyle name="40% - 强调文字颜色 6 40" xfId="579"/>
    <cellStyle name="40% - 强调文字颜色 6 41" xfId="580"/>
    <cellStyle name="40% - 强调文字颜色 6 42" xfId="581"/>
    <cellStyle name="40% - 强调文字颜色 6 43" xfId="582"/>
    <cellStyle name="40% - 强调文字颜色 6 44" xfId="583"/>
    <cellStyle name="40% - 强调文字颜色 6 5" xfId="584"/>
    <cellStyle name="40% - 强调文字颜色 6 6" xfId="585"/>
    <cellStyle name="40% - 强调文字颜色 6 7" xfId="586"/>
    <cellStyle name="40% - 强调文字颜色 6 8" xfId="587"/>
    <cellStyle name="40% - 强调文字颜色 6 9" xfId="588"/>
    <cellStyle name="60% - 强调文字颜色 1 10" xfId="589"/>
    <cellStyle name="60% - 强调文字颜色 1 11" xfId="590"/>
    <cellStyle name="60% - 强调文字颜色 1 12" xfId="591"/>
    <cellStyle name="60% - 强调文字颜色 1 13" xfId="592"/>
    <cellStyle name="60% - 强调文字颜色 1 14" xfId="593"/>
    <cellStyle name="60% - 强调文字颜色 1 15" xfId="594"/>
    <cellStyle name="60% - 强调文字颜色 1 16" xfId="595"/>
    <cellStyle name="60% - 强调文字颜色 1 17" xfId="596"/>
    <cellStyle name="60% - 强调文字颜色 1 18" xfId="597"/>
    <cellStyle name="60% - 强调文字颜色 1 19" xfId="598"/>
    <cellStyle name="60% - 强调文字颜色 1 2" xfId="599"/>
    <cellStyle name="60% - 强调文字颜色 1 2 2" xfId="600"/>
    <cellStyle name="60% - 强调文字颜色 1 20" xfId="601"/>
    <cellStyle name="60% - 强调文字颜色 1 21" xfId="602"/>
    <cellStyle name="60% - 强调文字颜色 1 22" xfId="603"/>
    <cellStyle name="60% - 强调文字颜色 1 23" xfId="604"/>
    <cellStyle name="60% - 强调文字颜色 1 24" xfId="605"/>
    <cellStyle name="60% - 强调文字颜色 1 25" xfId="606"/>
    <cellStyle name="60% - 强调文字颜色 1 26" xfId="607"/>
    <cellStyle name="60% - 强调文字颜色 1 27" xfId="608"/>
    <cellStyle name="60% - 强调文字颜色 1 28" xfId="609"/>
    <cellStyle name="60% - 强调文字颜色 1 29" xfId="610"/>
    <cellStyle name="60% - 强调文字颜色 1 3" xfId="611"/>
    <cellStyle name="60% - 强调文字颜色 1 3 2" xfId="612"/>
    <cellStyle name="60% - 强调文字颜色 1 30" xfId="613"/>
    <cellStyle name="60% - 强调文字颜色 1 31" xfId="614"/>
    <cellStyle name="60% - 强调文字颜色 1 32" xfId="615"/>
    <cellStyle name="60% - 强调文字颜色 1 33" xfId="616"/>
    <cellStyle name="60% - 强调文字颜色 1 34" xfId="617"/>
    <cellStyle name="60% - 强调文字颜色 1 35" xfId="618"/>
    <cellStyle name="60% - 强调文字颜色 1 36" xfId="619"/>
    <cellStyle name="60% - 强调文字颜色 1 37" xfId="620"/>
    <cellStyle name="60% - 强调文字颜色 1 38" xfId="621"/>
    <cellStyle name="60% - 强调文字颜色 1 39" xfId="622"/>
    <cellStyle name="60% - 强调文字颜色 1 4" xfId="623"/>
    <cellStyle name="60% - 强调文字颜色 1 40" xfId="624"/>
    <cellStyle name="60% - 强调文字颜色 1 41" xfId="625"/>
    <cellStyle name="60% - 强调文字颜色 1 42" xfId="626"/>
    <cellStyle name="60% - 强调文字颜色 1 43" xfId="627"/>
    <cellStyle name="60% - 强调文字颜色 1 44" xfId="628"/>
    <cellStyle name="60% - 强调文字颜色 1 5" xfId="629"/>
    <cellStyle name="60% - 强调文字颜色 1 6" xfId="630"/>
    <cellStyle name="60% - 强调文字颜色 1 7" xfId="631"/>
    <cellStyle name="60% - 强调文字颜色 1 8" xfId="632"/>
    <cellStyle name="60% - 强调文字颜色 1 9" xfId="633"/>
    <cellStyle name="60% - 强调文字颜色 2 10" xfId="634"/>
    <cellStyle name="60% - 强调文字颜色 2 11" xfId="635"/>
    <cellStyle name="60% - 强调文字颜色 2 12" xfId="636"/>
    <cellStyle name="60% - 强调文字颜色 2 13" xfId="637"/>
    <cellStyle name="60% - 强调文字颜色 2 14" xfId="638"/>
    <cellStyle name="60% - 强调文字颜色 2 15" xfId="639"/>
    <cellStyle name="60% - 强调文字颜色 2 16" xfId="640"/>
    <cellStyle name="60% - 强调文字颜色 2 17" xfId="641"/>
    <cellStyle name="60% - 强调文字颜色 2 18" xfId="642"/>
    <cellStyle name="60% - 强调文字颜色 2 19" xfId="643"/>
    <cellStyle name="60% - 强调文字颜色 2 2" xfId="644"/>
    <cellStyle name="60% - 强调文字颜色 2 2 2" xfId="645"/>
    <cellStyle name="60% - 强调文字颜色 2 20" xfId="646"/>
    <cellStyle name="60% - 强调文字颜色 2 21" xfId="647"/>
    <cellStyle name="60% - 强调文字颜色 2 22" xfId="648"/>
    <cellStyle name="60% - 强调文字颜色 2 23" xfId="649"/>
    <cellStyle name="60% - 强调文字颜色 2 24" xfId="650"/>
    <cellStyle name="60% - 强调文字颜色 2 25" xfId="651"/>
    <cellStyle name="60% - 强调文字颜色 2 26" xfId="652"/>
    <cellStyle name="60% - 强调文字颜色 2 27" xfId="653"/>
    <cellStyle name="60% - 强调文字颜色 2 28" xfId="654"/>
    <cellStyle name="60% - 强调文字颜色 2 29" xfId="655"/>
    <cellStyle name="60% - 强调文字颜色 2 3" xfId="656"/>
    <cellStyle name="60% - 强调文字颜色 2 3 2" xfId="657"/>
    <cellStyle name="60% - 强调文字颜色 2 30" xfId="658"/>
    <cellStyle name="60% - 强调文字颜色 2 31" xfId="659"/>
    <cellStyle name="60% - 强调文字颜色 2 32" xfId="660"/>
    <cellStyle name="60% - 强调文字颜色 2 33" xfId="661"/>
    <cellStyle name="60% - 强调文字颜色 2 34" xfId="662"/>
    <cellStyle name="60% - 强调文字颜色 2 35" xfId="663"/>
    <cellStyle name="60% - 强调文字颜色 2 36" xfId="664"/>
    <cellStyle name="60% - 强调文字颜色 2 37" xfId="665"/>
    <cellStyle name="60% - 强调文字颜色 2 38" xfId="666"/>
    <cellStyle name="60% - 强调文字颜色 2 39" xfId="667"/>
    <cellStyle name="60% - 强调文字颜色 2 4" xfId="668"/>
    <cellStyle name="60% - 强调文字颜色 2 40" xfId="669"/>
    <cellStyle name="60% - 强调文字颜色 2 41" xfId="670"/>
    <cellStyle name="60% - 强调文字颜色 2 42" xfId="671"/>
    <cellStyle name="60% - 强调文字颜色 2 43" xfId="672"/>
    <cellStyle name="60% - 强调文字颜色 2 44" xfId="673"/>
    <cellStyle name="60% - 强调文字颜色 2 5" xfId="674"/>
    <cellStyle name="60% - 强调文字颜色 2 6" xfId="675"/>
    <cellStyle name="60% - 强调文字颜色 2 7" xfId="676"/>
    <cellStyle name="60% - 强调文字颜色 2 8" xfId="677"/>
    <cellStyle name="60% - 强调文字颜色 2 9" xfId="678"/>
    <cellStyle name="60% - 强调文字颜色 3 10" xfId="679"/>
    <cellStyle name="60% - 强调文字颜色 3 11" xfId="680"/>
    <cellStyle name="60% - 强调文字颜色 3 12" xfId="681"/>
    <cellStyle name="60% - 强调文字颜色 3 13" xfId="682"/>
    <cellStyle name="60% - 强调文字颜色 3 14" xfId="683"/>
    <cellStyle name="60% - 强调文字颜色 3 15" xfId="684"/>
    <cellStyle name="60% - 强调文字颜色 3 16" xfId="685"/>
    <cellStyle name="60% - 强调文字颜色 3 17" xfId="686"/>
    <cellStyle name="60% - 强调文字颜色 3 18" xfId="687"/>
    <cellStyle name="60% - 强调文字颜色 3 19" xfId="688"/>
    <cellStyle name="60% - 强调文字颜色 3 2" xfId="689"/>
    <cellStyle name="60% - 强调文字颜色 3 2 2" xfId="690"/>
    <cellStyle name="60% - 强调文字颜色 3 20" xfId="691"/>
    <cellStyle name="60% - 强调文字颜色 3 21" xfId="692"/>
    <cellStyle name="60% - 强调文字颜色 3 22" xfId="693"/>
    <cellStyle name="60% - 强调文字颜色 3 23" xfId="694"/>
    <cellStyle name="60% - 强调文字颜色 3 24" xfId="695"/>
    <cellStyle name="60% - 强调文字颜色 3 25" xfId="696"/>
    <cellStyle name="60% - 强调文字颜色 3 26" xfId="697"/>
    <cellStyle name="60% - 强调文字颜色 3 27" xfId="698"/>
    <cellStyle name="60% - 强调文字颜色 3 28" xfId="699"/>
    <cellStyle name="60% - 强调文字颜色 3 29" xfId="700"/>
    <cellStyle name="60% - 强调文字颜色 3 3" xfId="701"/>
    <cellStyle name="60% - 强调文字颜色 3 3 2" xfId="702"/>
    <cellStyle name="60% - 强调文字颜色 3 30" xfId="703"/>
    <cellStyle name="60% - 强调文字颜色 3 31" xfId="704"/>
    <cellStyle name="60% - 强调文字颜色 3 32" xfId="705"/>
    <cellStyle name="60% - 强调文字颜色 3 33" xfId="706"/>
    <cellStyle name="60% - 强调文字颜色 3 34" xfId="707"/>
    <cellStyle name="60% - 强调文字颜色 3 35" xfId="708"/>
    <cellStyle name="60% - 强调文字颜色 3 36" xfId="709"/>
    <cellStyle name="60% - 强调文字颜色 3 37" xfId="710"/>
    <cellStyle name="60% - 强调文字颜色 3 38" xfId="711"/>
    <cellStyle name="60% - 强调文字颜色 3 39" xfId="712"/>
    <cellStyle name="60% - 强调文字颜色 3 4" xfId="713"/>
    <cellStyle name="60% - 强调文字颜色 3 40" xfId="714"/>
    <cellStyle name="60% - 强调文字颜色 3 41" xfId="715"/>
    <cellStyle name="60% - 强调文字颜色 3 42" xfId="716"/>
    <cellStyle name="60% - 强调文字颜色 3 43" xfId="717"/>
    <cellStyle name="60% - 强调文字颜色 3 44" xfId="718"/>
    <cellStyle name="60% - 强调文字颜色 3 5" xfId="719"/>
    <cellStyle name="60% - 强调文字颜色 3 6" xfId="720"/>
    <cellStyle name="60% - 强调文字颜色 3 7" xfId="721"/>
    <cellStyle name="60% - 强调文字颜色 3 8" xfId="722"/>
    <cellStyle name="60% - 强调文字颜色 3 9" xfId="723"/>
    <cellStyle name="60% - 强调文字颜色 4 10" xfId="724"/>
    <cellStyle name="60% - 强调文字颜色 4 11" xfId="725"/>
    <cellStyle name="60% - 强调文字颜色 4 12" xfId="726"/>
    <cellStyle name="60% - 强调文字颜色 4 13" xfId="727"/>
    <cellStyle name="60% - 强调文字颜色 4 14" xfId="728"/>
    <cellStyle name="60% - 强调文字颜色 4 15" xfId="729"/>
    <cellStyle name="60% - 强调文字颜色 4 16" xfId="730"/>
    <cellStyle name="60% - 强调文字颜色 4 17" xfId="731"/>
    <cellStyle name="60% - 强调文字颜色 4 18" xfId="732"/>
    <cellStyle name="60% - 强调文字颜色 4 19" xfId="733"/>
    <cellStyle name="60% - 强调文字颜色 4 2" xfId="734"/>
    <cellStyle name="60% - 强调文字颜色 4 2 2" xfId="735"/>
    <cellStyle name="60% - 强调文字颜色 4 20" xfId="736"/>
    <cellStyle name="60% - 强调文字颜色 4 21" xfId="737"/>
    <cellStyle name="60% - 强调文字颜色 4 22" xfId="738"/>
    <cellStyle name="60% - 强调文字颜色 4 23" xfId="739"/>
    <cellStyle name="60% - 强调文字颜色 4 24" xfId="740"/>
    <cellStyle name="60% - 强调文字颜色 4 25" xfId="741"/>
    <cellStyle name="60% - 强调文字颜色 4 26" xfId="742"/>
    <cellStyle name="60% - 强调文字颜色 4 27" xfId="743"/>
    <cellStyle name="60% - 强调文字颜色 4 28" xfId="744"/>
    <cellStyle name="60% - 强调文字颜色 4 29" xfId="745"/>
    <cellStyle name="60% - 强调文字颜色 4 3" xfId="746"/>
    <cellStyle name="60% - 强调文字颜色 4 3 2" xfId="747"/>
    <cellStyle name="60% - 强调文字颜色 4 30" xfId="748"/>
    <cellStyle name="60% - 强调文字颜色 4 31" xfId="749"/>
    <cellStyle name="60% - 强调文字颜色 4 32" xfId="750"/>
    <cellStyle name="60% - 强调文字颜色 4 33" xfId="751"/>
    <cellStyle name="60% - 强调文字颜色 4 34" xfId="752"/>
    <cellStyle name="60% - 强调文字颜色 4 35" xfId="753"/>
    <cellStyle name="60% - 强调文字颜色 4 36" xfId="754"/>
    <cellStyle name="60% - 强调文字颜色 4 37" xfId="755"/>
    <cellStyle name="60% - 强调文字颜色 4 38" xfId="756"/>
    <cellStyle name="60% - 强调文字颜色 4 39" xfId="757"/>
    <cellStyle name="60% - 强调文字颜色 4 4" xfId="758"/>
    <cellStyle name="60% - 强调文字颜色 4 40" xfId="759"/>
    <cellStyle name="60% - 强调文字颜色 4 41" xfId="760"/>
    <cellStyle name="60% - 强调文字颜色 4 42" xfId="761"/>
    <cellStyle name="60% - 强调文字颜色 4 43" xfId="762"/>
    <cellStyle name="60% - 强调文字颜色 4 44" xfId="763"/>
    <cellStyle name="60% - 强调文字颜色 4 5" xfId="764"/>
    <cellStyle name="60% - 强调文字颜色 4 6" xfId="765"/>
    <cellStyle name="60% - 强调文字颜色 4 7" xfId="766"/>
    <cellStyle name="60% - 强调文字颜色 4 8" xfId="767"/>
    <cellStyle name="60% - 强调文字颜色 4 9" xfId="768"/>
    <cellStyle name="60% - 强调文字颜色 5 10" xfId="769"/>
    <cellStyle name="60% - 强调文字颜色 5 11" xfId="770"/>
    <cellStyle name="60% - 强调文字颜色 5 12" xfId="771"/>
    <cellStyle name="60% - 强调文字颜色 5 13" xfId="772"/>
    <cellStyle name="60% - 强调文字颜色 5 14" xfId="773"/>
    <cellStyle name="60% - 强调文字颜色 5 15" xfId="774"/>
    <cellStyle name="60% - 强调文字颜色 5 16" xfId="775"/>
    <cellStyle name="60% - 强调文字颜色 5 17" xfId="776"/>
    <cellStyle name="60% - 强调文字颜色 5 18" xfId="777"/>
    <cellStyle name="60% - 强调文字颜色 5 19" xfId="778"/>
    <cellStyle name="60% - 强调文字颜色 5 2" xfId="779"/>
    <cellStyle name="60% - 强调文字颜色 5 2 2" xfId="780"/>
    <cellStyle name="60% - 强调文字颜色 5 20" xfId="781"/>
    <cellStyle name="60% - 强调文字颜色 5 21" xfId="782"/>
    <cellStyle name="60% - 强调文字颜色 5 22" xfId="783"/>
    <cellStyle name="60% - 强调文字颜色 5 23" xfId="784"/>
    <cellStyle name="60% - 强调文字颜色 5 24" xfId="785"/>
    <cellStyle name="60% - 强调文字颜色 5 25" xfId="786"/>
    <cellStyle name="60% - 强调文字颜色 5 26" xfId="787"/>
    <cellStyle name="60% - 强调文字颜色 5 27" xfId="788"/>
    <cellStyle name="60% - 强调文字颜色 5 28" xfId="789"/>
    <cellStyle name="60% - 强调文字颜色 5 29" xfId="790"/>
    <cellStyle name="60% - 强调文字颜色 5 3" xfId="791"/>
    <cellStyle name="60% - 强调文字颜色 5 3 2" xfId="792"/>
    <cellStyle name="60% - 强调文字颜色 5 30" xfId="793"/>
    <cellStyle name="60% - 强调文字颜色 5 31" xfId="794"/>
    <cellStyle name="60% - 强调文字颜色 5 32" xfId="795"/>
    <cellStyle name="60% - 强调文字颜色 5 33" xfId="796"/>
    <cellStyle name="60% - 强调文字颜色 5 34" xfId="797"/>
    <cellStyle name="60% - 强调文字颜色 5 35" xfId="798"/>
    <cellStyle name="60% - 强调文字颜色 5 36" xfId="799"/>
    <cellStyle name="60% - 强调文字颜色 5 37" xfId="800"/>
    <cellStyle name="60% - 强调文字颜色 5 38" xfId="801"/>
    <cellStyle name="60% - 强调文字颜色 5 39" xfId="802"/>
    <cellStyle name="60% - 强调文字颜色 5 4" xfId="803"/>
    <cellStyle name="60% - 强调文字颜色 5 40" xfId="804"/>
    <cellStyle name="60% - 强调文字颜色 5 41" xfId="805"/>
    <cellStyle name="60% - 强调文字颜色 5 42" xfId="806"/>
    <cellStyle name="60% - 强调文字颜色 5 43" xfId="807"/>
    <cellStyle name="60% - 强调文字颜色 5 44" xfId="808"/>
    <cellStyle name="60% - 强调文字颜色 5 5" xfId="809"/>
    <cellStyle name="60% - 强调文字颜色 5 6" xfId="810"/>
    <cellStyle name="60% - 强调文字颜色 5 7" xfId="811"/>
    <cellStyle name="60% - 强调文字颜色 5 8" xfId="812"/>
    <cellStyle name="60% - 强调文字颜色 5 9" xfId="813"/>
    <cellStyle name="60% - 强调文字颜色 6 10" xfId="814"/>
    <cellStyle name="60% - 强调文字颜色 6 11" xfId="815"/>
    <cellStyle name="60% - 强调文字颜色 6 12" xfId="816"/>
    <cellStyle name="60% - 强调文字颜色 6 13" xfId="817"/>
    <cellStyle name="60% - 强调文字颜色 6 14" xfId="818"/>
    <cellStyle name="60% - 强调文字颜色 6 15" xfId="819"/>
    <cellStyle name="60% - 强调文字颜色 6 16" xfId="820"/>
    <cellStyle name="60% - 强调文字颜色 6 17" xfId="821"/>
    <cellStyle name="60% - 强调文字颜色 6 18" xfId="822"/>
    <cellStyle name="60% - 强调文字颜色 6 19" xfId="823"/>
    <cellStyle name="60% - 强调文字颜色 6 2" xfId="824"/>
    <cellStyle name="60% - 强调文字颜色 6 2 2" xfId="825"/>
    <cellStyle name="60% - 强调文字颜色 6 20" xfId="826"/>
    <cellStyle name="60% - 强调文字颜色 6 21" xfId="827"/>
    <cellStyle name="60% - 强调文字颜色 6 22" xfId="828"/>
    <cellStyle name="60% - 强调文字颜色 6 23" xfId="829"/>
    <cellStyle name="60% - 强调文字颜色 6 24" xfId="830"/>
    <cellStyle name="60% - 强调文字颜色 6 25" xfId="831"/>
    <cellStyle name="60% - 强调文字颜色 6 26" xfId="832"/>
    <cellStyle name="60% - 强调文字颜色 6 27" xfId="833"/>
    <cellStyle name="60% - 强调文字颜色 6 28" xfId="834"/>
    <cellStyle name="60% - 强调文字颜色 6 29" xfId="835"/>
    <cellStyle name="60% - 强调文字颜色 6 3" xfId="836"/>
    <cellStyle name="60% - 强调文字颜色 6 3 2" xfId="837"/>
    <cellStyle name="60% - 强调文字颜色 6 30" xfId="838"/>
    <cellStyle name="60% - 强调文字颜色 6 31" xfId="839"/>
    <cellStyle name="60% - 强调文字颜色 6 32" xfId="840"/>
    <cellStyle name="60% - 强调文字颜色 6 33" xfId="841"/>
    <cellStyle name="60% - 强调文字颜色 6 34" xfId="842"/>
    <cellStyle name="60% - 强调文字颜色 6 35" xfId="843"/>
    <cellStyle name="60% - 强调文字颜色 6 36" xfId="844"/>
    <cellStyle name="60% - 强调文字颜色 6 37" xfId="845"/>
    <cellStyle name="60% - 强调文字颜色 6 38" xfId="846"/>
    <cellStyle name="60% - 强调文字颜色 6 39" xfId="847"/>
    <cellStyle name="60% - 强调文字颜色 6 4" xfId="848"/>
    <cellStyle name="60% - 强调文字颜色 6 40" xfId="849"/>
    <cellStyle name="60% - 强调文字颜色 6 41" xfId="850"/>
    <cellStyle name="60% - 强调文字颜色 6 42" xfId="851"/>
    <cellStyle name="60% - 强调文字颜色 6 43" xfId="852"/>
    <cellStyle name="60% - 强调文字颜色 6 44" xfId="853"/>
    <cellStyle name="60% - 强调文字颜色 6 5" xfId="854"/>
    <cellStyle name="60% - 强调文字颜色 6 6" xfId="855"/>
    <cellStyle name="60% - 强调文字颜色 6 7" xfId="856"/>
    <cellStyle name="60% - 强调文字颜色 6 8" xfId="857"/>
    <cellStyle name="60% - 强调文字颜色 6 9" xfId="858"/>
    <cellStyle name="Calc Currency (0)" xfId="859"/>
    <cellStyle name="ColLevel_0" xfId="860"/>
    <cellStyle name="Comma [0]_ SG&amp;A Bridge " xfId="861"/>
    <cellStyle name="Comma_ SG&amp;A Bridge " xfId="862"/>
    <cellStyle name="Currency [0]_ SG&amp;A Bridge " xfId="863"/>
    <cellStyle name="Currency_ SG&amp;A Bridge " xfId="864"/>
    <cellStyle name="Header1" xfId="865"/>
    <cellStyle name="Header2" xfId="866"/>
    <cellStyle name="Normal" xfId="867"/>
    <cellStyle name="RowLevel_0" xfId="868"/>
    <cellStyle name="百分比 2" xfId="869"/>
    <cellStyle name="百分比 3" xfId="870"/>
    <cellStyle name="捠壿 [0.00]_PRODUCT DETAIL Q1" xfId="871"/>
    <cellStyle name="捠壿_PRODUCT DETAIL Q1" xfId="872"/>
    <cellStyle name="标题 1 10" xfId="873"/>
    <cellStyle name="标题 1 11" xfId="874"/>
    <cellStyle name="标题 1 12" xfId="875"/>
    <cellStyle name="标题 1 13" xfId="876"/>
    <cellStyle name="标题 1 14" xfId="877"/>
    <cellStyle name="标题 1 15" xfId="878"/>
    <cellStyle name="标题 1 16" xfId="879"/>
    <cellStyle name="标题 1 17" xfId="880"/>
    <cellStyle name="标题 1 18" xfId="881"/>
    <cellStyle name="标题 1 19" xfId="882"/>
    <cellStyle name="标题 1 2" xfId="883"/>
    <cellStyle name="标题 1 20" xfId="884"/>
    <cellStyle name="标题 1 21" xfId="885"/>
    <cellStyle name="标题 1 22" xfId="886"/>
    <cellStyle name="标题 1 23" xfId="887"/>
    <cellStyle name="标题 1 24" xfId="888"/>
    <cellStyle name="标题 1 25" xfId="889"/>
    <cellStyle name="标题 1 26" xfId="890"/>
    <cellStyle name="标题 1 27" xfId="891"/>
    <cellStyle name="标题 1 28" xfId="892"/>
    <cellStyle name="标题 1 29" xfId="893"/>
    <cellStyle name="标题 1 3" xfId="894"/>
    <cellStyle name="标题 1 30" xfId="895"/>
    <cellStyle name="标题 1 31" xfId="896"/>
    <cellStyle name="标题 1 32" xfId="897"/>
    <cellStyle name="标题 1 33" xfId="898"/>
    <cellStyle name="标题 1 34" xfId="899"/>
    <cellStyle name="标题 1 35" xfId="900"/>
    <cellStyle name="标题 1 36" xfId="901"/>
    <cellStyle name="标题 1 37" xfId="902"/>
    <cellStyle name="标题 1 38" xfId="903"/>
    <cellStyle name="标题 1 39" xfId="904"/>
    <cellStyle name="标题 1 4" xfId="905"/>
    <cellStyle name="标题 1 40" xfId="906"/>
    <cellStyle name="标题 1 41" xfId="907"/>
    <cellStyle name="标题 1 42" xfId="908"/>
    <cellStyle name="标题 1 43" xfId="909"/>
    <cellStyle name="标题 1 5" xfId="910"/>
    <cellStyle name="标题 1 6" xfId="911"/>
    <cellStyle name="标题 1 7" xfId="912"/>
    <cellStyle name="标题 1 8" xfId="913"/>
    <cellStyle name="标题 1 9" xfId="914"/>
    <cellStyle name="标题 10" xfId="915"/>
    <cellStyle name="标题 11" xfId="916"/>
    <cellStyle name="标题 12" xfId="917"/>
    <cellStyle name="标题 13" xfId="918"/>
    <cellStyle name="标题 14" xfId="919"/>
    <cellStyle name="标题 15" xfId="920"/>
    <cellStyle name="标题 16" xfId="921"/>
    <cellStyle name="标题 17" xfId="922"/>
    <cellStyle name="标题 18" xfId="923"/>
    <cellStyle name="标题 19" xfId="924"/>
    <cellStyle name="标题 2 10" xfId="925"/>
    <cellStyle name="标题 2 11" xfId="926"/>
    <cellStyle name="标题 2 12" xfId="927"/>
    <cellStyle name="标题 2 13" xfId="928"/>
    <cellStyle name="标题 2 14" xfId="929"/>
    <cellStyle name="标题 2 15" xfId="930"/>
    <cellStyle name="标题 2 16" xfId="931"/>
    <cellStyle name="标题 2 17" xfId="932"/>
    <cellStyle name="标题 2 18" xfId="933"/>
    <cellStyle name="标题 2 19" xfId="934"/>
    <cellStyle name="标题 2 2" xfId="935"/>
    <cellStyle name="标题 2 20" xfId="936"/>
    <cellStyle name="标题 2 21" xfId="937"/>
    <cellStyle name="标题 2 22" xfId="938"/>
    <cellStyle name="标题 2 23" xfId="939"/>
    <cellStyle name="标题 2 24" xfId="940"/>
    <cellStyle name="标题 2 25" xfId="941"/>
    <cellStyle name="标题 2 26" xfId="942"/>
    <cellStyle name="标题 2 27" xfId="943"/>
    <cellStyle name="标题 2 28" xfId="944"/>
    <cellStyle name="标题 2 29" xfId="945"/>
    <cellStyle name="标题 2 3" xfId="946"/>
    <cellStyle name="标题 2 30" xfId="947"/>
    <cellStyle name="标题 2 31" xfId="948"/>
    <cellStyle name="标题 2 32" xfId="949"/>
    <cellStyle name="标题 2 33" xfId="950"/>
    <cellStyle name="标题 2 34" xfId="951"/>
    <cellStyle name="标题 2 35" xfId="952"/>
    <cellStyle name="标题 2 36" xfId="953"/>
    <cellStyle name="标题 2 37" xfId="954"/>
    <cellStyle name="标题 2 38" xfId="955"/>
    <cellStyle name="标题 2 39" xfId="956"/>
    <cellStyle name="标题 2 4" xfId="957"/>
    <cellStyle name="标题 2 40" xfId="958"/>
    <cellStyle name="标题 2 41" xfId="959"/>
    <cellStyle name="标题 2 42" xfId="960"/>
    <cellStyle name="标题 2 43" xfId="961"/>
    <cellStyle name="标题 2 5" xfId="962"/>
    <cellStyle name="标题 2 6" xfId="963"/>
    <cellStyle name="标题 2 7" xfId="964"/>
    <cellStyle name="标题 2 8" xfId="965"/>
    <cellStyle name="标题 2 9" xfId="966"/>
    <cellStyle name="标题 20" xfId="967"/>
    <cellStyle name="标题 21" xfId="968"/>
    <cellStyle name="标题 22" xfId="969"/>
    <cellStyle name="标题 23" xfId="970"/>
    <cellStyle name="标题 24" xfId="971"/>
    <cellStyle name="标题 25" xfId="972"/>
    <cellStyle name="标题 26" xfId="973"/>
    <cellStyle name="标题 27" xfId="974"/>
    <cellStyle name="标题 28" xfId="975"/>
    <cellStyle name="标题 29" xfId="976"/>
    <cellStyle name="标题 3 10" xfId="977"/>
    <cellStyle name="标题 3 11" xfId="978"/>
    <cellStyle name="标题 3 12" xfId="979"/>
    <cellStyle name="标题 3 13" xfId="980"/>
    <cellStyle name="标题 3 14" xfId="981"/>
    <cellStyle name="标题 3 15" xfId="982"/>
    <cellStyle name="标题 3 16" xfId="983"/>
    <cellStyle name="标题 3 17" xfId="984"/>
    <cellStyle name="标题 3 18" xfId="985"/>
    <cellStyle name="标题 3 19" xfId="986"/>
    <cellStyle name="标题 3 2" xfId="987"/>
    <cellStyle name="标题 3 20" xfId="988"/>
    <cellStyle name="标题 3 21" xfId="989"/>
    <cellStyle name="标题 3 22" xfId="990"/>
    <cellStyle name="标题 3 23" xfId="991"/>
    <cellStyle name="标题 3 24" xfId="992"/>
    <cellStyle name="标题 3 25" xfId="993"/>
    <cellStyle name="标题 3 26" xfId="994"/>
    <cellStyle name="标题 3 27" xfId="995"/>
    <cellStyle name="标题 3 28" xfId="996"/>
    <cellStyle name="标题 3 29" xfId="997"/>
    <cellStyle name="标题 3 3" xfId="998"/>
    <cellStyle name="标题 3 30" xfId="999"/>
    <cellStyle name="标题 3 31" xfId="1000"/>
    <cellStyle name="标题 3 32" xfId="1001"/>
    <cellStyle name="标题 3 33" xfId="1002"/>
    <cellStyle name="标题 3 34" xfId="1003"/>
    <cellStyle name="标题 3 35" xfId="1004"/>
    <cellStyle name="标题 3 36" xfId="1005"/>
    <cellStyle name="标题 3 37" xfId="1006"/>
    <cellStyle name="标题 3 38" xfId="1007"/>
    <cellStyle name="标题 3 39" xfId="1008"/>
    <cellStyle name="标题 3 4" xfId="1009"/>
    <cellStyle name="标题 3 40" xfId="1010"/>
    <cellStyle name="标题 3 41" xfId="1011"/>
    <cellStyle name="标题 3 42" xfId="1012"/>
    <cellStyle name="标题 3 43" xfId="1013"/>
    <cellStyle name="标题 3 5" xfId="1014"/>
    <cellStyle name="标题 3 6" xfId="1015"/>
    <cellStyle name="标题 3 7" xfId="1016"/>
    <cellStyle name="标题 3 8" xfId="1017"/>
    <cellStyle name="标题 3 9" xfId="1018"/>
    <cellStyle name="标题 30" xfId="1019"/>
    <cellStyle name="标题 31" xfId="1020"/>
    <cellStyle name="标题 32" xfId="1021"/>
    <cellStyle name="标题 33" xfId="1022"/>
    <cellStyle name="标题 34" xfId="1023"/>
    <cellStyle name="标题 35" xfId="1024"/>
    <cellStyle name="标题 36" xfId="1025"/>
    <cellStyle name="标题 37" xfId="1026"/>
    <cellStyle name="标题 38" xfId="1027"/>
    <cellStyle name="标题 39" xfId="1028"/>
    <cellStyle name="标题 4 10" xfId="1029"/>
    <cellStyle name="标题 4 11" xfId="1030"/>
    <cellStyle name="标题 4 12" xfId="1031"/>
    <cellStyle name="标题 4 13" xfId="1032"/>
    <cellStyle name="标题 4 14" xfId="1033"/>
    <cellStyle name="标题 4 15" xfId="1034"/>
    <cellStyle name="标题 4 16" xfId="1035"/>
    <cellStyle name="标题 4 17" xfId="1036"/>
    <cellStyle name="标题 4 18" xfId="1037"/>
    <cellStyle name="标题 4 19" xfId="1038"/>
    <cellStyle name="标题 4 2" xfId="1039"/>
    <cellStyle name="标题 4 20" xfId="1040"/>
    <cellStyle name="标题 4 21" xfId="1041"/>
    <cellStyle name="标题 4 22" xfId="1042"/>
    <cellStyle name="标题 4 23" xfId="1043"/>
    <cellStyle name="标题 4 24" xfId="1044"/>
    <cellStyle name="标题 4 25" xfId="1045"/>
    <cellStyle name="标题 4 26" xfId="1046"/>
    <cellStyle name="标题 4 27" xfId="1047"/>
    <cellStyle name="标题 4 28" xfId="1048"/>
    <cellStyle name="标题 4 29" xfId="1049"/>
    <cellStyle name="标题 4 3" xfId="1050"/>
    <cellStyle name="标题 4 30" xfId="1051"/>
    <cellStyle name="标题 4 31" xfId="1052"/>
    <cellStyle name="标题 4 32" xfId="1053"/>
    <cellStyle name="标题 4 33" xfId="1054"/>
    <cellStyle name="标题 4 34" xfId="1055"/>
    <cellStyle name="标题 4 35" xfId="1056"/>
    <cellStyle name="标题 4 36" xfId="1057"/>
    <cellStyle name="标题 4 37" xfId="1058"/>
    <cellStyle name="标题 4 38" xfId="1059"/>
    <cellStyle name="标题 4 39" xfId="1060"/>
    <cellStyle name="标题 4 4" xfId="1061"/>
    <cellStyle name="标题 4 40" xfId="1062"/>
    <cellStyle name="标题 4 41" xfId="1063"/>
    <cellStyle name="标题 4 42" xfId="1064"/>
    <cellStyle name="标题 4 43" xfId="1065"/>
    <cellStyle name="标题 4 5" xfId="1066"/>
    <cellStyle name="标题 4 6" xfId="1067"/>
    <cellStyle name="标题 4 7" xfId="1068"/>
    <cellStyle name="标题 4 8" xfId="1069"/>
    <cellStyle name="标题 4 9" xfId="1070"/>
    <cellStyle name="标题 40" xfId="1071"/>
    <cellStyle name="标题 41" xfId="1072"/>
    <cellStyle name="标题 42" xfId="1073"/>
    <cellStyle name="标题 43" xfId="1074"/>
    <cellStyle name="标题 44" xfId="1075"/>
    <cellStyle name="标题 45" xfId="1076"/>
    <cellStyle name="标题 46" xfId="1077"/>
    <cellStyle name="标题 5" xfId="1078"/>
    <cellStyle name="标题 6" xfId="1079"/>
    <cellStyle name="标题 7" xfId="1080"/>
    <cellStyle name="标题 8" xfId="1081"/>
    <cellStyle name="标题 9" xfId="1082"/>
    <cellStyle name="差 10" xfId="1083"/>
    <cellStyle name="差 11" xfId="1084"/>
    <cellStyle name="差 12" xfId="1085"/>
    <cellStyle name="差 13" xfId="1086"/>
    <cellStyle name="差 14" xfId="1087"/>
    <cellStyle name="差 15" xfId="1088"/>
    <cellStyle name="差 16" xfId="1089"/>
    <cellStyle name="差 17" xfId="1090"/>
    <cellStyle name="差 18" xfId="1091"/>
    <cellStyle name="差 19" xfId="1092"/>
    <cellStyle name="差 2" xfId="1093"/>
    <cellStyle name="差 20" xfId="1094"/>
    <cellStyle name="差 21" xfId="1095"/>
    <cellStyle name="差 22" xfId="1096"/>
    <cellStyle name="差 23" xfId="1097"/>
    <cellStyle name="差 24" xfId="1098"/>
    <cellStyle name="差 25" xfId="1099"/>
    <cellStyle name="差 26" xfId="1100"/>
    <cellStyle name="差 27" xfId="1101"/>
    <cellStyle name="差 28" xfId="1102"/>
    <cellStyle name="差 29" xfId="1103"/>
    <cellStyle name="差 3" xfId="1104"/>
    <cellStyle name="差 30" xfId="1105"/>
    <cellStyle name="差 31" xfId="1106"/>
    <cellStyle name="差 32" xfId="1107"/>
    <cellStyle name="差 33" xfId="1108"/>
    <cellStyle name="差 34" xfId="1109"/>
    <cellStyle name="差 35" xfId="1110"/>
    <cellStyle name="差 36" xfId="1111"/>
    <cellStyle name="差 37" xfId="1112"/>
    <cellStyle name="差 38" xfId="1113"/>
    <cellStyle name="差 39" xfId="1114"/>
    <cellStyle name="差 4" xfId="1115"/>
    <cellStyle name="差 40" xfId="1116"/>
    <cellStyle name="差 41" xfId="1117"/>
    <cellStyle name="差 42" xfId="1118"/>
    <cellStyle name="差 43" xfId="1119"/>
    <cellStyle name="差 5" xfId="1120"/>
    <cellStyle name="差 6" xfId="1121"/>
    <cellStyle name="差 7" xfId="1122"/>
    <cellStyle name="差 8" xfId="1123"/>
    <cellStyle name="差 9" xfId="1124"/>
    <cellStyle name="差_01标段封面目录总说明汇总及其他项目20100602_李芯园" xfId="1125"/>
    <cellStyle name="差_01标段封面目录总说明汇总及其他项目20100602_李芯园_项目成本预算表" xfId="1126"/>
    <cellStyle name="差_03标段封面目录总说明汇总及其他项目20100529李" xfId="1127"/>
    <cellStyle name="差_03标段封面目录总说明汇总及其他项目20100529李_项目成本预算表" xfId="1128"/>
    <cellStyle name="差_03标段封面目录总说明汇总及其他项目20100609－HDM" xfId="1129"/>
    <cellStyle name="差_03标段封面目录总说明汇总及其他项目20100609－HDM_项目成本预算表" xfId="1130"/>
    <cellStyle name="差_2.3标段清单 03.03" xfId="1131"/>
    <cellStyle name="差_2.3标段清单 03.03_项目成本预算表" xfId="1132"/>
    <cellStyle name="差_A1#楼清单汇总版20100601-李芯园" xfId="1133"/>
    <cellStyle name="差_A1#楼清单汇总版20100601-李芯园_项目成本预算表" xfId="1134"/>
    <cellStyle name="差_A1#楼清单汇总版20100604-HDM-lxy" xfId="1135"/>
    <cellStyle name="差_A1#楼清单汇总版20100604-HDM-lxy_项目成本预算表" xfId="1136"/>
    <cellStyle name="差_A3#楼清单-汇总版20100529-各专业" xfId="1137"/>
    <cellStyle name="差_A3#楼清单-汇总版20100529-各专业_项目成本预算表" xfId="1138"/>
    <cellStyle name="差_A-5#楼清单汇总(20100528--李、刘、吴）" xfId="1139"/>
    <cellStyle name="差_A区A-3#楼(工程量清单电气 20100528--WY）" xfId="1140"/>
    <cellStyle name="差_A区工程量清单--1#(电气汇总版20100529）" xfId="1141"/>
    <cellStyle name="差_B2地下车库清单" xfId="1142"/>
    <cellStyle name="差_B9#楼清单-水暖汇总版20100528刘、胡" xfId="1143"/>
    <cellStyle name="差_B9#楼清单-水暖汇总版20100528刘、胡_项目成本预算表" xfId="1144"/>
    <cellStyle name="差_按支付方式划分的清单" xfId="1145"/>
    <cellStyle name="差_措施" xfId="1146"/>
    <cellStyle name="差_封面20100609" xfId="1147"/>
    <cellStyle name="差_封面20100609_项目成本预算表" xfId="1148"/>
    <cellStyle name="差_附件一-成都双流国际机场大站坪西区工程工程量清单20101108" xfId="1149"/>
    <cellStyle name="差_附录一" xfId="1150"/>
    <cellStyle name="差_附录一_项目成本预算表" xfId="1151"/>
    <cellStyle name="差_工程量清单（航空加油站电气--按指挥部意见修改 20100321）" xfId="1152"/>
    <cellStyle name="差_工程量清单（航空加油站电气--按指挥部意见修改 20100321）_首都国际机场中央跑道北端新建除冰坪工程项目飞行区消防工程-20100809" xfId="1153"/>
    <cellStyle name="差_工程量清单（机场油库电气）--按指挥部意见修改 20100321" xfId="1154"/>
    <cellStyle name="差_工程量清单（机场油库电气）--按指挥部意见修改 20100321_首都国际机场中央跑道北端新建除冰坪工程项目飞行区消防工程-20100809" xfId="1155"/>
    <cellStyle name="差_公安安检用房工程量清单20100323（安装）" xfId="1156"/>
    <cellStyle name="差_江西景德镇机场-航站楼室内外装饰工程(工程量清单)" xfId="1157"/>
    <cellStyle name="差_江西景德镇机场-航站楼室内外装饰工程(工程量清单)_项目成本预算表" xfId="1158"/>
    <cellStyle name="差_昆明新机场供油工程01标段-机场油库工程安装工程" xfId="1159"/>
    <cellStyle name="差_昆明新机场供油工程01标段-机场油库工程安装工程_3#楼通风-胡" xfId="1160"/>
    <cellStyle name="差_昆明新机场供油工程01标段-机场油库工程安装工程_3#楼通风-胡_项目成本预算表" xfId="1161"/>
    <cellStyle name="差_昆明新机场供油工程01标段-机场油库工程安装工程_项目成本预算表" xfId="1162"/>
    <cellStyle name="差_昆明新机场供油工程01标段-机场油库工程安装工程-刘、吴" xfId="1163"/>
    <cellStyle name="差_昆明新机场供油工程01标段-机场油库工程安装工程-刘、吴_3#楼通风-胡" xfId="1164"/>
    <cellStyle name="差_昆明新机场供油工程01标段-机场油库工程安装工程-刘、吴_3#楼通风-胡_项目成本预算表" xfId="1165"/>
    <cellStyle name="差_昆明新机场供油工程01标段-机场油库工程安装工程-刘、吴_项目成本预算表" xfId="1166"/>
    <cellStyle name="差_民航局招待所改造给排水清单-20100705" xfId="1167"/>
    <cellStyle name="差_民航局招待所改造给排水清单-20100705_项目成本预算表" xfId="1168"/>
    <cellStyle name="差_南昌昌北国际机场扩建工程总图工程NC-ZT-01标段清单-20100504-lrr" xfId="1169"/>
    <cellStyle name="差_南昌总图2标段工程量清单20090617" xfId="1170"/>
    <cellStyle name="差_首地.首城9#楼" xfId="1171"/>
    <cellStyle name="差_首地.首城9#楼-0510李芯园" xfId="1172"/>
    <cellStyle name="差_首地.首城A-1#楼" xfId="1173"/>
    <cellStyle name="差_首地.首城A-1#楼-李" xfId="1174"/>
    <cellStyle name="差_首地.首城A-3#楼" xfId="1175"/>
    <cellStyle name="差_首地.首城A-3#楼-李" xfId="1176"/>
    <cellStyle name="差_说明--WY" xfId="1177"/>
    <cellStyle name="差_说明--WY_项目成本预算表" xfId="1178"/>
    <cellStyle name="差_武汉天河机场A380备降场改造工程清单20100602胡柳" xfId="1179"/>
    <cellStyle name="差_武汉天河机场A380备降场改造工程清单20100602胡柳_项目成本预算表" xfId="1180"/>
    <cellStyle name="差_长春B区03标段封面目录总说明及汇总20100507" xfId="1181"/>
    <cellStyle name="差_长春B区03标段封面目录总说明及汇总20100507_项目成本预算表" xfId="1182"/>
    <cellStyle name="常规 10" xfId="1183"/>
    <cellStyle name="常规 10 2" xfId="1184"/>
    <cellStyle name="常规 10 2 2" xfId="1185"/>
    <cellStyle name="常规 10 2_项目成本预算表" xfId="1186"/>
    <cellStyle name="常规 10 3" xfId="1187"/>
    <cellStyle name="常规 11" xfId="1188"/>
    <cellStyle name="常规 11 2" xfId="1189"/>
    <cellStyle name="常规 11 2 2" xfId="1190"/>
    <cellStyle name="常规 11 2_项目成本预算表" xfId="1191"/>
    <cellStyle name="常规 11 3" xfId="1192"/>
    <cellStyle name="常规 12" xfId="1193"/>
    <cellStyle name="常规 12 2" xfId="1194"/>
    <cellStyle name="常规 12 3" xfId="1195"/>
    <cellStyle name="常规 13" xfId="1196"/>
    <cellStyle name="常规 13 2" xfId="1197"/>
    <cellStyle name="常规 14" xfId="1198"/>
    <cellStyle name="常规 14 2" xfId="1199"/>
    <cellStyle name="常规 15" xfId="1200"/>
    <cellStyle name="常规 15 2" xfId="1201"/>
    <cellStyle name="常规 16" xfId="1202"/>
    <cellStyle name="常规 17" xfId="1203"/>
    <cellStyle name="常规 18" xfId="1204"/>
    <cellStyle name="常规 19" xfId="1205"/>
    <cellStyle name="常规 2" xfId="1206"/>
    <cellStyle name="常规 2 2" xfId="1207"/>
    <cellStyle name="常规 2 2 2" xfId="1208"/>
    <cellStyle name="常规 2 2_项目成本预算表" xfId="1209"/>
    <cellStyle name="常规 2 3" xfId="1210"/>
    <cellStyle name="常规 2 3 2" xfId="1211"/>
    <cellStyle name="常规 2 3_项目成本预算表" xfId="1212"/>
    <cellStyle name="常规 2 4" xfId="1213"/>
    <cellStyle name="常规 2_03标段封面目录总说明汇总及其他项目20100609－HDM" xfId="1214"/>
    <cellStyle name="常规 20" xfId="1215"/>
    <cellStyle name="常规 21" xfId="1216"/>
    <cellStyle name="常规 22" xfId="1217"/>
    <cellStyle name="常规 23" xfId="1218"/>
    <cellStyle name="常规 24" xfId="1219"/>
    <cellStyle name="常规 25" xfId="1220"/>
    <cellStyle name="常规 26" xfId="1221"/>
    <cellStyle name="常规 27" xfId="1222"/>
    <cellStyle name="常规 28" xfId="1223"/>
    <cellStyle name="常规 29" xfId="1224"/>
    <cellStyle name="常规 3" xfId="1225"/>
    <cellStyle name="常规 3 2" xfId="1226"/>
    <cellStyle name="常规 3 2 2" xfId="1227"/>
    <cellStyle name="常规 3 2_项目成本预算表" xfId="1228"/>
    <cellStyle name="常规 3 3" xfId="1229"/>
    <cellStyle name="常规 3 4" xfId="1230"/>
    <cellStyle name="常规 3_3#楼通风-胡" xfId="1231"/>
    <cellStyle name="常规 30" xfId="1232"/>
    <cellStyle name="常规 31" xfId="1233"/>
    <cellStyle name="常规 32" xfId="1234"/>
    <cellStyle name="常规 33" xfId="1235"/>
    <cellStyle name="常规 34" xfId="1236"/>
    <cellStyle name="常规 35" xfId="1237"/>
    <cellStyle name="常规 36" xfId="1238"/>
    <cellStyle name="常规 37" xfId="1239"/>
    <cellStyle name="常规 38" xfId="1240"/>
    <cellStyle name="常规 39" xfId="1241"/>
    <cellStyle name="常规 4" xfId="1242"/>
    <cellStyle name="常规 4 2" xfId="1243"/>
    <cellStyle name="常规 4 2 2" xfId="1244"/>
    <cellStyle name="常规 4 2_项目成本预算表" xfId="1245"/>
    <cellStyle name="常规 4 3" xfId="1246"/>
    <cellStyle name="常规 4 4" xfId="1247"/>
    <cellStyle name="常规 4_首都国际机场中央跑道北端新建除冰坪工程项目飞行区消防工程-20100809" xfId="1248"/>
    <cellStyle name="常规 40" xfId="1249"/>
    <cellStyle name="常规 41" xfId="1250"/>
    <cellStyle name="常规 42" xfId="1251"/>
    <cellStyle name="常规 43" xfId="1252"/>
    <cellStyle name="常规 44" xfId="1253"/>
    <cellStyle name="常规 45" xfId="1254"/>
    <cellStyle name="常规 46" xfId="1255"/>
    <cellStyle name="常规 47" xfId="1256"/>
    <cellStyle name="常规 48" xfId="1257"/>
    <cellStyle name="常规 49" xfId="1258"/>
    <cellStyle name="常规 5" xfId="1259"/>
    <cellStyle name="常规 5 2" xfId="1260"/>
    <cellStyle name="常规 5 3" xfId="1261"/>
    <cellStyle name="常规 5_首都国际机场中央跑道北端新建除冰坪工程项目飞行区消防工程-20100809" xfId="1262"/>
    <cellStyle name="常规 50" xfId="1263"/>
    <cellStyle name="常规 51" xfId="1264"/>
    <cellStyle name="常规 52" xfId="1265"/>
    <cellStyle name="常规 53" xfId="1266"/>
    <cellStyle name="常规 54" xfId="1267"/>
    <cellStyle name="常规 55" xfId="1268"/>
    <cellStyle name="常规 56" xfId="1269"/>
    <cellStyle name="常规 56 2" xfId="1270"/>
    <cellStyle name="常规 6" xfId="1271"/>
    <cellStyle name="常规 6 2" xfId="1272"/>
    <cellStyle name="常规 6 2 2" xfId="1273"/>
    <cellStyle name="常规 6 2_项目成本预算表" xfId="1274"/>
    <cellStyle name="常规 6 3" xfId="1275"/>
    <cellStyle name="常规 6_3#楼通风-胡" xfId="1276"/>
    <cellStyle name="常规 67" xfId="1277"/>
    <cellStyle name="常规 7" xfId="1278"/>
    <cellStyle name="常规 7 2" xfId="1279"/>
    <cellStyle name="常规 8" xfId="1280"/>
    <cellStyle name="常规 8 2" xfId="1281"/>
    <cellStyle name="常规 9" xfId="1282"/>
    <cellStyle name="常规 9 2" xfId="1283"/>
    <cellStyle name="常规_成本测算资料(双流机场C滑）" xfId="1284"/>
    <cellStyle name="常规_分包合同台账 2" xfId="1285"/>
    <cellStyle name="常规_分部分项工程量清单与计价表" xfId="1286"/>
    <cellStyle name="好 10" xfId="1287"/>
    <cellStyle name="好 11" xfId="1288"/>
    <cellStyle name="好 12" xfId="1289"/>
    <cellStyle name="好 13" xfId="1290"/>
    <cellStyle name="好 14" xfId="1291"/>
    <cellStyle name="好 15" xfId="1292"/>
    <cellStyle name="好 16" xfId="1293"/>
    <cellStyle name="好 17" xfId="1294"/>
    <cellStyle name="好 18" xfId="1295"/>
    <cellStyle name="好 19" xfId="1296"/>
    <cellStyle name="好 2" xfId="1297"/>
    <cellStyle name="好 20" xfId="1298"/>
    <cellStyle name="好 21" xfId="1299"/>
    <cellStyle name="好 22" xfId="1300"/>
    <cellStyle name="好 23" xfId="1301"/>
    <cellStyle name="好 24" xfId="1302"/>
    <cellStyle name="好 25" xfId="1303"/>
    <cellStyle name="好 26" xfId="1304"/>
    <cellStyle name="好 27" xfId="1305"/>
    <cellStyle name="好 28" xfId="1306"/>
    <cellStyle name="好 29" xfId="1307"/>
    <cellStyle name="好 3" xfId="1308"/>
    <cellStyle name="好 30" xfId="1309"/>
    <cellStyle name="好 31" xfId="1310"/>
    <cellStyle name="好 32" xfId="1311"/>
    <cellStyle name="好 33" xfId="1312"/>
    <cellStyle name="好 34" xfId="1313"/>
    <cellStyle name="好 35" xfId="1314"/>
    <cellStyle name="好 36" xfId="1315"/>
    <cellStyle name="好 37" xfId="1316"/>
    <cellStyle name="好 38" xfId="1317"/>
    <cellStyle name="好 39" xfId="1318"/>
    <cellStyle name="好 4" xfId="1319"/>
    <cellStyle name="好 40" xfId="1320"/>
    <cellStyle name="好 41" xfId="1321"/>
    <cellStyle name="好 42" xfId="1322"/>
    <cellStyle name="好 43" xfId="1323"/>
    <cellStyle name="好 5" xfId="1324"/>
    <cellStyle name="好 6" xfId="1325"/>
    <cellStyle name="好 7" xfId="1326"/>
    <cellStyle name="好 8" xfId="1327"/>
    <cellStyle name="好 9" xfId="1328"/>
    <cellStyle name="好_01标段封面目录总说明汇总及其他项目20100602_李芯园" xfId="1329"/>
    <cellStyle name="好_01标段封面目录总说明汇总及其他项目20100602_李芯园_项目成本预算表" xfId="1330"/>
    <cellStyle name="好_03标段封面目录总说明汇总及其他项目20100529李" xfId="1331"/>
    <cellStyle name="好_03标段封面目录总说明汇总及其他项目20100529李_项目成本预算表" xfId="1332"/>
    <cellStyle name="好_03标段封面目录总说明汇总及其他项目20100609－HDM" xfId="1333"/>
    <cellStyle name="好_03标段封面目录总说明汇总及其他项目20100609－HDM_项目成本预算表" xfId="1334"/>
    <cellStyle name="好_2.3标段清单 03.03" xfId="1335"/>
    <cellStyle name="好_2.3标段清单 03.03_项目成本预算表" xfId="1336"/>
    <cellStyle name="好_A1#楼清单汇总版20100601-李芯园" xfId="1337"/>
    <cellStyle name="好_A1#楼清单汇总版20100601-李芯园_项目成本预算表" xfId="1338"/>
    <cellStyle name="好_A1#楼清单汇总版20100604-HDM-lxy" xfId="1339"/>
    <cellStyle name="好_A1#楼清单汇总版20100604-HDM-lxy_项目成本预算表" xfId="1340"/>
    <cellStyle name="好_A3#楼清单-汇总版20100529-各专业" xfId="1341"/>
    <cellStyle name="好_A3#楼清单-汇总版20100529-各专业_项目成本预算表" xfId="1342"/>
    <cellStyle name="好_A-5#楼清单汇总(20100528--李、刘、吴）" xfId="1343"/>
    <cellStyle name="好_A区A-3#楼(工程量清单电气 20100528--WY）" xfId="1344"/>
    <cellStyle name="好_A区工程量清单--1#(电气汇总版20100529）" xfId="1345"/>
    <cellStyle name="好_B2地下车库清单" xfId="1346"/>
    <cellStyle name="好_B9#楼清单-水暖汇总版20100528刘、胡" xfId="1347"/>
    <cellStyle name="好_B9#楼清单-水暖汇总版20100528刘、胡_项目成本预算表" xfId="1348"/>
    <cellStyle name="好_按支付方式划分的清单" xfId="1349"/>
    <cellStyle name="好_措施" xfId="1350"/>
    <cellStyle name="好_封面20100609" xfId="1351"/>
    <cellStyle name="好_封面20100609_项目成本预算表" xfId="1352"/>
    <cellStyle name="好_附件一-成都双流国际机场大站坪西区工程工程量清单20101108" xfId="1353"/>
    <cellStyle name="好_附录一" xfId="1354"/>
    <cellStyle name="好_附录一_项目成本预算表" xfId="1355"/>
    <cellStyle name="好_工程量清单（航空加油站电气--按指挥部意见修改 20100321）" xfId="1356"/>
    <cellStyle name="好_工程量清单（航空加油站电气--按指挥部意见修改 20100321）_首都国际机场中央跑道北端新建除冰坪工程项目飞行区消防工程-20100809" xfId="1357"/>
    <cellStyle name="好_工程量清单（机场油库电气）--按指挥部意见修改 20100321" xfId="1358"/>
    <cellStyle name="好_工程量清单（机场油库电气）--按指挥部意见修改 20100321_首都国际机场中央跑道北端新建除冰坪工程项目飞行区消防工程-20100809" xfId="1359"/>
    <cellStyle name="好_公安安检用房工程量清单20100323（安装）" xfId="1360"/>
    <cellStyle name="好_江西景德镇机场-航站楼室内外装饰工程(工程量清单)" xfId="1361"/>
    <cellStyle name="好_江西景德镇机场-航站楼室内外装饰工程(工程量清单)_项目成本预算表" xfId="1362"/>
    <cellStyle name="好_昆明新机场供油工程01标段-机场油库工程安装工程" xfId="1363"/>
    <cellStyle name="好_昆明新机场供油工程01标段-机场油库工程安装工程_3#楼通风-胡" xfId="1364"/>
    <cellStyle name="好_昆明新机场供油工程01标段-机场油库工程安装工程_3#楼通风-胡_项目成本预算表" xfId="1365"/>
    <cellStyle name="好_昆明新机场供油工程01标段-机场油库工程安装工程_项目成本预算表" xfId="1366"/>
    <cellStyle name="好_昆明新机场供油工程01标段-机场油库工程安装工程-刘、吴" xfId="1367"/>
    <cellStyle name="好_昆明新机场供油工程01标段-机场油库工程安装工程-刘、吴_3#楼通风-胡" xfId="1368"/>
    <cellStyle name="好_昆明新机场供油工程01标段-机场油库工程安装工程-刘、吴_3#楼通风-胡_项目成本预算表" xfId="1369"/>
    <cellStyle name="好_昆明新机场供油工程01标段-机场油库工程安装工程-刘、吴_项目成本预算表" xfId="1370"/>
    <cellStyle name="好_民航局招待所改造给排水清单-20100705" xfId="1371"/>
    <cellStyle name="好_民航局招待所改造给排水清单-20100705_项目成本预算表" xfId="1372"/>
    <cellStyle name="好_南昌昌北国际机场扩建工程总图工程NC-ZT-01标段清单-20100504-lrr" xfId="1373"/>
    <cellStyle name="好_南昌总图2标段工程量清单20090617" xfId="1374"/>
    <cellStyle name="好_首地.首城9#楼" xfId="1375"/>
    <cellStyle name="好_首地.首城9#楼-0510李芯园" xfId="1376"/>
    <cellStyle name="好_首地.首城A-1#楼" xfId="1377"/>
    <cellStyle name="好_首地.首城A-1#楼-李" xfId="1378"/>
    <cellStyle name="好_首地.首城A-3#楼" xfId="1379"/>
    <cellStyle name="好_首地.首城A-3#楼-李" xfId="1380"/>
    <cellStyle name="好_说明--WY" xfId="1381"/>
    <cellStyle name="好_说明--WY_项目成本预算表" xfId="1382"/>
    <cellStyle name="好_武汉天河机场A380备降场改造工程清单20100602胡柳" xfId="1383"/>
    <cellStyle name="好_武汉天河机场A380备降场改造工程清单20100602胡柳_项目成本预算表" xfId="1384"/>
    <cellStyle name="好_长春B区03标段封面目录总说明及汇总20100507" xfId="1385"/>
    <cellStyle name="好_长春B区03标段封面目录总说明及汇总20100507_项目成本预算表" xfId="1386"/>
    <cellStyle name="汇总 10" xfId="1387"/>
    <cellStyle name="汇总 11" xfId="1388"/>
    <cellStyle name="汇总 12" xfId="1389"/>
    <cellStyle name="汇总 13" xfId="1390"/>
    <cellStyle name="汇总 14" xfId="1391"/>
    <cellStyle name="汇总 15" xfId="1392"/>
    <cellStyle name="汇总 16" xfId="1393"/>
    <cellStyle name="汇总 17" xfId="1394"/>
    <cellStyle name="汇总 18" xfId="1395"/>
    <cellStyle name="汇总 19" xfId="1396"/>
    <cellStyle name="汇总 2" xfId="1397"/>
    <cellStyle name="汇总 20" xfId="1398"/>
    <cellStyle name="汇总 21" xfId="1399"/>
    <cellStyle name="汇总 22" xfId="1400"/>
    <cellStyle name="汇总 23" xfId="1401"/>
    <cellStyle name="汇总 24" xfId="1402"/>
    <cellStyle name="汇总 25" xfId="1403"/>
    <cellStyle name="汇总 26" xfId="1404"/>
    <cellStyle name="汇总 27" xfId="1405"/>
    <cellStyle name="汇总 28" xfId="1406"/>
    <cellStyle name="汇总 29" xfId="1407"/>
    <cellStyle name="汇总 3" xfId="1408"/>
    <cellStyle name="汇总 30" xfId="1409"/>
    <cellStyle name="汇总 31" xfId="1410"/>
    <cellStyle name="汇总 32" xfId="1411"/>
    <cellStyle name="汇总 33" xfId="1412"/>
    <cellStyle name="汇总 34" xfId="1413"/>
    <cellStyle name="汇总 35" xfId="1414"/>
    <cellStyle name="汇总 36" xfId="1415"/>
    <cellStyle name="汇总 37" xfId="1416"/>
    <cellStyle name="汇总 38" xfId="1417"/>
    <cellStyle name="汇总 39" xfId="1418"/>
    <cellStyle name="汇总 4" xfId="1419"/>
    <cellStyle name="汇总 40" xfId="1420"/>
    <cellStyle name="汇总 41" xfId="1421"/>
    <cellStyle name="汇总 42" xfId="1422"/>
    <cellStyle name="汇总 43" xfId="1423"/>
    <cellStyle name="汇总 5" xfId="1424"/>
    <cellStyle name="汇总 6" xfId="1425"/>
    <cellStyle name="汇总 7" xfId="1426"/>
    <cellStyle name="汇总 8" xfId="1427"/>
    <cellStyle name="汇总 9" xfId="1428"/>
    <cellStyle name="计算 10" xfId="1429"/>
    <cellStyle name="计算 11" xfId="1430"/>
    <cellStyle name="计算 12" xfId="1431"/>
    <cellStyle name="计算 13" xfId="1432"/>
    <cellStyle name="计算 14" xfId="1433"/>
    <cellStyle name="计算 15" xfId="1434"/>
    <cellStyle name="计算 16" xfId="1435"/>
    <cellStyle name="计算 17" xfId="1436"/>
    <cellStyle name="计算 18" xfId="1437"/>
    <cellStyle name="计算 19" xfId="1438"/>
    <cellStyle name="计算 2" xfId="1439"/>
    <cellStyle name="计算 20" xfId="1440"/>
    <cellStyle name="计算 21" xfId="1441"/>
    <cellStyle name="计算 22" xfId="1442"/>
    <cellStyle name="计算 23" xfId="1443"/>
    <cellStyle name="计算 24" xfId="1444"/>
    <cellStyle name="计算 25" xfId="1445"/>
    <cellStyle name="计算 26" xfId="1446"/>
    <cellStyle name="计算 27" xfId="1447"/>
    <cellStyle name="计算 28" xfId="1448"/>
    <cellStyle name="计算 29" xfId="1449"/>
    <cellStyle name="计算 3" xfId="1450"/>
    <cellStyle name="计算 30" xfId="1451"/>
    <cellStyle name="计算 31" xfId="1452"/>
    <cellStyle name="计算 32" xfId="1453"/>
    <cellStyle name="计算 33" xfId="1454"/>
    <cellStyle name="计算 34" xfId="1455"/>
    <cellStyle name="计算 35" xfId="1456"/>
    <cellStyle name="计算 36" xfId="1457"/>
    <cellStyle name="计算 37" xfId="1458"/>
    <cellStyle name="计算 38" xfId="1459"/>
    <cellStyle name="计算 39" xfId="1460"/>
    <cellStyle name="计算 4" xfId="1461"/>
    <cellStyle name="计算 40" xfId="1462"/>
    <cellStyle name="计算 41" xfId="1463"/>
    <cellStyle name="计算 42" xfId="1464"/>
    <cellStyle name="计算 43" xfId="1465"/>
    <cellStyle name="计算 5" xfId="1466"/>
    <cellStyle name="计算 6" xfId="1467"/>
    <cellStyle name="计算 7" xfId="1468"/>
    <cellStyle name="计算 8" xfId="1469"/>
    <cellStyle name="计算 9" xfId="1470"/>
    <cellStyle name="检查单元格 10" xfId="1471"/>
    <cellStyle name="检查单元格 11" xfId="1472"/>
    <cellStyle name="检查单元格 12" xfId="1473"/>
    <cellStyle name="检查单元格 13" xfId="1474"/>
    <cellStyle name="检查单元格 14" xfId="1475"/>
    <cellStyle name="检查单元格 15" xfId="1476"/>
    <cellStyle name="检查单元格 16" xfId="1477"/>
    <cellStyle name="检查单元格 17" xfId="1478"/>
    <cellStyle name="检查单元格 18" xfId="1479"/>
    <cellStyle name="检查单元格 19" xfId="1480"/>
    <cellStyle name="检查单元格 2" xfId="1481"/>
    <cellStyle name="检查单元格 20" xfId="1482"/>
    <cellStyle name="检查单元格 21" xfId="1483"/>
    <cellStyle name="检查单元格 22" xfId="1484"/>
    <cellStyle name="检查单元格 23" xfId="1485"/>
    <cellStyle name="检查单元格 24" xfId="1486"/>
    <cellStyle name="检查单元格 25" xfId="1487"/>
    <cellStyle name="检查单元格 26" xfId="1488"/>
    <cellStyle name="检查单元格 27" xfId="1489"/>
    <cellStyle name="检查单元格 28" xfId="1490"/>
    <cellStyle name="检查单元格 29" xfId="1491"/>
    <cellStyle name="检查单元格 3" xfId="1492"/>
    <cellStyle name="检查单元格 30" xfId="1493"/>
    <cellStyle name="检查单元格 31" xfId="1494"/>
    <cellStyle name="检查单元格 32" xfId="1495"/>
    <cellStyle name="检查单元格 33" xfId="1496"/>
    <cellStyle name="检查单元格 34" xfId="1497"/>
    <cellStyle name="检查单元格 35" xfId="1498"/>
    <cellStyle name="检查单元格 36" xfId="1499"/>
    <cellStyle name="检查单元格 37" xfId="1500"/>
    <cellStyle name="检查单元格 38" xfId="1501"/>
    <cellStyle name="检查单元格 39" xfId="1502"/>
    <cellStyle name="检查单元格 4" xfId="1503"/>
    <cellStyle name="检查单元格 40" xfId="1504"/>
    <cellStyle name="检查单元格 41" xfId="1505"/>
    <cellStyle name="检查单元格 42" xfId="1506"/>
    <cellStyle name="检查单元格 43" xfId="1507"/>
    <cellStyle name="检查单元格 5" xfId="1508"/>
    <cellStyle name="检查单元格 6" xfId="1509"/>
    <cellStyle name="检查单元格 7" xfId="1510"/>
    <cellStyle name="检查单元格 8" xfId="1511"/>
    <cellStyle name="检查单元格 9" xfId="1512"/>
    <cellStyle name="解释性文本 10" xfId="1513"/>
    <cellStyle name="解释性文本 11" xfId="1514"/>
    <cellStyle name="解释性文本 12" xfId="1515"/>
    <cellStyle name="解释性文本 13" xfId="1516"/>
    <cellStyle name="解释性文本 14" xfId="1517"/>
    <cellStyle name="解释性文本 15" xfId="1518"/>
    <cellStyle name="解释性文本 16" xfId="1519"/>
    <cellStyle name="解释性文本 17" xfId="1520"/>
    <cellStyle name="解释性文本 18" xfId="1521"/>
    <cellStyle name="解释性文本 19" xfId="1522"/>
    <cellStyle name="解释性文本 2" xfId="1523"/>
    <cellStyle name="解释性文本 20" xfId="1524"/>
    <cellStyle name="解释性文本 21" xfId="1525"/>
    <cellStyle name="解释性文本 22" xfId="1526"/>
    <cellStyle name="解释性文本 23" xfId="1527"/>
    <cellStyle name="解释性文本 24" xfId="1528"/>
    <cellStyle name="解释性文本 25" xfId="1529"/>
    <cellStyle name="解释性文本 26" xfId="1530"/>
    <cellStyle name="解释性文本 27" xfId="1531"/>
    <cellStyle name="解释性文本 28" xfId="1532"/>
    <cellStyle name="解释性文本 29" xfId="1533"/>
    <cellStyle name="解释性文本 3" xfId="1534"/>
    <cellStyle name="解释性文本 30" xfId="1535"/>
    <cellStyle name="解释性文本 31" xfId="1536"/>
    <cellStyle name="解释性文本 32" xfId="1537"/>
    <cellStyle name="解释性文本 33" xfId="1538"/>
    <cellStyle name="解释性文本 34" xfId="1539"/>
    <cellStyle name="解释性文本 35" xfId="1540"/>
    <cellStyle name="解释性文本 36" xfId="1541"/>
    <cellStyle name="解释性文本 37" xfId="1542"/>
    <cellStyle name="解释性文本 38" xfId="1543"/>
    <cellStyle name="解释性文本 39" xfId="1544"/>
    <cellStyle name="解释性文本 4" xfId="1545"/>
    <cellStyle name="解释性文本 40" xfId="1546"/>
    <cellStyle name="解释性文本 41" xfId="1547"/>
    <cellStyle name="解释性文本 42" xfId="1548"/>
    <cellStyle name="解释性文本 43" xfId="1549"/>
    <cellStyle name="解释性文本 5" xfId="1550"/>
    <cellStyle name="解释性文本 6" xfId="1551"/>
    <cellStyle name="解释性文本 7" xfId="1552"/>
    <cellStyle name="解释性文本 8" xfId="1553"/>
    <cellStyle name="解释性文本 9" xfId="1554"/>
    <cellStyle name="警告文本 10" xfId="1555"/>
    <cellStyle name="警告文本 11" xfId="1556"/>
    <cellStyle name="警告文本 12" xfId="1557"/>
    <cellStyle name="警告文本 13" xfId="1558"/>
    <cellStyle name="警告文本 14" xfId="1559"/>
    <cellStyle name="警告文本 15" xfId="1560"/>
    <cellStyle name="警告文本 16" xfId="1561"/>
    <cellStyle name="警告文本 17" xfId="1562"/>
    <cellStyle name="警告文本 18" xfId="1563"/>
    <cellStyle name="警告文本 19" xfId="1564"/>
    <cellStyle name="警告文本 2" xfId="1565"/>
    <cellStyle name="警告文本 20" xfId="1566"/>
    <cellStyle name="警告文本 21" xfId="1567"/>
    <cellStyle name="警告文本 22" xfId="1568"/>
    <cellStyle name="警告文本 23" xfId="1569"/>
    <cellStyle name="警告文本 24" xfId="1570"/>
    <cellStyle name="警告文本 25" xfId="1571"/>
    <cellStyle name="警告文本 26" xfId="1572"/>
    <cellStyle name="警告文本 27" xfId="1573"/>
    <cellStyle name="警告文本 28" xfId="1574"/>
    <cellStyle name="警告文本 29" xfId="1575"/>
    <cellStyle name="警告文本 3" xfId="1576"/>
    <cellStyle name="警告文本 30" xfId="1577"/>
    <cellStyle name="警告文本 31" xfId="1578"/>
    <cellStyle name="警告文本 32" xfId="1579"/>
    <cellStyle name="警告文本 33" xfId="1580"/>
    <cellStyle name="警告文本 34" xfId="1581"/>
    <cellStyle name="警告文本 35" xfId="1582"/>
    <cellStyle name="警告文本 36" xfId="1583"/>
    <cellStyle name="警告文本 37" xfId="1584"/>
    <cellStyle name="警告文本 38" xfId="1585"/>
    <cellStyle name="警告文本 39" xfId="1586"/>
    <cellStyle name="警告文本 4" xfId="1587"/>
    <cellStyle name="警告文本 40" xfId="1588"/>
    <cellStyle name="警告文本 41" xfId="1589"/>
    <cellStyle name="警告文本 42" xfId="1590"/>
    <cellStyle name="警告文本 43" xfId="1591"/>
    <cellStyle name="警告文本 5" xfId="1592"/>
    <cellStyle name="警告文本 6" xfId="1593"/>
    <cellStyle name="警告文本 7" xfId="1594"/>
    <cellStyle name="警告文本 8" xfId="1595"/>
    <cellStyle name="警告文本 9" xfId="1596"/>
    <cellStyle name="链接单元格 10" xfId="1597"/>
    <cellStyle name="链接单元格 11" xfId="1598"/>
    <cellStyle name="链接单元格 12" xfId="1599"/>
    <cellStyle name="链接单元格 13" xfId="1600"/>
    <cellStyle name="链接单元格 14" xfId="1601"/>
    <cellStyle name="链接单元格 15" xfId="1602"/>
    <cellStyle name="链接单元格 16" xfId="1603"/>
    <cellStyle name="链接单元格 17" xfId="1604"/>
    <cellStyle name="链接单元格 18" xfId="1605"/>
    <cellStyle name="链接单元格 19" xfId="1606"/>
    <cellStyle name="链接单元格 2" xfId="1607"/>
    <cellStyle name="链接单元格 20" xfId="1608"/>
    <cellStyle name="链接单元格 21" xfId="1609"/>
    <cellStyle name="链接单元格 22" xfId="1610"/>
    <cellStyle name="链接单元格 23" xfId="1611"/>
    <cellStyle name="链接单元格 24" xfId="1612"/>
    <cellStyle name="链接单元格 25" xfId="1613"/>
    <cellStyle name="链接单元格 26" xfId="1614"/>
    <cellStyle name="链接单元格 27" xfId="1615"/>
    <cellStyle name="链接单元格 28" xfId="1616"/>
    <cellStyle name="链接单元格 29" xfId="1617"/>
    <cellStyle name="链接单元格 3" xfId="1618"/>
    <cellStyle name="链接单元格 30" xfId="1619"/>
    <cellStyle name="链接单元格 31" xfId="1620"/>
    <cellStyle name="链接单元格 32" xfId="1621"/>
    <cellStyle name="链接单元格 33" xfId="1622"/>
    <cellStyle name="链接单元格 34" xfId="1623"/>
    <cellStyle name="链接单元格 35" xfId="1624"/>
    <cellStyle name="链接单元格 36" xfId="1625"/>
    <cellStyle name="链接单元格 37" xfId="1626"/>
    <cellStyle name="链接单元格 38" xfId="1627"/>
    <cellStyle name="链接单元格 39" xfId="1628"/>
    <cellStyle name="链接单元格 4" xfId="1629"/>
    <cellStyle name="链接单元格 40" xfId="1630"/>
    <cellStyle name="链接单元格 41" xfId="1631"/>
    <cellStyle name="链接单元格 42" xfId="1632"/>
    <cellStyle name="链接单元格 43" xfId="1633"/>
    <cellStyle name="链接单元格 5" xfId="1634"/>
    <cellStyle name="链接单元格 6" xfId="1635"/>
    <cellStyle name="链接单元格 7" xfId="1636"/>
    <cellStyle name="链接单元格 8" xfId="1637"/>
    <cellStyle name="链接单元格 9" xfId="1638"/>
    <cellStyle name="霓付 [0]_1202" xfId="1639"/>
    <cellStyle name="霓付_1202" xfId="1640"/>
    <cellStyle name="烹拳 [0]_1202" xfId="1641"/>
    <cellStyle name="烹拳_1202" xfId="1642"/>
    <cellStyle name="普通_laroux" xfId="1643"/>
    <cellStyle name="千分位[0]_laroux" xfId="1644"/>
    <cellStyle name="千分位_laroux" xfId="1645"/>
    <cellStyle name="千位[0]_laroux" xfId="1646"/>
    <cellStyle name="千位_laroux" xfId="1647"/>
    <cellStyle name="千位分隔 2" xfId="1648"/>
    <cellStyle name="千位分隔 2 2" xfId="1649"/>
    <cellStyle name="千位分隔 2 2 2" xfId="1650"/>
    <cellStyle name="千位分隔 2 3" xfId="1651"/>
    <cellStyle name="千位分隔 3" xfId="1652"/>
    <cellStyle name="千位分隔 3 2" xfId="1653"/>
    <cellStyle name="千位分隔 4" xfId="1654"/>
    <cellStyle name="千位分隔 4 2" xfId="1655"/>
    <cellStyle name="钎霖_(沥焊何巩)岿喊牢盔拌裙" xfId="1656"/>
    <cellStyle name="强调文字颜色 1 10" xfId="1657"/>
    <cellStyle name="强调文字颜色 1 11" xfId="1658"/>
    <cellStyle name="强调文字颜色 1 12" xfId="1659"/>
    <cellStyle name="强调文字颜色 1 13" xfId="1660"/>
    <cellStyle name="强调文字颜色 1 14" xfId="1661"/>
    <cellStyle name="强调文字颜色 1 15" xfId="1662"/>
    <cellStyle name="强调文字颜色 1 16" xfId="1663"/>
    <cellStyle name="强调文字颜色 1 17" xfId="1664"/>
    <cellStyle name="强调文字颜色 1 18" xfId="1665"/>
    <cellStyle name="强调文字颜色 1 19" xfId="1666"/>
    <cellStyle name="强调文字颜色 1 2" xfId="1667"/>
    <cellStyle name="强调文字颜色 1 2 2" xfId="1668"/>
    <cellStyle name="强调文字颜色 1 20" xfId="1669"/>
    <cellStyle name="强调文字颜色 1 21" xfId="1670"/>
    <cellStyle name="强调文字颜色 1 22" xfId="1671"/>
    <cellStyle name="强调文字颜色 1 23" xfId="1672"/>
    <cellStyle name="强调文字颜色 1 24" xfId="1673"/>
    <cellStyle name="强调文字颜色 1 25" xfId="1674"/>
    <cellStyle name="强调文字颜色 1 26" xfId="1675"/>
    <cellStyle name="强调文字颜色 1 27" xfId="1676"/>
    <cellStyle name="强调文字颜色 1 28" xfId="1677"/>
    <cellStyle name="强调文字颜色 1 29" xfId="1678"/>
    <cellStyle name="强调文字颜色 1 3" xfId="1679"/>
    <cellStyle name="强调文字颜色 1 3 2" xfId="1680"/>
    <cellStyle name="强调文字颜色 1 30" xfId="1681"/>
    <cellStyle name="强调文字颜色 1 31" xfId="1682"/>
    <cellStyle name="强调文字颜色 1 32" xfId="1683"/>
    <cellStyle name="强调文字颜色 1 33" xfId="1684"/>
    <cellStyle name="强调文字颜色 1 34" xfId="1685"/>
    <cellStyle name="强调文字颜色 1 35" xfId="1686"/>
    <cellStyle name="强调文字颜色 1 36" xfId="1687"/>
    <cellStyle name="强调文字颜色 1 37" xfId="1688"/>
    <cellStyle name="强调文字颜色 1 38" xfId="1689"/>
    <cellStyle name="强调文字颜色 1 39" xfId="1690"/>
    <cellStyle name="强调文字颜色 1 4" xfId="1691"/>
    <cellStyle name="强调文字颜色 1 40" xfId="1692"/>
    <cellStyle name="强调文字颜色 1 41" xfId="1693"/>
    <cellStyle name="强调文字颜色 1 42" xfId="1694"/>
    <cellStyle name="强调文字颜色 1 43" xfId="1695"/>
    <cellStyle name="强调文字颜色 1 44" xfId="1696"/>
    <cellStyle name="强调文字颜色 1 5" xfId="1697"/>
    <cellStyle name="强调文字颜色 1 6" xfId="1698"/>
    <cellStyle name="强调文字颜色 1 7" xfId="1699"/>
    <cellStyle name="强调文字颜色 1 8" xfId="1700"/>
    <cellStyle name="强调文字颜色 1 9" xfId="1701"/>
    <cellStyle name="强调文字颜色 2 10" xfId="1702"/>
    <cellStyle name="强调文字颜色 2 11" xfId="1703"/>
    <cellStyle name="强调文字颜色 2 12" xfId="1704"/>
    <cellStyle name="强调文字颜色 2 13" xfId="1705"/>
    <cellStyle name="强调文字颜色 2 14" xfId="1706"/>
    <cellStyle name="强调文字颜色 2 15" xfId="1707"/>
    <cellStyle name="强调文字颜色 2 16" xfId="1708"/>
    <cellStyle name="强调文字颜色 2 17" xfId="1709"/>
    <cellStyle name="强调文字颜色 2 18" xfId="1710"/>
    <cellStyle name="强调文字颜色 2 19" xfId="1711"/>
    <cellStyle name="强调文字颜色 2 2" xfId="1712"/>
    <cellStyle name="强调文字颜色 2 2 2" xfId="1713"/>
    <cellStyle name="强调文字颜色 2 20" xfId="1714"/>
    <cellStyle name="强调文字颜色 2 21" xfId="1715"/>
    <cellStyle name="强调文字颜色 2 22" xfId="1716"/>
    <cellStyle name="强调文字颜色 2 23" xfId="1717"/>
    <cellStyle name="强调文字颜色 2 24" xfId="1718"/>
    <cellStyle name="强调文字颜色 2 25" xfId="1719"/>
    <cellStyle name="强调文字颜色 2 26" xfId="1720"/>
    <cellStyle name="强调文字颜色 2 27" xfId="1721"/>
    <cellStyle name="强调文字颜色 2 28" xfId="1722"/>
    <cellStyle name="强调文字颜色 2 29" xfId="1723"/>
    <cellStyle name="强调文字颜色 2 3" xfId="1724"/>
    <cellStyle name="强调文字颜色 2 3 2" xfId="1725"/>
    <cellStyle name="强调文字颜色 2 30" xfId="1726"/>
    <cellStyle name="强调文字颜色 2 31" xfId="1727"/>
    <cellStyle name="强调文字颜色 2 32" xfId="1728"/>
    <cellStyle name="强调文字颜色 2 33" xfId="1729"/>
    <cellStyle name="强调文字颜色 2 34" xfId="1730"/>
    <cellStyle name="强调文字颜色 2 35" xfId="1731"/>
    <cellStyle name="强调文字颜色 2 36" xfId="1732"/>
    <cellStyle name="强调文字颜色 2 37" xfId="1733"/>
    <cellStyle name="强调文字颜色 2 38" xfId="1734"/>
    <cellStyle name="强调文字颜色 2 39" xfId="1735"/>
    <cellStyle name="强调文字颜色 2 4" xfId="1736"/>
    <cellStyle name="强调文字颜色 2 40" xfId="1737"/>
    <cellStyle name="强调文字颜色 2 41" xfId="1738"/>
    <cellStyle name="强调文字颜色 2 42" xfId="1739"/>
    <cellStyle name="强调文字颜色 2 43" xfId="1740"/>
    <cellStyle name="强调文字颜色 2 44" xfId="1741"/>
    <cellStyle name="强调文字颜色 2 5" xfId="1742"/>
    <cellStyle name="强调文字颜色 2 6" xfId="1743"/>
    <cellStyle name="强调文字颜色 2 7" xfId="1744"/>
    <cellStyle name="强调文字颜色 2 8" xfId="1745"/>
    <cellStyle name="强调文字颜色 2 9" xfId="1746"/>
    <cellStyle name="强调文字颜色 3 10" xfId="1747"/>
    <cellStyle name="强调文字颜色 3 11" xfId="1748"/>
    <cellStyle name="强调文字颜色 3 12" xfId="1749"/>
    <cellStyle name="强调文字颜色 3 13" xfId="1750"/>
    <cellStyle name="强调文字颜色 3 14" xfId="1751"/>
    <cellStyle name="强调文字颜色 3 15" xfId="1752"/>
    <cellStyle name="强调文字颜色 3 16" xfId="1753"/>
    <cellStyle name="强调文字颜色 3 17" xfId="1754"/>
    <cellStyle name="强调文字颜色 3 18" xfId="1755"/>
    <cellStyle name="强调文字颜色 3 19" xfId="1756"/>
    <cellStyle name="强调文字颜色 3 2" xfId="1757"/>
    <cellStyle name="强调文字颜色 3 2 2" xfId="1758"/>
    <cellStyle name="强调文字颜色 3 20" xfId="1759"/>
    <cellStyle name="强调文字颜色 3 21" xfId="1760"/>
    <cellStyle name="强调文字颜色 3 22" xfId="1761"/>
    <cellStyle name="强调文字颜色 3 23" xfId="1762"/>
    <cellStyle name="强调文字颜色 3 24" xfId="1763"/>
    <cellStyle name="强调文字颜色 3 25" xfId="1764"/>
    <cellStyle name="强调文字颜色 3 26" xfId="1765"/>
    <cellStyle name="强调文字颜色 3 27" xfId="1766"/>
    <cellStyle name="强调文字颜色 3 28" xfId="1767"/>
    <cellStyle name="强调文字颜色 3 29" xfId="1768"/>
    <cellStyle name="强调文字颜色 3 3" xfId="1769"/>
    <cellStyle name="强调文字颜色 3 3 2" xfId="1770"/>
    <cellStyle name="强调文字颜色 3 30" xfId="1771"/>
    <cellStyle name="强调文字颜色 3 31" xfId="1772"/>
    <cellStyle name="强调文字颜色 3 32" xfId="1773"/>
    <cellStyle name="强调文字颜色 3 33" xfId="1774"/>
    <cellStyle name="强调文字颜色 3 34" xfId="1775"/>
    <cellStyle name="强调文字颜色 3 35" xfId="1776"/>
    <cellStyle name="强调文字颜色 3 36" xfId="1777"/>
    <cellStyle name="强调文字颜色 3 37" xfId="1778"/>
    <cellStyle name="强调文字颜色 3 38" xfId="1779"/>
    <cellStyle name="强调文字颜色 3 39" xfId="1780"/>
    <cellStyle name="强调文字颜色 3 4" xfId="1781"/>
    <cellStyle name="强调文字颜色 3 40" xfId="1782"/>
    <cellStyle name="强调文字颜色 3 41" xfId="1783"/>
    <cellStyle name="强调文字颜色 3 42" xfId="1784"/>
    <cellStyle name="强调文字颜色 3 43" xfId="1785"/>
    <cellStyle name="强调文字颜色 3 44" xfId="1786"/>
    <cellStyle name="强调文字颜色 3 5" xfId="1787"/>
    <cellStyle name="强调文字颜色 3 6" xfId="1788"/>
    <cellStyle name="强调文字颜色 3 7" xfId="1789"/>
    <cellStyle name="强调文字颜色 3 8" xfId="1790"/>
    <cellStyle name="强调文字颜色 3 9" xfId="1791"/>
    <cellStyle name="强调文字颜色 4 10" xfId="1792"/>
    <cellStyle name="强调文字颜色 4 11" xfId="1793"/>
    <cellStyle name="强调文字颜色 4 12" xfId="1794"/>
    <cellStyle name="强调文字颜色 4 13" xfId="1795"/>
    <cellStyle name="强调文字颜色 4 14" xfId="1796"/>
    <cellStyle name="强调文字颜色 4 15" xfId="1797"/>
    <cellStyle name="强调文字颜色 4 16" xfId="1798"/>
    <cellStyle name="强调文字颜色 4 17" xfId="1799"/>
    <cellStyle name="强调文字颜色 4 18" xfId="1800"/>
    <cellStyle name="强调文字颜色 4 19" xfId="1801"/>
    <cellStyle name="强调文字颜色 4 2" xfId="1802"/>
    <cellStyle name="强调文字颜色 4 2 2" xfId="1803"/>
    <cellStyle name="强调文字颜色 4 20" xfId="1804"/>
    <cellStyle name="强调文字颜色 4 21" xfId="1805"/>
    <cellStyle name="强调文字颜色 4 22" xfId="1806"/>
    <cellStyle name="强调文字颜色 4 23" xfId="1807"/>
    <cellStyle name="强调文字颜色 4 24" xfId="1808"/>
    <cellStyle name="强调文字颜色 4 25" xfId="1809"/>
    <cellStyle name="强调文字颜色 4 26" xfId="1810"/>
    <cellStyle name="强调文字颜色 4 27" xfId="1811"/>
    <cellStyle name="强调文字颜色 4 28" xfId="1812"/>
    <cellStyle name="强调文字颜色 4 29" xfId="1813"/>
    <cellStyle name="强调文字颜色 4 3" xfId="1814"/>
    <cellStyle name="强调文字颜色 4 3 2" xfId="1815"/>
    <cellStyle name="强调文字颜色 4 30" xfId="1816"/>
    <cellStyle name="强调文字颜色 4 31" xfId="1817"/>
    <cellStyle name="强调文字颜色 4 32" xfId="1818"/>
    <cellStyle name="强调文字颜色 4 33" xfId="1819"/>
    <cellStyle name="强调文字颜色 4 34" xfId="1820"/>
    <cellStyle name="强调文字颜色 4 35" xfId="1821"/>
    <cellStyle name="强调文字颜色 4 36" xfId="1822"/>
    <cellStyle name="强调文字颜色 4 37" xfId="1823"/>
    <cellStyle name="强调文字颜色 4 38" xfId="1824"/>
    <cellStyle name="强调文字颜色 4 39" xfId="1825"/>
    <cellStyle name="强调文字颜色 4 4" xfId="1826"/>
    <cellStyle name="强调文字颜色 4 40" xfId="1827"/>
    <cellStyle name="强调文字颜色 4 41" xfId="1828"/>
    <cellStyle name="强调文字颜色 4 42" xfId="1829"/>
    <cellStyle name="强调文字颜色 4 43" xfId="1830"/>
    <cellStyle name="强调文字颜色 4 44" xfId="1831"/>
    <cellStyle name="强调文字颜色 4 5" xfId="1832"/>
    <cellStyle name="强调文字颜色 4 6" xfId="1833"/>
    <cellStyle name="强调文字颜色 4 7" xfId="1834"/>
    <cellStyle name="强调文字颜色 4 8" xfId="1835"/>
    <cellStyle name="强调文字颜色 4 9" xfId="1836"/>
    <cellStyle name="强调文字颜色 5 10" xfId="1837"/>
    <cellStyle name="强调文字颜色 5 11" xfId="1838"/>
    <cellStyle name="强调文字颜色 5 12" xfId="1839"/>
    <cellStyle name="强调文字颜色 5 13" xfId="1840"/>
    <cellStyle name="强调文字颜色 5 14" xfId="1841"/>
    <cellStyle name="强调文字颜色 5 15" xfId="1842"/>
    <cellStyle name="强调文字颜色 5 16" xfId="1843"/>
    <cellStyle name="强调文字颜色 5 17" xfId="1844"/>
    <cellStyle name="强调文字颜色 5 18" xfId="1845"/>
    <cellStyle name="强调文字颜色 5 19" xfId="1846"/>
    <cellStyle name="强调文字颜色 5 2" xfId="1847"/>
    <cellStyle name="强调文字颜色 5 2 2" xfId="1848"/>
    <cellStyle name="强调文字颜色 5 20" xfId="1849"/>
    <cellStyle name="强调文字颜色 5 21" xfId="1850"/>
    <cellStyle name="强调文字颜色 5 22" xfId="1851"/>
    <cellStyle name="强调文字颜色 5 23" xfId="1852"/>
    <cellStyle name="强调文字颜色 5 24" xfId="1853"/>
    <cellStyle name="强调文字颜色 5 25" xfId="1854"/>
    <cellStyle name="强调文字颜色 5 26" xfId="1855"/>
    <cellStyle name="强调文字颜色 5 27" xfId="1856"/>
    <cellStyle name="强调文字颜色 5 28" xfId="1857"/>
    <cellStyle name="强调文字颜色 5 29" xfId="1858"/>
    <cellStyle name="强调文字颜色 5 3" xfId="1859"/>
    <cellStyle name="强调文字颜色 5 3 2" xfId="1860"/>
    <cellStyle name="强调文字颜色 5 30" xfId="1861"/>
    <cellStyle name="强调文字颜色 5 31" xfId="1862"/>
    <cellStyle name="强调文字颜色 5 32" xfId="1863"/>
    <cellStyle name="强调文字颜色 5 33" xfId="1864"/>
    <cellStyle name="强调文字颜色 5 34" xfId="1865"/>
    <cellStyle name="强调文字颜色 5 35" xfId="1866"/>
    <cellStyle name="强调文字颜色 5 36" xfId="1867"/>
    <cellStyle name="强调文字颜色 5 37" xfId="1868"/>
    <cellStyle name="强调文字颜色 5 38" xfId="1869"/>
    <cellStyle name="强调文字颜色 5 39" xfId="1870"/>
    <cellStyle name="强调文字颜色 5 4" xfId="1871"/>
    <cellStyle name="强调文字颜色 5 40" xfId="1872"/>
    <cellStyle name="强调文字颜色 5 41" xfId="1873"/>
    <cellStyle name="强调文字颜色 5 42" xfId="1874"/>
    <cellStyle name="强调文字颜色 5 43" xfId="1875"/>
    <cellStyle name="强调文字颜色 5 44" xfId="1876"/>
    <cellStyle name="强调文字颜色 5 5" xfId="1877"/>
    <cellStyle name="强调文字颜色 5 6" xfId="1878"/>
    <cellStyle name="强调文字颜色 5 7" xfId="1879"/>
    <cellStyle name="强调文字颜色 5 8" xfId="1880"/>
    <cellStyle name="强调文字颜色 5 9" xfId="1881"/>
    <cellStyle name="强调文字颜色 6 10" xfId="1882"/>
    <cellStyle name="强调文字颜色 6 11" xfId="1883"/>
    <cellStyle name="强调文字颜色 6 12" xfId="1884"/>
    <cellStyle name="强调文字颜色 6 13" xfId="1885"/>
    <cellStyle name="强调文字颜色 6 14" xfId="1886"/>
    <cellStyle name="强调文字颜色 6 15" xfId="1887"/>
    <cellStyle name="强调文字颜色 6 16" xfId="1888"/>
    <cellStyle name="强调文字颜色 6 17" xfId="1889"/>
    <cellStyle name="强调文字颜色 6 18" xfId="1890"/>
    <cellStyle name="强调文字颜色 6 19" xfId="1891"/>
    <cellStyle name="强调文字颜色 6 2" xfId="1892"/>
    <cellStyle name="强调文字颜色 6 2 2" xfId="1893"/>
    <cellStyle name="强调文字颜色 6 20" xfId="1894"/>
    <cellStyle name="强调文字颜色 6 21" xfId="1895"/>
    <cellStyle name="强调文字颜色 6 22" xfId="1896"/>
    <cellStyle name="强调文字颜色 6 23" xfId="1897"/>
    <cellStyle name="强调文字颜色 6 24" xfId="1898"/>
    <cellStyle name="强调文字颜色 6 25" xfId="1899"/>
    <cellStyle name="强调文字颜色 6 26" xfId="1900"/>
    <cellStyle name="强调文字颜色 6 27" xfId="1901"/>
    <cellStyle name="强调文字颜色 6 28" xfId="1902"/>
    <cellStyle name="强调文字颜色 6 29" xfId="1903"/>
    <cellStyle name="强调文字颜色 6 3" xfId="1904"/>
    <cellStyle name="强调文字颜色 6 3 2" xfId="1905"/>
    <cellStyle name="强调文字颜色 6 30" xfId="1906"/>
    <cellStyle name="强调文字颜色 6 31" xfId="1907"/>
    <cellStyle name="强调文字颜色 6 32" xfId="1908"/>
    <cellStyle name="强调文字颜色 6 33" xfId="1909"/>
    <cellStyle name="强调文字颜色 6 34" xfId="1910"/>
    <cellStyle name="强调文字颜色 6 35" xfId="1911"/>
    <cellStyle name="强调文字颜色 6 36" xfId="1912"/>
    <cellStyle name="强调文字颜色 6 37" xfId="1913"/>
    <cellStyle name="强调文字颜色 6 38" xfId="1914"/>
    <cellStyle name="强调文字颜色 6 39" xfId="1915"/>
    <cellStyle name="强调文字颜色 6 4" xfId="1916"/>
    <cellStyle name="强调文字颜色 6 40" xfId="1917"/>
    <cellStyle name="强调文字颜色 6 41" xfId="1918"/>
    <cellStyle name="强调文字颜色 6 42" xfId="1919"/>
    <cellStyle name="强调文字颜色 6 43" xfId="1920"/>
    <cellStyle name="强调文字颜色 6 44" xfId="1921"/>
    <cellStyle name="强调文字颜色 6 5" xfId="1922"/>
    <cellStyle name="强调文字颜色 6 6" xfId="1923"/>
    <cellStyle name="强调文字颜色 6 7" xfId="1924"/>
    <cellStyle name="强调文字颜色 6 8" xfId="1925"/>
    <cellStyle name="强调文字颜色 6 9" xfId="1926"/>
    <cellStyle name="适中 10" xfId="1927"/>
    <cellStyle name="适中 11" xfId="1928"/>
    <cellStyle name="适中 12" xfId="1929"/>
    <cellStyle name="适中 13" xfId="1930"/>
    <cellStyle name="适中 14" xfId="1931"/>
    <cellStyle name="适中 15" xfId="1932"/>
    <cellStyle name="适中 16" xfId="1933"/>
    <cellStyle name="适中 17" xfId="1934"/>
    <cellStyle name="适中 18" xfId="1935"/>
    <cellStyle name="适中 19" xfId="1936"/>
    <cellStyle name="适中 2" xfId="1937"/>
    <cellStyle name="适中 20" xfId="1938"/>
    <cellStyle name="适中 21" xfId="1939"/>
    <cellStyle name="适中 22" xfId="1940"/>
    <cellStyle name="适中 23" xfId="1941"/>
    <cellStyle name="适中 24" xfId="1942"/>
    <cellStyle name="适中 25" xfId="1943"/>
    <cellStyle name="适中 26" xfId="1944"/>
    <cellStyle name="适中 27" xfId="1945"/>
    <cellStyle name="适中 28" xfId="1946"/>
    <cellStyle name="适中 29" xfId="1947"/>
    <cellStyle name="适中 3" xfId="1948"/>
    <cellStyle name="适中 30" xfId="1949"/>
    <cellStyle name="适中 31" xfId="1950"/>
    <cellStyle name="适中 32" xfId="1951"/>
    <cellStyle name="适中 33" xfId="1952"/>
    <cellStyle name="适中 34" xfId="1953"/>
    <cellStyle name="适中 35" xfId="1954"/>
    <cellStyle name="适中 36" xfId="1955"/>
    <cellStyle name="适中 37" xfId="1956"/>
    <cellStyle name="适中 38" xfId="1957"/>
    <cellStyle name="适中 39" xfId="1958"/>
    <cellStyle name="适中 4" xfId="1959"/>
    <cellStyle name="适中 40" xfId="1960"/>
    <cellStyle name="适中 41" xfId="1961"/>
    <cellStyle name="适中 42" xfId="1962"/>
    <cellStyle name="适中 43" xfId="1963"/>
    <cellStyle name="适中 5" xfId="1964"/>
    <cellStyle name="适中 6" xfId="1965"/>
    <cellStyle name="适中 7" xfId="1966"/>
    <cellStyle name="适中 8" xfId="1967"/>
    <cellStyle name="适中 9" xfId="1968"/>
    <cellStyle name="输出 10" xfId="1969"/>
    <cellStyle name="输出 11" xfId="1970"/>
    <cellStyle name="输出 12" xfId="1971"/>
    <cellStyle name="输出 13" xfId="1972"/>
    <cellStyle name="输出 14" xfId="1973"/>
    <cellStyle name="输出 15" xfId="1974"/>
    <cellStyle name="输出 16" xfId="1975"/>
    <cellStyle name="输出 17" xfId="1976"/>
    <cellStyle name="输出 18" xfId="1977"/>
    <cellStyle name="输出 19" xfId="1978"/>
    <cellStyle name="输出 2" xfId="1979"/>
    <cellStyle name="输出 20" xfId="1980"/>
    <cellStyle name="输出 21" xfId="1981"/>
    <cellStyle name="输出 22" xfId="1982"/>
    <cellStyle name="输出 23" xfId="1983"/>
    <cellStyle name="输出 24" xfId="1984"/>
    <cellStyle name="输出 25" xfId="1985"/>
    <cellStyle name="输出 26" xfId="1986"/>
    <cellStyle name="输出 27" xfId="1987"/>
    <cellStyle name="输出 28" xfId="1988"/>
    <cellStyle name="输出 29" xfId="1989"/>
    <cellStyle name="输出 3" xfId="1990"/>
    <cellStyle name="输出 30" xfId="1991"/>
    <cellStyle name="输出 31" xfId="1992"/>
    <cellStyle name="输出 32" xfId="1993"/>
    <cellStyle name="输出 33" xfId="1994"/>
    <cellStyle name="输出 34" xfId="1995"/>
    <cellStyle name="输出 35" xfId="1996"/>
    <cellStyle name="输出 36" xfId="1997"/>
    <cellStyle name="输出 37" xfId="1998"/>
    <cellStyle name="输出 38" xfId="1999"/>
    <cellStyle name="输出 39" xfId="2000"/>
    <cellStyle name="输出 4" xfId="2001"/>
    <cellStyle name="输出 40" xfId="2002"/>
    <cellStyle name="输出 41" xfId="2003"/>
    <cellStyle name="输出 42" xfId="2004"/>
    <cellStyle name="输出 43" xfId="2005"/>
    <cellStyle name="输出 5" xfId="2006"/>
    <cellStyle name="输出 6" xfId="2007"/>
    <cellStyle name="输出 7" xfId="2008"/>
    <cellStyle name="输出 8" xfId="2009"/>
    <cellStyle name="输出 9" xfId="2010"/>
    <cellStyle name="输入 10" xfId="2011"/>
    <cellStyle name="输入 11" xfId="2012"/>
    <cellStyle name="输入 12" xfId="2013"/>
    <cellStyle name="输入 13" xfId="2014"/>
    <cellStyle name="输入 14" xfId="2015"/>
    <cellStyle name="输入 15" xfId="2016"/>
    <cellStyle name="输入 16" xfId="2017"/>
    <cellStyle name="输入 17" xfId="2018"/>
    <cellStyle name="输入 18" xfId="2019"/>
    <cellStyle name="输入 19" xfId="2020"/>
    <cellStyle name="输入 2" xfId="2021"/>
    <cellStyle name="输入 20" xfId="2022"/>
    <cellStyle name="输入 21" xfId="2023"/>
    <cellStyle name="输入 22" xfId="2024"/>
    <cellStyle name="输入 23" xfId="2025"/>
    <cellStyle name="输入 24" xfId="2026"/>
    <cellStyle name="输入 25" xfId="2027"/>
    <cellStyle name="输入 26" xfId="2028"/>
    <cellStyle name="输入 27" xfId="2029"/>
    <cellStyle name="输入 28" xfId="2030"/>
    <cellStyle name="输入 29" xfId="2031"/>
    <cellStyle name="输入 3" xfId="2032"/>
    <cellStyle name="输入 30" xfId="2033"/>
    <cellStyle name="输入 31" xfId="2034"/>
    <cellStyle name="输入 32" xfId="2035"/>
    <cellStyle name="输入 33" xfId="2036"/>
    <cellStyle name="输入 34" xfId="2037"/>
    <cellStyle name="输入 35" xfId="2038"/>
    <cellStyle name="输入 36" xfId="2039"/>
    <cellStyle name="输入 37" xfId="2040"/>
    <cellStyle name="输入 38" xfId="2041"/>
    <cellStyle name="输入 39" xfId="2042"/>
    <cellStyle name="输入 4" xfId="2043"/>
    <cellStyle name="输入 40" xfId="2044"/>
    <cellStyle name="输入 41" xfId="2045"/>
    <cellStyle name="输入 42" xfId="2046"/>
    <cellStyle name="输入 43" xfId="2047"/>
    <cellStyle name="输入 5" xfId="2048"/>
    <cellStyle name="输入 6" xfId="2049"/>
    <cellStyle name="输入 7" xfId="2050"/>
    <cellStyle name="输入 8" xfId="2051"/>
    <cellStyle name="输入 9" xfId="2052"/>
    <cellStyle name="样式 1" xfId="2053"/>
    <cellStyle name="样式 2" xfId="2054"/>
    <cellStyle name="昗弨_BOOKSHIP" xfId="2055"/>
    <cellStyle name="寘嬫愗傝 [0.00]_PRODUCT DETAIL Q1" xfId="2056"/>
    <cellStyle name="寘嬫愗傝_PRODUCT DETAIL Q1" xfId="2057"/>
    <cellStyle name="注释 10" xfId="2058"/>
    <cellStyle name="注释 11" xfId="2059"/>
    <cellStyle name="注释 12" xfId="2060"/>
    <cellStyle name="注释 13" xfId="2061"/>
    <cellStyle name="注释 14" xfId="2062"/>
    <cellStyle name="注释 15" xfId="2063"/>
    <cellStyle name="注释 16" xfId="2064"/>
    <cellStyle name="注释 17" xfId="2065"/>
    <cellStyle name="注释 18" xfId="2066"/>
    <cellStyle name="注释 19" xfId="2067"/>
    <cellStyle name="注释 2" xfId="2068"/>
    <cellStyle name="注释 2 2" xfId="2069"/>
    <cellStyle name="注释 20" xfId="2070"/>
    <cellStyle name="注释 21" xfId="2071"/>
    <cellStyle name="注释 22" xfId="2072"/>
    <cellStyle name="注释 23" xfId="2073"/>
    <cellStyle name="注释 24" xfId="2074"/>
    <cellStyle name="注释 25" xfId="2075"/>
    <cellStyle name="注释 26" xfId="2076"/>
    <cellStyle name="注释 27" xfId="2077"/>
    <cellStyle name="注释 28" xfId="2078"/>
    <cellStyle name="注释 29" xfId="2079"/>
    <cellStyle name="注释 3" xfId="2080"/>
    <cellStyle name="注释 3 2" xfId="2081"/>
    <cellStyle name="注释 30" xfId="2082"/>
    <cellStyle name="注释 31" xfId="2083"/>
    <cellStyle name="注释 32" xfId="2084"/>
    <cellStyle name="注释 33" xfId="2085"/>
    <cellStyle name="注释 34" xfId="2086"/>
    <cellStyle name="注释 35" xfId="2087"/>
    <cellStyle name="注释 36" xfId="2088"/>
    <cellStyle name="注释 37" xfId="2089"/>
    <cellStyle name="注释 38" xfId="2090"/>
    <cellStyle name="注释 39" xfId="2091"/>
    <cellStyle name="注释 4" xfId="2092"/>
    <cellStyle name="注释 40" xfId="2093"/>
    <cellStyle name="注释 41" xfId="2094"/>
    <cellStyle name="注释 42" xfId="2095"/>
    <cellStyle name="注释 43" xfId="2096"/>
    <cellStyle name="注释 44" xfId="2097"/>
    <cellStyle name="注释 5" xfId="2098"/>
    <cellStyle name="注释 6" xfId="2099"/>
    <cellStyle name="注释 7" xfId="2100"/>
    <cellStyle name="注释 8" xfId="2101"/>
    <cellStyle name="注释 9" xfId="2102"/>
  </cellStyles>
  <dxfs count="143">
    <dxf>
      <numFmt numFmtId="186" formatCode="0_ "/>
    </dxf>
    <dxf>
      <numFmt numFmtId="186" formatCode="0_ "/>
    </dxf>
    <dxf>
      <numFmt numFmtId="186" formatCode="0_ "/>
    </dxf>
    <dxf>
      <font>
        <name val="Microsoft YaHei"/>
        <scheme val="none"/>
        <charset val="134"/>
        <b val="0"/>
        <i val="0"/>
        <strike val="0"/>
        <u val="none"/>
        <sz val="10"/>
        <color auto="1"/>
      </font>
      <alignment horizontal="center" vertical="center" wrapText="1"/>
    </dxf>
    <dxf>
      <font>
        <name val="Microsoft YaHei"/>
        <scheme val="none"/>
        <charset val="134"/>
        <b val="0"/>
        <i val="0"/>
        <strike val="0"/>
        <u val="none"/>
        <sz val="10"/>
        <color auto="1"/>
      </font>
      <alignment horizontal="center" vertical="center" wrapText="1"/>
    </dxf>
    <dxf>
      <numFmt numFmtId="2" formatCode="0.00"/>
      <alignment horizontal="right" vertical="center" wrapText="1"/>
    </dxf>
    <dxf>
      <numFmt numFmtId="186" formatCode="0_ "/>
      <alignment horizontal="center" vertical="center" wrapText="1"/>
    </dxf>
    <dxf>
      <font>
        <name val="宋体"/>
        <scheme val="none"/>
        <charset val="134"/>
        <b val="0"/>
        <i val="0"/>
        <strike val="0"/>
        <u val="none"/>
        <sz val="10"/>
        <color auto="1"/>
      </font>
      <numFmt numFmtId="2" formatCode="0.00"/>
    </dxf>
    <dxf>
      <font>
        <name val="宋体"/>
        <scheme val="none"/>
        <charset val="134"/>
        <b val="0"/>
        <i val="0"/>
        <strike val="0"/>
        <u val="none"/>
        <sz val="10"/>
        <color auto="1"/>
      </font>
      <numFmt numFmtId="2" formatCode="0.00"/>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numFmt numFmtId="0" formatCode="General"/>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color rgb="FF9C0006"/>
      </font>
      <fill>
        <patternFill patternType="solid">
          <bgColor rgb="FFFFC7CE"/>
        </patternFill>
      </fill>
    </dxf>
    <dxf>
      <fill>
        <patternFill patternType="solid">
          <bgColor theme="5"/>
        </patternFill>
      </fill>
    </dxf>
    <dxf>
      <fill>
        <patternFill patternType="solid">
          <bgColor theme="4"/>
        </patternFill>
      </fill>
    </dxf>
    <dxf>
      <fill>
        <patternFill patternType="solid">
          <bgColor theme="9"/>
        </patternFill>
      </fill>
    </dxf>
    <dxf>
      <fill>
        <patternFill patternType="solid">
          <bgColor theme="2"/>
        </patternFill>
      </fill>
    </dxf>
    <dxf>
      <fill>
        <patternFill patternType="solid">
          <bgColor theme="7"/>
        </patternFill>
      </fill>
    </dxf>
    <dxf>
      <font>
        <b val="1"/>
        <i val="0"/>
      </font>
      <fill>
        <patternFill patternType="solid">
          <bgColor theme="4"/>
        </patternFill>
      </fill>
    </dxf>
    <dxf>
      <font>
        <b val="0"/>
        <i val="0"/>
      </font>
      <fill>
        <patternFill patternType="solid">
          <bgColor theme="9"/>
        </patternFill>
      </fill>
    </dxf>
    <dxf>
      <fill>
        <patternFill patternType="solid">
          <bgColor rgb="FFC00000"/>
        </patternFill>
      </fill>
    </dxf>
    <dxf>
      <fill>
        <patternFill patternType="solid">
          <bgColor rgb="FFFF0000"/>
        </patternFill>
      </fill>
    </dxf>
    <dxf>
      <fill>
        <patternFill patternType="solid">
          <bgColor rgb="FFFFFF00"/>
        </patternFill>
      </fill>
    </dxf>
    <dxf>
      <fill>
        <patternFill patternType="solid">
          <bgColor rgb="FF00B050"/>
        </patternFill>
      </fill>
    </dxf>
    <dxf>
      <fill>
        <patternFill patternType="solid">
          <bgColor rgb="FF0070C0"/>
        </patternFill>
      </fill>
    </dxf>
    <dxf>
      <font>
        <b val="1"/>
        <i val="1"/>
        <color auto="1"/>
      </font>
      <fill>
        <patternFill patternType="solid">
          <bgColor rgb="FFFFFF00"/>
        </patternFill>
      </fill>
    </dxf>
    <dxf>
      <font>
        <name val="宋体"/>
        <scheme val="none"/>
        <b val="0"/>
        <i val="0"/>
        <strike val="0"/>
        <u val="none"/>
        <sz val="10"/>
        <color theme="1"/>
      </font>
      <alignment horizontal="left" vertical="center" wrapText="1"/>
      <border>
        <left/>
        <right style="thin">
          <color auto="1"/>
        </right>
        <top style="thin">
          <color auto="1"/>
        </top>
        <bottom/>
      </border>
    </dxf>
    <dxf>
      <font>
        <name val="宋体"/>
        <scheme val="none"/>
        <b val="0"/>
        <i val="0"/>
        <strike val="0"/>
        <u val="none"/>
        <sz val="11"/>
        <color auto="1"/>
      </font>
      <alignment horizontal="lef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center" vertical="center" wrapText="1"/>
      <border>
        <left style="thin">
          <color auto="1"/>
        </left>
        <right style="thin">
          <color auto="1"/>
        </right>
        <top style="thin">
          <color auto="1"/>
        </top>
        <bottom style="thin">
          <color auto="1"/>
        </bottom>
      </border>
    </dxf>
    <dxf>
      <font>
        <name val="宋体"/>
        <scheme val="none"/>
        <b val="0"/>
        <i val="0"/>
        <strike val="0"/>
        <u val="none"/>
        <sz val="11"/>
        <color auto="1"/>
      </font>
      <numFmt numFmtId="185" formatCode="0.00_);[Red]\(0.00\)"/>
      <alignment horizontal="righ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right" vertical="center" wrapText="1"/>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top style="thin">
          <color auto="1"/>
        </top>
        <bottom style="thin">
          <color auto="1"/>
        </bottom>
      </border>
    </dxf>
    <dxf>
      <font>
        <name val="宋体"/>
        <scheme val="none"/>
        <b val="0"/>
        <i val="0"/>
        <strike val="0"/>
        <u val="none"/>
        <sz val="10"/>
        <color theme="1"/>
      </font>
      <alignment horizontal="center" vertical="center" wrapText="1"/>
      <border>
        <left/>
        <right style="thin">
          <color auto="1"/>
        </right>
        <top style="thin">
          <color auto="1"/>
        </top>
        <bottom/>
      </border>
    </dxf>
    <dxf>
      <font>
        <name val="宋体"/>
        <scheme val="none"/>
        <b val="0"/>
        <i val="0"/>
        <strike val="0"/>
        <u val="none"/>
        <sz val="10"/>
        <color theme="1"/>
      </font>
      <alignment horizontal="right" vertical="center" wrapText="1"/>
      <border>
        <left/>
        <right style="thin">
          <color auto="1"/>
        </right>
        <top style="thin">
          <color auto="1"/>
        </top>
        <bottom/>
      </border>
    </dxf>
    <dxf>
      <font>
        <b val="1"/>
        <i val="0"/>
        <color rgb="FFC00000"/>
      </font>
      <fill>
        <patternFill patternType="solid">
          <bgColor rgb="FFFFFF00"/>
        </patternFill>
      </fill>
    </dxf>
    <dxf>
      <numFmt numFmtId="185" formatCode="0.00_);[Red]\(0.00\)"/>
      <alignment vertical="center" wrapText="1"/>
    </dxf>
    <dxf>
      <numFmt numFmtId="185" formatCode="0.00_);[Red]\(0.00\)"/>
    </dxf>
    <dxf>
      <numFmt numFmtId="185" formatCode="0.00_);[Red]\(0.00\)"/>
      <alignment horizontal="right" vertical="center"/>
    </dxf>
    <dxf>
      <numFmt numFmtId="185" formatCode="0.00_);[Red]\(0.00\)"/>
      <alignment horizontal="right" vertical="center"/>
    </dxf>
    <dxf>
      <numFmt numFmtId="185" formatCode="0.00_);[Red]\(0.00\)"/>
    </dxf>
    <dxf>
      <numFmt numFmtId="185" formatCode="0.00_);[Red]\(0.00\)"/>
    </dxf>
    <dxf>
      <numFmt numFmtId="185" formatCode="0.00_);[Red]\(0.00\)"/>
    </dxf>
    <dxf>
      <numFmt numFmtId="185" formatCode="0.00_);[Red]\(0.00\)"/>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alignment horizontal="righ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alignment wrapText="1"/>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fill>
        <patternFill patternType="solid">
          <bgColor rgb="FFFFFF00"/>
        </patternFill>
      </fill>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b val="1"/>
        <i val="0"/>
      </font>
      <fill>
        <patternFill patternType="solid">
          <bgColor rgb="FF92D050"/>
        </patternFill>
      </fill>
    </dxf>
    <dxf>
      <fill>
        <patternFill patternType="solid">
          <bgColor theme="0" tint="-0.0499893185216834"/>
        </patternFill>
      </fill>
    </dxf>
    <dxf>
      <fill>
        <patternFill patternType="solid">
          <fgColor theme="4" tint="0.599993896298105"/>
          <bgColor theme="4" tint="0.599993896298105"/>
        </patternFill>
      </fill>
    </dxf>
    <dxf>
      <fill>
        <patternFill patternType="solid">
          <fgColor theme="4" tint="0.599993896298105"/>
          <bgColor theme="4" tint="0.599993896298105"/>
        </patternFill>
      </fill>
    </dxf>
    <dxf>
      <font>
        <b val="1"/>
        <color theme="0"/>
      </font>
      <fill>
        <patternFill patternType="solid">
          <fgColor theme="4"/>
          <bgColor theme="4"/>
        </patternFill>
      </fill>
    </dxf>
    <dxf>
      <font>
        <b val="1"/>
        <color theme="0"/>
      </font>
      <fill>
        <patternFill patternType="solid">
          <fgColor theme="4"/>
          <bgColor theme="4"/>
        </patternFill>
      </fill>
    </dxf>
    <dxf>
      <font>
        <b val="1"/>
        <color theme="1"/>
      </font>
      <fill>
        <patternFill patternType="solid">
          <fgColor theme="4" tint="0.799981688894314"/>
          <bgColor theme="4" tint="0.799981688894314"/>
        </patternFill>
      </fill>
      <border>
        <top style="thick">
          <color theme="0"/>
        </top>
        <vertical/>
        <horizontal/>
      </border>
    </dxf>
    <dxf>
      <font>
        <b val="1"/>
        <color theme="0"/>
      </font>
      <fill>
        <patternFill patternType="solid">
          <fgColor theme="4"/>
          <bgColor theme="4"/>
        </patternFill>
      </fill>
      <border>
        <bottom style="thick">
          <color theme="0"/>
        </bottom>
      </border>
    </dxf>
    <dxf>
      <font>
        <color theme="1"/>
      </font>
      <fill>
        <patternFill patternType="solid">
          <fgColor theme="4" tint="0.799981688894314"/>
          <bgColor theme="4" tint="0.799981688894314"/>
        </patternFill>
      </fill>
      <border>
        <vertical style="thin">
          <color theme="0"/>
        </vertical>
        <horizontal style="thin">
          <color theme="0"/>
        </horizontal>
      </border>
    </dxf>
    <dxf>
      <fill>
        <patternFill patternType="solid">
          <bgColor theme="5"/>
        </patternFill>
      </fill>
    </dxf>
    <dxf>
      <fill>
        <patternFill patternType="solid">
          <bgColor theme="4"/>
        </patternFill>
      </fill>
    </dxf>
  </dxfs>
  <tableStyles count="2" defaultTableStyle="TableStyleMedium2" defaultPivotStyle="PivotStyleLight16">
    <tableStyle name="TableStylePreset4_Accent1" pivot="0" count="7" xr9:uid="{E80031A0-62FC-435E-9621-CFD856E535BA}">
      <tableStyleElement type="wholeTable" dxfId="140"/>
      <tableStyleElement type="headerRow" dxfId="139"/>
      <tableStyleElement type="totalRow" dxfId="138"/>
      <tableStyleElement type="firstColumn" dxfId="137"/>
      <tableStyleElement type="lastColumn" dxfId="136"/>
      <tableStyleElement type="firstRowStripe" dxfId="135"/>
      <tableStyleElement type="firstColumnStripe" dxfId="134"/>
    </tableStyle>
    <tableStyle name="表样式 1" pivot="0" count="2" xr9:uid="{9CADE3B1-3507-40E8-81CB-D3BF3B11B428}">
      <tableStyleElement type="headerRow" dxfId="142"/>
      <tableStyleElement type="firstRowStripe" dxfId="141"/>
    </tableStyle>
  </tableStyles>
  <colors>
    <mruColors>
      <color rgb="00C9E8A8"/>
      <color rgb="00669E2A"/>
      <color rgb="00A2D769"/>
      <color rgb="00E1F2CE"/>
      <color rgb="00F0F9E6"/>
      <color rgb="00DAEFC3"/>
      <color rgb="0080C535"/>
      <color rgb="00FF0000"/>
      <color rgb="00FFFFFF"/>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2" Type="http://schemas.openxmlformats.org/officeDocument/2006/relationships/customXml" Target="../customXml/item6.xml"/><Relationship Id="rId41" Type="http://schemas.microsoft.com/office/2006/relationships/vbaProject" Target="vbaProject.bin"/><Relationship Id="rId40" Type="http://schemas.openxmlformats.org/officeDocument/2006/relationships/sheetMetadata" Target="metadata.xml"/><Relationship Id="rId4" Type="http://schemas.openxmlformats.org/officeDocument/2006/relationships/worksheet" Target="worksheets/sheet4.xml"/><Relationship Id="rId39" Type="http://schemas.openxmlformats.org/officeDocument/2006/relationships/sharedStrings" Target="sharedStrings.xml"/><Relationship Id="rId38" Type="http://schemas.openxmlformats.org/officeDocument/2006/relationships/styles" Target="styles.xml"/><Relationship Id="rId37" Type="http://schemas.openxmlformats.org/officeDocument/2006/relationships/theme" Target="theme/theme1.xml"/><Relationship Id="rId36" Type="http://schemas.openxmlformats.org/officeDocument/2006/relationships/externalLink" Target="externalLinks/externalLink1.xml"/><Relationship Id="rId35" Type="http://schemas.openxmlformats.org/officeDocument/2006/relationships/customXml" Target="../customXml/item5.xml"/><Relationship Id="rId34" Type="http://schemas.openxmlformats.org/officeDocument/2006/relationships/customXml" Target="../customXml/item4.xml"/><Relationship Id="rId33" Type="http://schemas.openxmlformats.org/officeDocument/2006/relationships/customXml" Target="../customXml/item3.xml"/><Relationship Id="rId32" Type="http://schemas.openxmlformats.org/officeDocument/2006/relationships/customXml" Target="../customXml/item2.xml"/><Relationship Id="rId31" Type="http://schemas.openxmlformats.org/officeDocument/2006/relationships/customXml" Target="../customXml/item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D7053240-CE69-11CD-A777-00DD01143C57}" r:id="rId1" ax:persistence="persistStreamInit"/>
</file>

<file path=xl/activeX/activeX9.xml><?xml version="1.0" encoding="utf-8"?>
<ax:ocx xmlns:ax="http://schemas.microsoft.com/office/2006/activeX" xmlns:r="http://schemas.openxmlformats.org/officeDocument/2006/relationships" ax:classid="{D7053240-CE69-11CD-A777-00DD01143C57}" r:id="rId1" ax:persistence="persistStreamInit"/>
</file>

<file path=xl/activeX/activeX10.xml><?xml version="1.0" encoding="utf-8"?>
<ax:ocx xmlns:ax="http://schemas.microsoft.com/office/2006/activeX" xmlns:r="http://schemas.openxmlformats.org/officeDocument/2006/relationships" ax:classid="{D7053240-CE69-11CD-A777-00DD01143C57}" r:id="rId1" ax:persistence="persistStreamInit"/>
</file>

<file path=xl/activeX/activeX11.xml><?xml version="1.0" encoding="utf-8"?>
<ax:ocx xmlns:ax="http://schemas.microsoft.com/office/2006/activeX" xmlns:r="http://schemas.openxmlformats.org/officeDocument/2006/relationships" ax:classid="{D7053240-CE69-11CD-A777-00DD01143C57}" r:id="rId1" ax:persistence="persistStreamInit"/>
</file>

<file path=xl/activeX/activeX12.xml><?xml version="1.0" encoding="utf-8"?>
<ax:ocx xmlns:ax="http://schemas.microsoft.com/office/2006/activeX" xmlns:r="http://schemas.openxmlformats.org/officeDocument/2006/relationships" ax:classid="{D7053240-CE69-11CD-A777-00DD01143C57}" r:id="rId1" ax:persistence="persistStreamInit"/>
</file>

<file path=xl/activeX/activeX13.xml><?xml version="1.0" encoding="utf-8"?>
<ax:ocx xmlns:ax="http://schemas.microsoft.com/office/2006/activeX" xmlns:r="http://schemas.openxmlformats.org/officeDocument/2006/relationships" ax:classid="{D7053240-CE69-11CD-A777-00DD01143C57}" r:id="rId1" ax:persistence="persistStreamInit"/>
</file>

<file path=xl/activeX/activeX14.xml><?xml version="1.0" encoding="utf-8"?>
<ax:ocx xmlns:ax="http://schemas.microsoft.com/office/2006/activeX" xmlns:r="http://schemas.openxmlformats.org/officeDocument/2006/relationships" ax:classid="{D7053240-CE69-11CD-A777-00DD01143C57}" r:id="rId1" ax:persistence="persistStreamInit"/>
</file>

<file path=xl/activeX/activeX15.xml><?xml version="1.0" encoding="utf-8"?>
<ax:ocx xmlns:ax="http://schemas.microsoft.com/office/2006/activeX" xmlns:r="http://schemas.openxmlformats.org/officeDocument/2006/relationships" ax:classid="{D7053240-CE69-11CD-A777-00DD01143C57}" r:id="rId1" ax:persistence="persistStreamInit"/>
</file>

<file path=xl/activeX/activeX16.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w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w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w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w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4324350</xdr:colOff>
          <xdr:row>0</xdr:row>
          <xdr:rowOff>9525</xdr:rowOff>
        </xdr:from>
        <xdr:to>
          <xdr:col>2</xdr:col>
          <xdr:colOff>4714875</xdr:colOff>
          <xdr:row>0</xdr:row>
          <xdr:rowOff>666750</xdr:rowOff>
        </xdr:to>
        <xdr:sp>
          <xdr:nvSpPr>
            <xdr:cNvPr id="7169" name="Object 1" hidden="1">
              <a:extLst>
                <a:ext uri="{63B3BB69-23CF-44E3-9099-C40C66FF867C}">
                  <a14:compatExt spid="_x0000_s7169"/>
                </a:ext>
              </a:extLst>
            </xdr:cNvPr>
            <xdr:cNvSpPr/>
          </xdr:nvSpPr>
          <xdr:spPr>
            <a:xfrm>
              <a:off x="8763000" y="9525"/>
              <a:ext cx="390525" cy="65722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39</xdr:col>
          <xdr:colOff>0</xdr:colOff>
          <xdr:row>0</xdr:row>
          <xdr:rowOff>38100</xdr:rowOff>
        </xdr:from>
        <xdr:to>
          <xdr:col>40</xdr:col>
          <xdr:colOff>295275</xdr:colOff>
          <xdr:row>0</xdr:row>
          <xdr:rowOff>323850</xdr:rowOff>
        </xdr:to>
        <xdr:sp>
          <xdr:nvSpPr>
            <xdr:cNvPr id="31747" name="更新材料表2" hidden="1">
              <a:extLst>
                <a:ext uri="{63B3BB69-23CF-44E3-9099-C40C66FF867C}">
                  <a14:compatExt spid="_x0000_s31747"/>
                </a:ext>
              </a:extLst>
            </xdr:cNvPr>
            <xdr:cNvSpPr/>
          </xdr:nvSpPr>
          <xdr:spPr>
            <a:xfrm>
              <a:off x="35566350" y="38100"/>
              <a:ext cx="1095375" cy="28575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20320</xdr:colOff>
      <xdr:row>19</xdr:row>
      <xdr:rowOff>18415</xdr:rowOff>
    </xdr:from>
    <xdr:to>
      <xdr:col>8</xdr:col>
      <xdr:colOff>1193800</xdr:colOff>
      <xdr:row>22</xdr:row>
      <xdr:rowOff>299085</xdr:rowOff>
    </xdr:to>
    <xdr:sp>
      <xdr:nvSpPr>
        <xdr:cNvPr id="2" name="文本框 1"/>
        <xdr:cNvSpPr txBox="1"/>
      </xdr:nvSpPr>
      <xdr:spPr>
        <a:xfrm>
          <a:off x="20320" y="5727065"/>
          <a:ext cx="10098405" cy="1514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1、工程成本预算表（01）表中图纸复核预算收入数据来源于投标预算表（02表），各分表中的图纸复核预算收入应与成本预算表（01表）中的对应费用相等；成本预算支出数据来源于各项费用对应的分表。</a:t>
          </a:r>
          <a:endParaRPr lang="zh-CN" altLang="en-US" sz="1100"/>
        </a:p>
        <a:p>
          <a:pPr algn="l"/>
          <a:r>
            <a:rPr lang="zh-CN" altLang="en-US" sz="1100"/>
            <a:t>1.1综合单价为包含人工费、材料费、机械费、管理费、利润、规费、措施费的全费用单价时，成本预算表（01表）中的措施费收入为自行完成部分措施费，期间费用收入为自行完成部分的管理费、利润和规费。	</a:t>
          </a:r>
          <a:endParaRPr lang="zh-CN" altLang="en-US" sz="1100"/>
        </a:p>
        <a:p>
          <a:pPr algn="l"/>
          <a:r>
            <a:rPr lang="zh-CN" altLang="en-US" sz="1100"/>
            <a:t>1.2综合单价为包含人工费、材料费、机械费、管理费和利润的部分费用单价时，成本预算表（01表）中的措施费收入为完成本工程所需的所有措施费，期间费用收入为自行完成部分管理费、利润与完成本工程所需的所有规费之和。	</a:t>
          </a:r>
          <a:endParaRPr lang="zh-CN" altLang="en-US" sz="1100"/>
        </a:p>
        <a:p>
          <a:pPr algn="l"/>
          <a:r>
            <a:rPr lang="zh-CN" altLang="en-US" sz="1100"/>
            <a:t>1.3增值税销项税额为总承包合同中列明的增值税税额，记入投标预算收入栏内，进项税额在增值税进项税额栏内合计，成本预算支出栏内体现二者差额表示工程应承担税负预算。								</a:t>
          </a:r>
          <a:endParaRPr lang="zh-CN" altLang="en-US" sz="1100"/>
        </a:p>
        <a:p>
          <a:pPr algn="l"/>
          <a:endParaRPr lang="zh-CN" altLang="en-US" sz="1100"/>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70</xdr:row>
      <xdr:rowOff>306070</xdr:rowOff>
    </xdr:from>
    <xdr:to>
      <xdr:col>4</xdr:col>
      <xdr:colOff>3322282</xdr:colOff>
      <xdr:row>74</xdr:row>
      <xdr:rowOff>292125</xdr:rowOff>
    </xdr:to>
    <xdr:sp>
      <xdr:nvSpPr>
        <xdr:cNvPr id="2" name="文本框 1"/>
        <xdr:cNvSpPr txBox="1"/>
      </xdr:nvSpPr>
      <xdr:spPr>
        <a:xfrm>
          <a:off x="0" y="23508970"/>
          <a:ext cx="8674735" cy="13119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altLang="zh-CN"/>
            <a:t>2</a:t>
          </a:r>
          <a:r>
            <a:rPr lang="zh-CN" altLang="en-US"/>
            <a:t>、分项对比表02表</a:t>
          </a:r>
          <a:endParaRPr lang="zh-CN" altLang="en-US"/>
        </a:p>
        <a:p>
          <a:pPr indent="457200" algn="l"/>
          <a:r>
            <a:rPr lang="en-US" altLang="zh-CN"/>
            <a:t>2.1</a:t>
          </a:r>
          <a:r>
            <a:rPr lang="zh-CN" altLang="en-US"/>
            <a:t>该表包含分部分项部分、总价措施费、单价措施费、暂列金、暂估价、规费及增值税销项税额七个部分。</a:t>
          </a:r>
          <a:endParaRPr lang="zh-CN" altLang="en-US"/>
        </a:p>
        <a:p>
          <a:pPr indent="457200" algn="l"/>
          <a:r>
            <a:rPr lang="en-US" altLang="zh-CN"/>
            <a:t>2.2</a:t>
          </a:r>
          <a:r>
            <a:rPr lang="zh-CN" altLang="en-US"/>
            <a:t>分部分项部分按自行完成和专业分包两大部分进行罗列，专业分包部分不分析人材机组成。</a:t>
          </a:r>
          <a:endParaRPr lang="zh-CN" altLang="en-US"/>
        </a:p>
        <a:p>
          <a:pPr indent="457200" algn="l"/>
          <a:r>
            <a:rPr lang="en-US" altLang="zh-CN"/>
            <a:t>2.3</a:t>
          </a:r>
          <a:r>
            <a:rPr lang="zh-CN" altLang="en-US"/>
            <a:t>投标预算收入及图纸复核预算收入均以不含税单价编制。</a:t>
          </a:r>
          <a:endParaRPr lang="en-US" altLang="zh-CN"/>
        </a:p>
        <a:p>
          <a:pPr indent="457200" algn="l"/>
          <a:r>
            <a:rPr lang="en-US" altLang="zh-CN" b="1">
              <a:solidFill>
                <a:srgbClr val="FF0000"/>
              </a:solidFill>
            </a:rPr>
            <a:t>2.4</a:t>
          </a:r>
          <a:r>
            <a:rPr lang="zh-CN" altLang="en-US" b="1">
              <a:solidFill>
                <a:srgbClr val="FF0000"/>
              </a:solidFill>
            </a:rPr>
            <a:t>注意可插入任意内容，请不要删除</a:t>
          </a:r>
          <a:r>
            <a:rPr lang="en-US" altLang="zh-CN" b="1">
              <a:solidFill>
                <a:srgbClr val="FF0000"/>
              </a:solidFill>
            </a:rPr>
            <a:t>A02~A07</a:t>
          </a:r>
          <a:r>
            <a:rPr lang="zh-CN" altLang="en-US" b="1">
              <a:solidFill>
                <a:srgbClr val="FF0000"/>
              </a:solidFill>
            </a:rPr>
            <a:t>项目，若无则填</a:t>
          </a:r>
          <a:r>
            <a:rPr lang="en-US" altLang="zh-CN" b="1">
              <a:solidFill>
                <a:srgbClr val="FF0000"/>
              </a:solidFill>
            </a:rPr>
            <a:t>0</a:t>
          </a:r>
          <a:r>
            <a:rPr lang="zh-CN" altLang="en-US" b="1">
              <a:solidFill>
                <a:srgbClr val="FF0000"/>
              </a:solidFill>
            </a:rPr>
            <a:t>即可，否则期间费引用会出错。</a:t>
          </a:r>
          <a:endParaRPr lang="zh-CN" altLang="en-US"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1</xdr:row>
          <xdr:rowOff>142875</xdr:rowOff>
        </xdr:from>
        <xdr:to>
          <xdr:col>0</xdr:col>
          <xdr:colOff>114300</xdr:colOff>
          <xdr:row>1</xdr:row>
          <xdr:rowOff>152400</xdr:rowOff>
        </xdr:to>
        <xdr:sp>
          <xdr:nvSpPr>
            <xdr:cNvPr id="6176" name="CommandButton2" hidden="1">
              <a:extLst>
                <a:ext uri="{63B3BB69-23CF-44E3-9099-C40C66FF867C}">
                  <a14:compatExt spid="_x0000_s6176"/>
                </a:ext>
              </a:extLst>
            </xdr:cNvPr>
            <xdr:cNvSpPr/>
          </xdr:nvSpPr>
          <xdr:spPr>
            <a:xfrm>
              <a:off x="1047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1114425</xdr:colOff>
          <xdr:row>1</xdr:row>
          <xdr:rowOff>142875</xdr:rowOff>
        </xdr:from>
        <xdr:to>
          <xdr:col>0</xdr:col>
          <xdr:colOff>1123950</xdr:colOff>
          <xdr:row>1</xdr:row>
          <xdr:rowOff>152400</xdr:rowOff>
        </xdr:to>
        <xdr:sp>
          <xdr:nvSpPr>
            <xdr:cNvPr id="6177" name="CommandButton3" hidden="1">
              <a:extLst>
                <a:ext uri="{63B3BB69-23CF-44E3-9099-C40C66FF867C}">
                  <a14:compatExt spid="_x0000_s6177"/>
                </a:ext>
              </a:extLst>
            </xdr:cNvPr>
            <xdr:cNvSpPr/>
          </xdr:nvSpPr>
          <xdr:spPr>
            <a:xfrm>
              <a:off x="11144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xdr:row>
          <xdr:rowOff>142875</xdr:rowOff>
        </xdr:from>
        <xdr:to>
          <xdr:col>2</xdr:col>
          <xdr:colOff>76200</xdr:colOff>
          <xdr:row>1</xdr:row>
          <xdr:rowOff>152400</xdr:rowOff>
        </xdr:to>
        <xdr:sp>
          <xdr:nvSpPr>
            <xdr:cNvPr id="6178" name="CommandButton4" hidden="1">
              <a:extLst>
                <a:ext uri="{63B3BB69-23CF-44E3-9099-C40C66FF867C}">
                  <a14:compatExt spid="_x0000_s6178"/>
                </a:ext>
              </a:extLst>
            </xdr:cNvPr>
            <xdr:cNvSpPr/>
          </xdr:nvSpPr>
          <xdr:spPr>
            <a:xfrm>
              <a:off x="26003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371475</xdr:colOff>
          <xdr:row>1</xdr:row>
          <xdr:rowOff>142875</xdr:rowOff>
        </xdr:from>
        <xdr:to>
          <xdr:col>3</xdr:col>
          <xdr:colOff>381000</xdr:colOff>
          <xdr:row>1</xdr:row>
          <xdr:rowOff>152400</xdr:rowOff>
        </xdr:to>
        <xdr:sp>
          <xdr:nvSpPr>
            <xdr:cNvPr id="6179" name="CommandButton5" hidden="1">
              <a:extLst>
                <a:ext uri="{63B3BB69-23CF-44E3-9099-C40C66FF867C}">
                  <a14:compatExt spid="_x0000_s6179"/>
                </a:ext>
              </a:extLst>
            </xdr:cNvPr>
            <xdr:cNvSpPr/>
          </xdr:nvSpPr>
          <xdr:spPr>
            <a:xfrm>
              <a:off x="36099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1371600</xdr:colOff>
          <xdr:row>1</xdr:row>
          <xdr:rowOff>142875</xdr:rowOff>
        </xdr:from>
        <xdr:to>
          <xdr:col>3</xdr:col>
          <xdr:colOff>1381125</xdr:colOff>
          <xdr:row>1</xdr:row>
          <xdr:rowOff>152400</xdr:rowOff>
        </xdr:to>
        <xdr:sp>
          <xdr:nvSpPr>
            <xdr:cNvPr id="6180" name="CommandButton1" hidden="1">
              <a:extLst>
                <a:ext uri="{63B3BB69-23CF-44E3-9099-C40C66FF867C}">
                  <a14:compatExt spid="_x0000_s6180"/>
                </a:ext>
              </a:extLst>
            </xdr:cNvPr>
            <xdr:cNvSpPr/>
          </xdr:nvSpPr>
          <xdr:spPr>
            <a:xfrm>
              <a:off x="4610100" y="474345"/>
              <a:ext cx="9525" cy="952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13</xdr:row>
      <xdr:rowOff>199390</xdr:rowOff>
    </xdr:from>
    <xdr:to>
      <xdr:col>9</xdr:col>
      <xdr:colOff>521335</xdr:colOff>
      <xdr:row>23</xdr:row>
      <xdr:rowOff>49530</xdr:rowOff>
    </xdr:to>
    <xdr:sp>
      <xdr:nvSpPr>
        <xdr:cNvPr id="4" name="文本框 3"/>
        <xdr:cNvSpPr txBox="1"/>
      </xdr:nvSpPr>
      <xdr:spPr>
        <a:xfrm>
          <a:off x="0" y="3376295"/>
          <a:ext cx="8846185" cy="18503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5361" name="CommandButton1" hidden="1">
              <a:extLst>
                <a:ext uri="{63B3BB69-23CF-44E3-9099-C40C66FF867C}">
                  <a14:compatExt spid="_x0000_s15361"/>
                </a:ext>
              </a:extLst>
            </xdr:cNvPr>
            <xdr:cNvSpPr/>
          </xdr:nvSpPr>
          <xdr:spPr>
            <a:xfrm>
              <a:off x="0" y="0"/>
              <a:ext cx="9525" cy="9525"/>
            </a:xfrm>
            <a:prstGeom prst="rect">
              <a:avLst/>
            </a:prstGeom>
          </xdr:spPr>
        </xdr:sp>
        <xdr:clientData/>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21</xdr:row>
      <xdr:rowOff>0</xdr:rowOff>
    </xdr:from>
    <xdr:to>
      <xdr:col>9</xdr:col>
      <xdr:colOff>415925</xdr:colOff>
      <xdr:row>30</xdr:row>
      <xdr:rowOff>161607</xdr:rowOff>
    </xdr:to>
    <xdr:sp>
      <xdr:nvSpPr>
        <xdr:cNvPr id="4" name="文本框 3"/>
        <xdr:cNvSpPr txBox="1"/>
      </xdr:nvSpPr>
      <xdr:spPr>
        <a:xfrm>
          <a:off x="0" y="4448175"/>
          <a:ext cx="8845550" cy="19615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8433" name="CommandButton1" hidden="1">
              <a:extLst>
                <a:ext uri="{63B3BB69-23CF-44E3-9099-C40C66FF867C}">
                  <a14:compatExt spid="_x0000_s18433"/>
                </a:ext>
              </a:extLst>
            </xdr:cNvPr>
            <xdr:cNvSpPr/>
          </xdr:nvSpPr>
          <xdr:spPr>
            <a:xfrm>
              <a:off x="0" y="0"/>
              <a:ext cx="9525" cy="9525"/>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12</xdr:row>
      <xdr:rowOff>199390</xdr:rowOff>
    </xdr:from>
    <xdr:to>
      <xdr:col>9</xdr:col>
      <xdr:colOff>544195</xdr:colOff>
      <xdr:row>22</xdr:row>
      <xdr:rowOff>8889</xdr:rowOff>
    </xdr:to>
    <xdr:sp>
      <xdr:nvSpPr>
        <xdr:cNvPr id="4" name="文本框 3"/>
        <xdr:cNvSpPr txBox="1"/>
      </xdr:nvSpPr>
      <xdr:spPr>
        <a:xfrm>
          <a:off x="0" y="3176270"/>
          <a:ext cx="8840470" cy="18091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9457" name="CommandButton1" hidden="1">
              <a:extLst>
                <a:ext uri="{63B3BB69-23CF-44E3-9099-C40C66FF867C}">
                  <a14:compatExt spid="_x0000_s19457"/>
                </a:ext>
              </a:extLst>
            </xdr:cNvPr>
            <xdr:cNvSpPr/>
          </xdr:nvSpPr>
          <xdr:spPr>
            <a:xfrm>
              <a:off x="0" y="0"/>
              <a:ext cx="9525" cy="9525"/>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7</xdr:row>
      <xdr:rowOff>151765</xdr:rowOff>
    </xdr:from>
    <xdr:to>
      <xdr:col>9</xdr:col>
      <xdr:colOff>554355</xdr:colOff>
      <xdr:row>16</xdr:row>
      <xdr:rowOff>162560</xdr:rowOff>
    </xdr:to>
    <xdr:sp>
      <xdr:nvSpPr>
        <xdr:cNvPr id="2" name="文本框 3"/>
        <xdr:cNvSpPr txBox="1"/>
      </xdr:nvSpPr>
      <xdr:spPr>
        <a:xfrm>
          <a:off x="635" y="2061845"/>
          <a:ext cx="8840470" cy="18110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1" name="CommandButton1" hidden="1">
              <a:extLst>
                <a:ext uri="{63B3BB69-23CF-44E3-9099-C40C66FF867C}">
                  <a14:compatExt spid="_x0000_s20481"/>
                </a:ext>
              </a:extLst>
            </xdr:cNvPr>
            <xdr:cNvSpPr/>
          </xdr:nvSpPr>
          <xdr:spPr>
            <a:xfrm>
              <a:off x="0" y="0"/>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2" name="CommandButton2" hidden="1">
              <a:extLst>
                <a:ext uri="{63B3BB69-23CF-44E3-9099-C40C66FF867C}">
                  <a14:compatExt spid="_x0000_s20482"/>
                </a:ext>
              </a:extLst>
            </xdr:cNvPr>
            <xdr:cNvSpPr/>
          </xdr:nvSpPr>
          <xdr:spPr>
            <a:xfrm>
              <a:off x="0" y="0"/>
              <a:ext cx="9525" cy="9525"/>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57785</xdr:colOff>
      <xdr:row>99</xdr:row>
      <xdr:rowOff>142875</xdr:rowOff>
    </xdr:from>
    <xdr:to>
      <xdr:col>11</xdr:col>
      <xdr:colOff>577215</xdr:colOff>
      <xdr:row>108</xdr:row>
      <xdr:rowOff>147955</xdr:rowOff>
    </xdr:to>
    <xdr:sp>
      <xdr:nvSpPr>
        <xdr:cNvPr id="4" name="文本框 3"/>
        <xdr:cNvSpPr txBox="1"/>
      </xdr:nvSpPr>
      <xdr:spPr>
        <a:xfrm>
          <a:off x="57785" y="35309810"/>
          <a:ext cx="8834755" cy="17767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49</xdr:row>
      <xdr:rowOff>160655</xdr:rowOff>
    </xdr:from>
    <xdr:to>
      <xdr:col>8</xdr:col>
      <xdr:colOff>761365</xdr:colOff>
      <xdr:row>57</xdr:row>
      <xdr:rowOff>8255</xdr:rowOff>
    </xdr:to>
    <xdr:sp>
      <xdr:nvSpPr>
        <xdr:cNvPr id="2" name="文本框 1"/>
        <xdr:cNvSpPr txBox="1"/>
      </xdr:nvSpPr>
      <xdr:spPr>
        <a:xfrm>
          <a:off x="635" y="14164945"/>
          <a:ext cx="8742680" cy="1419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8期间费用预算表08表</a:t>
          </a:r>
          <a:endParaRPr lang="zh-CN" altLang="en-US" sz="1100"/>
        </a:p>
        <a:p>
          <a:pPr algn="l"/>
          <a:r>
            <a:rPr lang="zh-CN" altLang="en-US" sz="1100"/>
            <a:t>8.1期间费用包含工作人员工资、办公费、差旅费、财务费用、销售费用等内容。</a:t>
          </a:r>
          <a:endParaRPr lang="zh-CN" altLang="en-US" sz="1100"/>
        </a:p>
        <a:p>
          <a:pPr algn="l"/>
          <a:r>
            <a:rPr lang="zh-CN" altLang="en-US" sz="1100"/>
            <a:t>8.2工作人员薪酬预算应包括项目部所有人员薪酬，含外聘人员薪酬。</a:t>
          </a:r>
          <a:endParaRPr lang="zh-CN" altLang="en-US" sz="1100"/>
        </a:p>
        <a:p>
          <a:pPr algn="l"/>
          <a:r>
            <a:rPr lang="zh-CN" altLang="en-US" sz="1100"/>
            <a:t>8.3管理费用包含工会经费和其他管理费，不含上交公司管理费。</a:t>
          </a:r>
          <a:endParaRPr lang="zh-CN" altLang="en-US" sz="1100"/>
        </a:p>
        <a:p>
          <a:pPr algn="l"/>
          <a:r>
            <a:rPr lang="zh-CN" altLang="en-US" sz="1100"/>
            <a:t>8.4税金及附加包含印花税、增值税附加（按实交增值税及相应比例计算）等应计入费用的税费支出。</a:t>
          </a:r>
          <a:endParaRPr lang="zh-CN" altLang="en-US" sz="1100"/>
        </a:p>
        <a:p>
          <a:pPr algn="l"/>
          <a:r>
            <a:rPr lang="zh-CN" altLang="en-US" sz="1100"/>
            <a:t>8.5上述费用细目不得更改，如有增加在最后增加。</a:t>
          </a:r>
          <a:endParaRPr lang="zh-CN" altLang="en-US" sz="1100"/>
        </a:p>
        <a:p>
          <a:pPr algn="l"/>
          <a:endParaRPr lang="zh-CN" altLang="en-US" sz="1100"/>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3</xdr:col>
      <xdr:colOff>78105</xdr:colOff>
      <xdr:row>4</xdr:row>
      <xdr:rowOff>93345</xdr:rowOff>
    </xdr:from>
    <xdr:to>
      <xdr:col>8</xdr:col>
      <xdr:colOff>416560</xdr:colOff>
      <xdr:row>4</xdr:row>
      <xdr:rowOff>288925</xdr:rowOff>
    </xdr:to>
    <xdr:sp>
      <xdr:nvSpPr>
        <xdr:cNvPr id="2" name="文本框 1"/>
        <xdr:cNvSpPr txBox="1"/>
      </xdr:nvSpPr>
      <xdr:spPr>
        <a:xfrm>
          <a:off x="3107055" y="2074545"/>
          <a:ext cx="5834380" cy="19558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200" b="1" i="1">
              <a:ln>
                <a:noFill/>
              </a:ln>
              <a:solidFill>
                <a:srgbClr val="FF0000"/>
              </a:solidFill>
            </a:rPr>
            <a:t>本栏用于保存标准公式，不能占用。请在本栏以下进行修改</a:t>
          </a:r>
          <a:endParaRPr lang="zh-CN" altLang="en-US" sz="12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0</xdr:row>
          <xdr:rowOff>47625</xdr:rowOff>
        </xdr:from>
        <xdr:to>
          <xdr:col>0</xdr:col>
          <xdr:colOff>1504950</xdr:colOff>
          <xdr:row>1</xdr:row>
          <xdr:rowOff>28575</xdr:rowOff>
        </xdr:to>
        <xdr:sp>
          <xdr:nvSpPr>
            <xdr:cNvPr id="24577" name="产值表" hidden="1">
              <a:extLst>
                <a:ext uri="{63B3BB69-23CF-44E3-9099-C40C66FF867C}">
                  <a14:compatExt spid="_x0000_s24577"/>
                </a:ext>
              </a:extLst>
            </xdr:cNvPr>
            <xdr:cNvSpPr/>
          </xdr:nvSpPr>
          <xdr:spPr>
            <a:xfrm>
              <a:off x="28575" y="47625"/>
              <a:ext cx="1476375" cy="47625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522605</xdr:colOff>
      <xdr:row>4</xdr:row>
      <xdr:rowOff>157797</xdr:rowOff>
    </xdr:from>
    <xdr:to>
      <xdr:col>4</xdr:col>
      <xdr:colOff>321310</xdr:colOff>
      <xdr:row>5</xdr:row>
      <xdr:rowOff>39687</xdr:rowOff>
    </xdr:to>
    <xdr:sp>
      <xdr:nvSpPr>
        <xdr:cNvPr id="2" name="文本框 1"/>
        <xdr:cNvSpPr txBox="1"/>
      </xdr:nvSpPr>
      <xdr:spPr>
        <a:xfrm>
          <a:off x="1275080" y="1386840"/>
          <a:ext cx="3580130" cy="18669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xdr:twoCellAnchor editAs="oneCell">
    <xdr:from>
      <xdr:col>0</xdr:col>
      <xdr:colOff>0</xdr:colOff>
      <xdr:row>21</xdr:row>
      <xdr:rowOff>199390</xdr:rowOff>
    </xdr:from>
    <xdr:to>
      <xdr:col>8</xdr:col>
      <xdr:colOff>789305</xdr:colOff>
      <xdr:row>33</xdr:row>
      <xdr:rowOff>175259</xdr:rowOff>
    </xdr:to>
    <xdr:sp>
      <xdr:nvSpPr>
        <xdr:cNvPr id="3" name="文本框 3"/>
        <xdr:cNvSpPr txBox="1"/>
      </xdr:nvSpPr>
      <xdr:spPr>
        <a:xfrm>
          <a:off x="0" y="4962525"/>
          <a:ext cx="8018780" cy="23755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1、人工费预算对比表（01-1表）</a:t>
          </a:r>
          <a:endParaRPr lang="zh-CN" altLang="en-US" sz="1100"/>
        </a:p>
        <a:p>
          <a:pPr algn="l"/>
          <a:r>
            <a:rPr lang="zh-CN" altLang="en-US" sz="1100"/>
            <a:t>1.1该表仅反应人工费的预算支出对比情况。</a:t>
          </a:r>
          <a:endParaRPr lang="zh-CN" altLang="en-US" sz="1100"/>
        </a:p>
        <a:p>
          <a:pPr algn="l"/>
          <a:r>
            <a:rPr lang="zh-CN" altLang="en-US" sz="1100"/>
            <a:t>1.2成本预算中数量与单价均来自经公司评审后的项目成本预算，不得随意调整。</a:t>
          </a:r>
          <a:endParaRPr lang="zh-CN" altLang="en-US" sz="1100"/>
        </a:p>
        <a:p>
          <a:pPr algn="l"/>
          <a:r>
            <a:rPr lang="zh-CN" altLang="en-US" sz="1100"/>
            <a:t>1.3截止本月累计预算支出中数量链接01表对应项目截止本月累计完成产值数量，单价采用本表成本预算单价。</a:t>
          </a:r>
          <a:endParaRPr lang="zh-CN" altLang="en-US" sz="1100"/>
        </a:p>
        <a:p>
          <a:pPr algn="l"/>
          <a:r>
            <a:rPr lang="zh-CN" altLang="en-US" sz="1100"/>
            <a:t>1.4截止本月累计已计量支出中数量根据细目编码采用公式从02表汇总，合价根据细目编码采用公式从02表汇总，单价采用合价与数量进行反算。</a:t>
          </a:r>
          <a:endParaRPr lang="zh-CN" altLang="en-US" sz="1100"/>
        </a:p>
        <a:p>
          <a:pPr algn="l"/>
          <a:r>
            <a:rPr lang="zh-CN" altLang="en-US" sz="1100"/>
            <a:t>1.5累计实际支出中数量、合价为实际完成数量、合价，该数量、合价应与上报产值相匹配，数量、合价链接02表对应项目。</a:t>
          </a:r>
          <a:endParaRPr lang="zh-CN" altLang="en-US" sz="1100"/>
        </a:p>
        <a:p>
          <a:pPr algn="l"/>
          <a:r>
            <a:rPr lang="zh-CN" altLang="en-US" sz="1100"/>
            <a:t>1.6总计金额扣除临设和安全生产费。</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238125</xdr:colOff>
          <xdr:row>0</xdr:row>
          <xdr:rowOff>381000</xdr:rowOff>
        </xdr:to>
        <xdr:sp>
          <xdr:nvSpPr>
            <xdr:cNvPr id="26625" name="CommandButton1" hidden="1">
              <a:extLst>
                <a:ext uri="{63B3BB69-23CF-44E3-9099-C40C66FF867C}">
                  <a14:compatExt spid="_x0000_s26625"/>
                </a:ext>
              </a:extLst>
            </xdr:cNvPr>
            <xdr:cNvSpPr/>
          </xdr:nvSpPr>
          <xdr:spPr>
            <a:xfrm>
              <a:off x="0" y="0"/>
              <a:ext cx="990600" cy="38100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85090</xdr:colOff>
      <xdr:row>4</xdr:row>
      <xdr:rowOff>13335</xdr:rowOff>
    </xdr:from>
    <xdr:to>
      <xdr:col>3</xdr:col>
      <xdr:colOff>1196340</xdr:colOff>
      <xdr:row>4</xdr:row>
      <xdr:rowOff>251460</xdr:rowOff>
    </xdr:to>
    <xdr:sp>
      <xdr:nvSpPr>
        <xdr:cNvPr id="2" name="文本框 1"/>
        <xdr:cNvSpPr txBox="1"/>
      </xdr:nvSpPr>
      <xdr:spPr>
        <a:xfrm>
          <a:off x="85090" y="1173480"/>
          <a:ext cx="3606800" cy="23812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561975</xdr:colOff>
          <xdr:row>1</xdr:row>
          <xdr:rowOff>104775</xdr:rowOff>
        </xdr:to>
        <xdr:sp>
          <xdr:nvSpPr>
            <xdr:cNvPr id="27649" name="CommandButton1" hidden="1">
              <a:extLst>
                <a:ext uri="{63B3BB69-23CF-44E3-9099-C40C66FF867C}">
                  <a14:compatExt spid="_x0000_s27649"/>
                </a:ext>
              </a:extLst>
            </xdr:cNvPr>
            <xdr:cNvSpPr/>
          </xdr:nvSpPr>
          <xdr:spPr>
            <a:xfrm>
              <a:off x="0" y="0"/>
              <a:ext cx="1266825" cy="400050"/>
            </a:xfrm>
            <a:prstGeom prst="rect">
              <a:avLst/>
            </a:prstGeom>
          </xdr:spPr>
        </xdr:sp>
        <xdr:clientData/>
      </xdr:twoCellAnchor>
    </mc:Choice>
    <mc:Fallback/>
  </mc:AlternateContent>
  <xdr:twoCellAnchor editAs="oneCell">
    <xdr:from>
      <xdr:col>0</xdr:col>
      <xdr:colOff>0</xdr:colOff>
      <xdr:row>20</xdr:row>
      <xdr:rowOff>199390</xdr:rowOff>
    </xdr:from>
    <xdr:to>
      <xdr:col>8</xdr:col>
      <xdr:colOff>876935</xdr:colOff>
      <xdr:row>30</xdr:row>
      <xdr:rowOff>5078</xdr:rowOff>
    </xdr:to>
    <xdr:sp>
      <xdr:nvSpPr>
        <xdr:cNvPr id="3" name="文本框 3"/>
        <xdr:cNvSpPr txBox="1"/>
      </xdr:nvSpPr>
      <xdr:spPr>
        <a:xfrm>
          <a:off x="0" y="4717415"/>
          <a:ext cx="8430260" cy="18053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4、材料费预算对比表（04表）</a:t>
          </a:r>
          <a:endParaRPr lang="zh-CN" altLang="en-US" sz="1100"/>
        </a:p>
        <a:p>
          <a:pPr algn="l"/>
          <a:r>
            <a:rPr lang="zh-CN" altLang="en-US" sz="1100"/>
            <a:t>4.1成本预算中数量与单价均来自经公司评审后的项目成本预算，不得随意调整。</a:t>
          </a:r>
          <a:endParaRPr lang="zh-CN" altLang="en-US" sz="1100"/>
        </a:p>
        <a:p>
          <a:pPr algn="l"/>
          <a:r>
            <a:rPr lang="zh-CN" altLang="en-US" sz="1100"/>
            <a:t>4.2截止本月累计预算支出中数量点击左上角的“材料预算量汇总”按钮自动生成，单价采用本表成本预算单价。</a:t>
          </a:r>
          <a:endParaRPr lang="zh-CN" altLang="en-US" sz="1100"/>
        </a:p>
        <a:p>
          <a:pPr algn="l"/>
          <a:r>
            <a:rPr lang="zh-CN" altLang="en-US" sz="1100"/>
            <a:t>4.3累计已计量支出中数量链接02表对应项目累计中间计量数量，合价链接02表对应项目合价，单价采用合价与数量进行反算。</a:t>
          </a:r>
          <a:endParaRPr lang="zh-CN" altLang="en-US" sz="1100"/>
        </a:p>
        <a:p>
          <a:pPr algn="l"/>
          <a:r>
            <a:rPr lang="zh-CN" altLang="en-US" sz="1100"/>
            <a:t>4.4累计实际支出中数量为实际已进入工程实体的消耗量，该数量应与报工程部材料收发结存月报表数量一致,链接02表对应项目数量，合价链接02表对应项目合价。</a:t>
          </a:r>
          <a:endParaRPr lang="zh-CN" altLang="en-US" sz="1100"/>
        </a:p>
        <a:p>
          <a:pPr algn="l"/>
          <a:r>
            <a:rPr lang="zh-CN" altLang="en-US" sz="1100"/>
            <a:t>4.5未签订合同的零星材料按金额录入，录入在累计实际消耗支出栏，用于临设和安全生产费的分开罗列。</a:t>
          </a:r>
          <a:endParaRPr lang="zh-CN" altLang="en-US" sz="1100"/>
        </a:p>
        <a:p>
          <a:pPr algn="l"/>
          <a:r>
            <a:rPr lang="zh-CN" altLang="en-US" sz="1100"/>
            <a:t>4.6总计金额扣除临设和安全生产费。</a:t>
          </a:r>
          <a:endParaRPr lang="zh-CN" altLang="en-US" sz="1100"/>
        </a:p>
        <a:p>
          <a:pPr algn="l"/>
          <a:endParaRPr lang="zh-CN" altLang="en-US" sz="1100"/>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1</xdr:col>
      <xdr:colOff>571500</xdr:colOff>
      <xdr:row>4</xdr:row>
      <xdr:rowOff>113665</xdr:rowOff>
    </xdr:from>
    <xdr:to>
      <xdr:col>4</xdr:col>
      <xdr:colOff>1200150</xdr:colOff>
      <xdr:row>4</xdr:row>
      <xdr:rowOff>307340</xdr:rowOff>
    </xdr:to>
    <xdr:sp>
      <xdr:nvSpPr>
        <xdr:cNvPr id="2" name="文本框 1"/>
        <xdr:cNvSpPr txBox="1"/>
      </xdr:nvSpPr>
      <xdr:spPr>
        <a:xfrm>
          <a:off x="1314450" y="1381125"/>
          <a:ext cx="3933825" cy="19367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523875</xdr:colOff>
          <xdr:row>0</xdr:row>
          <xdr:rowOff>390525</xdr:rowOff>
        </xdr:to>
        <xdr:sp>
          <xdr:nvSpPr>
            <xdr:cNvPr id="28673" name="CommandButton1" hidden="1">
              <a:extLst>
                <a:ext uri="{63B3BB69-23CF-44E3-9099-C40C66FF867C}">
                  <a14:compatExt spid="_x0000_s28673"/>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14</xdr:row>
      <xdr:rowOff>199390</xdr:rowOff>
    </xdr:from>
    <xdr:to>
      <xdr:col>6</xdr:col>
      <xdr:colOff>135255</xdr:colOff>
      <xdr:row>24</xdr:row>
      <xdr:rowOff>163193</xdr:rowOff>
    </xdr:to>
    <xdr:sp>
      <xdr:nvSpPr>
        <xdr:cNvPr id="3" name="文本框 3"/>
        <xdr:cNvSpPr txBox="1"/>
      </xdr:nvSpPr>
      <xdr:spPr>
        <a:xfrm>
          <a:off x="0" y="3609975"/>
          <a:ext cx="5850255" cy="1963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5、机械租赁费预算对比表（05-2表）</a:t>
          </a:r>
          <a:endParaRPr lang="zh-CN" altLang="en-US" sz="1100"/>
        </a:p>
        <a:p>
          <a:pPr algn="l"/>
          <a:r>
            <a:rPr lang="zh-CN" altLang="en-US" sz="1100"/>
            <a:t>5.1成本预算中数量与单价均来自经公司评审后的项目成本预算，不得随意调整。</a:t>
          </a:r>
          <a:endParaRPr lang="zh-CN" altLang="en-US" sz="1100"/>
        </a:p>
        <a:p>
          <a:pPr algn="l"/>
          <a:r>
            <a:rPr lang="zh-CN" altLang="en-US" sz="1100"/>
            <a:t>5.2截止本月累计产值中数量链接01表对应项目截止本月累计完成产值数量，单价采用本表成本预算单价。</a:t>
          </a:r>
          <a:endParaRPr lang="zh-CN" altLang="en-US" sz="1100"/>
        </a:p>
        <a:p>
          <a:pPr algn="l"/>
          <a:r>
            <a:rPr lang="zh-CN" altLang="en-US" sz="1100"/>
            <a:t>5.3截止本月累计已计量中数量链接02表对应项目累计中间计量数量，单价链接02表对应项目合同单价。</a:t>
          </a:r>
          <a:endParaRPr lang="zh-CN" altLang="en-US" sz="1100"/>
        </a:p>
        <a:p>
          <a:pPr algn="l"/>
          <a:r>
            <a:rPr lang="zh-CN" altLang="en-US" sz="1100"/>
            <a:t>5.4截止本月累计已发生未计量中数量由项目部根据实际情况录入，单价链接03表对应项目合同单价。</a:t>
          </a:r>
          <a:endParaRPr lang="zh-CN" altLang="en-US" sz="1100"/>
        </a:p>
        <a:p>
          <a:pPr algn="l"/>
          <a:r>
            <a:rPr lang="zh-CN" altLang="en-US" sz="1100"/>
            <a:t>5.5截止本月累计支出合计中数量=已计量支出数量+已发生未计量支出数量，合价=已计量支出合价+已发生未计量支出合价。</a:t>
          </a:r>
          <a:endParaRPr lang="zh-CN" altLang="en-US" sz="1100"/>
        </a:p>
        <a:p>
          <a:pPr algn="l"/>
          <a:r>
            <a:rPr lang="zh-CN" altLang="en-US" sz="1100"/>
            <a:t>5.6成本预算降低额中数量=累计产值数量-累计支出合计数量，合价=累计产值合价-累计支出合计合价。</a:t>
          </a:r>
          <a:endParaRPr lang="zh-CN" altLang="en-US" sz="1100"/>
        </a:p>
        <a:p>
          <a:pPr algn="l"/>
          <a:r>
            <a:rPr lang="zh-CN" altLang="en-US" sz="1100"/>
            <a:t>5.8总计金额扣除临设和安全生产费。</a:t>
          </a:r>
          <a:endParaRPr lang="zh-CN" altLang="en-US" sz="1100"/>
        </a:p>
        <a:p>
          <a:pPr algn="l"/>
          <a:endParaRPr lang="zh-CN" altLang="en-US" sz="1100"/>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1</xdr:col>
      <xdr:colOff>412115</xdr:colOff>
      <xdr:row>4</xdr:row>
      <xdr:rowOff>31750</xdr:rowOff>
    </xdr:from>
    <xdr:to>
      <xdr:col>4</xdr:col>
      <xdr:colOff>567055</xdr:colOff>
      <xdr:row>4</xdr:row>
      <xdr:rowOff>215900</xdr:rowOff>
    </xdr:to>
    <xdr:sp>
      <xdr:nvSpPr>
        <xdr:cNvPr id="2" name="文本框 1"/>
        <xdr:cNvSpPr txBox="1"/>
      </xdr:nvSpPr>
      <xdr:spPr>
        <a:xfrm>
          <a:off x="869315" y="1360805"/>
          <a:ext cx="3498215" cy="18415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66675</xdr:colOff>
          <xdr:row>0</xdr:row>
          <xdr:rowOff>390525</xdr:rowOff>
        </xdr:to>
        <xdr:sp>
          <xdr:nvSpPr>
            <xdr:cNvPr id="29697" name="CommandButton1" hidden="1">
              <a:extLst>
                <a:ext uri="{63B3BB69-23CF-44E3-9099-C40C66FF867C}">
                  <a14:compatExt spid="_x0000_s29697"/>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7</xdr:row>
      <xdr:rowOff>199390</xdr:rowOff>
    </xdr:from>
    <xdr:to>
      <xdr:col>9</xdr:col>
      <xdr:colOff>382120</xdr:colOff>
      <xdr:row>18</xdr:row>
      <xdr:rowOff>14606</xdr:rowOff>
    </xdr:to>
    <xdr:sp>
      <xdr:nvSpPr>
        <xdr:cNvPr id="3" name="文本框 3"/>
        <xdr:cNvSpPr txBox="1"/>
      </xdr:nvSpPr>
      <xdr:spPr>
        <a:xfrm>
          <a:off x="0" y="2233295"/>
          <a:ext cx="8125460" cy="20154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6、专业分包预算对比表（06表）</a:t>
          </a:r>
          <a:endParaRPr lang="zh-CN" altLang="en-US" sz="1100"/>
        </a:p>
        <a:p>
          <a:pPr algn="l"/>
          <a:r>
            <a:rPr lang="zh-CN" altLang="en-US" sz="1100"/>
            <a:t>6.1成本预算中数量与单价均来自经公司评审后的项目成本预算，不得随意调整。</a:t>
          </a:r>
          <a:endParaRPr lang="zh-CN" altLang="en-US" sz="1100"/>
        </a:p>
        <a:p>
          <a:pPr algn="l"/>
          <a:r>
            <a:rPr lang="zh-CN" altLang="en-US" sz="1100"/>
            <a:t>6.2截止本月累计产值中数量链接01表对应项目截止本月累计完成产值数量，单价采用本表成本预算单价。</a:t>
          </a:r>
          <a:endParaRPr lang="zh-CN" altLang="en-US" sz="1100"/>
        </a:p>
        <a:p>
          <a:pPr algn="l"/>
          <a:r>
            <a:rPr lang="zh-CN" altLang="en-US" sz="1100"/>
            <a:t>6.3截止本月累计已计量中数量链接02表对应项目累计中间计量数量，单价链接02表对应项目合同单价。</a:t>
          </a:r>
          <a:endParaRPr lang="zh-CN" altLang="en-US" sz="1100"/>
        </a:p>
        <a:p>
          <a:pPr algn="l"/>
          <a:r>
            <a:rPr lang="zh-CN" altLang="en-US" sz="1100"/>
            <a:t>6.4截止本月累计已发生未计量中数量由项目部根据实际情况录入，单价链接03表对应项目合同单价。</a:t>
          </a:r>
          <a:endParaRPr lang="zh-CN" altLang="en-US" sz="1100"/>
        </a:p>
        <a:p>
          <a:pPr algn="l"/>
          <a:r>
            <a:rPr lang="zh-CN" altLang="en-US" sz="1100"/>
            <a:t>6.5截止本月累计支出合计中数量=已计量支出数量+已发生未计量支出数量，合价=已计量支出合价+已发生未计量支出合价。</a:t>
          </a:r>
          <a:endParaRPr lang="zh-CN" altLang="en-US" sz="1100"/>
        </a:p>
        <a:p>
          <a:pPr algn="l"/>
          <a:r>
            <a:rPr lang="zh-CN" altLang="en-US" sz="1100"/>
            <a:t>6.6成本预算降低额中数量=累计产值数量-累计支出合计数量，合价=累计产值合价-累计支出合计合价。</a:t>
          </a:r>
          <a:endParaRPr lang="zh-CN" altLang="en-US" sz="1100"/>
        </a:p>
        <a:p>
          <a:pPr algn="l"/>
          <a:r>
            <a:rPr lang="zh-CN" altLang="en-US" sz="1100"/>
            <a:t>6.7相同工作内容同时分包给多个单位施工的，应将工程量合计录入。</a:t>
          </a:r>
          <a:endParaRPr lang="zh-CN" altLang="en-US" sz="1100"/>
        </a:p>
        <a:p>
          <a:pPr algn="l"/>
          <a:r>
            <a:rPr lang="zh-CN" altLang="en-US" sz="1100"/>
            <a:t>6.8总计金额扣除临设和安全生产费。</a:t>
          </a:r>
          <a:endParaRPr lang="zh-CN" altLang="en-US" sz="1100"/>
        </a:p>
        <a:p>
          <a:pPr algn="l"/>
          <a:r>
            <a:rPr lang="zh-CN" altLang="en-US" sz="1100"/>
            <a:t>6.9如果有全部为安全工作产生的费用，就在费用名称前加"安全-"，其费用全部列入安全费，其它所有费用按1.5%计安全费</a:t>
          </a:r>
          <a:endParaRPr lang="zh-CN" altLang="en-US" sz="1100"/>
        </a:p>
        <a:p>
          <a:pPr algn="l"/>
          <a:endParaRPr lang="zh-CN" altLang="en-US" sz="1100"/>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2</xdr:col>
      <xdr:colOff>1075055</xdr:colOff>
      <xdr:row>4</xdr:row>
      <xdr:rowOff>86995</xdr:rowOff>
    </xdr:from>
    <xdr:to>
      <xdr:col>5</xdr:col>
      <xdr:colOff>15875</xdr:colOff>
      <xdr:row>4</xdr:row>
      <xdr:rowOff>285750</xdr:rowOff>
    </xdr:to>
    <xdr:sp>
      <xdr:nvSpPr>
        <xdr:cNvPr id="2" name="文本框 1"/>
        <xdr:cNvSpPr txBox="1"/>
      </xdr:nvSpPr>
      <xdr:spPr>
        <a:xfrm>
          <a:off x="2246630" y="1306195"/>
          <a:ext cx="4855845" cy="19875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2</xdr:col>
      <xdr:colOff>1338580</xdr:colOff>
      <xdr:row>4</xdr:row>
      <xdr:rowOff>60325</xdr:rowOff>
    </xdr:from>
    <xdr:to>
      <xdr:col>8</xdr:col>
      <xdr:colOff>454660</xdr:colOff>
      <xdr:row>4</xdr:row>
      <xdr:rowOff>245110</xdr:rowOff>
    </xdr:to>
    <xdr:sp>
      <xdr:nvSpPr>
        <xdr:cNvPr id="2" name="文本框 1"/>
        <xdr:cNvSpPr txBox="1"/>
      </xdr:nvSpPr>
      <xdr:spPr>
        <a:xfrm>
          <a:off x="2424430" y="1241425"/>
          <a:ext cx="5040630" cy="18478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twoCellAnchor>
    <xdr:from>
      <xdr:col>2</xdr:col>
      <xdr:colOff>1352550</xdr:colOff>
      <xdr:row>56</xdr:row>
      <xdr:rowOff>104775</xdr:rowOff>
    </xdr:from>
    <xdr:to>
      <xdr:col>9</xdr:col>
      <xdr:colOff>381635</xdr:colOff>
      <xdr:row>61</xdr:row>
      <xdr:rowOff>171450</xdr:rowOff>
    </xdr:to>
    <xdr:sp>
      <xdr:nvSpPr>
        <xdr:cNvPr id="3" name="文本框 2"/>
        <xdr:cNvSpPr txBox="1"/>
      </xdr:nvSpPr>
      <xdr:spPr>
        <a:xfrm>
          <a:off x="2438400" y="15850870"/>
          <a:ext cx="601091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9.1本表发生时据实录入。</a:t>
          </a:r>
          <a:endParaRPr lang="zh-CN" altLang="en-US" sz="1100"/>
        </a:p>
        <a:p>
          <a:pPr algn="l"/>
          <a:r>
            <a:rPr lang="zh-CN" altLang="en-US" sz="1100"/>
            <a:t>9.2办公费、保险费、投标费用等一次性进入成本的，可以在“本月调整金额”栏按工期分摊计入。</a:t>
          </a:r>
          <a:endParaRPr lang="zh-CN" altLang="en-US" sz="1100"/>
        </a:p>
        <a:p>
          <a:pPr algn="l"/>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551501211\WPS&#20225;&#19994;&#20113;&#30424;\&#22235;&#24029;&#30465;&#22330;&#36947;&#24037;&#31243;&#26377;&#38480;&#20844;&#21496;\&#22242;&#38431;&#25991;&#26723;\&#21414;&#38376;&#26426;&#22330;\&#25104;&#26412;&#26376;&#25253;\2024&#24180;&#26376;&#25253;\2024-08-&#25104;&#26412;&#26376;&#25253;-&#20998;&#39033;&#25286;&#20998;.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Up"/>
      <sheetName val="填表说明"/>
      <sheetName val="资源编码表"/>
      <sheetName val="序列表"/>
      <sheetName val="形象进度表"/>
      <sheetName val="数据源00表"/>
      <sheetName val="项目信息表"/>
      <sheetName val="工程成本费用汇总表"/>
      <sheetName val="分供商月结成本汇总表"/>
      <sheetName val="01工程产值对比表"/>
      <sheetName val="02综合台帐（人材机）"/>
      <sheetName val="03人工费预算对比表"/>
      <sheetName val="04材料费预算对比表"/>
      <sheetName val="05机械租赁费预算对比表"/>
      <sheetName val="06专业分包预算对比表"/>
      <sheetName val="07其他直接费对比表"/>
      <sheetName val="08期间费用对比表"/>
      <sheetName val="09 成本预算调整表"/>
      <sheetName val="产值统计中间表"/>
      <sheetName val="业主统计中间表"/>
      <sheetName val="其他直接费分供商统计"/>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ables/table1.xml><?xml version="1.0" encoding="utf-8"?>
<table xmlns="http://schemas.openxmlformats.org/spreadsheetml/2006/main" id="1" name="分包" displayName="分包" ref="Y2:AB166" totalsRowShown="0">
  <autoFilter ref="Y2:AB166"/>
  <tableColumns count="4">
    <tableColumn id="1" name="分包"/>
    <tableColumn id="2" name="单位"/>
    <tableColumn id="3" name="单价"/>
    <tableColumn id="4" name="汇总数量" dataDxfId="0">
      <calculatedColumnFormula>SUMIFS('分项对比表(02表)'!$M:$M,'分项对比表(02表)'!$D:$D,Y3,'分项对比表(02表)'!$C:$C,Y$2)</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3" name="材料" displayName="材料" ref="A2:D282" totalsRowShown="0">
  <autoFilter ref="A2:D282"/>
  <tableColumns count="4">
    <tableColumn id="1" name="材料"/>
    <tableColumn id="2" name="单位"/>
    <tableColumn id="3" name="单价"/>
    <tableColumn id="4" name="汇总数量">
      <calculatedColumnFormula>SUMIFS('分项对比表(02表)'!$M:$M,'分项对比表(02表)'!$D:$D,A3,'分项对比表(02表)'!$C:$C,A$2)</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4" name="机械" displayName="机械" ref="I2:L359" totalsRowShown="0">
  <autoFilter ref="I2:L359"/>
  <tableColumns count="4">
    <tableColumn id="1" name="机械"/>
    <tableColumn id="2" name="单位"/>
    <tableColumn id="3" name="单价"/>
    <tableColumn id="4" name="汇总数量" dataDxfId="1">
      <calculatedColumnFormula>SUMIFS('分项对比表(02表)'!$M:$M,'分项对比表(02表)'!$D:$D,I3,'分项对比表(02表)'!$C:$C,I$2)</calculatedColumnFormula>
    </tableColumn>
  </tableColumns>
  <tableStyleInfo name="TableStylePreset4_Accent1" showFirstColumn="0" showLastColumn="0" showRowStripes="1" showColumnStripes="0"/>
</table>
</file>

<file path=xl/tables/table4.xml><?xml version="1.0" encoding="utf-8"?>
<table xmlns="http://schemas.openxmlformats.org/spreadsheetml/2006/main" id="7" name="下浮" displayName="下浮" ref="AG2:AG11" totalsRowShown="0">
  <autoFilter ref="AG2:AG11"/>
  <tableColumns count="1">
    <tableColumn id="1" name="下浮"/>
  </tableColumns>
  <tableStyleInfo name="TableStyleMedium9" showFirstColumn="0" showLastColumn="0" showRowStripes="1" showColumnStripes="0"/>
</table>
</file>

<file path=xl/tables/table5.xml><?xml version="1.0" encoding="utf-8"?>
<table xmlns="http://schemas.openxmlformats.org/spreadsheetml/2006/main" id="8" name="人工" displayName="人工" ref="Q2:T280" totalsRowShown="0">
  <autoFilter ref="Q2:T280"/>
  <tableColumns count="4">
    <tableColumn id="1" name="人工"/>
    <tableColumn id="2" name="单位"/>
    <tableColumn id="3" name="单价"/>
    <tableColumn id="4" name="汇总数量" dataDxfId="2">
      <calculatedColumnFormula>SUMIFS('分项对比表(02表)'!$M:$M,'分项对比表(02表)'!$D:$D,Q3,'分项对比表(02表)'!$C:$C,Q$2)</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11" name="单位" displayName="单位" ref="AK2:AK20" totalsRowShown="0">
  <tableColumns count="1">
    <tableColumn id="1" name="单位"/>
  </tableColumns>
  <tableStyleInfo name="TableStyleMedium9" showFirstColumn="0" showLastColumn="0" showRowStripes="1" showColumnStripes="0"/>
</table>
</file>

<file path=xl/tables/table7.xml><?xml version="1.0" encoding="utf-8"?>
<table xmlns="http://schemas.openxmlformats.org/spreadsheetml/2006/main" id="2" name="配比" displayName="配比" ref="AO5:DQ28" totalsRowShown="0">
  <tableColumns count="81">
    <tableColumn id="1" name="配比" dataDxfId="3"/>
    <tableColumn id="2" name="单位" dataDxfId="4"/>
    <tableColumn id="3" name="单价" dataDxfId="5">
      <calculatedColumnFormula>SUMIF($AU$5:$DQ$5,"合价*",AU6:DQ6)</calculatedColumnFormula>
    </tableColumn>
    <tableColumn id="4" name="总数量" dataDxfId="6">
      <calculatedColumnFormula>SUMIFS('01工程产值对比表'!$M:$M,'01工程产值对比表'!$D:$D,AO6,'01工程产值对比表'!$C:$C,"材料")</calculatedColumnFormula>
    </tableColumn>
    <tableColumn id="5" name="当月数量" dataDxfId="7">
      <calculatedColumnFormula>SUMIFS('01工程产值对比表'!$T:$T,'01工程产值对比表'!$D:$D,AO6,'01工程产值对比表'!$C:$C,"材料")</calculatedColumnFormula>
    </tableColumn>
    <tableColumn id="6" name="实累数量" dataDxfId="8">
      <calculatedColumnFormula>SUMIFS('01工程产值对比表'!$V:$V,'01工程产值对比表'!$D:$D,AO6,'01工程产值对比表'!$C:$C,"材料")</calculatedColumnFormula>
    </tableColumn>
    <tableColumn id="7" name="含量1" dataDxfId="9"/>
    <tableColumn id="8" name="单价1" dataDxfId="10"/>
    <tableColumn id="9" name="合价1" dataDxfId="11">
      <calculatedColumnFormula>+AU6*AV6</calculatedColumnFormula>
    </tableColumn>
    <tableColumn id="10" name="含量2" dataDxfId="12"/>
    <tableColumn id="11" name="单价2" dataDxfId="13"/>
    <tableColumn id="12" name="合价2" dataDxfId="14">
      <calculatedColumnFormula>+AX6*AY6</calculatedColumnFormula>
    </tableColumn>
    <tableColumn id="13" name="含量3" dataDxfId="15"/>
    <tableColumn id="14" name="单价3" dataDxfId="16"/>
    <tableColumn id="15" name="合价3" dataDxfId="17">
      <calculatedColumnFormula>+BA6*BB6</calculatedColumnFormula>
    </tableColumn>
    <tableColumn id="16" name="含量4" dataDxfId="18"/>
    <tableColumn id="17" name="单价4" dataDxfId="19"/>
    <tableColumn id="18" name="合价4" dataDxfId="20">
      <calculatedColumnFormula>+BD6*BE6</calculatedColumnFormula>
    </tableColumn>
    <tableColumn id="19" name="含量5" dataDxfId="21"/>
    <tableColumn id="20" name="单价5" dataDxfId="22"/>
    <tableColumn id="21" name="合价5" dataDxfId="23">
      <calculatedColumnFormula>+BG6*BH6</calculatedColumnFormula>
    </tableColumn>
    <tableColumn id="22" name="含量6" dataDxfId="24"/>
    <tableColumn id="23" name="单价6" dataDxfId="25"/>
    <tableColumn id="24" name="合价6" dataDxfId="26">
      <calculatedColumnFormula>+BJ6*BK6</calculatedColumnFormula>
    </tableColumn>
    <tableColumn id="25" name="含量7" dataDxfId="27"/>
    <tableColumn id="26" name="单价7" dataDxfId="28"/>
    <tableColumn id="27" name="合价7" dataDxfId="29">
      <calculatedColumnFormula>+BM6*BN6</calculatedColumnFormula>
    </tableColumn>
    <tableColumn id="28" name="含量8" dataDxfId="30"/>
    <tableColumn id="29" name="单价8" dataDxfId="31"/>
    <tableColumn id="30" name="合价8" dataDxfId="32">
      <calculatedColumnFormula>+BP6*BQ6</calculatedColumnFormula>
    </tableColumn>
    <tableColumn id="31" name="含量9" dataDxfId="33"/>
    <tableColumn id="32" name="单价9" dataDxfId="34"/>
    <tableColumn id="33" name="合价9" dataDxfId="35">
      <calculatedColumnFormula>+BS6*BT6</calculatedColumnFormula>
    </tableColumn>
    <tableColumn id="34" name="含量10" dataDxfId="36"/>
    <tableColumn id="35" name="单价10" dataDxfId="37"/>
    <tableColumn id="36" name="合价10" dataDxfId="38">
      <calculatedColumnFormula>+BV6*BW6</calculatedColumnFormula>
    </tableColumn>
    <tableColumn id="37" name="含量11"/>
    <tableColumn id="38" name="单价11"/>
    <tableColumn id="39" name="合价11">
      <calculatedColumnFormula>+BY6*BZ6</calculatedColumnFormula>
    </tableColumn>
    <tableColumn id="40" name="含量12" dataDxfId="39"/>
    <tableColumn id="41" name="单价12" dataDxfId="40"/>
    <tableColumn id="42" name="合价12" dataDxfId="41">
      <calculatedColumnFormula>+CB6*CC6</calculatedColumnFormula>
    </tableColumn>
    <tableColumn id="43" name="含量13" dataDxfId="42"/>
    <tableColumn id="44" name="单价13"/>
    <tableColumn id="45" name="合价13" dataDxfId="43">
      <calculatedColumnFormula>+CE6*CF6</calculatedColumnFormula>
    </tableColumn>
    <tableColumn id="46" name="含量14" dataDxfId="44"/>
    <tableColumn id="47" name="单价14" dataDxfId="45"/>
    <tableColumn id="48" name="合价14" dataDxfId="46">
      <calculatedColumnFormula>+CH6*CI6</calculatedColumnFormula>
    </tableColumn>
    <tableColumn id="49" name="含量15" dataDxfId="47"/>
    <tableColumn id="50" name="单价15" dataDxfId="48"/>
    <tableColumn id="51" name="合价15" dataDxfId="49">
      <calculatedColumnFormula>+CK6*CL6</calculatedColumnFormula>
    </tableColumn>
    <tableColumn id="52" name="含量16" dataDxfId="50"/>
    <tableColumn id="53" name="单价16"/>
    <tableColumn id="54" name="合价16">
      <calculatedColumnFormula>+CN6*CO6</calculatedColumnFormula>
    </tableColumn>
    <tableColumn id="55" name="含量17"/>
    <tableColumn id="56" name="单价17"/>
    <tableColumn id="57" name="合价17">
      <calculatedColumnFormula>+CQ6*CR6</calculatedColumnFormula>
    </tableColumn>
    <tableColumn id="58" name="含量18"/>
    <tableColumn id="59" name="单价18"/>
    <tableColumn id="60" name="合价18">
      <calculatedColumnFormula>+CT6*CU6</calculatedColumnFormula>
    </tableColumn>
    <tableColumn id="61" name="含量19"/>
    <tableColumn id="62" name="单价19"/>
    <tableColumn id="63" name="合价19">
      <calculatedColumnFormula>+CW6*CX6</calculatedColumnFormula>
    </tableColumn>
    <tableColumn id="64" name="含量20"/>
    <tableColumn id="65" name="单价20"/>
    <tableColumn id="66" name="合价20">
      <calculatedColumnFormula>+CZ6*DA6</calculatedColumnFormula>
    </tableColumn>
    <tableColumn id="67" name="含量21"/>
    <tableColumn id="68" name="单价21"/>
    <tableColumn id="69" name="合价21">
      <calculatedColumnFormula>+DC6*DD6</calculatedColumnFormula>
    </tableColumn>
    <tableColumn id="70" name="含量22"/>
    <tableColumn id="71" name="单价22"/>
    <tableColumn id="72" name="合价22">
      <calculatedColumnFormula>+DF6*DG6</calculatedColumnFormula>
    </tableColumn>
    <tableColumn id="73" name="含量23"/>
    <tableColumn id="74" name="单价23"/>
    <tableColumn id="75" name="合价23">
      <calculatedColumnFormula>+DI6*DJ6</calculatedColumnFormula>
    </tableColumn>
    <tableColumn id="76" name="含量24"/>
    <tableColumn id="77" name="单价24"/>
    <tableColumn id="78" name="合价24">
      <calculatedColumnFormula>+DL6*DM6</calculatedColumnFormula>
    </tableColumn>
    <tableColumn id="79" name="含量25"/>
    <tableColumn id="80" name="单价25"/>
    <tableColumn id="81" name="合价25">
      <calculatedColumnFormula>+DO6*DP6</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9" name="表9" displayName="表9" ref="A1:A588" totalsRowShown="0">
  <autoFilter ref="A1:A588"/>
  <tableColumns count="1">
    <tableColumn id="1" name="列1"/>
  </tableColumns>
  <tableStyleInfo name="TableStyleMedium2" showFirstColumn="0" showLastColumn="0" showRowStripes="1" showColumnStripes="0"/>
</table>
</file>

<file path=xl/tables/table9.xml><?xml version="1.0" encoding="utf-8"?>
<table xmlns="http://schemas.openxmlformats.org/spreadsheetml/2006/main" id="10" name="分供清单" displayName="分供清单" ref="K5:U77" totalsRowShown="0">
  <autoFilter ref="K5:U77"/>
  <tableColumns count="11">
    <tableColumn id="1" name="细目编码" dataDxfId="65"/>
    <tableColumn id="2" name="细目名称" dataDxfId="66"/>
    <tableColumn id="3" name="单位" dataDxfId="67"/>
    <tableColumn id="4" name="单价&#10;（不含税）" dataDxfId="68"/>
    <tableColumn id="5" name="合同&#10;数量" dataDxfId="69"/>
    <tableColumn id="6" name="数量" dataDxfId="70"/>
    <tableColumn id="7" name="金额" dataDxfId="71"/>
    <tableColumn id="8" name="剩余工程量" dataDxfId="72"/>
    <tableColumn id="9" name="累计完成比例&#10;" dataDxfId="73">
      <calculatedColumnFormula>IFERROR(+P6/O6,"")</calculatedColumnFormula>
    </tableColumn>
    <tableColumn id="10" name="实际数量" dataDxfId="74"/>
    <tableColumn id="11" name="实际金额" dataDxfId="75"/>
  </tableColumns>
  <tableStyleInfo name="TableStyleLight1" showFirstColumn="0" showLastColumn="0" showRowStripes="1" showColumnStripes="0"/>
</table>
</file>

<file path=xl/tables/table10.xml><?xml version="1.0" encoding="utf-8"?>
<table xmlns="http://schemas.openxmlformats.org/spreadsheetml/2006/main" id="12" name="表10" displayName="表10" ref="A4:V19" totalsRowShown="0">
  <autoFilter ref="A4:V19"/>
  <tableColumns count="22">
    <tableColumn id="1" name="序号">
      <calculatedColumnFormula>$A$6&amp;TEXT(ROW()-6,"000")</calculatedColumnFormula>
    </tableColumn>
    <tableColumn id="2" name="工程部位"/>
    <tableColumn id="3" name="预算项目分类"/>
    <tableColumn id="4" name="成本预算项目名称"/>
    <tableColumn id="5" name="项目特征"/>
    <tableColumn id="6" name="单位">
      <calculatedColumnFormula>IFERROR(VLOOKUP($D5,人工[],2,FALSE),"")</calculatedColumnFormula>
    </tableColumn>
    <tableColumn id="7" name="数量1"/>
    <tableColumn id="8" name="单价1">
      <calculatedColumnFormula>IFERROR(VLOOKUP($D5,人工[],3,FALSE),"")</calculatedColumnFormula>
    </tableColumn>
    <tableColumn id="9" name="合价（元）1" dataDxfId="77">
      <calculatedColumnFormula>+G5*H5</calculatedColumnFormula>
    </tableColumn>
    <tableColumn id="10" name="数量2（对应产值）"/>
    <tableColumn id="11" name="合价2（元）" dataDxfId="78">
      <calculatedColumnFormula>+J5*H5</calculatedColumnFormula>
    </tableColumn>
    <tableColumn id="12" name="数量3">
      <calculatedColumnFormula>IFERROR(SUMIFS('02综合台帐（人材机）'!P:P,'02综合台帐（人材机）'!$F:$F,"人工",'02综合台帐（人材机）'!$K:$K,$D5)*J5/SUMIF($D:$D,$D5,J:J),0)</calculatedColumnFormula>
    </tableColumn>
    <tableColumn id="13" name="单价3">
      <calculatedColumnFormula>IFERROR(+N5/L5,0)</calculatedColumnFormula>
    </tableColumn>
    <tableColumn id="14" name="合价（元）3" dataDxfId="79">
      <calculatedColumnFormula>IFERROR(SUMIFS('02综合台帐（人材机）'!Q:Q,'02综合台帐（人材机）'!$F:$F,"人工",'02综合台帐（人材机）'!$K:$K,$D5)*J5/SUMIF($D:$D,$D5,J:J),0)</calculatedColumnFormula>
    </tableColumn>
    <tableColumn id="15" name="数量4" dataDxfId="80">
      <calculatedColumnFormula>IFERROR(SUMIFS('02综合台帐（人材机）'!T:T,'02综合台帐（人材机）'!$F:$F,"人工",'02综合台帐（人材机）'!$K:$K,$D5)*J5/SUMIF($D:$D,$D5,J:J),0)</calculatedColumnFormula>
    </tableColumn>
    <tableColumn id="16" name="合价（元）4" dataDxfId="81">
      <calculatedColumnFormula>IFERROR(SUMIFS('02综合台帐（人材机）'!U:U,'02综合台帐（人材机）'!$F:$F,"人工",'02综合台帐（人材机）'!$K:$K,$D5)*J5/SUMIF($D:$D,$D5,J:J),0)</calculatedColumnFormula>
    </tableColumn>
    <tableColumn id="17" name="价差" dataDxfId="82">
      <calculatedColumnFormula>SUM(Q6:Q1922)</calculatedColumnFormula>
    </tableColumn>
    <tableColumn id="18" name="量差" dataDxfId="83">
      <calculatedColumnFormula>SUM(R6:R1922)</calculatedColumnFormula>
    </tableColumn>
    <tableColumn id="19" name="合价（元）5" dataDxfId="84">
      <calculatedColumnFormula>IFERROR(K5-P5,0)</calculatedColumnFormula>
    </tableColumn>
    <tableColumn id="20" name="备注"/>
    <tableColumn id="21" name="对应台帐细目编码"/>
    <tableColumn id="22" name="不同计量单位转换系数"/>
  </tableColumns>
  <tableStyleInfo name="TableStyleMedium2" showFirstColumn="0" showLastColumn="0" showRowStripes="1" showColumnStripes="0"/>
</table>
</file>

<file path=xl/tables/table11.xml><?xml version="1.0" encoding="utf-8"?>
<table xmlns="http://schemas.openxmlformats.org/spreadsheetml/2006/main" id="17" name="表17" displayName="表17" ref="A4:V18" totalsRowShown="0">
  <tableColumns count="22">
    <tableColumn id="1" name="序号" dataDxfId="85">
      <calculatedColumnFormula>$A$6&amp;TEXT(ROW()-6,"000")</calculatedColumnFormula>
    </tableColumn>
    <tableColumn id="2" name="工程部位" dataDxfId="86"/>
    <tableColumn id="3" name="预算项目分类" dataDxfId="87"/>
    <tableColumn id="4" name="成本预算项目名称" dataDxfId="88"/>
    <tableColumn id="5" name="项目特征" dataDxfId="89"/>
    <tableColumn id="6" name="单位" dataDxfId="90">
      <calculatedColumnFormula>IFERROR(VLOOKUP($D5,材料[],2,FALSE),"")</calculatedColumnFormula>
    </tableColumn>
    <tableColumn id="7" name="数量1" dataDxfId="91"/>
    <tableColumn id="8" name="单价1" dataDxfId="92">
      <calculatedColumnFormula>IFERROR(VLOOKUP($D5,材料[],3,FALSE),"")</calculatedColumnFormula>
    </tableColumn>
    <tableColumn id="9" name="合价（元）1" dataDxfId="93">
      <calculatedColumnFormula>+G5*H5</calculatedColumnFormula>
    </tableColumn>
    <tableColumn id="10" name="数量2（对应产值）" dataDxfId="94"/>
    <tableColumn id="11" name="合价2（元）" dataDxfId="95">
      <calculatedColumnFormula>+J5*H5</calculatedColumnFormula>
    </tableColumn>
    <tableColumn id="12" name="数量3" dataDxfId="96">
      <calculatedColumnFormula>IFERROR(SUMIFS('02综合台帐（人材机）'!P:P,'02综合台帐（人材机）'!$F:$F,"材料2",'02综合台帐（人材机）'!$K:$K,$D5)*J5/SUMIF($D:$D,$D5,J:J),0)</calculatedColumnFormula>
    </tableColumn>
    <tableColumn id="13" name="单价3" dataDxfId="97">
      <calculatedColumnFormula>IFERROR(+N5/L5,0)</calculatedColumnFormula>
    </tableColumn>
    <tableColumn id="14" name="合价（元）3" dataDxfId="98">
      <calculatedColumnFormula>IFERROR(SUMIFS('02综合台帐（人材机）'!Q:Q,'02综合台帐（人材机）'!$F:$F,"材料2",'02综合台帐（人材机）'!$K:$K,$D5)*J5/SUMIF($D:$D,$D5,J:J),0)</calculatedColumnFormula>
    </tableColumn>
    <tableColumn id="15" name="数量4" dataDxfId="99">
      <calculatedColumnFormula>IFERROR(SUMIFS('02综合台帐（人材机）'!T:T,'02综合台帐（人材机）'!$F:$F,"材料2",'02综合台帐（人材机）'!$K:$K,$D5)*J5/SUMIF($D:$D,$D5,J:J),0)</calculatedColumnFormula>
    </tableColumn>
    <tableColumn id="16" name="合价（元）4" dataDxfId="100">
      <calculatedColumnFormula>IFERROR(SUMIFS('02综合台帐（人材机）'!U:U,'02综合台帐（人材机）'!$F:$F,"材料2",'02综合台帐（人材机）'!$K:$K,$D5)*J5/SUMIF($D:$D,$D5,J:J),0)</calculatedColumnFormula>
    </tableColumn>
    <tableColumn id="17" name="价差" dataDxfId="101">
      <calculatedColumnFormula>-M5*J5+H5*J5</calculatedColumnFormula>
    </tableColumn>
    <tableColumn id="18" name="量差" dataDxfId="102">
      <calculatedColumnFormula>IFERROR(-O5*M5+M5*J5,0)</calculatedColumnFormula>
    </tableColumn>
    <tableColumn id="19" name="合价（元）5" dataDxfId="103">
      <calculatedColumnFormula>IFERROR(K5-P5,0)</calculatedColumnFormula>
    </tableColumn>
    <tableColumn id="20" name="备注" dataDxfId="104"/>
    <tableColumn id="21" name="对应台帐细目编码" dataDxfId="105"/>
    <tableColumn id="22" name="不同计量单位转换系数" dataDxfId="106"/>
  </tableColumns>
  <tableStyleInfo name="表样式 1" showFirstColumn="0" showLastColumn="0" showRowStripes="1" showColumnStripes="0"/>
</table>
</file>

<file path=xl/tables/table12.xml><?xml version="1.0" encoding="utf-8"?>
<table xmlns="http://schemas.openxmlformats.org/spreadsheetml/2006/main" id="18" name="表18" displayName="表18" ref="A4:V12" totalsRowShown="0">
  <tableColumns count="22">
    <tableColumn id="1" name="序号" dataDxfId="107">
      <calculatedColumnFormula>$A$6&amp;TEXT(ROW()-6,"000")</calculatedColumnFormula>
    </tableColumn>
    <tableColumn id="2" name="工程部位" dataDxfId="108"/>
    <tableColumn id="3" name="预算项目分类" dataDxfId="109"/>
    <tableColumn id="4" name="成本预算项目名称" dataDxfId="110"/>
    <tableColumn id="5" name="项目特征" dataDxfId="111"/>
    <tableColumn id="6" name="单位" dataDxfId="112">
      <calculatedColumnFormula>IFERROR(VLOOKUP($D5,机械[],2,FALSE),"")</calculatedColumnFormula>
    </tableColumn>
    <tableColumn id="7" name="数量1" dataDxfId="113"/>
    <tableColumn id="8" name="单价1" dataDxfId="114">
      <calculatedColumnFormula>IFERROR(VLOOKUP($D5,机械[],3,FALSE),"")</calculatedColumnFormula>
    </tableColumn>
    <tableColumn id="9" name="合价（元）1" dataDxfId="115">
      <calculatedColumnFormula>+G5*H5</calculatedColumnFormula>
    </tableColumn>
    <tableColumn id="10" name="数量2（对应产值）" dataDxfId="116"/>
    <tableColumn id="11" name="合价2（元）" dataDxfId="117">
      <calculatedColumnFormula>+J5*H5</calculatedColumnFormula>
    </tableColumn>
    <tableColumn id="12" name="数量3" dataDxfId="118">
      <calculatedColumnFormula>IFERROR(SUMIFS('02综合台帐（人材机）'!P:P,'02综合台帐（人材机）'!$F:$F,"机械",'02综合台帐（人材机）'!$K:$K,$D5)*J5/SUMIF($D:$D,$D5,J:J),0)</calculatedColumnFormula>
    </tableColumn>
    <tableColumn id="13" name="单价3" dataDxfId="119">
      <calculatedColumnFormula>IFERROR(+N5/L5,0)</calculatedColumnFormula>
    </tableColumn>
    <tableColumn id="14" name="合价（元）3" dataDxfId="120">
      <calculatedColumnFormula>IFERROR(SUMIFS('02综合台帐（人材机）'!Q:Q,'02综合台帐（人材机）'!$F:$F,"机械",'02综合台帐（人材机）'!$K:$K,$D5)*J5/SUMIF($D:$D,$D5,J:J),0)</calculatedColumnFormula>
    </tableColumn>
    <tableColumn id="15" name="数量4" dataDxfId="121">
      <calculatedColumnFormula>IFERROR(SUMIFS('02综合台帐（人材机）'!T:T,'02综合台帐（人材机）'!$F:$F,"机械",'02综合台帐（人材机）'!$K:$K,$D5)*J5/SUMIF($D:$D,$D5,J:J),0)</calculatedColumnFormula>
    </tableColumn>
    <tableColumn id="16" name="合价（元）4" dataDxfId="122">
      <calculatedColumnFormula>IFERROR(SUMIFS('02综合台帐（人材机）'!U:U,'02综合台帐（人材机）'!$F:$F,"机械",'02综合台帐（人材机）'!$K:$K,$D5)*J5/SUMIF($D:$D,$D5,J:J),0)</calculatedColumnFormula>
    </tableColumn>
    <tableColumn id="17" name="价差" dataDxfId="123">
      <calculatedColumnFormula>-M5*J5+H5*J5</calculatedColumnFormula>
    </tableColumn>
    <tableColumn id="18" name="量差" dataDxfId="124">
      <calculatedColumnFormula>IFERROR(-O5*M5+M5*J5,0)</calculatedColumnFormula>
    </tableColumn>
    <tableColumn id="19" name="合价（元）5" dataDxfId="125">
      <calculatedColumnFormula>IFERROR(K5-P5,0)</calculatedColumnFormula>
    </tableColumn>
    <tableColumn id="20" name="备注" dataDxfId="126"/>
    <tableColumn id="21" name="对应台帐细目编码" dataDxfId="127"/>
    <tableColumn id="22" name="不同计量单位转换系数" dataDxfId="128"/>
  </tableColumns>
  <tableStyleInfo name="表样式 1" showFirstColumn="0" showLastColumn="0" showRowStripes="1" showColumnStripes="0"/>
</table>
</file>

<file path=xl/tables/table13.xml><?xml version="1.0" encoding="utf-8"?>
<table xmlns="http://schemas.openxmlformats.org/spreadsheetml/2006/main" id="19" name="表19" displayName="表19" ref="A4:V7" totalsRowShown="0">
  <autoFilter ref="A4:V7"/>
  <tableColumns count="22">
    <tableColumn id="1" name="序号"/>
    <tableColumn id="2" name="工程部位"/>
    <tableColumn id="3" name="预算项目分类"/>
    <tableColumn id="4" name="成本预算项目名称"/>
    <tableColumn id="5" name="项目特征"/>
    <tableColumn id="6" name="单位">
      <calculatedColumnFormula>IFERROR(VLOOKUP($D5,分包[],2,FALSE),"")</calculatedColumnFormula>
    </tableColumn>
    <tableColumn id="7" name="数量1"/>
    <tableColumn id="8" name="单价1">
      <calculatedColumnFormula>IFERROR(VLOOKUP($D5,分包[],3,FALSE),"")</calculatedColumnFormula>
    </tableColumn>
    <tableColumn id="9" name="合价（元）1">
      <calculatedColumnFormula>+G5*H5</calculatedColumnFormula>
    </tableColumn>
    <tableColumn id="10" name="数量2（对应产值）"/>
    <tableColumn id="11" name="合价2（元）">
      <calculatedColumnFormula>+J5*H5</calculatedColumnFormula>
    </tableColumn>
    <tableColumn id="12" name="数量3">
      <calculatedColumnFormula>IFERROR(SUMIFS('02综合台帐（人材机）'!P:P,'02综合台帐（人材机）'!$F:$F,"分包",'02综合台帐（人材机）'!$K:$K,$D5)*J5/SUMIF($D:$D,$D5,J:J),0)</calculatedColumnFormula>
    </tableColumn>
    <tableColumn id="13" name="单价3">
      <calculatedColumnFormula>IFERROR(+N5/L5,0)</calculatedColumnFormula>
    </tableColumn>
    <tableColumn id="14" name="合价（元）3">
      <calculatedColumnFormula>IFERROR(SUMIFS('02综合台帐（人材机）'!Q:Q,'02综合台帐（人材机）'!$F:$F,"分包",'02综合台帐（人材机）'!$K:$K,$D5)*J5/SUMIF($D:$D,$D5,J:J),0)</calculatedColumnFormula>
    </tableColumn>
    <tableColumn id="15" name="数量4">
      <calculatedColumnFormula>IFERROR(SUMIFS('02综合台帐（人材机）'!T:T,'02综合台帐（人材机）'!$F:$F,"分包",'02综合台帐（人材机）'!$K:$K,$D5)*J5/SUMIF($D:$D,$D5,J:J),0)</calculatedColumnFormula>
    </tableColumn>
    <tableColumn id="16" name="合价（元）4">
      <calculatedColumnFormula>IFERROR(SUMIFS('02综合台帐（人材机）'!U:U,'02综合台帐（人材机）'!$F:$F,"分包",'02综合台帐（人材机）'!$K:$K,$D5)*J5/SUMIF($D:$D,$D5,J:J),0)</calculatedColumnFormula>
    </tableColumn>
    <tableColumn id="17" name="价差">
      <calculatedColumnFormula>-M5*J5+H5*J5</calculatedColumnFormula>
    </tableColumn>
    <tableColumn id="18" name="量差">
      <calculatedColumnFormula>IFERROR(-O5*M5+M5*J5,0)</calculatedColumnFormula>
    </tableColumn>
    <tableColumn id="19" name="合价（元）5">
      <calculatedColumnFormula>IFERROR(K5-P5,0)</calculatedColumnFormula>
    </tableColumn>
    <tableColumn id="20" name="备注"/>
    <tableColumn id="21" name="对应台帐细目编码&#10;"/>
    <tableColumn id="22" name="不同计量单位转换系数"/>
  </tableColumns>
  <tableStyleInfo name="表样式 1" showFirstColumn="0" showLastColumn="0" showRowStripes="1" showColumnStripes="0"/>
</table>
</file>

<file path=xl/tables/table14.xml><?xml version="1.0" encoding="utf-8"?>
<table xmlns="http://schemas.openxmlformats.org/spreadsheetml/2006/main" id="13" name="临时设施费下拉" displayName="临时设施费下拉" ref="D7:D16" totalsRowShown="0">
  <tableColumns count="1">
    <tableColumn id="1" name="临时设施费" dataDxfId="129"/>
  </tableColumns>
  <tableStyleInfo showFirstColumn="0" showLastColumn="0" showRowStripes="1" showColumnStripes="0"/>
</table>
</file>

<file path=xl/tables/table15.xml><?xml version="1.0" encoding="utf-8"?>
<table xmlns="http://schemas.openxmlformats.org/spreadsheetml/2006/main" id="14" name="其他措施费下拉" displayName="其他措施费下拉" ref="D17:D53" totalsRowShown="0">
  <tableColumns count="1">
    <tableColumn id="1" name="其他措施费" dataDxfId="130"/>
  </tableColumns>
  <tableStyleInfo showFirstColumn="0" showLastColumn="0" showRowStripes="1" showColumnStripes="0"/>
</table>
</file>

<file path=xl/tables/table16.xml><?xml version="1.0" encoding="utf-8"?>
<table xmlns="http://schemas.openxmlformats.org/spreadsheetml/2006/main" id="15" name="单价措施费下拉" displayName="单价措施费下拉" ref="D54:D60" totalsRowShown="0">
  <tableColumns count="1">
    <tableColumn id="1" name="单价措施费" dataDxfId="131"/>
  </tableColumns>
  <tableStyleInfo showFirstColumn="0" showLastColumn="0" showRowStripes="1" showColumnStripes="0"/>
</table>
</file>

<file path=xl/theme/theme1.xml><?xml version="1.0" encoding="utf-8"?>
<a:theme xmlns:a="http://schemas.openxmlformats.org/drawingml/2006/main" name="Office">
  <a:themeElements>
    <a:clrScheme name="自定义 2">
      <a:dk1>
        <a:srgbClr val="000000"/>
      </a:dk1>
      <a:lt1>
        <a:srgbClr val="FFFFFF"/>
      </a:lt1>
      <a:dk2>
        <a:srgbClr val="3E3D2D"/>
      </a:dk2>
      <a:lt2>
        <a:srgbClr val="D9D9D9"/>
      </a:lt2>
      <a:accent1>
        <a:srgbClr val="94C600"/>
      </a:accent1>
      <a:accent2>
        <a:srgbClr val="E1F2CE"/>
      </a:accent2>
      <a:accent3>
        <a:srgbClr val="FF6700"/>
      </a:accent3>
      <a:accent4>
        <a:srgbClr val="909465"/>
      </a:accent4>
      <a:accent5>
        <a:srgbClr val="956B43"/>
      </a:accent5>
      <a:accent6>
        <a:srgbClr val="FEA022"/>
      </a:accent6>
      <a:hlink>
        <a:srgbClr val="E68200"/>
      </a:hlink>
      <a:folHlink>
        <a:srgbClr val="FFA94A"/>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9" Type="http://schemas.openxmlformats.org/officeDocument/2006/relationships/table" Target="../tables/table4.xml"/><Relationship Id="rId8" Type="http://schemas.openxmlformats.org/officeDocument/2006/relationships/table" Target="../tables/table3.xml"/><Relationship Id="rId7" Type="http://schemas.openxmlformats.org/officeDocument/2006/relationships/table" Target="../tables/table2.xml"/><Relationship Id="rId6" Type="http://schemas.openxmlformats.org/officeDocument/2006/relationships/table" Target="../tables/table1.xml"/><Relationship Id="rId5" Type="http://schemas.openxmlformats.org/officeDocument/2006/relationships/image" Target="../media/image2.wmf"/><Relationship Id="rId4" Type="http://schemas.openxmlformats.org/officeDocument/2006/relationships/control" Target="../activeX/activeX1.xml"/><Relationship Id="rId3" Type="http://schemas.openxmlformats.org/officeDocument/2006/relationships/vmlDrawing" Target="../drawings/vmlDrawing2.vml"/><Relationship Id="rId2" Type="http://schemas.openxmlformats.org/officeDocument/2006/relationships/drawing" Target="../drawings/drawing2.xml"/><Relationship Id="rId12" Type="http://schemas.openxmlformats.org/officeDocument/2006/relationships/table" Target="../tables/table7.xml"/><Relationship Id="rId11" Type="http://schemas.openxmlformats.org/officeDocument/2006/relationships/table" Target="../tables/table6.xml"/><Relationship Id="rId10" Type="http://schemas.openxmlformats.org/officeDocument/2006/relationships/table" Target="../tables/table5.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9" Type="http://schemas.openxmlformats.org/officeDocument/2006/relationships/control" Target="../activeX/activeX6.xml"/><Relationship Id="rId8" Type="http://schemas.openxmlformats.org/officeDocument/2006/relationships/control" Target="../activeX/activeX5.xml"/><Relationship Id="rId7" Type="http://schemas.openxmlformats.org/officeDocument/2006/relationships/control" Target="../activeX/activeX4.xml"/><Relationship Id="rId6" Type="http://schemas.openxmlformats.org/officeDocument/2006/relationships/control" Target="../activeX/activeX3.xml"/><Relationship Id="rId5" Type="http://schemas.openxmlformats.org/officeDocument/2006/relationships/image" Target="../media/image3.wmf"/><Relationship Id="rId4" Type="http://schemas.openxmlformats.org/officeDocument/2006/relationships/control" Target="../activeX/activeX2.xml"/><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omments" Target="../comments3.xml"/></Relationships>
</file>

<file path=xl/worksheets/_rels/sheet7.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5" Type="http://schemas.openxmlformats.org/officeDocument/2006/relationships/control" Target="../activeX/activeX11.xml"/><Relationship Id="rId4" Type="http://schemas.openxmlformats.org/officeDocument/2006/relationships/image" Target="../media/image3.wmf"/><Relationship Id="rId3" Type="http://schemas.openxmlformats.org/officeDocument/2006/relationships/control" Target="../activeX/activeX10.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4" Type="http://schemas.openxmlformats.org/officeDocument/2006/relationships/image" Target="../media/image4.wmf"/><Relationship Id="rId3" Type="http://schemas.openxmlformats.org/officeDocument/2006/relationships/control" Target="../activeX/activeX12.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11.vml"/><Relationship Id="rId1"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5" Type="http://schemas.openxmlformats.org/officeDocument/2006/relationships/table" Target="../tables/table10.xml"/><Relationship Id="rId4" Type="http://schemas.openxmlformats.org/officeDocument/2006/relationships/image" Target="../media/image5.wmf"/><Relationship Id="rId3" Type="http://schemas.openxmlformats.org/officeDocument/2006/relationships/control" Target="../activeX/activeX13.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5" Type="http://schemas.openxmlformats.org/officeDocument/2006/relationships/table" Target="../tables/table11.xml"/><Relationship Id="rId4" Type="http://schemas.openxmlformats.org/officeDocument/2006/relationships/image" Target="../media/image6.wmf"/><Relationship Id="rId3" Type="http://schemas.openxmlformats.org/officeDocument/2006/relationships/control" Target="../activeX/activeX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22.xml.rels><?xml version="1.0" encoding="UTF-8" standalone="yes"?>
<Relationships xmlns="http://schemas.openxmlformats.org/package/2006/relationships"><Relationship Id="rId5" Type="http://schemas.openxmlformats.org/officeDocument/2006/relationships/table" Target="../tables/table12.xml"/><Relationship Id="rId4" Type="http://schemas.openxmlformats.org/officeDocument/2006/relationships/image" Target="../media/image7.wmf"/><Relationship Id="rId3" Type="http://schemas.openxmlformats.org/officeDocument/2006/relationships/control" Target="../activeX/activeX15.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23.xml.rels><?xml version="1.0" encoding="UTF-8" standalone="yes"?>
<Relationships xmlns="http://schemas.openxmlformats.org/package/2006/relationships"><Relationship Id="rId5" Type="http://schemas.openxmlformats.org/officeDocument/2006/relationships/table" Target="../tables/table13.xml"/><Relationship Id="rId4" Type="http://schemas.openxmlformats.org/officeDocument/2006/relationships/image" Target="../media/image7.wmf"/><Relationship Id="rId3" Type="http://schemas.openxmlformats.org/officeDocument/2006/relationships/control" Target="../activeX/activeX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24.xml.rels><?xml version="1.0" encoding="UTF-8" standalone="yes"?>
<Relationships xmlns="http://schemas.openxmlformats.org/package/2006/relationships"><Relationship Id="rId4" Type="http://schemas.openxmlformats.org/officeDocument/2006/relationships/table" Target="../tables/table16.xml"/><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comments" Target="../comments6.xml"/></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26"/>
  <sheetViews>
    <sheetView workbookViewId="0">
      <selection activeCell="C12" sqref="C12"/>
    </sheetView>
  </sheetViews>
  <sheetFormatPr defaultColWidth="8.875" defaultRowHeight="15.75" outlineLevelCol="2"/>
  <cols>
    <col min="1" max="1" width="87" customWidth="1"/>
    <col min="2" max="2" width="10.75" customWidth="1"/>
    <col min="3" max="3" width="56.625" customWidth="1"/>
  </cols>
  <sheetData>
    <row r="1" ht="34.15" customHeight="1" spans="1:3">
      <c r="A1" s="1098" t="s">
        <v>0</v>
      </c>
      <c r="C1" s="1099"/>
    </row>
    <row r="2" ht="34.15" customHeight="1" spans="1:3">
      <c r="A2" s="1100" t="s">
        <v>1</v>
      </c>
      <c r="C2" s="1101" t="s">
        <v>2</v>
      </c>
    </row>
    <row r="3" ht="45" customHeight="1" spans="1:3">
      <c r="A3" s="1102" t="s">
        <v>3</v>
      </c>
      <c r="B3" s="918"/>
      <c r="C3" s="1101" t="s">
        <v>4</v>
      </c>
    </row>
    <row r="4" s="1097" customFormat="1" ht="45" customHeight="1" spans="1:3">
      <c r="A4" s="1103" t="s">
        <v>5</v>
      </c>
      <c r="C4" s="1097" t="s">
        <v>6</v>
      </c>
    </row>
    <row r="5" s="1097" customFormat="1" ht="45" customHeight="1" spans="1:1">
      <c r="A5" s="1103" t="s">
        <v>7</v>
      </c>
    </row>
    <row r="6" s="1097" customFormat="1" ht="84" customHeight="1" spans="1:1">
      <c r="A6" s="1103" t="s">
        <v>8</v>
      </c>
    </row>
    <row r="7" s="1097" customFormat="1" ht="30.75" customHeight="1" spans="1:1">
      <c r="A7" s="1103" t="s">
        <v>9</v>
      </c>
    </row>
    <row r="8" s="1097" customFormat="1" ht="42" customHeight="1" spans="1:1">
      <c r="A8" s="1103" t="s">
        <v>10</v>
      </c>
    </row>
    <row r="9" s="1097" customFormat="1" ht="30.75" customHeight="1" spans="1:1">
      <c r="A9" s="1104"/>
    </row>
    <row r="10" s="1097" customFormat="1" ht="30.75" customHeight="1" spans="1:1">
      <c r="A10" s="1104"/>
    </row>
    <row r="11" s="1097" customFormat="1" ht="48" customHeight="1" spans="1:1">
      <c r="A11" s="683"/>
    </row>
    <row r="12" s="1097" customFormat="1" ht="54" customHeight="1" spans="1:1">
      <c r="A12" s="1105"/>
    </row>
    <row r="13" s="1097" customFormat="1" ht="54" customHeight="1" spans="1:1">
      <c r="A13" s="1105"/>
    </row>
    <row r="14" s="1097" customFormat="1" ht="45.75" customHeight="1" spans="1:1">
      <c r="A14" s="1105"/>
    </row>
    <row r="15" s="1097" customFormat="1" ht="62.25" customHeight="1" spans="1:1">
      <c r="A15" s="1105"/>
    </row>
    <row r="16" s="1097" customFormat="1" ht="71.25" customHeight="1" spans="1:1">
      <c r="A16" s="1105"/>
    </row>
    <row r="17" s="1097" customFormat="1" ht="61.5" customHeight="1" spans="1:1">
      <c r="A17" s="1105"/>
    </row>
    <row r="18" s="1097" customFormat="1" ht="97.5" customHeight="1" spans="1:1">
      <c r="A18" s="1105"/>
    </row>
    <row r="19" ht="41.25" customHeight="1" spans="1:1">
      <c r="A19" s="1105"/>
    </row>
    <row r="20" ht="48.75" customHeight="1" spans="1:1">
      <c r="A20" s="1105"/>
    </row>
    <row r="21" ht="30.75" customHeight="1" spans="1:1">
      <c r="A21" s="1105"/>
    </row>
    <row r="22" ht="30.75" customHeight="1" spans="1:1">
      <c r="A22" s="1105"/>
    </row>
    <row r="23" ht="45.75" customHeight="1" spans="1:1">
      <c r="A23" s="1105"/>
    </row>
    <row r="24" ht="28.5" customHeight="1" spans="1:1">
      <c r="A24" s="1105"/>
    </row>
    <row r="25" ht="28.5" customHeight="1" spans="1:1">
      <c r="A25" s="1105"/>
    </row>
    <row r="26" ht="35.25" customHeight="1" spans="1:1">
      <c r="A26" s="1105"/>
    </row>
  </sheetData>
  <sheetProtection formatCells="0" insertHyperlinks="0" autoFilter="0"/>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0000"/>
  </sheetPr>
  <dimension ref="A1:G32"/>
  <sheetViews>
    <sheetView zoomScale="85" zoomScaleNormal="85" workbookViewId="0">
      <selection activeCell="A189" sqref="A189"/>
    </sheetView>
  </sheetViews>
  <sheetFormatPr defaultColWidth="8.875" defaultRowHeight="15.75" outlineLevelCol="6"/>
  <cols>
    <col min="1" max="1" width="52.5" style="1074" customWidth="1"/>
    <col min="2" max="2" width="5.75" style="1074" customWidth="1"/>
    <col min="3" max="3" width="63.875" style="1074" customWidth="1"/>
    <col min="4" max="4" width="15.625" style="1074" customWidth="1"/>
    <col min="5" max="6" width="8.875" style="1074"/>
    <col min="7" max="7" width="16.625" style="1074" customWidth="1"/>
    <col min="8" max="16384" width="8.875" style="1074"/>
  </cols>
  <sheetData>
    <row r="1" s="144" customFormat="1" ht="54.95" customHeight="1" spans="1:3">
      <c r="A1" s="1075" t="s">
        <v>11</v>
      </c>
      <c r="B1" s="1075"/>
      <c r="C1" s="1075"/>
    </row>
    <row r="2" s="144" customFormat="1" ht="15.95" customHeight="1" spans="1:3">
      <c r="A2" s="1076" t="s">
        <v>12</v>
      </c>
      <c r="B2" s="1076"/>
      <c r="C2" s="1076"/>
    </row>
    <row r="3" s="639" customFormat="1" ht="33.95" customHeight="1" spans="1:7">
      <c r="A3" s="1077" t="s">
        <v>13</v>
      </c>
      <c r="B3" s="1078"/>
      <c r="C3" s="1079"/>
      <c r="D3" s="1074"/>
      <c r="E3" s="1074"/>
      <c r="F3" s="1074"/>
      <c r="G3" s="1074"/>
    </row>
    <row r="4" s="144" customFormat="1" ht="33.95" customHeight="1" spans="1:4">
      <c r="A4" s="1080" t="str">
        <f>"2、工程名称(全称）："&amp;工程名称</f>
        <v>2、工程名称(全称）：az</v>
      </c>
      <c r="B4" s="1081"/>
      <c r="C4" s="1082"/>
      <c r="D4" s="1074"/>
    </row>
    <row r="5" s="144" customFormat="1" ht="33.95" customHeight="1" spans="1:4">
      <c r="A5" s="1080" t="str">
        <f>"3、工区："&amp;工区</f>
        <v>3、工区：2</v>
      </c>
      <c r="B5" s="1081"/>
      <c r="C5" s="1082"/>
      <c r="D5" s="1074"/>
    </row>
    <row r="6" s="144" customFormat="1" ht="33.95" customHeight="1" spans="1:4">
      <c r="A6" s="1083" t="s">
        <v>14</v>
      </c>
      <c r="B6" s="51" t="s">
        <v>15</v>
      </c>
      <c r="C6" s="1084">
        <f ca="1">'工程项目成本预算表(01表)'!C18</f>
        <v>5219653.345</v>
      </c>
      <c r="D6" s="1074"/>
    </row>
    <row r="7" s="144" customFormat="1" ht="33.95" customHeight="1" spans="1:3">
      <c r="A7" s="1083" t="s">
        <v>16</v>
      </c>
      <c r="B7" s="51" t="s">
        <v>15</v>
      </c>
      <c r="C7" s="1084">
        <f ca="1">'工程项目成本预算表(01表)'!C15+'工程项目成本预算表(01表)'!C17</f>
        <v>5219653.345</v>
      </c>
    </row>
    <row r="8" s="144" customFormat="1" ht="33.95" customHeight="1" spans="1:3">
      <c r="A8" s="1083" t="s">
        <v>17</v>
      </c>
      <c r="B8" s="51" t="s">
        <v>15</v>
      </c>
      <c r="C8" s="1084">
        <f ca="1">'工程项目成本预算表(01表)'!C15</f>
        <v>5219653.345</v>
      </c>
    </row>
    <row r="9" s="144" customFormat="1" ht="33.95" customHeight="1" spans="1:3">
      <c r="A9" s="1083" t="s">
        <v>18</v>
      </c>
      <c r="B9" s="51" t="s">
        <v>15</v>
      </c>
      <c r="C9" s="1084">
        <f ca="1">'工程项目成本预算表(01表)'!D15</f>
        <v>5219653.345</v>
      </c>
    </row>
    <row r="10" s="144" customFormat="1" ht="33.95" customHeight="1" spans="1:3">
      <c r="A10" s="1083" t="s">
        <v>19</v>
      </c>
      <c r="B10" s="51" t="s">
        <v>15</v>
      </c>
      <c r="C10" s="1084">
        <f ca="1">'工程项目成本预算表(01表)'!E15</f>
        <v>28314475.3573391</v>
      </c>
    </row>
    <row r="11" s="144" customFormat="1" ht="33.95" customHeight="1" spans="1:4">
      <c r="A11" s="1085" t="s">
        <v>20</v>
      </c>
      <c r="B11" s="1086"/>
      <c r="C11" s="1087"/>
      <c r="D11" s="1074"/>
    </row>
    <row r="12" s="144" customFormat="1" ht="33.95" customHeight="1" spans="1:4">
      <c r="A12" s="1085" t="str">
        <f>"8、所属分公司："&amp;所属单位</f>
        <v>8、所属分公司：bjgs</v>
      </c>
      <c r="B12" s="1086"/>
      <c r="C12" s="1087"/>
      <c r="D12" s="1074"/>
    </row>
    <row r="13" s="144" customFormat="1" ht="30.95" customHeight="1" spans="1:3">
      <c r="A13" s="1088" t="str">
        <f>"                                                     项目经理："&amp;项目经理</f>
        <v>                                                     项目经理：lu</v>
      </c>
      <c r="B13" s="51"/>
      <c r="C13" s="1089"/>
    </row>
    <row r="14" s="144" customFormat="1" ht="30.95" customHeight="1" spans="1:3">
      <c r="A14" s="1090" t="s">
        <v>21</v>
      </c>
      <c r="B14" s="1091"/>
      <c r="C14" s="1092"/>
    </row>
    <row r="15" s="144" customFormat="1" ht="30.95" customHeight="1" spans="1:3">
      <c r="A15" s="1093" t="str">
        <f>"                                                     日期："&amp;编制日期</f>
        <v>                                                     日期：2025-5-5</v>
      </c>
      <c r="B15" s="1094"/>
      <c r="C15" s="1095"/>
    </row>
    <row r="16" s="144" customFormat="1" ht="33" customHeight="1" spans="1:3">
      <c r="A16" s="1096"/>
      <c r="B16" s="1096"/>
      <c r="C16" s="1096"/>
    </row>
    <row r="17" s="144" customFormat="1" ht="33" customHeight="1" spans="1:3">
      <c r="A17" s="1096" t="s">
        <v>22</v>
      </c>
      <c r="B17" s="1096"/>
      <c r="C17" s="1096"/>
    </row>
    <row r="18" s="144" customFormat="1" ht="20.1" customHeight="1" spans="1:3">
      <c r="A18" s="1096"/>
      <c r="B18" s="1096"/>
      <c r="C18" s="1096"/>
    </row>
    <row r="19" s="144" customFormat="1" ht="20.1" customHeight="1"/>
    <row r="20" s="144" customFormat="1" ht="20.1" customHeight="1"/>
    <row r="21" s="144" customFormat="1" ht="20.1" customHeight="1"/>
    <row r="22" s="144" customFormat="1" ht="20.1" customHeight="1"/>
    <row r="23" s="144" customFormat="1" ht="20.1" customHeight="1"/>
    <row r="24" s="144" customFormat="1" ht="20.1" customHeight="1"/>
    <row r="25" s="144" customFormat="1" ht="20.1" customHeight="1"/>
    <row r="26" s="144" customFormat="1" ht="20.1" customHeight="1"/>
    <row r="27" s="144" customFormat="1" ht="20.1" customHeight="1"/>
    <row r="28" s="144" customFormat="1" ht="20.1" customHeight="1"/>
    <row r="29" s="144" customFormat="1" ht="20.1" customHeight="1"/>
    <row r="30" s="144" customFormat="1" ht="20.1" customHeight="1"/>
    <row r="31" s="144" customFormat="1" ht="20.1" customHeight="1" spans="1:3">
      <c r="A31" s="143"/>
      <c r="B31" s="143"/>
      <c r="C31" s="143"/>
    </row>
    <row r="32" s="144" customFormat="1" ht="13.5"/>
  </sheetData>
  <sheetProtection formatCells="0" insertHyperlinks="0" autoFilter="0"/>
  <mergeCells count="10">
    <mergeCell ref="A1:C1"/>
    <mergeCell ref="A2:C2"/>
    <mergeCell ref="A3:C3"/>
    <mergeCell ref="A4:C4"/>
    <mergeCell ref="A5:C5"/>
    <mergeCell ref="A11:C11"/>
    <mergeCell ref="A12:C12"/>
    <mergeCell ref="A13:C13"/>
    <mergeCell ref="A14:C14"/>
    <mergeCell ref="A15:C15"/>
  </mergeCells>
  <pageMargins left="0.75" right="0.75" top="0.196527777777778" bottom="0.472222222222222" header="0.196527777777778" footer="0.5"/>
  <pageSetup paperSize="9" orientation="landscape"/>
  <headerFooter/>
  <drawing r:id="rId1"/>
  <legacyDrawing r:id="rId2"/>
  <oleObjects>
    <mc:AlternateContent xmlns:mc="http://schemas.openxmlformats.org/markup-compatibility/2006">
      <mc:Choice Requires="x14">
        <oleObject shapeId="7169" progId="Package" r:id="rId3">
          <objectPr defaultSize="0" r:id="rId4">
            <anchor moveWithCells="1">
              <from>
                <xdr:col>2</xdr:col>
                <xdr:colOff>4324350</xdr:colOff>
                <xdr:row>0</xdr:row>
                <xdr:rowOff>9525</xdr:rowOff>
              </from>
              <to>
                <xdr:col>2</xdr:col>
                <xdr:colOff>4714875</xdr:colOff>
                <xdr:row>0</xdr:row>
                <xdr:rowOff>666750</xdr:rowOff>
              </to>
            </anchor>
          </objectPr>
        </oleObject>
      </mc:Choice>
      <mc:Fallback>
        <oleObject shapeId="7169" progId="Package" r:id="rId3"/>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0000"/>
  </sheetPr>
  <dimension ref="A1:B16"/>
  <sheetViews>
    <sheetView workbookViewId="0">
      <selection activeCell="A189" sqref="A189"/>
    </sheetView>
  </sheetViews>
  <sheetFormatPr defaultColWidth="8.875" defaultRowHeight="15.75" outlineLevelCol="1"/>
  <cols>
    <col min="1" max="1" width="1.125" customWidth="1"/>
    <col min="2" max="2" width="115.875" customWidth="1"/>
  </cols>
  <sheetData>
    <row r="1" ht="49.5" customHeight="1" spans="2:2">
      <c r="B1" s="640" t="s">
        <v>23</v>
      </c>
    </row>
    <row r="2" s="639" customFormat="1" ht="24.75" customHeight="1" spans="2:2">
      <c r="B2" s="1067" t="s">
        <v>24</v>
      </c>
    </row>
    <row r="3" s="639" customFormat="1" ht="20.25" customHeight="1" spans="2:2">
      <c r="B3" s="1068" t="str" cm="1">
        <f t="array" ref="B3">"1、工程名称："&amp;工程名称</f>
        <v>1、工程名称：az</v>
      </c>
    </row>
    <row r="4" s="639" customFormat="1" ht="20.25" customHeight="1" spans="2:2">
      <c r="B4" s="1069" t="s">
        <v>25</v>
      </c>
    </row>
    <row r="5" s="639" customFormat="1" ht="20.25" customHeight="1" spans="2:2">
      <c r="B5" s="1069" t="s">
        <v>26</v>
      </c>
    </row>
    <row r="6" s="639" customFormat="1" ht="20.25" customHeight="1" spans="2:2">
      <c r="B6" s="1069" t="s">
        <v>27</v>
      </c>
    </row>
    <row r="7" s="639" customFormat="1" ht="20.25" customHeight="1" spans="2:2">
      <c r="B7" s="1069" t="s">
        <v>28</v>
      </c>
    </row>
    <row r="8" s="639" customFormat="1" ht="21" customHeight="1" spans="2:2">
      <c r="B8" s="1070" t="s">
        <v>29</v>
      </c>
    </row>
    <row r="9" s="639" customFormat="1" ht="23.1" customHeight="1" spans="2:2">
      <c r="B9" s="1071" t="s">
        <v>30</v>
      </c>
    </row>
    <row r="10" s="639" customFormat="1" ht="20.25" customHeight="1" spans="2:2">
      <c r="B10" s="1071" t="s">
        <v>31</v>
      </c>
    </row>
    <row r="11" s="639" customFormat="1" ht="21" customHeight="1" spans="2:2">
      <c r="B11" s="1071"/>
    </row>
    <row r="12" s="639" customFormat="1" ht="50.1" customHeight="1" spans="2:2">
      <c r="B12" s="1070" t="s">
        <v>32</v>
      </c>
    </row>
    <row r="13" s="639" customFormat="1" ht="210.95" customHeight="1" spans="2:2">
      <c r="B13" s="1072" t="s">
        <v>33</v>
      </c>
    </row>
    <row r="14" s="639" customFormat="1" ht="20.25" customHeight="1" spans="2:2">
      <c r="B14" s="1073"/>
    </row>
    <row r="15" s="639" customFormat="1" ht="24.95" customHeight="1" spans="1:2">
      <c r="A15" s="642" t="s">
        <v>34</v>
      </c>
      <c r="B15" s="642"/>
    </row>
    <row r="16" s="639" customFormat="1" ht="13.5"/>
  </sheetData>
  <sheetProtection formatCells="0" insertHyperlinks="0" autoFilter="0"/>
  <mergeCells count="1">
    <mergeCell ref="A15:B15"/>
  </mergeCells>
  <pageMargins left="1.49583333333333" right="0.551181102362205" top="0.590551181102362" bottom="0.393055555555556" header="0.511811023622047" footer="0.196527777777778"/>
  <pageSetup paperSize="9" orientation="landscape"/>
  <headerFooter alignWithMargins="0"/>
  <rowBreaks count="2" manualBreakCount="2">
    <brk id="15" max="16383" man="1"/>
    <brk id="15"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0000"/>
  </sheetPr>
  <dimension ref="A1:DQ359"/>
  <sheetViews>
    <sheetView zoomScale="115" zoomScaleNormal="115" topLeftCell="AN1" workbookViewId="0">
      <pane ySplit="2" topLeftCell="A27" activePane="bottomLeft" state="frozen"/>
      <selection/>
      <selection pane="bottomLeft" activeCell="AU35" sqref="AU35"/>
    </sheetView>
  </sheetViews>
  <sheetFormatPr defaultColWidth="9" defaultRowHeight="15.75"/>
  <cols>
    <col min="1" max="1" width="20.625" customWidth="1"/>
    <col min="2" max="2" width="6.875" style="697" customWidth="1"/>
    <col min="3" max="3" width="11.625" customWidth="1"/>
    <col min="4" max="8" width="11.75" customWidth="1"/>
    <col min="9" max="9" width="34.125" customWidth="1"/>
    <col min="10" max="10" width="6.75" style="697" customWidth="1"/>
    <col min="11" max="11" width="8.75" customWidth="1"/>
    <col min="12" max="15" width="12.625" customWidth="1"/>
    <col min="16" max="16" width="8.75" customWidth="1"/>
    <col min="17" max="17" width="20.625" customWidth="1"/>
    <col min="18" max="18" width="6.5" style="697" customWidth="1"/>
    <col min="19" max="19" width="9.75" customWidth="1"/>
    <col min="20" max="23" width="12.625" customWidth="1"/>
    <col min="24" max="24" width="9" customWidth="1"/>
    <col min="25" max="25" width="20.625" customWidth="1"/>
    <col min="26" max="26" width="5.625" customWidth="1"/>
    <col min="27" max="27" width="8.5" customWidth="1"/>
    <col min="28" max="31" width="10.375" customWidth="1"/>
    <col min="32" max="32" width="9" customWidth="1"/>
    <col min="33" max="35" width="11.625" customWidth="1"/>
    <col min="36" max="36" width="12.75" customWidth="1"/>
    <col min="37" max="38" width="9" customWidth="1"/>
    <col min="39" max="39" width="12.75" customWidth="1"/>
    <col min="40" max="40" width="10.5"/>
    <col min="41" max="41" width="22.875" customWidth="1"/>
    <col min="42" max="42" width="5.875" customWidth="1"/>
    <col min="43" max="43" width="11.625" customWidth="1"/>
    <col min="44" max="45" width="11" customWidth="1"/>
    <col min="46" max="46" width="13.75" customWidth="1"/>
    <col min="47" max="92" width="7.31666666666667" style="918" customWidth="1"/>
    <col min="93" max="118" width="7.31666666666667" customWidth="1"/>
    <col min="119" max="119" width="8.75" customWidth="1"/>
    <col min="120" max="120" width="10.125"/>
    <col min="121" max="121" width="12.125"/>
  </cols>
  <sheetData>
    <row r="1" ht="57" customHeight="1" spans="48:120">
      <c r="AV1" s="918" t="s">
        <v>35</v>
      </c>
      <c r="AY1" s="918" t="s">
        <v>36</v>
      </c>
      <c r="BB1" s="918" t="s">
        <v>37</v>
      </c>
      <c r="BE1" s="918" t="s">
        <v>37</v>
      </c>
      <c r="BH1" s="918" t="s">
        <v>38</v>
      </c>
      <c r="BK1" s="918" t="s">
        <v>39</v>
      </c>
      <c r="BN1" s="918" t="s">
        <v>40</v>
      </c>
      <c r="BQ1" s="918" t="s">
        <v>41</v>
      </c>
      <c r="BT1" s="918" t="s">
        <v>42</v>
      </c>
      <c r="BW1" s="918" t="s">
        <v>43</v>
      </c>
      <c r="BZ1" s="918" t="s">
        <v>44</v>
      </c>
      <c r="CC1" s="918" t="s">
        <v>45</v>
      </c>
      <c r="CF1" s="918" t="s">
        <v>46</v>
      </c>
      <c r="CI1" s="918" t="s">
        <v>47</v>
      </c>
      <c r="CL1" s="918" t="s">
        <v>48</v>
      </c>
      <c r="CO1" s="918" t="s">
        <v>49</v>
      </c>
      <c r="CP1" s="918"/>
      <c r="CQ1" s="918"/>
      <c r="CR1" s="918" t="s">
        <v>50</v>
      </c>
      <c r="CS1" s="918"/>
      <c r="CT1" s="918"/>
      <c r="CU1" s="918" t="s">
        <v>51</v>
      </c>
      <c r="CV1" s="918"/>
      <c r="CW1" s="918"/>
      <c r="CX1" s="918" t="s">
        <v>52</v>
      </c>
      <c r="CY1" s="918"/>
      <c r="DA1" t="s">
        <v>53</v>
      </c>
      <c r="DD1" t="s">
        <v>54</v>
      </c>
      <c r="DG1" t="s">
        <v>55</v>
      </c>
      <c r="DJ1" t="s">
        <v>56</v>
      </c>
      <c r="DM1" t="s">
        <v>57</v>
      </c>
      <c r="DP1" t="s">
        <v>58</v>
      </c>
    </row>
    <row r="2" ht="21" customHeight="1" spans="1:121">
      <c r="A2" s="1034" t="s">
        <v>59</v>
      </c>
      <c r="B2" s="1035" t="s">
        <v>60</v>
      </c>
      <c r="C2" s="1036" t="s">
        <v>61</v>
      </c>
      <c r="D2" s="639" t="s">
        <v>62</v>
      </c>
      <c r="E2" s="639"/>
      <c r="F2" s="639"/>
      <c r="G2" s="639"/>
      <c r="H2" s="639"/>
      <c r="I2" s="1040" t="s">
        <v>63</v>
      </c>
      <c r="J2" s="1041" t="s">
        <v>60</v>
      </c>
      <c r="K2" s="1042" t="s">
        <v>61</v>
      </c>
      <c r="L2" s="1043" t="s">
        <v>62</v>
      </c>
      <c r="M2" s="1044"/>
      <c r="N2" s="1044"/>
      <c r="O2" s="1044"/>
      <c r="P2" s="1036"/>
      <c r="Q2" s="1034" t="s">
        <v>64</v>
      </c>
      <c r="R2" s="1035" t="s">
        <v>60</v>
      </c>
      <c r="S2" s="1036" t="s">
        <v>61</v>
      </c>
      <c r="T2" s="639" t="s">
        <v>62</v>
      </c>
      <c r="U2" s="639"/>
      <c r="V2" s="639"/>
      <c r="W2" s="639"/>
      <c r="X2" s="639"/>
      <c r="Y2" s="1034" t="s">
        <v>65</v>
      </c>
      <c r="Z2" s="1036" t="s">
        <v>60</v>
      </c>
      <c r="AA2" s="1036" t="s">
        <v>61</v>
      </c>
      <c r="AB2" s="639" t="s">
        <v>62</v>
      </c>
      <c r="AC2" s="639"/>
      <c r="AD2" s="639"/>
      <c r="AE2" s="639"/>
      <c r="AG2" s="1054" t="s">
        <v>66</v>
      </c>
      <c r="AK2" t="s">
        <v>60</v>
      </c>
      <c r="AT2" s="669" t="s">
        <v>67</v>
      </c>
      <c r="AU2" s="712" cm="1">
        <f t="array" ref="AU2">SUM(配比[总数量]*AU6:AU28)/1000</f>
        <v>1222.769243576</v>
      </c>
      <c r="AV2" s="712">
        <f>IFERROR(+AW2/AU2,"")</f>
        <v>353.982300884955</v>
      </c>
      <c r="AW2" s="712" cm="1">
        <f t="array" ref="AW2">SUM(配比[总数量]*AW6:AW28)</f>
        <v>432838.670292389</v>
      </c>
      <c r="AX2" s="712" cm="1">
        <f t="array" ref="AX2">SUM(配比[总数量]*AX6:AX28)/1000</f>
        <v>4518.65463784</v>
      </c>
      <c r="AY2" s="712">
        <f>IFERROR(+AZ2/AX2,"")</f>
        <v>180</v>
      </c>
      <c r="AZ2" s="712" cm="1">
        <f t="array" ref="AZ2">SUM(配比[总数量]*AZ6:AZ28)</f>
        <v>813357.8348112</v>
      </c>
      <c r="BA2" s="712" cm="1">
        <f t="array" ref="BA2">SUM(配比[总数量]*BA6:BA28)/1000</f>
        <v>0</v>
      </c>
      <c r="BB2" s="712" t="str">
        <f>IFERROR(+BC2/BA2,"")</f>
        <v/>
      </c>
      <c r="BC2" s="712" cm="1">
        <f t="array" ref="BC2">SUM(配比[总数量]*BC6:BC28)</f>
        <v>0</v>
      </c>
      <c r="BD2" s="712" cm="1">
        <f t="array" ref="BD2">SUM(配比[总数量]*BD6:BD28)/1000</f>
        <v>0</v>
      </c>
      <c r="BE2" s="712" t="str">
        <f>IFERROR(+BF2/BD2,"")</f>
        <v/>
      </c>
      <c r="BF2" s="712" cm="1">
        <f t="array" ref="BF2">SUM(配比[总数量]*BF6:BF28)</f>
        <v>0</v>
      </c>
      <c r="BG2" s="712" cm="1">
        <f t="array" ref="BG2">SUM(配比[总数量]*BG6:BG28)/1000</f>
        <v>2423.63331696</v>
      </c>
      <c r="BH2" s="712">
        <f>IFERROR(+BI2/BG2,"")</f>
        <v>90</v>
      </c>
      <c r="BI2" s="712" cm="1">
        <f t="array" ref="BI2">SUM(配比[总数量]*BI6:BI28)</f>
        <v>218126.9985264</v>
      </c>
      <c r="BJ2" s="712" cm="1">
        <f t="array" ref="BJ2">SUM(配比[总数量]*BJ6:BJ28)/1000</f>
        <v>0</v>
      </c>
      <c r="BK2" s="712" t="str">
        <f>IFERROR(+BL2/BJ2,"")</f>
        <v/>
      </c>
      <c r="BL2" s="712" cm="1">
        <f t="array" ref="BL2">SUM(配比[总数量]*BL6:BL28)</f>
        <v>0</v>
      </c>
      <c r="BM2" s="712" cm="1">
        <f t="array" ref="BM2">SUM(配比[总数量]*BM6:BM28)/1000</f>
        <v>3.538551048</v>
      </c>
      <c r="BN2" s="712">
        <f>IFERROR(+BO2/BM2,"")</f>
        <v>21810</v>
      </c>
      <c r="BO2" s="712" cm="1">
        <f t="array" ref="BO2">SUM(配比[总数量]*BO6:BO28)</f>
        <v>77175.79835688</v>
      </c>
      <c r="BP2" s="712" cm="1">
        <f t="array" ref="BP2">SUM(配比[总数量]*BP6:BP28)/1000</f>
        <v>0</v>
      </c>
      <c r="BQ2" s="712" t="str">
        <f>IFERROR(+BR2/BP2,"")</f>
        <v/>
      </c>
      <c r="BR2" s="712" cm="1">
        <f t="array" ref="BR2">SUM(配比[总数量]*BR6:BR28)</f>
        <v>0</v>
      </c>
      <c r="BS2" s="712" cm="1">
        <f t="array" ref="BS2">SUM(配比[总数量]*BS6:BS28)/1000</f>
        <v>0</v>
      </c>
      <c r="BT2" s="712" t="str">
        <f>IFERROR(+BU2/BS2,"")</f>
        <v/>
      </c>
      <c r="BU2" s="712" cm="1">
        <f t="array" ref="BU2">SUM(配比[总数量]*BU6:BU28)</f>
        <v>0</v>
      </c>
      <c r="BV2" s="712" cm="1">
        <f t="array" ref="BV2">SUM(配比[总数量]*BV6:BV28)/1000</f>
        <v>0</v>
      </c>
      <c r="BW2" s="712" t="str">
        <f>IFERROR(+BX2/BV2,"")</f>
        <v/>
      </c>
      <c r="BX2" s="712" cm="1">
        <f t="array" ref="BX2">SUM(配比[总数量]*BX6:BX28)</f>
        <v>0</v>
      </c>
      <c r="BY2" s="712" cm="1">
        <f t="array" ref="BY2">SUM(配比[总数量]*BY6:BY28)/1000</f>
        <v>0</v>
      </c>
      <c r="BZ2" s="712" t="str">
        <f>IFERROR(+CA2/BY2,"")</f>
        <v/>
      </c>
      <c r="CA2" s="712" cm="1">
        <f t="array" ref="CA2">SUM(配比[总数量]*CA6:CA28)</f>
        <v>0</v>
      </c>
      <c r="CB2" s="712" cm="1">
        <f t="array" ref="CB2">SUM(配比[总数量]*CB6:CB28)/1000</f>
        <v>0</v>
      </c>
      <c r="CC2" s="712" t="str">
        <f>IFERROR(+CD2/CB2,"")</f>
        <v/>
      </c>
      <c r="CD2" s="712" cm="1">
        <f t="array" ref="CD2">SUM(配比[总数量]*CD6:CD28)</f>
        <v>0</v>
      </c>
      <c r="CE2" s="712" cm="1">
        <f t="array" ref="CE2">SUM(配比[总数量]*CE6:CE28)/1000</f>
        <v>0</v>
      </c>
      <c r="CF2" s="712" t="str">
        <f>IFERROR(+CG2/CE2,"")</f>
        <v/>
      </c>
      <c r="CG2" s="712" cm="1">
        <f t="array" ref="CG2">SUM(配比[总数量]*CG6:CG28)</f>
        <v>0</v>
      </c>
      <c r="CH2" s="712" cm="1">
        <f t="array" ref="CH2">SUM(配比[总数量]*CH6:CH28)/1000</f>
        <v>0</v>
      </c>
      <c r="CI2" s="712" t="str">
        <f>IFERROR(+CJ2/CH2,"")</f>
        <v/>
      </c>
      <c r="CJ2" s="712" cm="1">
        <f t="array" ref="CJ2">SUM(配比[总数量]*CJ6:CJ28)</f>
        <v>0</v>
      </c>
      <c r="CK2" s="712" cm="1">
        <f t="array" ref="CK2">SUM(配比[总数量]*CK6:CK28)/1000</f>
        <v>0</v>
      </c>
      <c r="CL2" s="712" t="str">
        <f>IFERROR(+CM2/CK2,"")</f>
        <v/>
      </c>
      <c r="CM2" s="712" cm="1">
        <f t="array" ref="CM2">SUM(配比[总数量]*CM6:CM28)</f>
        <v>0</v>
      </c>
      <c r="CN2" s="712" cm="1">
        <f t="array" ref="CN2">SUM(配比[总数量]*CN6:CN28)/1000</f>
        <v>0</v>
      </c>
      <c r="CO2" s="712" t="str">
        <f>IFERROR(+CP2/CN2,"")</f>
        <v/>
      </c>
      <c r="CP2" s="712" cm="1">
        <f t="array" ref="CP2">SUM(配比[总数量]*CP6:CP28)</f>
        <v>0</v>
      </c>
      <c r="CQ2" s="712" cm="1">
        <f t="array" ref="CQ2">SUM(配比[总数量]*CQ6:CQ28)/1000</f>
        <v>0</v>
      </c>
      <c r="CR2" s="712" t="str">
        <f>IFERROR(+CS2/CQ2,"")</f>
        <v/>
      </c>
      <c r="CS2" s="712" cm="1">
        <f t="array" ref="CS2">SUM(配比[总数量]*CS6:CS28)</f>
        <v>0</v>
      </c>
      <c r="CT2" s="712" cm="1">
        <f t="array" ref="CT2">SUM(配比[总数量]*CT6:CT28)/1000</f>
        <v>0</v>
      </c>
      <c r="CU2" s="712" t="str">
        <f>IFERROR(+CV2/CT2,"")</f>
        <v/>
      </c>
      <c r="CV2" s="712" cm="1">
        <f t="array" ref="CV2">SUM(配比[总数量]*CV6:CV28)</f>
        <v>0</v>
      </c>
      <c r="CW2" s="712" cm="1">
        <f t="array" ref="CW2">SUM(配比[总数量]*CW6:CW28)/1000</f>
        <v>0</v>
      </c>
      <c r="CX2" s="712" t="str">
        <f>IFERROR(+CY2/CW2,"")</f>
        <v/>
      </c>
      <c r="CY2" s="712" cm="1">
        <f t="array" ref="CY2">SUM(配比[总数量]*CY6:CY28)</f>
        <v>0</v>
      </c>
      <c r="CZ2" s="712" cm="1">
        <f t="array" ref="CZ2">SUM(配比[总数量]*CZ6:CZ28)/1000</f>
        <v>0</v>
      </c>
      <c r="DA2" s="712" t="str">
        <f>IFERROR(+DB2/CZ2,"")</f>
        <v/>
      </c>
      <c r="DB2" s="712" cm="1">
        <f t="array" ref="DB2">SUM(配比[总数量]*DB6:DB28)</f>
        <v>0</v>
      </c>
      <c r="DC2" s="712" cm="1">
        <f t="array" ref="DC2">SUM(配比[总数量]*DC6:DC28)/1000</f>
        <v>0</v>
      </c>
      <c r="DD2" s="712" t="str">
        <f>IFERROR(+DE2/DC2,"")</f>
        <v/>
      </c>
      <c r="DE2" s="712" cm="1">
        <f t="array" ref="DE2">SUM(配比[总数量]*DE6:DE28)</f>
        <v>0</v>
      </c>
      <c r="DF2" s="712" cm="1">
        <f t="array" ref="DF2">SUM(配比[总数量]*DF6:DF28)/1000</f>
        <v>0</v>
      </c>
      <c r="DG2" s="712" t="str">
        <f>IFERROR(+DH2/DF2,"")</f>
        <v/>
      </c>
      <c r="DH2" s="712" cm="1">
        <f t="array" ref="DH2">SUM(配比[总数量]*DH6:DH28)</f>
        <v>0</v>
      </c>
      <c r="DI2" s="712" cm="1">
        <f t="array" ref="DI2">SUM(配比[总数量]*DI6:DI28)/1000</f>
        <v>0</v>
      </c>
      <c r="DJ2" s="712" t="str">
        <f>IFERROR(+DK2/DI2,"")</f>
        <v/>
      </c>
      <c r="DK2" s="712" cm="1">
        <f t="array" ref="DK2">SUM(配比[总数量]*DK6:DK28)</f>
        <v>0</v>
      </c>
      <c r="DL2" s="712" cm="1">
        <f t="array" ref="DL2">SUM(配比[总数量]*DL6:DL28)/1000</f>
        <v>0</v>
      </c>
      <c r="DM2" s="712" t="str">
        <f>IFERROR(+DN2/DL2,"")</f>
        <v/>
      </c>
      <c r="DN2" s="712" cm="1">
        <f t="array" ref="DN2">SUM(配比[总数量]*DN6:DN28)</f>
        <v>0</v>
      </c>
      <c r="DO2" s="712" cm="1">
        <f t="array" ref="DO2">SUM(配比[总数量]*DO6:DO28)/1000</f>
        <v>17.93525524</v>
      </c>
      <c r="DP2" s="712">
        <f>IFERROR(+DQ2/DO2,"")</f>
        <v>540000</v>
      </c>
      <c r="DQ2" s="712" cm="1">
        <f t="array" ref="DQ2">SUM(配比[总数量]*DQ6:DQ28)</f>
        <v>9685037.8296</v>
      </c>
    </row>
    <row r="3" ht="27" customHeight="1" spans="1:121">
      <c r="A3" t="str">
        <f t="shared" ref="A3:A25" si="0">AO6</f>
        <v>道面混凝土</v>
      </c>
      <c r="B3" s="697" t="str">
        <f t="shared" ref="B3:B25" si="1">AP6</f>
        <v>m3</v>
      </c>
      <c r="C3" s="1037">
        <f t="shared" ref="C3:C25" si="2">AQ6</f>
        <v>596.736637168142</v>
      </c>
      <c r="D3" s="1038">
        <f>SUMIFS('01工程产值对比表'!$M:$M,'01工程产值对比表'!$D:$D,A3,'01工程产值对比表'!$C:$C,A$2)</f>
        <v>0</v>
      </c>
      <c r="E3" s="1038"/>
      <c r="F3" s="1038"/>
      <c r="G3" s="1038"/>
      <c r="H3" s="1038"/>
      <c r="I3" s="1045" t="s">
        <v>68</v>
      </c>
      <c r="J3" s="1046" t="s">
        <v>69</v>
      </c>
      <c r="K3" s="1045">
        <v>1.5</v>
      </c>
      <c r="L3" s="1047">
        <f>SUMIFS('01工程产值对比表'!$M:$M,'01工程产值对比表'!$D:$D,I3,'01工程产值对比表'!$C:$C,I$2)</f>
        <v>0</v>
      </c>
      <c r="M3" s="1038"/>
      <c r="N3" s="1038"/>
      <c r="O3" s="1038"/>
      <c r="P3" s="1048"/>
      <c r="Q3" s="1048" t="s">
        <v>70</v>
      </c>
      <c r="R3" s="1053" t="s">
        <v>69</v>
      </c>
      <c r="S3" s="1051">
        <v>1.5</v>
      </c>
      <c r="T3" s="1038">
        <f>SUMIFS('01工程产值对比表'!$M:$M,'01工程产值对比表'!$D:$D,Q3,'01工程产值对比表'!$C:$C,Q$2)</f>
        <v>0</v>
      </c>
      <c r="U3" s="1038"/>
      <c r="V3" s="1038"/>
      <c r="W3" s="1038"/>
      <c r="X3" s="1048"/>
      <c r="Y3" t="s">
        <v>71</v>
      </c>
      <c r="Z3" t="s">
        <v>15</v>
      </c>
      <c r="AA3">
        <v>0.85</v>
      </c>
      <c r="AB3" s="1038">
        <f>SUMIFS('01工程产值对比表'!$M:$M,'01工程产值对比表'!$D:$D,Y3,'01工程产值对比表'!$C:$C,Y$2)</f>
        <v>0</v>
      </c>
      <c r="AG3" t="s">
        <v>71</v>
      </c>
      <c r="AH3" s="1038"/>
      <c r="AI3" s="1038"/>
      <c r="AK3" t="s">
        <v>72</v>
      </c>
      <c r="AS3" t="s">
        <v>73</v>
      </c>
      <c r="AU3" s="712" cm="1">
        <f ca="1" t="array" ref="AU3">SUM($AS$6:$AS$28*AU6:AU28)/1000</f>
        <v>0</v>
      </c>
      <c r="AV3" s="712" t="e">
        <f ca="1">+AW3/AU3</f>
        <v>#DIV/0!</v>
      </c>
      <c r="AW3" s="712" cm="1">
        <f ca="1" t="array" ref="AW3">SUM($AS$6:$AS$28*AW6:AW28)</f>
        <v>0</v>
      </c>
      <c r="AX3" s="712" cm="1">
        <f ca="1" t="array" ref="AX3">SUM($AS$6:$AS$28*AX6:AX28)/1000</f>
        <v>0</v>
      </c>
      <c r="AY3" s="712" t="e">
        <f ca="1">+AZ3/AX3</f>
        <v>#DIV/0!</v>
      </c>
      <c r="AZ3" s="712" cm="1">
        <f ca="1" t="array" ref="AZ3">SUM($AS$6:$AS$28*AZ6:AZ28)</f>
        <v>0</v>
      </c>
      <c r="BA3" s="712" cm="1">
        <f ca="1" t="array" ref="BA3">SUM($AS$6:$AS$28*BA6:BA28)/1000</f>
        <v>0</v>
      </c>
      <c r="BB3" s="712" t="e">
        <f ca="1">+BC3/BA3</f>
        <v>#DIV/0!</v>
      </c>
      <c r="BC3" s="712" cm="1">
        <f ca="1" t="array" ref="BC3">SUM($AS$6:$AS$28*BC6:BC28)</f>
        <v>0</v>
      </c>
      <c r="BD3" s="712" cm="1">
        <f ca="1" t="array" ref="BD3">SUM($AS$6:$AS$28*BD6:BD28)/1000</f>
        <v>0</v>
      </c>
      <c r="BE3" s="712" t="e">
        <f ca="1">+BF3/BD3</f>
        <v>#DIV/0!</v>
      </c>
      <c r="BF3" s="712" cm="1">
        <f ca="1" t="array" ref="BF3">SUM($AS$6:$AS$28*BF6:BF28)</f>
        <v>0</v>
      </c>
      <c r="BG3" s="712" cm="1">
        <f ca="1" t="array" ref="BG3">SUM($AS$6:$AS$28*BG6:BG28)/1000</f>
        <v>0</v>
      </c>
      <c r="BH3" s="712" t="e">
        <f ca="1">+BI3/BG3</f>
        <v>#DIV/0!</v>
      </c>
      <c r="BI3" s="712" cm="1">
        <f ca="1" t="array" ref="BI3">SUM($AS$6:$AS$28*BI6:BI28)</f>
        <v>0</v>
      </c>
      <c r="BJ3" s="712" cm="1">
        <f ca="1" t="array" ref="BJ3">SUM($AS$6:$AS$28*BJ6:BJ28)/1000</f>
        <v>0</v>
      </c>
      <c r="BK3" s="712" t="e">
        <f ca="1">+BL3/BJ3</f>
        <v>#DIV/0!</v>
      </c>
      <c r="BL3" s="712" cm="1">
        <f ca="1" t="array" ref="BL3">SUM($AS$6:$AS$28*BL6:BL28)</f>
        <v>0</v>
      </c>
      <c r="BM3" s="712" cm="1">
        <f ca="1" t="array" ref="BM3">SUM($AS$6:$AS$28*BM6:BM28)/1000</f>
        <v>0</v>
      </c>
      <c r="BN3" s="712" t="e">
        <f ca="1">+BO3/BM3</f>
        <v>#DIV/0!</v>
      </c>
      <c r="BO3" s="712" cm="1">
        <f ca="1" t="array" ref="BO3">SUM($AS$6:$AS$28*BO6:BO28)</f>
        <v>0</v>
      </c>
      <c r="BP3" s="712" cm="1">
        <f ca="1" t="array" ref="BP3">SUM($AS$6:$AS$28*BP6:BP28)/1000</f>
        <v>0</v>
      </c>
      <c r="BQ3" s="712" t="e">
        <f ca="1">+BR3/BP3</f>
        <v>#DIV/0!</v>
      </c>
      <c r="BR3" s="712" cm="1">
        <f ca="1" t="array" ref="BR3">SUM($AS$6:$AS$28*BR6:BR28)</f>
        <v>0</v>
      </c>
      <c r="BS3" s="712" cm="1">
        <f ca="1" t="array" ref="BS3">SUM($AS$6:$AS$28*BS6:BS28)/1000</f>
        <v>0</v>
      </c>
      <c r="BT3" s="712" t="e">
        <f ca="1">+BU3/BS3</f>
        <v>#DIV/0!</v>
      </c>
      <c r="BU3" s="712" cm="1">
        <f ca="1" t="array" ref="BU3">SUM($AS$6:$AS$28*BU6:BU28)</f>
        <v>0</v>
      </c>
      <c r="BV3" s="712" cm="1">
        <f ca="1" t="array" ref="BV3">SUM($AS$6:$AS$28*BV6:BV28)/1000</f>
        <v>0</v>
      </c>
      <c r="BW3" s="712" t="e">
        <f ca="1">+BX3/BV3</f>
        <v>#DIV/0!</v>
      </c>
      <c r="BX3" s="712" cm="1">
        <f ca="1" t="array" ref="BX3">SUM($AS$6:$AS$28*BX6:BX28)</f>
        <v>0</v>
      </c>
      <c r="BY3" s="712" cm="1">
        <f ca="1" t="array" ref="BY3">SUM($AS$6:$AS$28*BY6:BY28)/1000</f>
        <v>0</v>
      </c>
      <c r="BZ3" s="712" t="e">
        <f ca="1">+CA3/BY3</f>
        <v>#DIV/0!</v>
      </c>
      <c r="CA3" s="712" cm="1">
        <f ca="1" t="array" ref="CA3">SUM($AS$6:$AS$28*CA6:CA28)</f>
        <v>0</v>
      </c>
      <c r="CB3" s="712" cm="1">
        <f ca="1" t="array" ref="CB3">SUM($AS$6:$AS$28*CB6:CB28)/1000</f>
        <v>0</v>
      </c>
      <c r="CC3" s="712" t="e">
        <f ca="1">+CD3/CB3</f>
        <v>#DIV/0!</v>
      </c>
      <c r="CD3" s="712" cm="1">
        <f ca="1" t="array" ref="CD3">SUM($AS$6:$AS$28*CD6:CD28)</f>
        <v>0</v>
      </c>
      <c r="CE3" s="712" cm="1">
        <f ca="1" t="array" ref="CE3">SUM($AS$6:$AS$28*CE6:CE28)/1000</f>
        <v>0</v>
      </c>
      <c r="CF3" s="712" t="e">
        <f ca="1">+CG3/CE3</f>
        <v>#DIV/0!</v>
      </c>
      <c r="CG3" s="712" cm="1">
        <f ca="1" t="array" ref="CG3">SUM($AS$6:$AS$28*CG6:CG28)</f>
        <v>0</v>
      </c>
      <c r="CH3" s="712" cm="1">
        <f ca="1" t="array" ref="CH3">SUM($AS$6:$AS$28*CH6:CH28)/1000</f>
        <v>0</v>
      </c>
      <c r="CI3" s="712" t="e">
        <f ca="1">+CJ3/CH3</f>
        <v>#DIV/0!</v>
      </c>
      <c r="CJ3" s="712" cm="1">
        <f ca="1" t="array" ref="CJ3">SUM($AS$6:$AS$28*CJ6:CJ28)</f>
        <v>0</v>
      </c>
      <c r="CK3" s="712" cm="1">
        <f ca="1" t="array" ref="CK3">SUM($AS$6:$AS$28*CK6:CK28)/1000</f>
        <v>0</v>
      </c>
      <c r="CL3" s="712" t="e">
        <f ca="1">+CM3/CK3</f>
        <v>#DIV/0!</v>
      </c>
      <c r="CM3" s="712" cm="1">
        <f ca="1" t="array" ref="CM3">SUM($AS$6:$AS$28*CM6:CM28)</f>
        <v>0</v>
      </c>
      <c r="CN3" s="712" cm="1">
        <f ca="1" t="array" ref="CN3">SUM($AS$6:$AS$28*CN6:CN28)/1000</f>
        <v>0</v>
      </c>
      <c r="CO3" s="712" t="e">
        <f ca="1">+CP3/CN3</f>
        <v>#DIV/0!</v>
      </c>
      <c r="CP3" s="712" cm="1">
        <f ca="1" t="array" ref="CP3">SUM($AS$6:$AS$28*CP6:CP28)</f>
        <v>0</v>
      </c>
      <c r="CQ3" s="712" cm="1">
        <f ca="1" t="array" ref="CQ3">SUM($AS$6:$AS$28*CQ6:CQ28)/1000</f>
        <v>0</v>
      </c>
      <c r="CR3" s="712" t="e">
        <f ca="1">+CS3/CQ3</f>
        <v>#DIV/0!</v>
      </c>
      <c r="CS3" s="712" cm="1">
        <f ca="1" t="array" ref="CS3">SUM($AS$6:$AS$28*CS6:CS28)</f>
        <v>0</v>
      </c>
      <c r="CT3" s="712" cm="1">
        <f ca="1" t="array" ref="CT3">SUM($AS$6:$AS$28*CT6:CT28)/1000</f>
        <v>0</v>
      </c>
      <c r="CU3" s="712" t="e">
        <f ca="1">+CV3/CT3</f>
        <v>#DIV/0!</v>
      </c>
      <c r="CV3" s="712" cm="1">
        <f ca="1" t="array" ref="CV3">SUM($AS$6:$AS$28*CV6:CV28)</f>
        <v>0</v>
      </c>
      <c r="CW3" s="712" cm="1">
        <f ca="1" t="array" ref="CW3">SUM($AS$6:$AS$28*CW6:CW28)/1000</f>
        <v>0</v>
      </c>
      <c r="CX3" s="712" t="e">
        <f ca="1">+CY3/CW3</f>
        <v>#DIV/0!</v>
      </c>
      <c r="CY3" s="712" cm="1">
        <f ca="1" t="array" ref="CY3">SUM($AS$6:$AS$28*CY6:CY28)</f>
        <v>0</v>
      </c>
      <c r="CZ3" s="712" cm="1">
        <f ca="1" t="array" ref="CZ3">SUM($AS$6:$AS$28*CZ6:CZ28)/1000</f>
        <v>0</v>
      </c>
      <c r="DA3" s="712" t="e">
        <f ca="1">+DB3/CZ3</f>
        <v>#DIV/0!</v>
      </c>
      <c r="DB3" s="712" cm="1">
        <f ca="1" t="array" ref="DB3">SUM($AS$6:$AS$28*DB6:DB28)</f>
        <v>0</v>
      </c>
      <c r="DC3" s="712" cm="1">
        <f ca="1" t="array" ref="DC3">SUM($AS$6:$AS$28*DC6:DC28)/1000</f>
        <v>0</v>
      </c>
      <c r="DD3" s="712" t="e">
        <f ca="1">+DE3/DC3</f>
        <v>#DIV/0!</v>
      </c>
      <c r="DE3" s="712" cm="1">
        <f ca="1" t="array" ref="DE3">SUM($AS$6:$AS$28*DE6:DE28)</f>
        <v>0</v>
      </c>
      <c r="DF3" s="712" cm="1">
        <f ca="1" t="array" ref="DF3">SUM($AS$6:$AS$28*DF6:DF28)/1000</f>
        <v>0</v>
      </c>
      <c r="DG3" s="712" t="e">
        <f ca="1">+DH3/DF3</f>
        <v>#DIV/0!</v>
      </c>
      <c r="DH3" s="712" cm="1">
        <f ca="1" t="array" ref="DH3">SUM($AS$6:$AS$28*DH6:DH28)</f>
        <v>0</v>
      </c>
      <c r="DI3" s="712" cm="1">
        <f ca="1" t="array" ref="DI3">SUM($AS$6:$AS$28*DI6:DI28)/1000</f>
        <v>0</v>
      </c>
      <c r="DJ3" s="712" t="e">
        <f ca="1">+DK3/DI3</f>
        <v>#DIV/0!</v>
      </c>
      <c r="DK3" s="712" cm="1">
        <f ca="1" t="array" ref="DK3">SUM($AS$6:$AS$28*DK6:DK28)</f>
        <v>0</v>
      </c>
      <c r="DL3" s="712" cm="1">
        <f ca="1" t="array" ref="DL3">SUM($AS$6:$AS$28*DL6:DL28)/1000</f>
        <v>0</v>
      </c>
      <c r="DM3" s="712" t="e">
        <f ca="1">+DN3/DL3</f>
        <v>#DIV/0!</v>
      </c>
      <c r="DN3" s="712" cm="1">
        <f ca="1" t="array" ref="DN3">SUM($AS$6:$AS$28*DN6:DN28)</f>
        <v>0</v>
      </c>
      <c r="DO3" s="712" cm="1">
        <f ca="1" t="array" ref="DO3">SUM($AS$6:$AS$28*DO6:DO28)/1000</f>
        <v>0</v>
      </c>
      <c r="DP3" s="712" t="e">
        <f ca="1">+DQ3/DO3</f>
        <v>#DIV/0!</v>
      </c>
      <c r="DQ3" s="712" cm="1">
        <f ca="1" t="array" ref="DQ3">SUM($AS$6:$AS$28*DQ6:DQ28)</f>
        <v>0</v>
      </c>
    </row>
    <row r="4" ht="21" customHeight="1" spans="1:121">
      <c r="A4" t="str">
        <f t="shared" si="0"/>
        <v>道肩混凝土</v>
      </c>
      <c r="B4" s="697" t="str">
        <f t="shared" si="1"/>
        <v>m3</v>
      </c>
      <c r="C4" s="1037">
        <f t="shared" si="2"/>
        <v>139722</v>
      </c>
      <c r="D4" s="1038">
        <f>SUMIFS('01工程产值对比表'!$M:$M,'01工程产值对比表'!$D:$D,A4,'01工程产值对比表'!$C:$C,A$2)</f>
        <v>0</v>
      </c>
      <c r="F4" s="1039"/>
      <c r="H4" s="1038"/>
      <c r="I4" s="1045" t="s">
        <v>74</v>
      </c>
      <c r="J4" s="1046" t="s">
        <v>69</v>
      </c>
      <c r="K4" s="1045">
        <v>4</v>
      </c>
      <c r="L4" s="1047">
        <f>SUMIFS('01工程产值对比表'!$M:$M,'01工程产值对比表'!$D:$D,I4,'01工程产值对比表'!$C:$C,I$2)</f>
        <v>0</v>
      </c>
      <c r="M4" s="1038"/>
      <c r="N4" s="1038"/>
      <c r="O4" s="1038"/>
      <c r="P4" s="1048"/>
      <c r="Q4" t="s">
        <v>75</v>
      </c>
      <c r="R4" s="697" t="s">
        <v>76</v>
      </c>
      <c r="T4" s="1038">
        <f>SUMIFS('01工程产值对比表'!$M:$M,'01工程产值对比表'!$D:$D,Q4,'01工程产值对比表'!$C:$C,Q$2)</f>
        <v>0</v>
      </c>
      <c r="U4" s="1038"/>
      <c r="V4" s="1038"/>
      <c r="W4" s="1038"/>
      <c r="X4" s="1048"/>
      <c r="Y4" t="s">
        <v>77</v>
      </c>
      <c r="Z4" t="s">
        <v>15</v>
      </c>
      <c r="AB4" s="1038">
        <f>SUMIFS('01工程产值对比表'!$M:$M,'01工程产值对比表'!$D:$D,Y4,'01工程产值对比表'!$C:$C,Y$2)</f>
        <v>0</v>
      </c>
      <c r="AG4" t="s">
        <v>77</v>
      </c>
      <c r="AH4" s="1038"/>
      <c r="AI4" s="1038"/>
      <c r="AK4" t="s">
        <v>69</v>
      </c>
      <c r="AS4" t="s">
        <v>78</v>
      </c>
      <c r="AU4" s="712" cm="1">
        <f ca="1" t="array" ref="AU4">SUM(AU6:AU28*$AT$6:$AT$28)/1000</f>
        <v>709.277456647399</v>
      </c>
      <c r="AV4" s="712">
        <f ca="1">+AW4/AU4</f>
        <v>353.982300884956</v>
      </c>
      <c r="AW4" s="712" cm="1">
        <f ca="1" t="array" ref="AW4">SUM(AW6:AW28*$AT$6:$AT$28)</f>
        <v>251071.666069876</v>
      </c>
      <c r="AX4" s="712" cm="1">
        <f ca="1" t="array" ref="AX4">SUM(AX6:AX28*$AT$6:$AT$28)/1000</f>
        <v>3504.33526011561</v>
      </c>
      <c r="AY4" s="712">
        <f ca="1">+AZ4/AX4</f>
        <v>180</v>
      </c>
      <c r="AZ4" s="712" cm="1">
        <f ca="1" t="array" ref="AZ4">SUM(AZ6:AZ28*$AT$6:$AT$28)</f>
        <v>630780.346820809</v>
      </c>
      <c r="BA4" s="712" cm="1">
        <f ca="1" t="array" ref="BA4">SUM(BA6:BA28*$AT$6:$AT$28)/1000</f>
        <v>0</v>
      </c>
      <c r="BB4" s="712" t="e">
        <f ca="1">+BC4/BA4</f>
        <v>#DIV/0!</v>
      </c>
      <c r="BC4" s="712" cm="1">
        <f ca="1" t="array" ref="BC4">SUM(BC6:BC28*$AT$6:$AT$28)</f>
        <v>0</v>
      </c>
      <c r="BD4" s="712" cm="1">
        <f ca="1" t="array" ref="BD4">SUM(BD6:BD28*$AT$6:$AT$28)/1000</f>
        <v>0</v>
      </c>
      <c r="BE4" s="712" t="e">
        <f ca="1">+BF4/BD4</f>
        <v>#DIV/0!</v>
      </c>
      <c r="BF4" s="712" cm="1">
        <f ca="1" t="array" ref="BF4">SUM(BF6:BF28*$AT$6:$AT$28)</f>
        <v>0</v>
      </c>
      <c r="BG4" s="712" cm="1">
        <f ca="1" t="array" ref="BG4">SUM(BG6:BG28*$AT$6:$AT$28)/1000</f>
        <v>1934.39306358382</v>
      </c>
      <c r="BH4" s="712">
        <f ca="1">+BI4/BG4</f>
        <v>90</v>
      </c>
      <c r="BI4" s="712" cm="1">
        <f ca="1" t="array" ref="BI4">SUM(BI6:BI28*$AT$6:$AT$28)</f>
        <v>174095.375722543</v>
      </c>
      <c r="BJ4" s="712" cm="1">
        <f ca="1" t="array" ref="BJ4">SUM(BJ6:BJ28*$AT$6:$AT$28)/1000</f>
        <v>0</v>
      </c>
      <c r="BK4" s="712" t="e">
        <f ca="1">+BL4/BJ4</f>
        <v>#DIV/0!</v>
      </c>
      <c r="BL4" s="712" cm="1">
        <f ca="1" t="array" ref="BL4">SUM(BL6:BL28*$AT$6:$AT$28)</f>
        <v>0</v>
      </c>
      <c r="BM4" s="712" cm="1">
        <f ca="1" t="array" ref="BM4">SUM(BM6:BM28*$AT$6:$AT$28)/1000</f>
        <v>0</v>
      </c>
      <c r="BN4" s="712" t="e">
        <f ca="1">+BO4/BM4</f>
        <v>#DIV/0!</v>
      </c>
      <c r="BO4" s="712" cm="1">
        <f ca="1" t="array" ref="BO4">SUM(BO6:BO28*$AT$6:$AT$28)</f>
        <v>0</v>
      </c>
      <c r="BP4" s="712" cm="1">
        <f ca="1" t="array" ref="BP4">SUM(BP6:BP28*$AT$6:$AT$28)/1000</f>
        <v>0</v>
      </c>
      <c r="BQ4" s="712" t="e">
        <f ca="1">+BR4/BP4</f>
        <v>#DIV/0!</v>
      </c>
      <c r="BR4" s="712" cm="1">
        <f ca="1" t="array" ref="BR4">SUM(BR6:BR28*$AT$6:$AT$28)</f>
        <v>0</v>
      </c>
      <c r="BS4" s="712" cm="1">
        <f ca="1" t="array" ref="BS4">SUM(BS6:BS28*$AT$6:$AT$28)/1000</f>
        <v>0</v>
      </c>
      <c r="BT4" s="712" t="e">
        <f ca="1">+BU4/BS4</f>
        <v>#DIV/0!</v>
      </c>
      <c r="BU4" s="712" cm="1">
        <f ca="1" t="array" ref="BU4">SUM(BU6:BU28*$AT$6:$AT$28)</f>
        <v>0</v>
      </c>
      <c r="BV4" s="712" cm="1">
        <f ca="1" t="array" ref="BV4">SUM(BV6:BV28*$AT$6:$AT$28)/1000</f>
        <v>0</v>
      </c>
      <c r="BW4" s="712" t="e">
        <f ca="1">+BX4/BV4</f>
        <v>#DIV/0!</v>
      </c>
      <c r="BX4" s="712" cm="1">
        <f ca="1" t="array" ref="BX4">SUM(BX6:BX28*$AT$6:$AT$28)</f>
        <v>0</v>
      </c>
      <c r="BY4" s="712" cm="1">
        <f ca="1" t="array" ref="BY4">SUM(BY6:BY28*$AT$6:$AT$28)/1000</f>
        <v>0</v>
      </c>
      <c r="BZ4" s="712" t="e">
        <f ca="1">+CA4/BY4</f>
        <v>#DIV/0!</v>
      </c>
      <c r="CA4" s="712" cm="1">
        <f ca="1" t="array" ref="CA4">SUM(CA6:CA28*$AT$6:$AT$28)</f>
        <v>0</v>
      </c>
      <c r="CB4" s="712" cm="1">
        <f ca="1" t="array" ref="CB4">SUM(CB6:CB28*$AT$6:$AT$28)/1000</f>
        <v>0</v>
      </c>
      <c r="CC4" s="712" t="e">
        <f ca="1">+CD4/CB4</f>
        <v>#DIV/0!</v>
      </c>
      <c r="CD4" s="712" cm="1">
        <f ca="1" t="array" ref="CD4">SUM(CD6:CD28*$AT$6:$AT$28)</f>
        <v>0</v>
      </c>
      <c r="CE4" s="712" cm="1">
        <f ca="1" t="array" ref="CE4">SUM(CE6:CE28*$AT$6:$AT$28)/1000</f>
        <v>0</v>
      </c>
      <c r="CF4" s="712" t="e">
        <f ca="1">+CG4/CE4</f>
        <v>#DIV/0!</v>
      </c>
      <c r="CG4" s="712" cm="1">
        <f ca="1" t="array" ref="CG4">SUM(CG6:CG28*$AT$6:$AT$28)</f>
        <v>0</v>
      </c>
      <c r="CH4" s="712" cm="1">
        <f ca="1" t="array" ref="CH4">SUM(CH6:CH28*$AT$6:$AT$28)/1000</f>
        <v>0</v>
      </c>
      <c r="CI4" s="712" t="e">
        <f ca="1">+CJ4/CH4</f>
        <v>#DIV/0!</v>
      </c>
      <c r="CJ4" s="712" cm="1">
        <f ca="1" t="array" ref="CJ4">SUM(CJ6:CJ28*$AT$6:$AT$28)</f>
        <v>0</v>
      </c>
      <c r="CK4" s="712" cm="1">
        <f ca="1" t="array" ref="CK4">SUM(CK6:CK28*$AT$6:$AT$28)/1000</f>
        <v>0</v>
      </c>
      <c r="CL4" s="712" t="e">
        <f ca="1">+CM4/CK4</f>
        <v>#DIV/0!</v>
      </c>
      <c r="CM4" s="712" cm="1">
        <f ca="1" t="array" ref="CM4">SUM(CM6:CM28*$AT$6:$AT$28)</f>
        <v>0</v>
      </c>
      <c r="CN4" s="712" cm="1">
        <f ca="1" t="array" ref="CN4">SUM(CN6:CN28*$AT$6:$AT$28)/1000</f>
        <v>0</v>
      </c>
      <c r="CO4" s="712" t="e">
        <f ca="1">+CP4/CN4</f>
        <v>#DIV/0!</v>
      </c>
      <c r="CP4" s="712" cm="1">
        <f ca="1" t="array" ref="CP4">SUM(CP6:CP28*$AT$6:$AT$28)</f>
        <v>0</v>
      </c>
      <c r="CQ4" s="712" cm="1">
        <f ca="1" t="array" ref="CQ4">SUM(CQ6:CQ28*$AT$6:$AT$28)/1000</f>
        <v>0</v>
      </c>
      <c r="CR4" s="712" t="e">
        <f ca="1">+CS4/CQ4</f>
        <v>#DIV/0!</v>
      </c>
      <c r="CS4" s="712" cm="1">
        <f ca="1" t="array" ref="CS4">SUM(CS6:CS28*$AT$6:$AT$28)</f>
        <v>0</v>
      </c>
      <c r="CT4" s="712" cm="1">
        <f ca="1" t="array" ref="CT4">SUM(CT6:CT28*$AT$6:$AT$28)/1000</f>
        <v>0</v>
      </c>
      <c r="CU4" s="712" t="e">
        <f ca="1">+CV4/CT4</f>
        <v>#DIV/0!</v>
      </c>
      <c r="CV4" s="712" cm="1">
        <f ca="1" t="array" ref="CV4">SUM(CV6:CV28*$AT$6:$AT$28)</f>
        <v>0</v>
      </c>
      <c r="CW4" s="712" cm="1">
        <f ca="1" t="array" ref="CW4">SUM(CW6:CW28*$AT$6:$AT$28)/1000</f>
        <v>0</v>
      </c>
      <c r="CX4" s="712" t="e">
        <f ca="1">+CY4/CW4</f>
        <v>#DIV/0!</v>
      </c>
      <c r="CY4" s="712" cm="1">
        <f ca="1" t="array" ref="CY4">SUM(CY6:CY28*$AT$6:$AT$28)</f>
        <v>0</v>
      </c>
      <c r="CZ4" s="712" cm="1">
        <f ca="1" t="array" ref="CZ4">SUM(CZ6:CZ28*$AT$6:$AT$28)/1000</f>
        <v>0</v>
      </c>
      <c r="DA4" s="712" t="e">
        <f ca="1">+DB4/CZ4</f>
        <v>#DIV/0!</v>
      </c>
      <c r="DB4" s="712" cm="1">
        <f ca="1" t="array" ref="DB4">SUM(DB6:DB28*$AT$6:$AT$28)</f>
        <v>0</v>
      </c>
      <c r="DC4" s="712" cm="1">
        <f ca="1" t="array" ref="DC4">SUM(DC6:DC28*$AT$6:$AT$28)/1000</f>
        <v>0</v>
      </c>
      <c r="DD4" s="712" t="e">
        <f ca="1">+DE4/DC4</f>
        <v>#DIV/0!</v>
      </c>
      <c r="DE4" s="712" cm="1">
        <f ca="1" t="array" ref="DE4">SUM(DE6:DE28*$AT$6:$AT$28)</f>
        <v>0</v>
      </c>
      <c r="DF4" s="712" cm="1">
        <f ca="1" t="array" ref="DF4">SUM(DF6:DF28*$AT$6:$AT$28)/1000</f>
        <v>0</v>
      </c>
      <c r="DG4" s="712" t="e">
        <f ca="1">+DH4/DF4</f>
        <v>#DIV/0!</v>
      </c>
      <c r="DH4" s="712" cm="1">
        <f ca="1" t="array" ref="DH4">SUM(DH6:DH28*$AT$6:$AT$28)</f>
        <v>0</v>
      </c>
      <c r="DI4" s="712" cm="1">
        <f ca="1" t="array" ref="DI4">SUM(DI6:DI28*$AT$6:$AT$28)/1000</f>
        <v>0</v>
      </c>
      <c r="DJ4" s="712" t="e">
        <f ca="1">+DK4/DI4</f>
        <v>#DIV/0!</v>
      </c>
      <c r="DK4" s="712" cm="1">
        <f ca="1" t="array" ref="DK4">SUM(DK6:DK28*$AT$6:$AT$28)</f>
        <v>0</v>
      </c>
      <c r="DL4" s="712" cm="1">
        <f ca="1" t="array" ref="DL4">SUM(DL6:DL28*$AT$6:$AT$28)/1000</f>
        <v>0</v>
      </c>
      <c r="DM4" s="712" t="e">
        <f ca="1">+DN4/DL4</f>
        <v>#DIV/0!</v>
      </c>
      <c r="DN4" s="712" cm="1">
        <f ca="1" t="array" ref="DN4">SUM(DN6:DN28*$AT$6:$AT$28)</f>
        <v>0</v>
      </c>
      <c r="DO4" s="712" cm="1">
        <f ca="1" t="array" ref="DO4">SUM(DO6:DO28*$AT$6:$AT$28)/1000</f>
        <v>14.0173410404624</v>
      </c>
      <c r="DP4" s="712">
        <f ca="1">+DQ4/DO4</f>
        <v>540000</v>
      </c>
      <c r="DQ4" s="712" cm="1">
        <f ca="1" t="array" ref="DQ4">SUM(DQ6:DQ28*$AT$6:$AT$28)</f>
        <v>7569364.16184971</v>
      </c>
    </row>
    <row r="5" ht="23.1" customHeight="1" spans="1:121">
      <c r="A5" t="str">
        <f t="shared" si="0"/>
        <v>水稳下基层料</v>
      </c>
      <c r="B5" s="697" t="str">
        <f t="shared" si="1"/>
        <v>m3</v>
      </c>
      <c r="C5" s="1037">
        <f t="shared" si="2"/>
        <v>276.597407079646</v>
      </c>
      <c r="D5" s="1038">
        <f>SUMIFS('01工程产值对比表'!$M:$M,'01工程产值对比表'!$D:$D,A5,'01工程产值对比表'!$C:$C,A$2)</f>
        <v>0</v>
      </c>
      <c r="F5" s="1039"/>
      <c r="H5" s="1038"/>
      <c r="I5" s="1045" t="s">
        <v>79</v>
      </c>
      <c r="J5" s="1046" t="s">
        <v>72</v>
      </c>
      <c r="K5" s="1045">
        <v>11</v>
      </c>
      <c r="L5" s="1047">
        <f>SUMIFS('01工程产值对比表'!$M:$M,'01工程产值对比表'!$D:$D,I5,'01工程产值对比表'!$C:$C,I$2)</f>
        <v>0</v>
      </c>
      <c r="M5" s="1038"/>
      <c r="N5" s="1038"/>
      <c r="O5" s="1038"/>
      <c r="P5" s="1048"/>
      <c r="Q5" t="s">
        <v>80</v>
      </c>
      <c r="R5" s="697" t="s">
        <v>72</v>
      </c>
      <c r="S5">
        <v>45</v>
      </c>
      <c r="T5" s="1038">
        <f>SUMIFS('01工程产值对比表'!$M:$M,'01工程产值对比表'!$D:$D,Q5,'01工程产值对比表'!$C:$C,Q$2)</f>
        <v>3000</v>
      </c>
      <c r="U5" s="1038"/>
      <c r="V5" s="1038"/>
      <c r="W5" s="1038"/>
      <c r="X5" s="1048"/>
      <c r="Y5" t="s">
        <v>81</v>
      </c>
      <c r="Z5" t="s">
        <v>15</v>
      </c>
      <c r="AB5" s="1038">
        <f>SUMIFS('01工程产值对比表'!$M:$M,'01工程产值对比表'!$D:$D,Y5,'01工程产值对比表'!$C:$C,Y$2)</f>
        <v>0</v>
      </c>
      <c r="AG5" t="s">
        <v>81</v>
      </c>
      <c r="AH5" s="1038"/>
      <c r="AI5" s="1038"/>
      <c r="AK5" t="s">
        <v>82</v>
      </c>
      <c r="AO5" s="889" t="s">
        <v>83</v>
      </c>
      <c r="AP5" s="889" t="s">
        <v>60</v>
      </c>
      <c r="AQ5" s="889" t="s">
        <v>61</v>
      </c>
      <c r="AR5" s="889" t="s">
        <v>84</v>
      </c>
      <c r="AS5" s="889" t="s">
        <v>85</v>
      </c>
      <c r="AT5" s="697" t="s">
        <v>86</v>
      </c>
      <c r="AU5" s="918" t="s">
        <v>87</v>
      </c>
      <c r="AV5" s="918" t="s">
        <v>88</v>
      </c>
      <c r="AW5" s="918" t="s">
        <v>89</v>
      </c>
      <c r="AX5" s="918" t="s">
        <v>90</v>
      </c>
      <c r="AY5" s="918" t="s">
        <v>91</v>
      </c>
      <c r="AZ5" s="918" t="s">
        <v>92</v>
      </c>
      <c r="BA5" s="918" t="s">
        <v>93</v>
      </c>
      <c r="BB5" s="918" t="s">
        <v>94</v>
      </c>
      <c r="BC5" s="918" t="s">
        <v>95</v>
      </c>
      <c r="BD5" s="918" t="s">
        <v>96</v>
      </c>
      <c r="BE5" s="918" t="s">
        <v>97</v>
      </c>
      <c r="BF5" s="918" t="s">
        <v>98</v>
      </c>
      <c r="BG5" s="918" t="s">
        <v>99</v>
      </c>
      <c r="BH5" s="918" t="s">
        <v>100</v>
      </c>
      <c r="BI5" s="918" t="s">
        <v>101</v>
      </c>
      <c r="BJ5" s="918" t="s">
        <v>102</v>
      </c>
      <c r="BK5" s="918" t="s">
        <v>103</v>
      </c>
      <c r="BL5" s="918" t="s">
        <v>104</v>
      </c>
      <c r="BM5" s="918" t="s">
        <v>105</v>
      </c>
      <c r="BN5" s="918" t="s">
        <v>106</v>
      </c>
      <c r="BO5" s="918" t="s">
        <v>107</v>
      </c>
      <c r="BP5" s="918" t="s">
        <v>108</v>
      </c>
      <c r="BQ5" s="918" t="s">
        <v>109</v>
      </c>
      <c r="BR5" s="918" t="s">
        <v>110</v>
      </c>
      <c r="BS5" s="918" t="s">
        <v>111</v>
      </c>
      <c r="BT5" s="918" t="s">
        <v>112</v>
      </c>
      <c r="BU5" s="918" t="s">
        <v>113</v>
      </c>
      <c r="BV5" s="918" t="s">
        <v>114</v>
      </c>
      <c r="BW5" s="918" t="s">
        <v>115</v>
      </c>
      <c r="BX5" s="918" t="s">
        <v>116</v>
      </c>
      <c r="BY5" s="918" t="s">
        <v>117</v>
      </c>
      <c r="BZ5" s="918" t="s">
        <v>118</v>
      </c>
      <c r="CA5" s="918" t="s">
        <v>119</v>
      </c>
      <c r="CB5" s="918" t="s">
        <v>120</v>
      </c>
      <c r="CC5" s="918" t="s">
        <v>121</v>
      </c>
      <c r="CD5" s="918" t="s">
        <v>122</v>
      </c>
      <c r="CE5" s="918" t="s">
        <v>123</v>
      </c>
      <c r="CF5" s="918" t="s">
        <v>124</v>
      </c>
      <c r="CG5" s="918" t="s">
        <v>125</v>
      </c>
      <c r="CH5" s="918" t="s">
        <v>126</v>
      </c>
      <c r="CI5" s="918" t="s">
        <v>127</v>
      </c>
      <c r="CJ5" s="918" t="s">
        <v>128</v>
      </c>
      <c r="CK5" s="918" t="s">
        <v>129</v>
      </c>
      <c r="CL5" s="918" t="s">
        <v>130</v>
      </c>
      <c r="CM5" s="918" t="s">
        <v>131</v>
      </c>
      <c r="CN5" s="918" t="s">
        <v>132</v>
      </c>
      <c r="CO5" s="918" t="s">
        <v>133</v>
      </c>
      <c r="CP5" s="918" t="s">
        <v>134</v>
      </c>
      <c r="CQ5" s="918" t="s">
        <v>135</v>
      </c>
      <c r="CR5" s="918" t="s">
        <v>136</v>
      </c>
      <c r="CS5" s="918" t="s">
        <v>137</v>
      </c>
      <c r="CT5" s="918" t="s">
        <v>138</v>
      </c>
      <c r="CU5" s="918" t="s">
        <v>139</v>
      </c>
      <c r="CV5" s="918" t="s">
        <v>140</v>
      </c>
      <c r="CW5" s="918" t="s">
        <v>141</v>
      </c>
      <c r="CX5" s="918" t="s">
        <v>142</v>
      </c>
      <c r="CY5" s="918" t="s">
        <v>143</v>
      </c>
      <c r="CZ5" s="918" t="s">
        <v>144</v>
      </c>
      <c r="DA5" s="918" t="s">
        <v>145</v>
      </c>
      <c r="DB5" s="918" t="s">
        <v>146</v>
      </c>
      <c r="DC5" s="918" t="s">
        <v>147</v>
      </c>
      <c r="DD5" s="918" t="s">
        <v>148</v>
      </c>
      <c r="DE5" s="918" t="s">
        <v>149</v>
      </c>
      <c r="DF5" s="918" t="s">
        <v>150</v>
      </c>
      <c r="DG5" s="918" t="s">
        <v>151</v>
      </c>
      <c r="DH5" s="918" t="s">
        <v>152</v>
      </c>
      <c r="DI5" s="918" t="s">
        <v>153</v>
      </c>
      <c r="DJ5" s="918" t="s">
        <v>154</v>
      </c>
      <c r="DK5" s="918" t="s">
        <v>155</v>
      </c>
      <c r="DL5" s="918" t="s">
        <v>156</v>
      </c>
      <c r="DM5" s="918" t="s">
        <v>157</v>
      </c>
      <c r="DN5" s="918" t="s">
        <v>158</v>
      </c>
      <c r="DO5" s="918" t="s">
        <v>159</v>
      </c>
      <c r="DP5" s="918" t="s">
        <v>160</v>
      </c>
      <c r="DQ5" s="918" t="s">
        <v>161</v>
      </c>
    </row>
    <row r="6" ht="23.1" customHeight="1" spans="1:121">
      <c r="A6" t="str">
        <f t="shared" si="0"/>
        <v>水稳上基层料</v>
      </c>
      <c r="B6" s="697" t="str">
        <f t="shared" si="1"/>
        <v>m3</v>
      </c>
      <c r="C6" s="1037">
        <f t="shared" si="2"/>
        <v>8253.44</v>
      </c>
      <c r="D6" s="1038">
        <f>SUMIFS('01工程产值对比表'!$M:$M,'01工程产值对比表'!$D:$D,A6,'01工程产值对比表'!$C:$C,A$2)</f>
        <v>0</v>
      </c>
      <c r="F6" s="1039"/>
      <c r="H6" s="1038"/>
      <c r="I6" s="1045" t="s">
        <v>162</v>
      </c>
      <c r="J6" s="1046" t="s">
        <v>72</v>
      </c>
      <c r="K6" s="1045">
        <v>4.5</v>
      </c>
      <c r="L6" s="1047">
        <f>SUMIFS('01工程产值对比表'!$M:$M,'01工程产值对比表'!$D:$D,I6,'01工程产值对比表'!$C:$C,I$2)</f>
        <v>0</v>
      </c>
      <c r="M6" s="1038"/>
      <c r="N6" s="1038"/>
      <c r="O6" s="1038"/>
      <c r="P6" s="1048"/>
      <c r="Q6" t="s">
        <v>163</v>
      </c>
      <c r="R6" s="697" t="s">
        <v>76</v>
      </c>
      <c r="S6">
        <v>0.2</v>
      </c>
      <c r="T6" s="1038">
        <f>SUMIFS('01工程产值对比表'!$M:$M,'01工程产值对比表'!$D:$D,Q6,'01工程产值对比表'!$C:$C,Q$2)</f>
        <v>0</v>
      </c>
      <c r="U6" s="1038"/>
      <c r="V6" s="1038"/>
      <c r="W6" s="1038"/>
      <c r="X6" s="1048"/>
      <c r="Y6" t="s">
        <v>164</v>
      </c>
      <c r="Z6" t="s">
        <v>15</v>
      </c>
      <c r="AA6">
        <v>0.5</v>
      </c>
      <c r="AB6" s="1038">
        <f>SUMIFS('01工程产值对比表'!$M:$M,'01工程产值对比表'!$D:$D,Y6,'01工程产值对比表'!$C:$C,Y$2)</f>
        <v>83448.3467889908</v>
      </c>
      <c r="AG6" t="s">
        <v>164</v>
      </c>
      <c r="AH6" s="1038"/>
      <c r="AI6" s="1038"/>
      <c r="AK6" t="s">
        <v>76</v>
      </c>
      <c r="AO6" s="1055" t="s">
        <v>165</v>
      </c>
      <c r="AP6" s="1055" t="s">
        <v>72</v>
      </c>
      <c r="AQ6" s="1056">
        <f t="shared" ref="AQ6:AQ28" si="3">SUMIF($AU$5:$DQ$5,"合价*",AU6:DQ6)</f>
        <v>596.736637168142</v>
      </c>
      <c r="AR6" s="1057">
        <f>SUMIFS('01工程产值对比表'!$M:$M,'01工程产值对比表'!$D:$D,AO6,'01工程产值对比表'!$C:$C,"材料")</f>
        <v>0</v>
      </c>
      <c r="AS6" s="1058">
        <f ca="1">SUMIFS('01工程产值对比表'!$T:$T,'01工程产值对比表'!$D:$D,AO6,'01工程产值对比表'!$C:$C,"材料")</f>
        <v>0</v>
      </c>
      <c r="AT6" s="1058">
        <f ca="1">SUMIFS('01工程产值对比表'!$V:$V,'01工程产值对比表'!$D:$D,AO6,'01工程产值对比表'!$C:$C,"材料")</f>
        <v>0</v>
      </c>
      <c r="AU6" s="1055">
        <v>330</v>
      </c>
      <c r="AV6" s="1055">
        <f>0.47/1.13</f>
        <v>0.415929203539823</v>
      </c>
      <c r="AW6" s="1063">
        <f t="shared" ref="AW6:AW28" si="4">+AU6*AV6</f>
        <v>137.256637168142</v>
      </c>
      <c r="AX6" s="1055">
        <v>426</v>
      </c>
      <c r="AY6" s="1055">
        <v>0.18</v>
      </c>
      <c r="AZ6" s="1055">
        <f t="shared" ref="AZ6:AZ28" si="5">+AX6*AY6</f>
        <v>76.68</v>
      </c>
      <c r="BA6" s="1055">
        <v>638</v>
      </c>
      <c r="BB6" s="1055">
        <v>0.3</v>
      </c>
      <c r="BC6" s="1055">
        <f t="shared" ref="BC6:BC28" si="6">+BA6*BB6</f>
        <v>191.4</v>
      </c>
      <c r="BD6" s="1055">
        <v>638</v>
      </c>
      <c r="BE6" s="1055">
        <v>0.3</v>
      </c>
      <c r="BF6" s="1055">
        <f t="shared" ref="BF6:BF28" si="7">+BD6*BE6</f>
        <v>191.4</v>
      </c>
      <c r="BG6" s="1055"/>
      <c r="BH6" s="1055"/>
      <c r="BI6" s="1055">
        <f t="shared" ref="BI6:BI28" si="8">+BG6*BH6</f>
        <v>0</v>
      </c>
      <c r="BJ6" s="1055"/>
      <c r="BK6" s="1055"/>
      <c r="BL6" s="1055">
        <f t="shared" ref="BL6:BL28" si="9">+BJ6*BK6</f>
        <v>0</v>
      </c>
      <c r="BM6" s="1055">
        <v>0</v>
      </c>
      <c r="BN6" s="1055"/>
      <c r="BO6" s="1055">
        <f t="shared" ref="BO6:BO28" si="10">+BM6*BN6</f>
        <v>0</v>
      </c>
      <c r="BP6" s="1055"/>
      <c r="BQ6" s="1055"/>
      <c r="BR6" s="1055">
        <f t="shared" ref="BR6:BR28" si="11">+BP6*BQ6</f>
        <v>0</v>
      </c>
      <c r="BS6" s="1055"/>
      <c r="BT6" s="1055"/>
      <c r="BU6" s="1055">
        <f t="shared" ref="BU6:BU28" si="12">+BS6*BT6</f>
        <v>0</v>
      </c>
      <c r="BV6" s="1055"/>
      <c r="BW6" s="1055"/>
      <c r="BX6" s="1055">
        <f t="shared" ref="BX6:BX28" si="13">+BV6*BW6</f>
        <v>0</v>
      </c>
      <c r="BY6" s="1064"/>
      <c r="BZ6" s="1064"/>
      <c r="CA6" s="1064">
        <f t="shared" ref="CA6:CA28" si="14">+BY6*BZ6</f>
        <v>0</v>
      </c>
      <c r="CB6" s="1064"/>
      <c r="CC6" s="1064"/>
      <c r="CD6" s="1064">
        <f t="shared" ref="CD6:CD28" si="15">+CB6*CC6</f>
        <v>0</v>
      </c>
      <c r="CG6" s="918">
        <f t="shared" ref="CG6:CG28" si="16">+CE6*CF6</f>
        <v>0</v>
      </c>
      <c r="CJ6" s="918">
        <f t="shared" ref="CJ6:CJ28" si="17">+CH6*CI6</f>
        <v>0</v>
      </c>
      <c r="CK6" s="1064"/>
      <c r="CL6" s="1064"/>
      <c r="CM6" s="1064">
        <f t="shared" ref="CM6:CM28" si="18">+CK6*CL6</f>
        <v>0</v>
      </c>
      <c r="CN6" s="1064"/>
      <c r="CO6" s="1064"/>
      <c r="CP6" s="1064">
        <f t="shared" ref="CP6:CP28" si="19">+CN6*CO6</f>
        <v>0</v>
      </c>
      <c r="CQ6" s="1064"/>
      <c r="CR6" s="1064"/>
      <c r="CS6" s="1064">
        <f t="shared" ref="CS6:CS28" si="20">+CQ6*CR6</f>
        <v>0</v>
      </c>
      <c r="CT6" s="1064"/>
      <c r="CU6" s="1064"/>
      <c r="CV6" s="1064">
        <f t="shared" ref="CV6:CV28" si="21">+CT6*CU6</f>
        <v>0</v>
      </c>
      <c r="CW6" s="918"/>
      <c r="CX6" s="918"/>
      <c r="CY6" s="918">
        <f t="shared" ref="CY6:CY28" si="22">+CW6*CX6</f>
        <v>0</v>
      </c>
      <c r="DB6">
        <f t="shared" ref="DB6:DB28" si="23">+CZ6*DA6</f>
        <v>0</v>
      </c>
      <c r="DE6">
        <f t="shared" ref="DE6:DE28" si="24">+DC6*DD6</f>
        <v>0</v>
      </c>
      <c r="DH6">
        <f t="shared" ref="DH6:DH28" si="25">+DF6*DG6</f>
        <v>0</v>
      </c>
      <c r="DK6">
        <f t="shared" ref="DK6:DK28" si="26">+DI6*DJ6</f>
        <v>0</v>
      </c>
      <c r="DN6">
        <f t="shared" ref="DN6:DN28" si="27">+DL6*DM6</f>
        <v>0</v>
      </c>
      <c r="DQ6">
        <f t="shared" ref="DQ6:DQ28" si="28">+DO6*DP6</f>
        <v>0</v>
      </c>
    </row>
    <row r="7" ht="23.1" customHeight="1" spans="1:121">
      <c r="A7" t="str">
        <f t="shared" si="0"/>
        <v>C15混凝土</v>
      </c>
      <c r="B7" s="697" t="str">
        <f t="shared" si="1"/>
        <v>m3</v>
      </c>
      <c r="C7" s="1037">
        <f t="shared" si="2"/>
        <v>368.930088495575</v>
      </c>
      <c r="D7" s="1038">
        <f>SUMIFS('01工程产值对比表'!$M:$M,'01工程产值对比表'!$D:$D,A7,'01工程产值对比表'!$C:$C,A$2)</f>
        <v>0</v>
      </c>
      <c r="F7" s="1039"/>
      <c r="H7" s="1038"/>
      <c r="I7" s="1049" t="s">
        <v>166</v>
      </c>
      <c r="J7" s="1046"/>
      <c r="K7" s="1050"/>
      <c r="L7" s="1047">
        <f>SUMIFS('01工程产值对比表'!$M:$M,'01工程产值对比表'!$D:$D,I7,'01工程产值对比表'!$C:$C,I$2)</f>
        <v>0</v>
      </c>
      <c r="M7" s="1038"/>
      <c r="N7" s="1038"/>
      <c r="O7" s="1038"/>
      <c r="P7" s="1048"/>
      <c r="Q7" t="s">
        <v>167</v>
      </c>
      <c r="R7" s="697" t="s">
        <v>69</v>
      </c>
      <c r="S7">
        <v>1.5</v>
      </c>
      <c r="T7" s="1038">
        <f>SUMIFS('01工程产值对比表'!$M:$M,'01工程产值对比表'!$D:$D,Q7,'01工程产值对比表'!$C:$C,Q$2)</f>
        <v>0</v>
      </c>
      <c r="U7" s="1038"/>
      <c r="V7" s="1038"/>
      <c r="W7" s="1038"/>
      <c r="X7" s="1048"/>
      <c r="Y7" t="s">
        <v>168</v>
      </c>
      <c r="Z7" t="s">
        <v>15</v>
      </c>
      <c r="AB7" s="1038">
        <f>SUMIFS('01工程产值对比表'!$M:$M,'01工程产值对比表'!$D:$D,Y7,'01工程产值对比表'!$C:$C,Y$2)</f>
        <v>0</v>
      </c>
      <c r="AG7" t="s">
        <v>168</v>
      </c>
      <c r="AH7" s="1038"/>
      <c r="AI7" s="1038"/>
      <c r="AK7" t="s">
        <v>169</v>
      </c>
      <c r="AO7" s="1059" t="s">
        <v>170</v>
      </c>
      <c r="AP7" s="1055" t="s">
        <v>72</v>
      </c>
      <c r="AQ7" s="1056">
        <f t="shared" si="3"/>
        <v>139722</v>
      </c>
      <c r="AR7" s="1057">
        <f>SUMIFS('01工程产值对比表'!$M:$M,'01工程产值对比表'!$D:$D,AO7,'01工程产值对比表'!$C:$C,"材料")</f>
        <v>0</v>
      </c>
      <c r="AS7" s="1058">
        <f ca="1">SUMIFS('01工程产值对比表'!$T:$T,'01工程产值对比表'!$D:$D,AO7,'01工程产值对比表'!$C:$C,"材料")</f>
        <v>0</v>
      </c>
      <c r="AT7" s="1058">
        <f ca="1">SUMIFS('01工程产值对比表'!$V:$V,'01工程产值对比表'!$D:$D,AO7,'01工程产值对比表'!$C:$C,"材料")</f>
        <v>0</v>
      </c>
      <c r="AU7" s="1060">
        <v>310</v>
      </c>
      <c r="AV7" s="1060">
        <f>+BC6</f>
        <v>191.4</v>
      </c>
      <c r="AW7" s="1060">
        <f t="shared" si="4"/>
        <v>59334</v>
      </c>
      <c r="AX7" s="1060">
        <v>420</v>
      </c>
      <c r="AY7" s="1060">
        <f>+BF6</f>
        <v>191.4</v>
      </c>
      <c r="AZ7" s="1060">
        <f t="shared" si="5"/>
        <v>80388</v>
      </c>
      <c r="BA7" s="1060">
        <v>659</v>
      </c>
      <c r="BB7" s="1060">
        <f>+BL6</f>
        <v>0</v>
      </c>
      <c r="BC7" s="1060">
        <f t="shared" si="6"/>
        <v>0</v>
      </c>
      <c r="BD7" s="1060"/>
      <c r="BE7" s="1060"/>
      <c r="BF7" s="1060">
        <f t="shared" si="7"/>
        <v>0</v>
      </c>
      <c r="BG7" s="1060"/>
      <c r="BH7" s="1060"/>
      <c r="BI7" s="1060">
        <f t="shared" si="8"/>
        <v>0</v>
      </c>
      <c r="BJ7" s="1060"/>
      <c r="BK7" s="1060"/>
      <c r="BL7" s="1060">
        <f t="shared" si="9"/>
        <v>0</v>
      </c>
      <c r="BM7" s="1060">
        <v>0</v>
      </c>
      <c r="BN7" s="1060"/>
      <c r="BO7" s="1060">
        <f t="shared" si="10"/>
        <v>0</v>
      </c>
      <c r="BP7" s="1060"/>
      <c r="BQ7" s="1060"/>
      <c r="BR7" s="1060">
        <f t="shared" si="11"/>
        <v>0</v>
      </c>
      <c r="BS7" s="1060"/>
      <c r="BT7" s="1060"/>
      <c r="BU7" s="1060">
        <f t="shared" si="12"/>
        <v>0</v>
      </c>
      <c r="BV7" s="1060"/>
      <c r="BW7" s="1060"/>
      <c r="BX7" s="1060">
        <f t="shared" si="13"/>
        <v>0</v>
      </c>
      <c r="BY7" s="1060"/>
      <c r="BZ7" s="1060"/>
      <c r="CA7" s="1060">
        <f t="shared" si="14"/>
        <v>0</v>
      </c>
      <c r="CB7" s="1060"/>
      <c r="CC7" s="1060"/>
      <c r="CD7" s="1060">
        <f t="shared" si="15"/>
        <v>0</v>
      </c>
      <c r="CE7" s="1060"/>
      <c r="CF7" s="1060"/>
      <c r="CG7" s="1060">
        <f t="shared" si="16"/>
        <v>0</v>
      </c>
      <c r="CH7" s="1060"/>
      <c r="CI7" s="1060"/>
      <c r="CJ7" s="1060">
        <f t="shared" si="17"/>
        <v>0</v>
      </c>
      <c r="CK7" s="1060"/>
      <c r="CL7" s="1060"/>
      <c r="CM7" s="1060">
        <f t="shared" si="18"/>
        <v>0</v>
      </c>
      <c r="CN7" s="1060"/>
      <c r="CP7">
        <f t="shared" si="19"/>
        <v>0</v>
      </c>
      <c r="CS7">
        <f t="shared" si="20"/>
        <v>0</v>
      </c>
      <c r="CV7">
        <f t="shared" si="21"/>
        <v>0</v>
      </c>
      <c r="CY7">
        <f t="shared" si="22"/>
        <v>0</v>
      </c>
      <c r="DB7">
        <f t="shared" si="23"/>
        <v>0</v>
      </c>
      <c r="DE7">
        <f t="shared" si="24"/>
        <v>0</v>
      </c>
      <c r="DH7">
        <f t="shared" si="25"/>
        <v>0</v>
      </c>
      <c r="DK7">
        <f t="shared" si="26"/>
        <v>0</v>
      </c>
      <c r="DN7">
        <f t="shared" si="27"/>
        <v>0</v>
      </c>
      <c r="DQ7">
        <f t="shared" si="28"/>
        <v>0</v>
      </c>
    </row>
    <row r="8" ht="23.1" customHeight="1" spans="1:121">
      <c r="A8" t="str">
        <f t="shared" si="0"/>
        <v>C20混凝土</v>
      </c>
      <c r="B8" s="697" t="str">
        <f t="shared" si="1"/>
        <v>m3</v>
      </c>
      <c r="C8" s="1037">
        <f t="shared" si="2"/>
        <v>3076.65752212389</v>
      </c>
      <c r="D8" s="1038">
        <f>SUMIFS('01工程产值对比表'!$M:$M,'01工程产值对比表'!$D:$D,A8,'01工程产值对比表'!$C:$C,A$2)</f>
        <v>48.5</v>
      </c>
      <c r="F8" s="1039"/>
      <c r="H8" s="1038"/>
      <c r="I8" s="1049" t="s">
        <v>171</v>
      </c>
      <c r="J8" s="1046" t="s">
        <v>172</v>
      </c>
      <c r="K8" s="1050"/>
      <c r="L8" s="1047">
        <f>SUMIFS('01工程产值对比表'!$M:$M,'01工程产值对比表'!$D:$D,I8,'01工程产值对比表'!$C:$C,I$2)</f>
        <v>0</v>
      </c>
      <c r="M8" s="1038"/>
      <c r="N8" s="1038"/>
      <c r="O8" s="1038"/>
      <c r="P8" s="1048"/>
      <c r="Q8" t="s">
        <v>173</v>
      </c>
      <c r="R8" s="697" t="s">
        <v>82</v>
      </c>
      <c r="S8">
        <v>3250</v>
      </c>
      <c r="T8" s="1038">
        <f>SUMIFS('01工程产值对比表'!$M:$M,'01工程产值对比表'!$D:$D,Q8,'01工程产值对比表'!$C:$C,Q$2)</f>
        <v>0</v>
      </c>
      <c r="U8" s="1038"/>
      <c r="V8" s="1038"/>
      <c r="W8" s="1038"/>
      <c r="X8" s="1048"/>
      <c r="Y8" t="s">
        <v>174</v>
      </c>
      <c r="Z8" t="s">
        <v>15</v>
      </c>
      <c r="AB8" s="1038">
        <f>SUMIFS('01工程产值对比表'!$M:$M,'01工程产值对比表'!$D:$D,Y8,'01工程产值对比表'!$C:$C,Y$2)</f>
        <v>0</v>
      </c>
      <c r="AG8" t="s">
        <v>174</v>
      </c>
      <c r="AH8" s="1038"/>
      <c r="AI8" s="1038"/>
      <c r="AK8" t="s">
        <v>175</v>
      </c>
      <c r="AO8" s="1059" t="s">
        <v>176</v>
      </c>
      <c r="AP8" s="1055" t="s">
        <v>72</v>
      </c>
      <c r="AQ8" s="1056">
        <f t="shared" si="3"/>
        <v>276.597407079646</v>
      </c>
      <c r="AR8" s="1057">
        <f>SUMIFS('01工程产值对比表'!$M:$M,'01工程产值对比表'!$D:$D,AO8,'01工程产值对比表'!$C:$C,"材料")</f>
        <v>0</v>
      </c>
      <c r="AS8" s="1058">
        <f ca="1">SUMIFS('01工程产值对比表'!$T:$T,'01工程产值对比表'!$D:$D,AO8,'01工程产值对比表'!$C:$C,"材料")</f>
        <v>0</v>
      </c>
      <c r="AT8" s="1058">
        <f ca="1">SUMIFS('01工程产值对比表'!$V:$V,'01工程产值对比表'!$D:$D,AO8,'01工程产值对比表'!$C:$C,"材料")</f>
        <v>0</v>
      </c>
      <c r="AU8" s="1060"/>
      <c r="AV8" s="1061"/>
      <c r="AW8" s="1061">
        <f t="shared" si="4"/>
        <v>0</v>
      </c>
      <c r="AX8" s="1061"/>
      <c r="AY8" s="1061"/>
      <c r="AZ8" s="1061">
        <f t="shared" si="5"/>
        <v>0</v>
      </c>
      <c r="BA8" s="1061"/>
      <c r="BB8" s="1061"/>
      <c r="BC8" s="1061">
        <f t="shared" si="6"/>
        <v>0</v>
      </c>
      <c r="BD8" s="1061"/>
      <c r="BE8" s="1061"/>
      <c r="BF8" s="1060">
        <f t="shared" si="7"/>
        <v>0</v>
      </c>
      <c r="BG8" s="1061"/>
      <c r="BH8" s="1061"/>
      <c r="BI8" s="1061">
        <f t="shared" si="8"/>
        <v>0</v>
      </c>
      <c r="BJ8" s="1061"/>
      <c r="BK8" s="1061"/>
      <c r="BL8" s="1061">
        <f t="shared" si="9"/>
        <v>0</v>
      </c>
      <c r="BM8" s="1061">
        <v>0</v>
      </c>
      <c r="BN8" s="1061"/>
      <c r="BO8" s="1061">
        <f t="shared" si="10"/>
        <v>0</v>
      </c>
      <c r="BP8" s="1061">
        <v>90</v>
      </c>
      <c r="BQ8" s="1061">
        <f>0.4/1.13</f>
        <v>0.353982300884956</v>
      </c>
      <c r="BR8" s="1061">
        <f t="shared" si="11"/>
        <v>31.858407079646</v>
      </c>
      <c r="BS8" s="1061">
        <f>1018+339</f>
        <v>1357</v>
      </c>
      <c r="BT8" s="1061">
        <v>0.127</v>
      </c>
      <c r="BU8" s="1061">
        <f t="shared" si="12"/>
        <v>172.339</v>
      </c>
      <c r="BV8" s="1061">
        <v>905</v>
      </c>
      <c r="BW8" s="1061">
        <v>0.08</v>
      </c>
      <c r="BX8" s="1061">
        <f t="shared" si="13"/>
        <v>72.4</v>
      </c>
      <c r="BY8" s="1061"/>
      <c r="BZ8" s="1061"/>
      <c r="CA8" s="1061">
        <f t="shared" si="14"/>
        <v>0</v>
      </c>
      <c r="CB8" s="1061"/>
      <c r="CC8" s="1061"/>
      <c r="CD8" s="1061">
        <f t="shared" si="15"/>
        <v>0</v>
      </c>
      <c r="CE8" s="1061"/>
      <c r="CF8" s="1061"/>
      <c r="CG8" s="1061">
        <f t="shared" si="16"/>
        <v>0</v>
      </c>
      <c r="CH8" s="1061"/>
      <c r="CI8" s="1065"/>
      <c r="CJ8" s="1065">
        <f t="shared" si="17"/>
        <v>0</v>
      </c>
      <c r="CK8" s="1065"/>
      <c r="CL8" s="1065"/>
      <c r="CM8" s="1065">
        <f t="shared" si="18"/>
        <v>0</v>
      </c>
      <c r="CN8" s="1065"/>
      <c r="CP8">
        <f t="shared" si="19"/>
        <v>0</v>
      </c>
      <c r="CS8">
        <f t="shared" si="20"/>
        <v>0</v>
      </c>
      <c r="CV8">
        <f t="shared" si="21"/>
        <v>0</v>
      </c>
      <c r="CY8">
        <f t="shared" si="22"/>
        <v>0</v>
      </c>
      <c r="DB8">
        <f t="shared" si="23"/>
        <v>0</v>
      </c>
      <c r="DE8">
        <f t="shared" si="24"/>
        <v>0</v>
      </c>
      <c r="DH8">
        <f t="shared" si="25"/>
        <v>0</v>
      </c>
      <c r="DK8">
        <f t="shared" si="26"/>
        <v>0</v>
      </c>
      <c r="DN8">
        <f t="shared" si="27"/>
        <v>0</v>
      </c>
      <c r="DQ8">
        <f t="shared" si="28"/>
        <v>0</v>
      </c>
    </row>
    <row r="9" ht="23.1" customHeight="1" spans="1:121">
      <c r="A9" t="str">
        <f t="shared" si="0"/>
        <v>C20混凝土（泵送）</v>
      </c>
      <c r="B9" s="697" t="str">
        <f t="shared" si="1"/>
        <v>m3</v>
      </c>
      <c r="C9" s="1037">
        <f t="shared" si="2"/>
        <v>3096.97752212389</v>
      </c>
      <c r="D9" s="1038">
        <f>SUMIFS('01工程产值对比表'!$M:$M,'01工程产值对比表'!$D:$D,A9,'01工程产值对比表'!$C:$C,A$2)</f>
        <v>0</v>
      </c>
      <c r="F9" s="1039"/>
      <c r="H9" s="1038"/>
      <c r="I9" s="1049" t="s">
        <v>177</v>
      </c>
      <c r="J9" s="1046" t="s">
        <v>172</v>
      </c>
      <c r="K9" s="1050"/>
      <c r="L9" s="1047">
        <f>SUMIFS('01工程产值对比表'!$M:$M,'01工程产值对比表'!$D:$D,I9,'01工程产值对比表'!$C:$C,I$2)</f>
        <v>0</v>
      </c>
      <c r="M9" s="1038"/>
      <c r="N9" s="1038"/>
      <c r="O9" s="1038"/>
      <c r="P9" s="1048"/>
      <c r="Q9" t="s">
        <v>178</v>
      </c>
      <c r="R9" s="697" t="s">
        <v>76</v>
      </c>
      <c r="S9">
        <v>7</v>
      </c>
      <c r="T9" s="1038">
        <f>SUMIFS('01工程产值对比表'!$M:$M,'01工程产值对比表'!$D:$D,Q9,'01工程产值对比表'!$C:$C,Q$2)</f>
        <v>0</v>
      </c>
      <c r="U9" s="1038"/>
      <c r="V9" s="1038"/>
      <c r="W9" s="1038"/>
      <c r="X9" s="1048"/>
      <c r="Y9" t="s">
        <v>179</v>
      </c>
      <c r="Z9" t="s">
        <v>15</v>
      </c>
      <c r="AB9" s="1038">
        <f>SUMIFS('01工程产值对比表'!$M:$M,'01工程产值对比表'!$D:$D,Y9,'01工程产值对比表'!$C:$C,Y$2)</f>
        <v>0</v>
      </c>
      <c r="AG9" t="s">
        <v>179</v>
      </c>
      <c r="AH9" s="1038"/>
      <c r="AI9" s="1038"/>
      <c r="AK9" t="s">
        <v>180</v>
      </c>
      <c r="AO9" s="1059" t="s">
        <v>181</v>
      </c>
      <c r="AP9" s="1055" t="s">
        <v>72</v>
      </c>
      <c r="AQ9" s="1056">
        <f t="shared" si="3"/>
        <v>8253.44</v>
      </c>
      <c r="AR9" s="1057">
        <f>SUMIFS('01工程产值对比表'!$M:$M,'01工程产值对比表'!$D:$D,AO9,'01工程产值对比表'!$C:$C,"材料")</f>
        <v>0</v>
      </c>
      <c r="AS9" s="1058">
        <f ca="1">SUMIFS('01工程产值对比表'!$T:$T,'01工程产值对比表'!$D:$D,AO9,'01工程产值对比表'!$C:$C,"材料")</f>
        <v>0</v>
      </c>
      <c r="AT9" s="1058">
        <f ca="1">SUMIFS('01工程产值对比表'!$V:$V,'01工程产值对比表'!$D:$D,AO9,'01工程产值对比表'!$C:$C,"材料")</f>
        <v>0</v>
      </c>
      <c r="AU9" s="1062"/>
      <c r="AV9" s="1062"/>
      <c r="AW9" s="1062">
        <f t="shared" si="4"/>
        <v>0</v>
      </c>
      <c r="AX9" s="1062"/>
      <c r="AY9" s="1062"/>
      <c r="AZ9" s="1062">
        <f t="shared" si="5"/>
        <v>0</v>
      </c>
      <c r="BA9" s="1062"/>
      <c r="BB9" s="1062"/>
      <c r="BC9" s="1062">
        <f t="shared" si="6"/>
        <v>0</v>
      </c>
      <c r="BD9" s="1062"/>
      <c r="BE9" s="1062"/>
      <c r="BF9" s="1060">
        <f t="shared" si="7"/>
        <v>0</v>
      </c>
      <c r="BG9" s="1062"/>
      <c r="BH9" s="1062"/>
      <c r="BI9" s="1062">
        <f t="shared" si="8"/>
        <v>0</v>
      </c>
      <c r="BJ9" s="1062"/>
      <c r="BK9" s="1062"/>
      <c r="BL9" s="1062">
        <f t="shared" si="9"/>
        <v>0</v>
      </c>
      <c r="BM9" s="1062">
        <v>0</v>
      </c>
      <c r="BN9" s="1062"/>
      <c r="BO9" s="1062">
        <f t="shared" si="10"/>
        <v>0</v>
      </c>
      <c r="BP9" s="1062">
        <v>113</v>
      </c>
      <c r="BQ9" s="1062">
        <f>+BX8</f>
        <v>72.4</v>
      </c>
      <c r="BR9" s="1062">
        <f t="shared" si="11"/>
        <v>8181.2</v>
      </c>
      <c r="BS9" s="1062">
        <f>BZ8</f>
        <v>0</v>
      </c>
      <c r="BT9" s="1062">
        <f>+CA8</f>
        <v>0</v>
      </c>
      <c r="BU9" s="1062">
        <f t="shared" si="12"/>
        <v>0</v>
      </c>
      <c r="BV9" s="1062">
        <v>903</v>
      </c>
      <c r="BW9" s="1062">
        <v>0.08</v>
      </c>
      <c r="BX9" s="1062">
        <f t="shared" si="13"/>
        <v>72.24</v>
      </c>
      <c r="BY9" s="1062"/>
      <c r="BZ9" s="1062"/>
      <c r="CA9" s="1062">
        <f t="shared" si="14"/>
        <v>0</v>
      </c>
      <c r="CB9" s="1062"/>
      <c r="CC9" s="1062"/>
      <c r="CD9" s="1062">
        <f t="shared" si="15"/>
        <v>0</v>
      </c>
      <c r="CE9" s="1062"/>
      <c r="CF9" s="1062"/>
      <c r="CG9" s="1062">
        <f t="shared" si="16"/>
        <v>0</v>
      </c>
      <c r="CH9" s="1062"/>
      <c r="CI9" s="1062"/>
      <c r="CJ9" s="1062">
        <f t="shared" si="17"/>
        <v>0</v>
      </c>
      <c r="CK9" s="1062"/>
      <c r="CL9" s="1062"/>
      <c r="CM9" s="1062">
        <f t="shared" si="18"/>
        <v>0</v>
      </c>
      <c r="CN9" s="1062"/>
      <c r="CP9">
        <f t="shared" si="19"/>
        <v>0</v>
      </c>
      <c r="CS9">
        <f t="shared" si="20"/>
        <v>0</v>
      </c>
      <c r="CV9">
        <f t="shared" si="21"/>
        <v>0</v>
      </c>
      <c r="CY9">
        <f t="shared" si="22"/>
        <v>0</v>
      </c>
      <c r="DB9">
        <f t="shared" si="23"/>
        <v>0</v>
      </c>
      <c r="DE9">
        <f t="shared" si="24"/>
        <v>0</v>
      </c>
      <c r="DH9">
        <f t="shared" si="25"/>
        <v>0</v>
      </c>
      <c r="DK9">
        <f t="shared" si="26"/>
        <v>0</v>
      </c>
      <c r="DN9">
        <f t="shared" si="27"/>
        <v>0</v>
      </c>
      <c r="DQ9">
        <f t="shared" si="28"/>
        <v>0</v>
      </c>
    </row>
    <row r="10" ht="23.1" customHeight="1" spans="1:121">
      <c r="A10" t="str">
        <f t="shared" si="0"/>
        <v>C20毛石混凝土</v>
      </c>
      <c r="B10" s="697" t="str">
        <f t="shared" si="1"/>
        <v>m3</v>
      </c>
      <c r="C10" s="1037">
        <f t="shared" si="2"/>
        <v>3074.85752212389</v>
      </c>
      <c r="D10" s="1038">
        <f>SUMIFS('01工程产值对比表'!$M:$M,'01工程产值对比表'!$D:$D,A10,'01工程产值对比表'!$C:$C,A$2)</f>
        <v>0</v>
      </c>
      <c r="F10" s="1039"/>
      <c r="H10" s="1038"/>
      <c r="I10" s="1049" t="s">
        <v>182</v>
      </c>
      <c r="J10" s="1046" t="s">
        <v>172</v>
      </c>
      <c r="K10" s="1050">
        <v>16150</v>
      </c>
      <c r="L10" s="1047">
        <f>SUMIFS('01工程产值对比表'!$M:$M,'01工程产值对比表'!$D:$D,I10,'01工程产值对比表'!$C:$C,I$2)</f>
        <v>0</v>
      </c>
      <c r="M10" s="1038"/>
      <c r="N10" s="1038"/>
      <c r="O10" s="1038"/>
      <c r="P10" s="1048"/>
      <c r="Q10" t="s">
        <v>183</v>
      </c>
      <c r="R10" s="697" t="s">
        <v>69</v>
      </c>
      <c r="S10">
        <v>1</v>
      </c>
      <c r="T10" s="1038">
        <f>SUMIFS('01工程产值对比表'!$M:$M,'01工程产值对比表'!$D:$D,Q10,'01工程产值对比表'!$C:$C,Q$2)</f>
        <v>0</v>
      </c>
      <c r="U10" s="1038"/>
      <c r="V10" s="1038"/>
      <c r="W10" s="1038"/>
      <c r="X10" s="1048"/>
      <c r="Y10" t="s">
        <v>184</v>
      </c>
      <c r="Z10" t="s">
        <v>15</v>
      </c>
      <c r="AB10" s="1038">
        <f>SUMIFS('01工程产值对比表'!$M:$M,'01工程产值对比表'!$D:$D,Y10,'01工程产值对比表'!$C:$C,Y$2)</f>
        <v>0</v>
      </c>
      <c r="AG10" t="s">
        <v>184</v>
      </c>
      <c r="AH10" s="1038"/>
      <c r="AI10" s="1038"/>
      <c r="AK10" t="s">
        <v>185</v>
      </c>
      <c r="AO10" s="1059" t="s">
        <v>186</v>
      </c>
      <c r="AP10" s="1055" t="s">
        <v>72</v>
      </c>
      <c r="AQ10" s="1056">
        <f t="shared" si="3"/>
        <v>368.930088495575</v>
      </c>
      <c r="AR10" s="1057">
        <f>SUMIFS('01工程产值对比表'!$M:$M,'01工程产值对比表'!$D:$D,AO10,'01工程产值对比表'!$C:$C,"材料")</f>
        <v>0</v>
      </c>
      <c r="AS10" s="1058">
        <f ca="1">SUMIFS('01工程产值对比表'!$T:$T,'01工程产值对比表'!$D:$D,AO10,'01工程产值对比表'!$C:$C,"材料")</f>
        <v>0</v>
      </c>
      <c r="AT10" s="1058">
        <f ca="1">SUMIFS('01工程产值对比表'!$V:$V,'01工程产值对比表'!$D:$D,AO10,'01工程产值对比表'!$C:$C,"材料")</f>
        <v>0</v>
      </c>
      <c r="AU10" s="1060">
        <v>221</v>
      </c>
      <c r="AV10" s="1060">
        <f t="shared" ref="AV10:AV22" si="29">0.4/1.13</f>
        <v>0.353982300884956</v>
      </c>
      <c r="AW10" s="1060">
        <f t="shared" si="4"/>
        <v>78.2300884955752</v>
      </c>
      <c r="AX10" s="1060">
        <v>1270</v>
      </c>
      <c r="AY10" s="1060">
        <v>0.18</v>
      </c>
      <c r="AZ10" s="1060">
        <f t="shared" si="5"/>
        <v>228.6</v>
      </c>
      <c r="BA10" s="1060"/>
      <c r="BB10" s="1060"/>
      <c r="BC10" s="1060">
        <f t="shared" si="6"/>
        <v>0</v>
      </c>
      <c r="BD10" s="1060"/>
      <c r="BE10" s="1060"/>
      <c r="BF10" s="1060">
        <f t="shared" si="7"/>
        <v>0</v>
      </c>
      <c r="BG10" s="1060">
        <v>690</v>
      </c>
      <c r="BH10" s="1060">
        <v>0.09</v>
      </c>
      <c r="BI10" s="1060">
        <f t="shared" si="8"/>
        <v>62.1</v>
      </c>
      <c r="BJ10" s="1060"/>
      <c r="BK10" s="1060"/>
      <c r="BL10" s="1060">
        <f t="shared" si="9"/>
        <v>0</v>
      </c>
      <c r="BM10" s="1060">
        <v>0</v>
      </c>
      <c r="BN10" s="1060">
        <v>16.51</v>
      </c>
      <c r="BO10" s="1060">
        <f t="shared" si="10"/>
        <v>0</v>
      </c>
      <c r="BP10" s="1060"/>
      <c r="BQ10" s="1060"/>
      <c r="BR10" s="1060">
        <f t="shared" si="11"/>
        <v>0</v>
      </c>
      <c r="BS10" s="1060"/>
      <c r="BT10" s="1060"/>
      <c r="BU10" s="1060">
        <f t="shared" si="12"/>
        <v>0</v>
      </c>
      <c r="BV10" s="1060"/>
      <c r="BW10" s="1060"/>
      <c r="BX10" s="1060">
        <f t="shared" si="13"/>
        <v>0</v>
      </c>
      <c r="BY10" s="1060"/>
      <c r="BZ10" s="1060"/>
      <c r="CA10" s="1060">
        <f t="shared" si="14"/>
        <v>0</v>
      </c>
      <c r="CB10" s="1060"/>
      <c r="CC10" s="1060"/>
      <c r="CD10" s="1060">
        <f t="shared" si="15"/>
        <v>0</v>
      </c>
      <c r="CE10" s="1060"/>
      <c r="CF10" s="1060"/>
      <c r="CG10" s="1062">
        <f t="shared" si="16"/>
        <v>0</v>
      </c>
      <c r="CH10" s="1060"/>
      <c r="CI10" s="1060"/>
      <c r="CJ10" s="1060">
        <f t="shared" si="17"/>
        <v>0</v>
      </c>
      <c r="CK10" s="1060"/>
      <c r="CL10" s="1060"/>
      <c r="CM10" s="1060">
        <f t="shared" si="18"/>
        <v>0</v>
      </c>
      <c r="CN10" s="1060"/>
      <c r="CP10">
        <f t="shared" si="19"/>
        <v>0</v>
      </c>
      <c r="CS10">
        <f t="shared" si="20"/>
        <v>0</v>
      </c>
      <c r="CV10">
        <f t="shared" si="21"/>
        <v>0</v>
      </c>
      <c r="CY10">
        <f t="shared" si="22"/>
        <v>0</v>
      </c>
      <c r="DB10">
        <f t="shared" si="23"/>
        <v>0</v>
      </c>
      <c r="DE10">
        <f t="shared" si="24"/>
        <v>0</v>
      </c>
      <c r="DH10">
        <f t="shared" si="25"/>
        <v>0</v>
      </c>
      <c r="DK10">
        <f t="shared" si="26"/>
        <v>0</v>
      </c>
      <c r="DN10">
        <f t="shared" si="27"/>
        <v>0</v>
      </c>
      <c r="DQ10">
        <f t="shared" si="28"/>
        <v>0</v>
      </c>
    </row>
    <row r="11" ht="23.1" customHeight="1" spans="1:121">
      <c r="A11" t="str">
        <f t="shared" si="0"/>
        <v>C30混凝土</v>
      </c>
      <c r="B11" s="697" t="str">
        <f t="shared" si="1"/>
        <v>m3</v>
      </c>
      <c r="C11" s="1037">
        <f t="shared" si="2"/>
        <v>3097.57831858407</v>
      </c>
      <c r="D11" s="1038">
        <f>SUMIFS('01工程产值对比表'!$M:$M,'01工程产值对比表'!$D:$D,A11,'01工程产值对比表'!$C:$C,A$2)</f>
        <v>0</v>
      </c>
      <c r="F11" s="1039"/>
      <c r="H11" s="1038"/>
      <c r="I11" s="1049" t="s">
        <v>187</v>
      </c>
      <c r="J11" s="1046" t="s">
        <v>172</v>
      </c>
      <c r="K11" s="1050">
        <v>14750</v>
      </c>
      <c r="L11" s="1047">
        <f>SUMIFS('01工程产值对比表'!$M:$M,'01工程产值对比表'!$D:$D,I11,'01工程产值对比表'!$C:$C,I$2)</f>
        <v>0</v>
      </c>
      <c r="M11" s="1038"/>
      <c r="N11" s="1038"/>
      <c r="O11" s="1038"/>
      <c r="P11" s="1048"/>
      <c r="Q11" t="s">
        <v>188</v>
      </c>
      <c r="R11" s="697" t="s">
        <v>69</v>
      </c>
      <c r="S11">
        <v>9</v>
      </c>
      <c r="T11" s="1038">
        <f>SUMIFS('01工程产值对比表'!$M:$M,'01工程产值对比表'!$D:$D,Q11,'01工程产值对比表'!$C:$C,Q$2)</f>
        <v>0</v>
      </c>
      <c r="U11" s="1038"/>
      <c r="V11" s="1038"/>
      <c r="W11" s="1038"/>
      <c r="X11" s="1048"/>
      <c r="Y11" t="s">
        <v>189</v>
      </c>
      <c r="Z11" t="s">
        <v>15</v>
      </c>
      <c r="AB11" s="1038">
        <f>SUMIFS('01工程产值对比表'!$M:$M,'01工程产值对比表'!$D:$D,Y11,'01工程产值对比表'!$C:$C,Y$2)</f>
        <v>117806.980458716</v>
      </c>
      <c r="AG11" t="s">
        <v>189</v>
      </c>
      <c r="AH11" s="1038"/>
      <c r="AI11" s="1038"/>
      <c r="AK11" t="s">
        <v>190</v>
      </c>
      <c r="AO11" s="1059" t="s">
        <v>191</v>
      </c>
      <c r="AP11" s="1055" t="s">
        <v>72</v>
      </c>
      <c r="AQ11" s="1056">
        <f t="shared" si="3"/>
        <v>3076.65752212389</v>
      </c>
      <c r="AR11" s="1057">
        <f>SUMIFS('01工程产值对比表'!$M:$M,'01工程产值对比表'!$D:$D,AO11,'01工程产值对比表'!$C:$C,"材料")</f>
        <v>48.5</v>
      </c>
      <c r="AS11" s="1058">
        <f ca="1">SUMIFS('01工程产值对比表'!$T:$T,'01工程产值对比表'!$D:$D,AO11,'01工程产值对比表'!$C:$C,"材料")</f>
        <v>0</v>
      </c>
      <c r="AT11" s="1058">
        <f ca="1">SUMIFS('01工程产值对比表'!$V:$V,'01工程产值对比表'!$D:$D,AO11,'01工程产值对比表'!$C:$C,"材料")</f>
        <v>2803.46820809249</v>
      </c>
      <c r="AU11" s="1060">
        <v>253</v>
      </c>
      <c r="AV11" s="1062">
        <f t="shared" si="29"/>
        <v>0.353982300884956</v>
      </c>
      <c r="AW11" s="1062">
        <f t="shared" si="4"/>
        <v>89.5575221238938</v>
      </c>
      <c r="AX11" s="1062">
        <v>1250</v>
      </c>
      <c r="AY11" s="1062">
        <v>0.18</v>
      </c>
      <c r="AZ11" s="1062">
        <f t="shared" si="5"/>
        <v>225</v>
      </c>
      <c r="BA11" s="1062"/>
      <c r="BB11" s="1062"/>
      <c r="BC11" s="1062">
        <f t="shared" si="6"/>
        <v>0</v>
      </c>
      <c r="BD11" s="1062"/>
      <c r="BE11" s="1062"/>
      <c r="BF11" s="1060">
        <f t="shared" si="7"/>
        <v>0</v>
      </c>
      <c r="BG11" s="1062">
        <v>690</v>
      </c>
      <c r="BH11" s="1062">
        <v>0.09</v>
      </c>
      <c r="BI11" s="1062">
        <f t="shared" si="8"/>
        <v>62.1</v>
      </c>
      <c r="BJ11" s="1062"/>
      <c r="BK11" s="1062"/>
      <c r="BL11" s="1062">
        <f t="shared" si="9"/>
        <v>0</v>
      </c>
      <c r="BM11" s="1062">
        <v>0</v>
      </c>
      <c r="BN11" s="1062">
        <v>21.22</v>
      </c>
      <c r="BO11" s="1062">
        <f t="shared" si="10"/>
        <v>0</v>
      </c>
      <c r="BP11" s="1062"/>
      <c r="BQ11" s="1062"/>
      <c r="BR11" s="1062">
        <f t="shared" si="11"/>
        <v>0</v>
      </c>
      <c r="BS11" s="1062"/>
      <c r="BT11" s="1062"/>
      <c r="BU11" s="1062">
        <f t="shared" si="12"/>
        <v>0</v>
      </c>
      <c r="BV11" s="1062"/>
      <c r="BW11" s="1062"/>
      <c r="BX11" s="1062">
        <f t="shared" si="13"/>
        <v>0</v>
      </c>
      <c r="BY11" s="1062"/>
      <c r="BZ11" s="1062"/>
      <c r="CA11" s="1062">
        <f t="shared" si="14"/>
        <v>0</v>
      </c>
      <c r="CB11" s="1062"/>
      <c r="CC11" s="1062"/>
      <c r="CD11" s="1062">
        <f t="shared" si="15"/>
        <v>0</v>
      </c>
      <c r="CE11" s="1062"/>
      <c r="CF11" s="1062"/>
      <c r="CG11" s="1062">
        <f t="shared" si="16"/>
        <v>0</v>
      </c>
      <c r="CH11" s="1062"/>
      <c r="CI11" s="1062"/>
      <c r="CJ11" s="1062">
        <f t="shared" si="17"/>
        <v>0</v>
      </c>
      <c r="CK11" s="1062"/>
      <c r="CL11" s="1062"/>
      <c r="CM11" s="1062">
        <f t="shared" si="18"/>
        <v>0</v>
      </c>
      <c r="CN11" s="1062"/>
      <c r="CP11">
        <f t="shared" si="19"/>
        <v>0</v>
      </c>
      <c r="CS11">
        <f t="shared" si="20"/>
        <v>0</v>
      </c>
      <c r="CV11">
        <f t="shared" si="21"/>
        <v>0</v>
      </c>
      <c r="CY11">
        <f t="shared" si="22"/>
        <v>0</v>
      </c>
      <c r="DB11">
        <f t="shared" si="23"/>
        <v>0</v>
      </c>
      <c r="DE11">
        <f t="shared" si="24"/>
        <v>0</v>
      </c>
      <c r="DH11">
        <f t="shared" si="25"/>
        <v>0</v>
      </c>
      <c r="DK11">
        <f t="shared" si="26"/>
        <v>0</v>
      </c>
      <c r="DN11">
        <f t="shared" si="27"/>
        <v>0</v>
      </c>
      <c r="DO11">
        <v>5</v>
      </c>
      <c r="DP11">
        <v>540</v>
      </c>
      <c r="DQ11">
        <f t="shared" si="28"/>
        <v>2700</v>
      </c>
    </row>
    <row r="12" ht="23.1" customHeight="1" spans="1:121">
      <c r="A12" t="str">
        <f t="shared" si="0"/>
        <v>C30水下混凝土</v>
      </c>
      <c r="B12" s="697" t="str">
        <f t="shared" si="1"/>
        <v>m3</v>
      </c>
      <c r="C12" s="1037">
        <f t="shared" si="2"/>
        <v>3125.05203539823</v>
      </c>
      <c r="D12" s="1038">
        <f>SUMIFS('01工程产值对比表'!$M:$M,'01工程产值对比表'!$D:$D,A12,'01工程产值对比表'!$C:$C,A$2)</f>
        <v>3538.551048</v>
      </c>
      <c r="F12" s="1039"/>
      <c r="H12" s="1038"/>
      <c r="I12" s="1049" t="s">
        <v>192</v>
      </c>
      <c r="J12" s="1046" t="s">
        <v>172</v>
      </c>
      <c r="K12" s="1050"/>
      <c r="L12" s="1047">
        <f>SUMIFS('01工程产值对比表'!$M:$M,'01工程产值对比表'!$D:$D,I12,'01工程产值对比表'!$C:$C,I$2)</f>
        <v>0</v>
      </c>
      <c r="M12" s="1038"/>
      <c r="N12" s="1038"/>
      <c r="O12" s="1038"/>
      <c r="P12" s="1048"/>
      <c r="Q12" t="s">
        <v>193</v>
      </c>
      <c r="R12" s="697" t="s">
        <v>69</v>
      </c>
      <c r="S12">
        <v>0.5</v>
      </c>
      <c r="T12" s="1038">
        <f>SUMIFS('01工程产值对比表'!$M:$M,'01工程产值对比表'!$D:$D,Q12,'01工程产值对比表'!$C:$C,Q$2)</f>
        <v>0</v>
      </c>
      <c r="U12" s="1038"/>
      <c r="V12" s="1038"/>
      <c r="W12" s="1038"/>
      <c r="X12" s="1048"/>
      <c r="Y12" t="s">
        <v>194</v>
      </c>
      <c r="Z12" t="s">
        <v>69</v>
      </c>
      <c r="AA12">
        <v>95</v>
      </c>
      <c r="AB12" s="1038">
        <f>SUMIFS('01工程产值对比表'!$M:$M,'01工程产值对比表'!$D:$D,Y12,'01工程产值对比表'!$C:$C,Y$2)</f>
        <v>0</v>
      </c>
      <c r="AK12" t="s">
        <v>195</v>
      </c>
      <c r="AO12" t="s">
        <v>196</v>
      </c>
      <c r="AP12" s="1055" t="s">
        <v>72</v>
      </c>
      <c r="AQ12" s="1056">
        <f t="shared" si="3"/>
        <v>3096.97752212389</v>
      </c>
      <c r="AR12" s="1057">
        <f>SUMIFS('01工程产值对比表'!$M:$M,'01工程产值对比表'!$D:$D,AO12,'01工程产值对比表'!$C:$C,"材料")</f>
        <v>0</v>
      </c>
      <c r="AS12" s="1058">
        <f ca="1">SUMIFS('01工程产值对比表'!$T:$T,'01工程产值对比表'!$D:$D,AO12,'01工程产值对比表'!$C:$C,"材料")</f>
        <v>0</v>
      </c>
      <c r="AT12" s="1058">
        <f ca="1">SUMIFS('01工程产值对比表'!$V:$V,'01工程产值对比表'!$D:$D,AO12,'01工程产值对比表'!$C:$C,"材料")</f>
        <v>0</v>
      </c>
      <c r="AU12" s="918">
        <v>253</v>
      </c>
      <c r="AV12" s="918">
        <f t="shared" si="29"/>
        <v>0.353982300884956</v>
      </c>
      <c r="AW12" s="918">
        <f t="shared" si="4"/>
        <v>89.5575221238938</v>
      </c>
      <c r="AX12" s="918">
        <v>1250</v>
      </c>
      <c r="AY12" s="918">
        <v>0.18</v>
      </c>
      <c r="AZ12" s="918">
        <f t="shared" si="5"/>
        <v>225</v>
      </c>
      <c r="BC12" s="918">
        <f t="shared" si="6"/>
        <v>0</v>
      </c>
      <c r="BF12" s="918">
        <f t="shared" si="7"/>
        <v>0</v>
      </c>
      <c r="BG12" s="918">
        <v>680</v>
      </c>
      <c r="BH12" s="918">
        <v>0.09</v>
      </c>
      <c r="BI12" s="918">
        <f t="shared" si="8"/>
        <v>61.2</v>
      </c>
      <c r="BL12" s="918">
        <f t="shared" si="9"/>
        <v>0</v>
      </c>
      <c r="BM12" s="918">
        <v>1</v>
      </c>
      <c r="BN12" s="918">
        <v>21.22</v>
      </c>
      <c r="BO12" s="918">
        <f t="shared" si="10"/>
        <v>21.22</v>
      </c>
      <c r="BR12" s="918">
        <f t="shared" si="11"/>
        <v>0</v>
      </c>
      <c r="BU12" s="918">
        <f t="shared" si="12"/>
        <v>0</v>
      </c>
      <c r="BX12" s="918">
        <f t="shared" si="13"/>
        <v>0</v>
      </c>
      <c r="CA12" s="918">
        <f t="shared" si="14"/>
        <v>0</v>
      </c>
      <c r="CD12" s="918">
        <f t="shared" si="15"/>
        <v>0</v>
      </c>
      <c r="CG12" s="918">
        <f t="shared" si="16"/>
        <v>0</v>
      </c>
      <c r="CJ12" s="918">
        <f t="shared" si="17"/>
        <v>0</v>
      </c>
      <c r="CM12" s="918">
        <f t="shared" si="18"/>
        <v>0</v>
      </c>
      <c r="CP12">
        <f t="shared" si="19"/>
        <v>0</v>
      </c>
      <c r="CS12">
        <f t="shared" si="20"/>
        <v>0</v>
      </c>
      <c r="CV12">
        <f t="shared" si="21"/>
        <v>0</v>
      </c>
      <c r="CY12">
        <f t="shared" si="22"/>
        <v>0</v>
      </c>
      <c r="DB12">
        <f t="shared" si="23"/>
        <v>0</v>
      </c>
      <c r="DE12">
        <f t="shared" si="24"/>
        <v>0</v>
      </c>
      <c r="DH12">
        <f t="shared" si="25"/>
        <v>0</v>
      </c>
      <c r="DK12">
        <f t="shared" si="26"/>
        <v>0</v>
      </c>
      <c r="DN12">
        <f t="shared" si="27"/>
        <v>0</v>
      </c>
      <c r="DO12">
        <v>5</v>
      </c>
      <c r="DP12">
        <v>540</v>
      </c>
      <c r="DQ12">
        <f t="shared" si="28"/>
        <v>2700</v>
      </c>
    </row>
    <row r="13" ht="23.1" customHeight="1" spans="1:121">
      <c r="A13" t="str">
        <f t="shared" si="0"/>
        <v>C40混凝土p8</v>
      </c>
      <c r="B13" s="697" t="str">
        <f t="shared" si="1"/>
        <v>m3</v>
      </c>
      <c r="C13" s="1037">
        <f t="shared" si="2"/>
        <v>3133.43230088496</v>
      </c>
      <c r="D13" s="1038">
        <f>SUMIFS('01工程产值对比表'!$M:$M,'01工程产值对比表'!$D:$D,A13,'01工程产值对比表'!$C:$C,A$2)</f>
        <v>0</v>
      </c>
      <c r="F13" s="1039"/>
      <c r="H13" s="1038"/>
      <c r="I13" s="1049" t="s">
        <v>197</v>
      </c>
      <c r="J13" s="1046" t="s">
        <v>172</v>
      </c>
      <c r="K13" s="1050"/>
      <c r="L13" s="1047">
        <f>SUMIFS('01工程产值对比表'!$M:$M,'01工程产值对比表'!$D:$D,I13,'01工程产值对比表'!$C:$C,I$2)</f>
        <v>0</v>
      </c>
      <c r="M13" s="1038"/>
      <c r="N13" s="1038"/>
      <c r="O13" s="1038"/>
      <c r="P13" s="1048"/>
      <c r="Q13" t="s">
        <v>198</v>
      </c>
      <c r="R13" s="697" t="s">
        <v>76</v>
      </c>
      <c r="S13">
        <v>1.2</v>
      </c>
      <c r="T13" s="1038">
        <f>SUMIFS('01工程产值对比表'!$M:$M,'01工程产值对比表'!$D:$D,Q13,'01工程产值对比表'!$C:$C,Q$2)</f>
        <v>0</v>
      </c>
      <c r="U13" s="1038"/>
      <c r="V13" s="1038"/>
      <c r="W13" s="1038"/>
      <c r="X13" s="1048"/>
      <c r="Y13" t="s">
        <v>199</v>
      </c>
      <c r="Z13" t="s">
        <v>76</v>
      </c>
      <c r="AA13">
        <v>7</v>
      </c>
      <c r="AB13" s="1038">
        <f>SUMIFS('01工程产值对比表'!$M:$M,'01工程产值对比表'!$D:$D,Y13,'01工程产值对比表'!$C:$C,Y$2)</f>
        <v>0</v>
      </c>
      <c r="AK13" t="s">
        <v>200</v>
      </c>
      <c r="AO13" t="s">
        <v>201</v>
      </c>
      <c r="AP13" s="1055" t="s">
        <v>72</v>
      </c>
      <c r="AQ13" s="1056">
        <f t="shared" si="3"/>
        <v>3074.85752212389</v>
      </c>
      <c r="AR13" s="1057">
        <f>SUMIFS('01工程产值对比表'!$M:$M,'01工程产值对比表'!$D:$D,AO13,'01工程产值对比表'!$C:$C,"材料")</f>
        <v>0</v>
      </c>
      <c r="AS13" s="1058">
        <f ca="1">SUMIFS('01工程产值对比表'!$T:$T,'01工程产值对比表'!$D:$D,AO13,'01工程产值对比表'!$C:$C,"材料")</f>
        <v>0</v>
      </c>
      <c r="AT13" s="1058">
        <f ca="1">SUMIFS('01工程产值对比表'!$V:$V,'01工程产值对比表'!$D:$D,AO13,'01工程产值对比表'!$C:$C,"材料")</f>
        <v>0</v>
      </c>
      <c r="AU13" s="918">
        <v>253</v>
      </c>
      <c r="AV13" s="918">
        <f t="shared" si="29"/>
        <v>0.353982300884956</v>
      </c>
      <c r="AW13" s="918">
        <f t="shared" si="4"/>
        <v>89.5575221238938</v>
      </c>
      <c r="AX13" s="918">
        <v>1245</v>
      </c>
      <c r="AY13" s="918">
        <v>0.18</v>
      </c>
      <c r="AZ13" s="918">
        <f t="shared" si="5"/>
        <v>224.1</v>
      </c>
      <c r="BC13" s="918">
        <f t="shared" si="6"/>
        <v>0</v>
      </c>
      <c r="BF13" s="918">
        <f t="shared" si="7"/>
        <v>0</v>
      </c>
      <c r="BG13" s="918">
        <v>680</v>
      </c>
      <c r="BH13" s="918">
        <v>0.09</v>
      </c>
      <c r="BI13" s="918">
        <f t="shared" si="8"/>
        <v>61.2</v>
      </c>
      <c r="BL13" s="918">
        <f t="shared" si="9"/>
        <v>0</v>
      </c>
      <c r="BM13" s="918">
        <v>0</v>
      </c>
      <c r="BO13" s="918">
        <f t="shared" si="10"/>
        <v>0</v>
      </c>
      <c r="BR13" s="918">
        <f t="shared" si="11"/>
        <v>0</v>
      </c>
      <c r="BU13" s="918">
        <f t="shared" si="12"/>
        <v>0</v>
      </c>
      <c r="BX13" s="918">
        <f t="shared" si="13"/>
        <v>0</v>
      </c>
      <c r="CA13" s="918">
        <f t="shared" si="14"/>
        <v>0</v>
      </c>
      <c r="CD13" s="918">
        <f t="shared" si="15"/>
        <v>0</v>
      </c>
      <c r="CG13" s="918">
        <f t="shared" si="16"/>
        <v>0</v>
      </c>
      <c r="CJ13" s="918">
        <f t="shared" si="17"/>
        <v>0</v>
      </c>
      <c r="CM13" s="918">
        <f t="shared" si="18"/>
        <v>0</v>
      </c>
      <c r="CP13">
        <f t="shared" si="19"/>
        <v>0</v>
      </c>
      <c r="CS13">
        <f t="shared" si="20"/>
        <v>0</v>
      </c>
      <c r="CV13">
        <f t="shared" si="21"/>
        <v>0</v>
      </c>
      <c r="CY13">
        <f t="shared" si="22"/>
        <v>0</v>
      </c>
      <c r="DB13">
        <f t="shared" si="23"/>
        <v>0</v>
      </c>
      <c r="DE13">
        <f t="shared" si="24"/>
        <v>0</v>
      </c>
      <c r="DH13">
        <f t="shared" si="25"/>
        <v>0</v>
      </c>
      <c r="DK13">
        <f t="shared" si="26"/>
        <v>0</v>
      </c>
      <c r="DN13">
        <f t="shared" si="27"/>
        <v>0</v>
      </c>
      <c r="DO13">
        <v>5</v>
      </c>
      <c r="DP13">
        <v>540</v>
      </c>
      <c r="DQ13">
        <f t="shared" si="28"/>
        <v>2700</v>
      </c>
    </row>
    <row r="14" ht="23.1" customHeight="1" spans="1:121">
      <c r="A14" t="str">
        <f t="shared" si="0"/>
        <v>C40混凝土p8（泵送）</v>
      </c>
      <c r="B14" s="697" t="str">
        <f t="shared" si="1"/>
        <v>m3</v>
      </c>
      <c r="C14" s="1037">
        <f t="shared" si="2"/>
        <v>3157.18230088496</v>
      </c>
      <c r="D14" s="1038">
        <f>SUMIFS('01工程产值对比表'!$M:$M,'01工程产值对比表'!$D:$D,A14,'01工程产值对比表'!$C:$C,A$2)</f>
        <v>0</v>
      </c>
      <c r="F14" s="1039"/>
      <c r="H14" s="1038"/>
      <c r="I14" s="1049" t="s">
        <v>202</v>
      </c>
      <c r="J14" s="1046" t="s">
        <v>172</v>
      </c>
      <c r="K14" s="1050"/>
      <c r="L14" s="1047">
        <f>SUMIFS('01工程产值对比表'!$M:$M,'01工程产值对比表'!$D:$D,I14,'01工程产值对比表'!$C:$C,I$2)</f>
        <v>0</v>
      </c>
      <c r="M14" s="1038"/>
      <c r="N14" s="1038"/>
      <c r="O14" s="1038"/>
      <c r="P14" s="1048"/>
      <c r="Q14" t="s">
        <v>203</v>
      </c>
      <c r="R14" s="697" t="s">
        <v>69</v>
      </c>
      <c r="S14">
        <v>5</v>
      </c>
      <c r="T14" s="1038">
        <f>SUMIFS('01工程产值对比表'!$M:$M,'01工程产值对比表'!$D:$D,Q14,'01工程产值对比表'!$C:$C,Q$2)</f>
        <v>0</v>
      </c>
      <c r="U14" s="1038"/>
      <c r="V14" s="1038"/>
      <c r="W14" s="1038"/>
      <c r="X14" s="1048"/>
      <c r="Y14" t="s">
        <v>204</v>
      </c>
      <c r="Z14" t="s">
        <v>76</v>
      </c>
      <c r="AA14">
        <v>14</v>
      </c>
      <c r="AB14" s="1038">
        <f>SUMIFS('01工程产值对比表'!$M:$M,'01工程产值对比表'!$D:$D,Y14,'01工程产值对比表'!$C:$C,Y$2)</f>
        <v>0</v>
      </c>
      <c r="AK14" t="s">
        <v>205</v>
      </c>
      <c r="AO14" t="s">
        <v>206</v>
      </c>
      <c r="AP14" s="1055" t="s">
        <v>72</v>
      </c>
      <c r="AQ14" s="1056">
        <f t="shared" si="3"/>
        <v>3097.57831858407</v>
      </c>
      <c r="AR14" s="1057">
        <f>SUMIFS('01工程产值对比表'!$M:$M,'01工程产值对比表'!$D:$D,AO14,'01工程产值对比表'!$C:$C,"材料")</f>
        <v>0</v>
      </c>
      <c r="AS14" s="1058">
        <f ca="1">SUMIFS('01工程产值对比表'!$T:$T,'01工程产值对比表'!$D:$D,AO14,'01工程产值对比表'!$C:$C,"材料")</f>
        <v>0</v>
      </c>
      <c r="AT14" s="1058">
        <f ca="1">SUMIFS('01工程产值对比表'!$V:$V,'01工程产值对比表'!$D:$D,AO14,'01工程产值对比表'!$C:$C,"材料")</f>
        <v>0</v>
      </c>
      <c r="AU14" s="918">
        <v>321</v>
      </c>
      <c r="AV14" s="918">
        <f t="shared" si="29"/>
        <v>0.353982300884956</v>
      </c>
      <c r="AW14" s="918">
        <f t="shared" si="4"/>
        <v>113.628318584071</v>
      </c>
      <c r="AX14" s="918">
        <v>1245</v>
      </c>
      <c r="AY14" s="918">
        <v>0.18</v>
      </c>
      <c r="AZ14" s="918">
        <f t="shared" si="5"/>
        <v>224.1</v>
      </c>
      <c r="BC14" s="918">
        <f t="shared" si="6"/>
        <v>0</v>
      </c>
      <c r="BF14" s="918">
        <f t="shared" si="7"/>
        <v>0</v>
      </c>
      <c r="BG14" s="918">
        <v>665</v>
      </c>
      <c r="BH14" s="918">
        <v>0.09</v>
      </c>
      <c r="BI14" s="918">
        <f t="shared" si="8"/>
        <v>59.85</v>
      </c>
      <c r="BL14" s="918">
        <f t="shared" si="9"/>
        <v>0</v>
      </c>
      <c r="BM14" s="918">
        <v>0</v>
      </c>
      <c r="BN14" s="918">
        <v>21.81</v>
      </c>
      <c r="BO14" s="918">
        <f t="shared" si="10"/>
        <v>0</v>
      </c>
      <c r="BR14" s="918">
        <f t="shared" si="11"/>
        <v>0</v>
      </c>
      <c r="BU14" s="918">
        <f t="shared" si="12"/>
        <v>0</v>
      </c>
      <c r="BX14" s="918">
        <f t="shared" si="13"/>
        <v>0</v>
      </c>
      <c r="CA14" s="918">
        <f t="shared" si="14"/>
        <v>0</v>
      </c>
      <c r="CD14" s="918">
        <f t="shared" si="15"/>
        <v>0</v>
      </c>
      <c r="CG14" s="918">
        <f t="shared" si="16"/>
        <v>0</v>
      </c>
      <c r="CJ14" s="918">
        <f t="shared" si="17"/>
        <v>0</v>
      </c>
      <c r="CM14" s="918">
        <f t="shared" si="18"/>
        <v>0</v>
      </c>
      <c r="CP14">
        <f t="shared" si="19"/>
        <v>0</v>
      </c>
      <c r="CS14">
        <f t="shared" si="20"/>
        <v>0</v>
      </c>
      <c r="CV14">
        <f t="shared" si="21"/>
        <v>0</v>
      </c>
      <c r="CY14">
        <f t="shared" si="22"/>
        <v>0</v>
      </c>
      <c r="DB14">
        <f t="shared" si="23"/>
        <v>0</v>
      </c>
      <c r="DE14">
        <f t="shared" si="24"/>
        <v>0</v>
      </c>
      <c r="DH14">
        <f t="shared" si="25"/>
        <v>0</v>
      </c>
      <c r="DK14">
        <f t="shared" si="26"/>
        <v>0</v>
      </c>
      <c r="DN14">
        <f t="shared" si="27"/>
        <v>0</v>
      </c>
      <c r="DO14">
        <v>5</v>
      </c>
      <c r="DP14">
        <v>540</v>
      </c>
      <c r="DQ14">
        <f t="shared" si="28"/>
        <v>2700</v>
      </c>
    </row>
    <row r="15" ht="23.1" customHeight="1" spans="1:121">
      <c r="A15" t="str">
        <f t="shared" si="0"/>
        <v>C45混凝土p8</v>
      </c>
      <c r="B15" s="697" t="str">
        <f t="shared" si="1"/>
        <v>m3</v>
      </c>
      <c r="C15" s="1037">
        <f t="shared" si="2"/>
        <v>3127.06061946903</v>
      </c>
      <c r="D15" s="1038">
        <f>SUMIFS('01工程产值对比表'!$M:$M,'01工程产值对比表'!$D:$D,A15,'01工程产值对比表'!$C:$C,A$2)</f>
        <v>0</v>
      </c>
      <c r="F15" s="1039"/>
      <c r="H15" s="1038"/>
      <c r="I15" s="1049" t="s">
        <v>207</v>
      </c>
      <c r="J15" s="1046" t="s">
        <v>208</v>
      </c>
      <c r="K15" s="1050"/>
      <c r="L15" s="1047">
        <f>SUMIFS('01工程产值对比表'!$M:$M,'01工程产值对比表'!$D:$D,I15,'01工程产值对比表'!$C:$C,I$2)</f>
        <v>0</v>
      </c>
      <c r="M15" s="1038"/>
      <c r="N15" s="1038"/>
      <c r="O15" s="1038"/>
      <c r="P15" s="1048"/>
      <c r="Q15" t="s">
        <v>209</v>
      </c>
      <c r="R15" s="697" t="s">
        <v>69</v>
      </c>
      <c r="S15">
        <v>10</v>
      </c>
      <c r="T15" s="1038">
        <f>SUMIFS('01工程产值对比表'!$M:$M,'01工程产值对比表'!$D:$D,Q15,'01工程产值对比表'!$C:$C,Q$2)</f>
        <v>0</v>
      </c>
      <c r="U15" s="1038"/>
      <c r="V15" s="1038"/>
      <c r="W15" s="1038"/>
      <c r="X15" s="1048"/>
      <c r="Y15" t="s">
        <v>210</v>
      </c>
      <c r="Z15" t="s">
        <v>169</v>
      </c>
      <c r="AA15">
        <v>800</v>
      </c>
      <c r="AB15" s="1038">
        <f>SUMIFS('01工程产值对比表'!$M:$M,'01工程产值对比表'!$D:$D,Y15,'01工程产值对比表'!$C:$C,Y$2)</f>
        <v>0</v>
      </c>
      <c r="AK15" t="s">
        <v>211</v>
      </c>
      <c r="AO15" t="s">
        <v>212</v>
      </c>
      <c r="AP15" s="1055" t="s">
        <v>72</v>
      </c>
      <c r="AQ15" s="1056">
        <f t="shared" si="3"/>
        <v>3125.05203539823</v>
      </c>
      <c r="AR15" s="1057">
        <f>SUMIFS('01工程产值对比表'!$M:$M,'01工程产值对比表'!$D:$D,AO15,'01工程产值对比表'!$C:$C,"材料")</f>
        <v>3538.551048</v>
      </c>
      <c r="AS15" s="1058">
        <f ca="1">SUMIFS('01工程产值对比表'!$T:$T,'01工程产值对比表'!$D:$D,AO15,'01工程产值对比表'!$C:$C,"材料")</f>
        <v>0</v>
      </c>
      <c r="AT15" s="1058">
        <f ca="1">SUMIFS('01工程产值对比表'!$V:$V,'01工程产值对比表'!$D:$D,AO15,'01工程产值对比表'!$C:$C,"材料")</f>
        <v>0</v>
      </c>
      <c r="AU15" s="918">
        <v>337</v>
      </c>
      <c r="AV15" s="918">
        <f t="shared" si="29"/>
        <v>0.353982300884956</v>
      </c>
      <c r="AW15" s="918">
        <f t="shared" si="4"/>
        <v>119.29203539823</v>
      </c>
      <c r="AX15" s="918">
        <v>1245</v>
      </c>
      <c r="AY15" s="918">
        <v>0.18</v>
      </c>
      <c r="AZ15" s="918">
        <f t="shared" si="5"/>
        <v>224.1</v>
      </c>
      <c r="BC15" s="918">
        <f t="shared" si="6"/>
        <v>0</v>
      </c>
      <c r="BF15" s="918">
        <f t="shared" si="7"/>
        <v>0</v>
      </c>
      <c r="BG15" s="918">
        <v>665</v>
      </c>
      <c r="BH15" s="918">
        <v>0.09</v>
      </c>
      <c r="BI15" s="918">
        <f t="shared" si="8"/>
        <v>59.85</v>
      </c>
      <c r="BL15" s="918">
        <f t="shared" si="9"/>
        <v>0</v>
      </c>
      <c r="BM15" s="918">
        <v>1</v>
      </c>
      <c r="BN15" s="918">
        <v>21.81</v>
      </c>
      <c r="BO15" s="918">
        <f t="shared" si="10"/>
        <v>21.81</v>
      </c>
      <c r="BR15" s="918">
        <f t="shared" si="11"/>
        <v>0</v>
      </c>
      <c r="BU15" s="918">
        <f t="shared" si="12"/>
        <v>0</v>
      </c>
      <c r="BX15" s="918">
        <f t="shared" si="13"/>
        <v>0</v>
      </c>
      <c r="CA15" s="918">
        <f t="shared" si="14"/>
        <v>0</v>
      </c>
      <c r="CD15" s="918">
        <f t="shared" si="15"/>
        <v>0</v>
      </c>
      <c r="CG15" s="918">
        <f t="shared" si="16"/>
        <v>0</v>
      </c>
      <c r="CJ15" s="918">
        <f t="shared" si="17"/>
        <v>0</v>
      </c>
      <c r="CM15" s="918">
        <f t="shared" si="18"/>
        <v>0</v>
      </c>
      <c r="CP15">
        <f t="shared" si="19"/>
        <v>0</v>
      </c>
      <c r="CS15">
        <f t="shared" si="20"/>
        <v>0</v>
      </c>
      <c r="CV15">
        <f t="shared" si="21"/>
        <v>0</v>
      </c>
      <c r="CY15">
        <f t="shared" si="22"/>
        <v>0</v>
      </c>
      <c r="DB15">
        <f t="shared" si="23"/>
        <v>0</v>
      </c>
      <c r="DE15">
        <f t="shared" si="24"/>
        <v>0</v>
      </c>
      <c r="DH15">
        <f t="shared" si="25"/>
        <v>0</v>
      </c>
      <c r="DK15">
        <f t="shared" si="26"/>
        <v>0</v>
      </c>
      <c r="DN15">
        <f t="shared" si="27"/>
        <v>0</v>
      </c>
      <c r="DO15">
        <v>5</v>
      </c>
      <c r="DP15">
        <v>540</v>
      </c>
      <c r="DQ15">
        <f t="shared" si="28"/>
        <v>2700</v>
      </c>
    </row>
    <row r="16" ht="23.1" customHeight="1" spans="1:121">
      <c r="A16" t="str">
        <f t="shared" si="0"/>
        <v>C45混凝土p8（含泵送）</v>
      </c>
      <c r="B16" s="697" t="str">
        <f t="shared" si="1"/>
        <v>m3</v>
      </c>
      <c r="C16" s="1037">
        <f t="shared" si="2"/>
        <v>3154.52061946903</v>
      </c>
      <c r="D16" s="1038">
        <f>SUMIFS('01工程产值对比表'!$M:$M,'01工程产值对比表'!$D:$D,A16,'01工程产值对比表'!$C:$C,A$2)</f>
        <v>0</v>
      </c>
      <c r="F16" s="1039"/>
      <c r="H16" s="1038"/>
      <c r="I16" s="1049" t="s">
        <v>213</v>
      </c>
      <c r="J16" s="1046" t="s">
        <v>208</v>
      </c>
      <c r="K16" s="1050"/>
      <c r="L16" s="1047">
        <f>SUMIFS('01工程产值对比表'!$M:$M,'01工程产值对比表'!$D:$D,I16,'01工程产值对比表'!$C:$C,I$2)</f>
        <v>0</v>
      </c>
      <c r="M16" s="1038"/>
      <c r="N16" s="1038"/>
      <c r="O16" s="1038"/>
      <c r="P16" s="1048"/>
      <c r="Q16" t="s">
        <v>214</v>
      </c>
      <c r="R16" s="697" t="s">
        <v>195</v>
      </c>
      <c r="S16">
        <v>150000</v>
      </c>
      <c r="T16" s="1038">
        <f>SUMIFS('01工程产值对比表'!$M:$M,'01工程产值对比表'!$D:$D,Q16,'01工程产值对比表'!$C:$C,Q$2)</f>
        <v>0</v>
      </c>
      <c r="U16" s="1038"/>
      <c r="V16" s="1038"/>
      <c r="W16" s="1038"/>
      <c r="X16" s="1048"/>
      <c r="Y16" t="s">
        <v>215</v>
      </c>
      <c r="Z16" t="s">
        <v>76</v>
      </c>
      <c r="AA16">
        <v>15</v>
      </c>
      <c r="AB16" s="1038">
        <f>SUMIFS('01工程产值对比表'!$M:$M,'01工程产值对比表'!$D:$D,Y16,'01工程产值对比表'!$C:$C,Y$2)</f>
        <v>0</v>
      </c>
      <c r="AK16" t="s">
        <v>216</v>
      </c>
      <c r="AO16" t="s">
        <v>217</v>
      </c>
      <c r="AP16" s="1055" t="s">
        <v>72</v>
      </c>
      <c r="AQ16" s="1056">
        <f t="shared" si="3"/>
        <v>3133.43230088496</v>
      </c>
      <c r="AR16" s="1057">
        <f>SUMIFS('01工程产值对比表'!$M:$M,'01工程产值对比表'!$D:$D,AO16,'01工程产值对比表'!$C:$C,"材料")</f>
        <v>0</v>
      </c>
      <c r="AS16" s="1058">
        <f ca="1">SUMIFS('01工程产值对比表'!$T:$T,'01工程产值对比表'!$D:$D,AO16,'01工程产值对比表'!$C:$C,"材料")</f>
        <v>0</v>
      </c>
      <c r="AT16" s="1058">
        <f ca="1">SUMIFS('01工程产值对比表'!$V:$V,'01工程产值对比表'!$D:$D,AO16,'01工程产值对比表'!$C:$C,"材料")</f>
        <v>0</v>
      </c>
      <c r="AU16" s="918">
        <v>435</v>
      </c>
      <c r="AV16" s="918">
        <f t="shared" si="29"/>
        <v>0.353982300884956</v>
      </c>
      <c r="AW16" s="918">
        <f t="shared" si="4"/>
        <v>153.982300884956</v>
      </c>
      <c r="AX16" s="918">
        <v>1220</v>
      </c>
      <c r="AY16" s="918">
        <v>0.18</v>
      </c>
      <c r="AZ16" s="918">
        <f t="shared" si="5"/>
        <v>219.6</v>
      </c>
      <c r="BC16" s="918">
        <f t="shared" si="6"/>
        <v>0</v>
      </c>
      <c r="BF16" s="918">
        <f t="shared" si="7"/>
        <v>0</v>
      </c>
      <c r="BG16" s="918">
        <v>665</v>
      </c>
      <c r="BH16" s="918">
        <v>0.09</v>
      </c>
      <c r="BI16" s="918">
        <f t="shared" si="8"/>
        <v>59.85</v>
      </c>
      <c r="BL16" s="918">
        <f t="shared" si="9"/>
        <v>0</v>
      </c>
      <c r="BM16" s="918">
        <v>0</v>
      </c>
      <c r="BN16" s="918">
        <v>23.75</v>
      </c>
      <c r="BO16" s="918">
        <f t="shared" si="10"/>
        <v>0</v>
      </c>
      <c r="BR16" s="918">
        <f t="shared" si="11"/>
        <v>0</v>
      </c>
      <c r="BU16" s="918">
        <f t="shared" si="12"/>
        <v>0</v>
      </c>
      <c r="BX16" s="918">
        <f t="shared" si="13"/>
        <v>0</v>
      </c>
      <c r="CA16" s="918">
        <f t="shared" si="14"/>
        <v>0</v>
      </c>
      <c r="CD16" s="918">
        <f t="shared" si="15"/>
        <v>0</v>
      </c>
      <c r="CG16" s="918">
        <f t="shared" si="16"/>
        <v>0</v>
      </c>
      <c r="CJ16" s="918">
        <f t="shared" si="17"/>
        <v>0</v>
      </c>
      <c r="CM16" s="918">
        <f t="shared" si="18"/>
        <v>0</v>
      </c>
      <c r="CP16">
        <f t="shared" si="19"/>
        <v>0</v>
      </c>
      <c r="CS16">
        <f t="shared" si="20"/>
        <v>0</v>
      </c>
      <c r="CV16">
        <f t="shared" si="21"/>
        <v>0</v>
      </c>
      <c r="CY16">
        <f t="shared" si="22"/>
        <v>0</v>
      </c>
      <c r="DB16">
        <f t="shared" si="23"/>
        <v>0</v>
      </c>
      <c r="DE16">
        <f t="shared" si="24"/>
        <v>0</v>
      </c>
      <c r="DH16">
        <f t="shared" si="25"/>
        <v>0</v>
      </c>
      <c r="DK16">
        <f t="shared" si="26"/>
        <v>0</v>
      </c>
      <c r="DN16">
        <f t="shared" si="27"/>
        <v>0</v>
      </c>
      <c r="DO16">
        <v>5</v>
      </c>
      <c r="DP16">
        <v>540</v>
      </c>
      <c r="DQ16">
        <f t="shared" si="28"/>
        <v>2700</v>
      </c>
    </row>
    <row r="17" ht="23.1" customHeight="1" spans="1:121">
      <c r="A17" t="str">
        <f t="shared" si="0"/>
        <v>C50混凝土p10</v>
      </c>
      <c r="B17" s="697" t="str">
        <f t="shared" si="1"/>
        <v>m3</v>
      </c>
      <c r="C17" s="1037">
        <f t="shared" si="2"/>
        <v>3149.78061946903</v>
      </c>
      <c r="D17" s="1038">
        <f>SUMIFS('01工程产值对比表'!$M:$M,'01工程产值对比表'!$D:$D,A17,'01工程产值对比表'!$C:$C,A$2)</f>
        <v>0</v>
      </c>
      <c r="F17" s="1039"/>
      <c r="H17" s="1038"/>
      <c r="I17" s="1049" t="s">
        <v>218</v>
      </c>
      <c r="J17" s="1046" t="s">
        <v>219</v>
      </c>
      <c r="K17" s="1050">
        <v>600</v>
      </c>
      <c r="L17" s="1047">
        <f>SUMIFS('01工程产值对比表'!$M:$M,'01工程产值对比表'!$D:$D,I17,'01工程产值对比表'!$C:$C,I$2)</f>
        <v>0</v>
      </c>
      <c r="M17" s="1038"/>
      <c r="N17" s="1038"/>
      <c r="O17" s="1038"/>
      <c r="P17" s="1048"/>
      <c r="Q17" t="s">
        <v>220</v>
      </c>
      <c r="R17" s="697" t="s">
        <v>69</v>
      </c>
      <c r="S17">
        <v>0.1</v>
      </c>
      <c r="T17" s="1038">
        <f>SUMIFS('01工程产值对比表'!$M:$M,'01工程产值对比表'!$D:$D,Q17,'01工程产值对比表'!$C:$C,Q$2)</f>
        <v>0</v>
      </c>
      <c r="U17" s="1038"/>
      <c r="V17" s="1038"/>
      <c r="W17" s="1038"/>
      <c r="X17" s="1048"/>
      <c r="Y17" t="s">
        <v>221</v>
      </c>
      <c r="Z17" t="s">
        <v>169</v>
      </c>
      <c r="AA17">
        <v>15</v>
      </c>
      <c r="AB17" s="1038">
        <f>SUMIFS('01工程产值对比表'!$M:$M,'01工程产值对比表'!$D:$D,Y17,'01工程产值对比表'!$C:$C,Y$2)</f>
        <v>0</v>
      </c>
      <c r="AK17" t="s">
        <v>15</v>
      </c>
      <c r="AO17" t="s">
        <v>222</v>
      </c>
      <c r="AP17" s="1055" t="s">
        <v>72</v>
      </c>
      <c r="AQ17" s="1056">
        <f t="shared" si="3"/>
        <v>3157.18230088496</v>
      </c>
      <c r="AR17" s="1057">
        <f>SUMIFS('01工程产值对比表'!$M:$M,'01工程产值对比表'!$D:$D,AO17,'01工程产值对比表'!$C:$C,"材料")</f>
        <v>0</v>
      </c>
      <c r="AS17" s="1058">
        <f ca="1">SUMIFS('01工程产值对比表'!$T:$T,'01工程产值对比表'!$D:$D,AO17,'01工程产值对比表'!$C:$C,"材料")</f>
        <v>0</v>
      </c>
      <c r="AT17" s="1058">
        <f ca="1">SUMIFS('01工程产值对比表'!$V:$V,'01工程产值对比表'!$D:$D,AO17,'01工程产值对比表'!$C:$C,"材料")</f>
        <v>0</v>
      </c>
      <c r="AU17" s="918">
        <v>435</v>
      </c>
      <c r="AV17" s="918">
        <f t="shared" si="29"/>
        <v>0.353982300884956</v>
      </c>
      <c r="AW17" s="918">
        <f t="shared" si="4"/>
        <v>153.982300884956</v>
      </c>
      <c r="AX17" s="918">
        <v>1220</v>
      </c>
      <c r="AY17" s="918">
        <v>0.18</v>
      </c>
      <c r="AZ17" s="918">
        <f t="shared" si="5"/>
        <v>219.6</v>
      </c>
      <c r="BC17" s="918">
        <f t="shared" si="6"/>
        <v>0</v>
      </c>
      <c r="BF17" s="918">
        <f t="shared" si="7"/>
        <v>0</v>
      </c>
      <c r="BG17" s="918">
        <v>665</v>
      </c>
      <c r="BH17" s="918">
        <v>0.09</v>
      </c>
      <c r="BI17" s="918">
        <f t="shared" si="8"/>
        <v>59.85</v>
      </c>
      <c r="BL17" s="918">
        <f t="shared" si="9"/>
        <v>0</v>
      </c>
      <c r="BM17" s="918">
        <v>1</v>
      </c>
      <c r="BN17" s="918">
        <v>23.75</v>
      </c>
      <c r="BO17" s="918">
        <f t="shared" si="10"/>
        <v>23.75</v>
      </c>
      <c r="BR17" s="918">
        <f t="shared" si="11"/>
        <v>0</v>
      </c>
      <c r="BU17" s="918">
        <f t="shared" si="12"/>
        <v>0</v>
      </c>
      <c r="BX17" s="918">
        <f t="shared" si="13"/>
        <v>0</v>
      </c>
      <c r="CA17" s="918">
        <f t="shared" si="14"/>
        <v>0</v>
      </c>
      <c r="CD17" s="918">
        <f t="shared" si="15"/>
        <v>0</v>
      </c>
      <c r="CG17" s="918">
        <f t="shared" si="16"/>
        <v>0</v>
      </c>
      <c r="CJ17" s="918">
        <f t="shared" si="17"/>
        <v>0</v>
      </c>
      <c r="CM17" s="918">
        <f t="shared" si="18"/>
        <v>0</v>
      </c>
      <c r="CP17">
        <f t="shared" si="19"/>
        <v>0</v>
      </c>
      <c r="CS17">
        <f t="shared" si="20"/>
        <v>0</v>
      </c>
      <c r="CV17">
        <f t="shared" si="21"/>
        <v>0</v>
      </c>
      <c r="CY17">
        <f t="shared" si="22"/>
        <v>0</v>
      </c>
      <c r="DB17">
        <f t="shared" si="23"/>
        <v>0</v>
      </c>
      <c r="DE17">
        <f t="shared" si="24"/>
        <v>0</v>
      </c>
      <c r="DH17">
        <f t="shared" si="25"/>
        <v>0</v>
      </c>
      <c r="DK17">
        <f t="shared" si="26"/>
        <v>0</v>
      </c>
      <c r="DN17">
        <f t="shared" si="27"/>
        <v>0</v>
      </c>
      <c r="DO17">
        <v>5</v>
      </c>
      <c r="DP17">
        <v>540</v>
      </c>
      <c r="DQ17">
        <f t="shared" si="28"/>
        <v>2700</v>
      </c>
    </row>
    <row r="18" ht="23.1" customHeight="1" spans="1:121">
      <c r="A18" t="str">
        <f t="shared" si="0"/>
        <v>水泥砂浆</v>
      </c>
      <c r="B18" s="697" t="str">
        <f t="shared" si="1"/>
        <v>m3</v>
      </c>
      <c r="C18" s="1037">
        <f t="shared" si="2"/>
        <v>244.76592920354</v>
      </c>
      <c r="D18" s="1038">
        <f>SUMIFS('01工程产值对比表'!$M:$M,'01工程产值对比表'!$D:$D,A18,'01工程产值对比表'!$C:$C,A$2)</f>
        <v>78.29148</v>
      </c>
      <c r="F18" s="1039"/>
      <c r="H18" s="1038"/>
      <c r="I18" s="1049" t="s">
        <v>223</v>
      </c>
      <c r="J18" s="1046" t="s">
        <v>219</v>
      </c>
      <c r="K18" s="1050">
        <v>600</v>
      </c>
      <c r="L18" s="1047">
        <f>SUMIFS('01工程产值对比表'!$M:$M,'01工程产值对比表'!$D:$D,I18,'01工程产值对比表'!$C:$C,I$2)</f>
        <v>0</v>
      </c>
      <c r="M18" s="1038"/>
      <c r="N18" s="1038"/>
      <c r="O18" s="1038"/>
      <c r="P18" s="1048"/>
      <c r="Q18" t="s">
        <v>224</v>
      </c>
      <c r="R18" s="697" t="s">
        <v>69</v>
      </c>
      <c r="S18">
        <v>100</v>
      </c>
      <c r="T18" s="1038">
        <f>SUMIFS('01工程产值对比表'!$M:$M,'01工程产值对比表'!$D:$D,Q18,'01工程产值对比表'!$C:$C,Q$2)</f>
        <v>0</v>
      </c>
      <c r="U18" s="1038"/>
      <c r="V18" s="1038"/>
      <c r="W18" s="1038"/>
      <c r="X18" s="1048"/>
      <c r="Y18" t="s">
        <v>225</v>
      </c>
      <c r="Z18" t="s">
        <v>72</v>
      </c>
      <c r="AA18">
        <v>300</v>
      </c>
      <c r="AB18" s="1038">
        <f>SUMIFS('01工程产值对比表'!$M:$M,'01工程产值对比表'!$D:$D,Y18,'01工程产值对比表'!$C:$C,Y$2)</f>
        <v>0</v>
      </c>
      <c r="AK18" t="s">
        <v>172</v>
      </c>
      <c r="AO18" t="s">
        <v>226</v>
      </c>
      <c r="AP18" s="1055" t="s">
        <v>72</v>
      </c>
      <c r="AQ18" s="1056">
        <f t="shared" si="3"/>
        <v>3127.06061946903</v>
      </c>
      <c r="AR18" s="1057">
        <f>SUMIFS('01工程产值对比表'!$M:$M,'01工程产值对比表'!$D:$D,AO18,'01工程产值对比表'!$C:$C,"材料")</f>
        <v>0</v>
      </c>
      <c r="AS18" s="1058">
        <f ca="1">SUMIFS('01工程产值对比表'!$T:$T,'01工程产值对比表'!$D:$D,AO18,'01工程产值对比表'!$C:$C,"材料")</f>
        <v>0</v>
      </c>
      <c r="AT18" s="1058">
        <f ca="1">SUMIFS('01工程产值对比表'!$V:$V,'01工程产值对比表'!$D:$D,AO18,'01工程产值对比表'!$C:$C,"材料")</f>
        <v>0</v>
      </c>
      <c r="AU18" s="918">
        <v>417</v>
      </c>
      <c r="AV18" s="918">
        <f t="shared" si="29"/>
        <v>0.353982300884956</v>
      </c>
      <c r="AW18" s="918">
        <f t="shared" si="4"/>
        <v>147.610619469027</v>
      </c>
      <c r="AX18" s="918">
        <v>1220</v>
      </c>
      <c r="AY18" s="918">
        <v>0.18</v>
      </c>
      <c r="AZ18" s="918">
        <f t="shared" si="5"/>
        <v>219.6</v>
      </c>
      <c r="BC18" s="918">
        <f t="shared" si="6"/>
        <v>0</v>
      </c>
      <c r="BF18" s="918">
        <f t="shared" si="7"/>
        <v>0</v>
      </c>
      <c r="BG18" s="918">
        <v>665</v>
      </c>
      <c r="BH18" s="918">
        <v>0.09</v>
      </c>
      <c r="BI18" s="918">
        <f t="shared" si="8"/>
        <v>59.85</v>
      </c>
      <c r="BL18" s="918">
        <f t="shared" si="9"/>
        <v>0</v>
      </c>
      <c r="BM18" s="918">
        <v>0</v>
      </c>
      <c r="BN18" s="918">
        <v>27.46</v>
      </c>
      <c r="BO18" s="918">
        <f t="shared" si="10"/>
        <v>0</v>
      </c>
      <c r="BR18" s="918">
        <f t="shared" si="11"/>
        <v>0</v>
      </c>
      <c r="BU18" s="918">
        <f t="shared" si="12"/>
        <v>0</v>
      </c>
      <c r="BX18" s="918">
        <f t="shared" si="13"/>
        <v>0</v>
      </c>
      <c r="CA18" s="918">
        <f t="shared" si="14"/>
        <v>0</v>
      </c>
      <c r="CD18" s="918">
        <f t="shared" si="15"/>
        <v>0</v>
      </c>
      <c r="CG18" s="918">
        <f t="shared" si="16"/>
        <v>0</v>
      </c>
      <c r="CJ18" s="918">
        <f t="shared" si="17"/>
        <v>0</v>
      </c>
      <c r="CM18" s="918">
        <f t="shared" si="18"/>
        <v>0</v>
      </c>
      <c r="CP18">
        <f t="shared" si="19"/>
        <v>0</v>
      </c>
      <c r="CS18">
        <f t="shared" si="20"/>
        <v>0</v>
      </c>
      <c r="CV18">
        <f t="shared" si="21"/>
        <v>0</v>
      </c>
      <c r="CY18">
        <f t="shared" si="22"/>
        <v>0</v>
      </c>
      <c r="DB18">
        <f t="shared" si="23"/>
        <v>0</v>
      </c>
      <c r="DE18">
        <f t="shared" si="24"/>
        <v>0</v>
      </c>
      <c r="DH18">
        <f t="shared" si="25"/>
        <v>0</v>
      </c>
      <c r="DK18">
        <f t="shared" si="26"/>
        <v>0</v>
      </c>
      <c r="DN18">
        <f t="shared" si="27"/>
        <v>0</v>
      </c>
      <c r="DO18">
        <v>5</v>
      </c>
      <c r="DP18">
        <v>540</v>
      </c>
      <c r="DQ18">
        <f t="shared" si="28"/>
        <v>2700</v>
      </c>
    </row>
    <row r="19" ht="23.1" customHeight="1" spans="1:121">
      <c r="A19" t="str">
        <f t="shared" si="0"/>
        <v>低标号混凝土（注浆）</v>
      </c>
      <c r="B19" s="697" t="str">
        <f t="shared" si="1"/>
        <v>m3</v>
      </c>
      <c r="C19" s="1037">
        <f t="shared" si="2"/>
        <v>169.888871681416</v>
      </c>
      <c r="D19" s="1038">
        <f>SUMIFS('01工程产值对比表'!$M:$M,'01工程产值对比表'!$D:$D,A19,'01工程产值对比表'!$C:$C,A$2)</f>
        <v>0</v>
      </c>
      <c r="F19" s="1039"/>
      <c r="H19" s="1038"/>
      <c r="I19" s="1049" t="s">
        <v>227</v>
      </c>
      <c r="J19" s="1046" t="s">
        <v>172</v>
      </c>
      <c r="K19" s="1050">
        <v>18000</v>
      </c>
      <c r="L19" s="1047">
        <f>SUMIFS('01工程产值对比表'!$M:$M,'01工程产值对比表'!$D:$D,I19,'01工程产值对比表'!$C:$C,I$2)</f>
        <v>0</v>
      </c>
      <c r="M19" s="1038"/>
      <c r="N19" s="1038"/>
      <c r="O19" s="1038"/>
      <c r="P19" s="1048"/>
      <c r="Q19" t="s">
        <v>228</v>
      </c>
      <c r="R19" s="697" t="s">
        <v>72</v>
      </c>
      <c r="S19">
        <v>120</v>
      </c>
      <c r="T19" s="1038">
        <f>SUMIFS('01工程产值对比表'!$M:$M,'01工程产值对比表'!$D:$D,Q19,'01工程产值对比表'!$C:$C,Q$2)</f>
        <v>0</v>
      </c>
      <c r="U19" s="1038"/>
      <c r="V19" s="1038"/>
      <c r="W19" s="1038"/>
      <c r="X19" s="1048"/>
      <c r="Y19" t="s">
        <v>229</v>
      </c>
      <c r="Z19" t="s">
        <v>72</v>
      </c>
      <c r="AA19">
        <v>450</v>
      </c>
      <c r="AB19" s="1038">
        <f>SUMIFS('01工程产值对比表'!$M:$M,'01工程产值对比表'!$D:$D,Y19,'01工程产值对比表'!$C:$C,Y$2)</f>
        <v>0</v>
      </c>
      <c r="AK19" t="s">
        <v>208</v>
      </c>
      <c r="AO19" t="s">
        <v>230</v>
      </c>
      <c r="AP19" s="1055" t="s">
        <v>72</v>
      </c>
      <c r="AQ19" s="1056">
        <f t="shared" si="3"/>
        <v>3154.52061946903</v>
      </c>
      <c r="AR19" s="1057">
        <f>SUMIFS('01工程产值对比表'!$M:$M,'01工程产值对比表'!$D:$D,AO19,'01工程产值对比表'!$C:$C,"材料")</f>
        <v>0</v>
      </c>
      <c r="AS19" s="1058">
        <f ca="1">SUMIFS('01工程产值对比表'!$T:$T,'01工程产值对比表'!$D:$D,AO19,'01工程产值对比表'!$C:$C,"材料")</f>
        <v>0</v>
      </c>
      <c r="AT19" s="1058">
        <f ca="1">SUMIFS('01工程产值对比表'!$V:$V,'01工程产值对比表'!$D:$D,AO19,'01工程产值对比表'!$C:$C,"材料")</f>
        <v>0</v>
      </c>
      <c r="AU19" s="918">
        <v>417</v>
      </c>
      <c r="AV19" s="918">
        <f t="shared" si="29"/>
        <v>0.353982300884956</v>
      </c>
      <c r="AW19" s="918">
        <f t="shared" si="4"/>
        <v>147.610619469027</v>
      </c>
      <c r="AX19" s="918">
        <v>1220</v>
      </c>
      <c r="AY19" s="918">
        <v>0.18</v>
      </c>
      <c r="AZ19" s="918">
        <f t="shared" si="5"/>
        <v>219.6</v>
      </c>
      <c r="BC19" s="918">
        <f t="shared" si="6"/>
        <v>0</v>
      </c>
      <c r="BF19" s="918">
        <f t="shared" si="7"/>
        <v>0</v>
      </c>
      <c r="BG19" s="918">
        <v>665</v>
      </c>
      <c r="BH19" s="918">
        <v>0.09</v>
      </c>
      <c r="BI19" s="918">
        <f t="shared" si="8"/>
        <v>59.85</v>
      </c>
      <c r="BL19" s="918">
        <f t="shared" si="9"/>
        <v>0</v>
      </c>
      <c r="BM19" s="918">
        <v>1</v>
      </c>
      <c r="BN19" s="918">
        <v>27.46</v>
      </c>
      <c r="BO19" s="918">
        <f t="shared" si="10"/>
        <v>27.46</v>
      </c>
      <c r="BR19" s="918">
        <f t="shared" si="11"/>
        <v>0</v>
      </c>
      <c r="BU19" s="918">
        <f t="shared" si="12"/>
        <v>0</v>
      </c>
      <c r="BX19" s="918">
        <f t="shared" si="13"/>
        <v>0</v>
      </c>
      <c r="CA19" s="918">
        <f t="shared" si="14"/>
        <v>0</v>
      </c>
      <c r="CD19" s="918">
        <f t="shared" si="15"/>
        <v>0</v>
      </c>
      <c r="CG19" s="918">
        <f t="shared" si="16"/>
        <v>0</v>
      </c>
      <c r="CJ19" s="918">
        <f t="shared" si="17"/>
        <v>0</v>
      </c>
      <c r="CM19" s="918">
        <f t="shared" si="18"/>
        <v>0</v>
      </c>
      <c r="CP19">
        <f t="shared" si="19"/>
        <v>0</v>
      </c>
      <c r="CS19">
        <f t="shared" si="20"/>
        <v>0</v>
      </c>
      <c r="CV19">
        <f t="shared" si="21"/>
        <v>0</v>
      </c>
      <c r="CY19">
        <f t="shared" si="22"/>
        <v>0</v>
      </c>
      <c r="DB19">
        <f t="shared" si="23"/>
        <v>0</v>
      </c>
      <c r="DE19">
        <f t="shared" si="24"/>
        <v>0</v>
      </c>
      <c r="DH19">
        <f t="shared" si="25"/>
        <v>0</v>
      </c>
      <c r="DK19">
        <f t="shared" si="26"/>
        <v>0</v>
      </c>
      <c r="DN19">
        <f t="shared" si="27"/>
        <v>0</v>
      </c>
      <c r="DO19">
        <v>5</v>
      </c>
      <c r="DP19">
        <v>540</v>
      </c>
      <c r="DQ19">
        <f t="shared" si="28"/>
        <v>2700</v>
      </c>
    </row>
    <row r="20" ht="23.1" customHeight="1" spans="1:121">
      <c r="A20" t="str">
        <f t="shared" si="0"/>
        <v>贫混凝土</v>
      </c>
      <c r="B20" s="697" t="str">
        <f t="shared" si="1"/>
        <v>m3</v>
      </c>
      <c r="C20" s="1037">
        <f t="shared" si="2"/>
        <v>0</v>
      </c>
      <c r="D20" s="1038">
        <f>SUMIFS('01工程产值对比表'!$M:$M,'01工程产值对比表'!$D:$D,A20,'01工程产值对比表'!$C:$C,A$2)</f>
        <v>0</v>
      </c>
      <c r="F20" s="1039"/>
      <c r="H20" s="1038"/>
      <c r="I20" s="1049" t="s">
        <v>231</v>
      </c>
      <c r="J20" s="1046" t="s">
        <v>172</v>
      </c>
      <c r="K20" s="1050">
        <v>123893.81</v>
      </c>
      <c r="L20" s="1047">
        <f>SUMIFS('01工程产值对比表'!$M:$M,'01工程产值对比表'!$D:$D,I20,'01工程产值对比表'!$C:$C,I$2)</f>
        <v>0</v>
      </c>
      <c r="M20" s="1038"/>
      <c r="N20" s="1038"/>
      <c r="O20" s="1038"/>
      <c r="P20" s="1048"/>
      <c r="Q20" t="s">
        <v>232</v>
      </c>
      <c r="R20" s="697" t="s">
        <v>69</v>
      </c>
      <c r="S20">
        <v>4</v>
      </c>
      <c r="T20" s="1038">
        <f>SUMIFS('01工程产值对比表'!$M:$M,'01工程产值对比表'!$D:$D,Q20,'01工程产值对比表'!$C:$C,Q$2)</f>
        <v>0</v>
      </c>
      <c r="U20" s="1038"/>
      <c r="V20" s="1038"/>
      <c r="W20" s="1038"/>
      <c r="X20" s="1048"/>
      <c r="Y20" t="s">
        <v>233</v>
      </c>
      <c r="Z20" t="s">
        <v>169</v>
      </c>
      <c r="AA20">
        <v>200</v>
      </c>
      <c r="AB20" s="1038">
        <f>SUMIFS('01工程产值对比表'!$M:$M,'01工程产值对比表'!$D:$D,Y20,'01工程产值对比表'!$C:$C,Y$2)</f>
        <v>0</v>
      </c>
      <c r="AK20" t="s">
        <v>234</v>
      </c>
      <c r="AO20" t="s">
        <v>235</v>
      </c>
      <c r="AP20" s="1055" t="s">
        <v>72</v>
      </c>
      <c r="AQ20" s="1056">
        <f t="shared" si="3"/>
        <v>3149.78061946903</v>
      </c>
      <c r="AR20" s="1057">
        <f>SUMIFS('01工程产值对比表'!$M:$M,'01工程产值对比表'!$D:$D,AO20,'01工程产值对比表'!$C:$C,"材料")</f>
        <v>0</v>
      </c>
      <c r="AS20" s="1058">
        <f ca="1">SUMIFS('01工程产值对比表'!$T:$T,'01工程产值对比表'!$D:$D,AO20,'01工程产值对比表'!$C:$C,"材料")</f>
        <v>0</v>
      </c>
      <c r="AT20" s="1058">
        <f ca="1">SUMIFS('01工程产值对比表'!$V:$V,'01工程产值对比表'!$D:$D,AO20,'01工程产值对比表'!$C:$C,"材料")</f>
        <v>0</v>
      </c>
      <c r="AU20" s="918">
        <v>530</v>
      </c>
      <c r="AV20" s="918">
        <f t="shared" si="29"/>
        <v>0.353982300884956</v>
      </c>
      <c r="AW20" s="918">
        <f t="shared" si="4"/>
        <v>187.610619469027</v>
      </c>
      <c r="AX20" s="918">
        <v>1220</v>
      </c>
      <c r="AY20" s="918">
        <v>0.18</v>
      </c>
      <c r="AZ20" s="918">
        <f t="shared" si="5"/>
        <v>219.6</v>
      </c>
      <c r="BC20" s="918">
        <f t="shared" si="6"/>
        <v>0</v>
      </c>
      <c r="BF20" s="918">
        <f t="shared" si="7"/>
        <v>0</v>
      </c>
      <c r="BG20" s="918">
        <v>473</v>
      </c>
      <c r="BH20" s="918">
        <v>0.09</v>
      </c>
      <c r="BI20" s="918">
        <f t="shared" si="8"/>
        <v>42.57</v>
      </c>
      <c r="BL20" s="918">
        <f t="shared" si="9"/>
        <v>0</v>
      </c>
      <c r="BM20" s="918">
        <v>0</v>
      </c>
      <c r="BN20" s="918">
        <v>26.75</v>
      </c>
      <c r="BO20" s="918">
        <f t="shared" si="10"/>
        <v>0</v>
      </c>
      <c r="BR20" s="918">
        <f t="shared" si="11"/>
        <v>0</v>
      </c>
      <c r="BU20" s="918">
        <f t="shared" si="12"/>
        <v>0</v>
      </c>
      <c r="BX20" s="918">
        <f t="shared" si="13"/>
        <v>0</v>
      </c>
      <c r="CA20" s="918">
        <f t="shared" si="14"/>
        <v>0</v>
      </c>
      <c r="CD20" s="918">
        <f t="shared" si="15"/>
        <v>0</v>
      </c>
      <c r="CG20" s="918">
        <f t="shared" si="16"/>
        <v>0</v>
      </c>
      <c r="CJ20" s="918">
        <f t="shared" si="17"/>
        <v>0</v>
      </c>
      <c r="CM20" s="918">
        <f t="shared" si="18"/>
        <v>0</v>
      </c>
      <c r="CP20">
        <f t="shared" si="19"/>
        <v>0</v>
      </c>
      <c r="CS20">
        <f t="shared" si="20"/>
        <v>0</v>
      </c>
      <c r="CV20">
        <f t="shared" si="21"/>
        <v>0</v>
      </c>
      <c r="CY20">
        <f t="shared" si="22"/>
        <v>0</v>
      </c>
      <c r="DB20">
        <f t="shared" si="23"/>
        <v>0</v>
      </c>
      <c r="DE20">
        <f t="shared" si="24"/>
        <v>0</v>
      </c>
      <c r="DH20">
        <f t="shared" si="25"/>
        <v>0</v>
      </c>
      <c r="DK20">
        <f t="shared" si="26"/>
        <v>0</v>
      </c>
      <c r="DN20">
        <f t="shared" si="27"/>
        <v>0</v>
      </c>
      <c r="DO20">
        <v>5</v>
      </c>
      <c r="DP20">
        <v>540</v>
      </c>
      <c r="DQ20">
        <f t="shared" si="28"/>
        <v>2700</v>
      </c>
    </row>
    <row r="21" spans="1:121">
      <c r="A21" t="str">
        <f t="shared" si="0"/>
        <v>AC-13</v>
      </c>
      <c r="B21" s="697" t="str">
        <f t="shared" si="1"/>
        <v>m3</v>
      </c>
      <c r="C21" s="1037">
        <f t="shared" si="2"/>
        <v>0</v>
      </c>
      <c r="D21" s="1038">
        <f>SUMIFS('01工程产值对比表'!$M:$M,'01工程产值对比表'!$D:$D,A21,'01工程产值对比表'!$C:$C,A$2)</f>
        <v>0</v>
      </c>
      <c r="F21" s="1039"/>
      <c r="H21" s="1038"/>
      <c r="I21" s="1049" t="s">
        <v>236</v>
      </c>
      <c r="J21" s="1046" t="s">
        <v>172</v>
      </c>
      <c r="K21" s="1050">
        <v>97345.13</v>
      </c>
      <c r="L21" s="1047">
        <f>SUMIFS('01工程产值对比表'!$M:$M,'01工程产值对比表'!$D:$D,I21,'01工程产值对比表'!$C:$C,I$2)</f>
        <v>0</v>
      </c>
      <c r="M21" s="1038"/>
      <c r="N21" s="1038"/>
      <c r="O21" s="1038"/>
      <c r="P21" s="1048"/>
      <c r="Q21" t="s">
        <v>237</v>
      </c>
      <c r="R21" s="697" t="s">
        <v>69</v>
      </c>
      <c r="S21">
        <v>50</v>
      </c>
      <c r="T21" s="1038">
        <f>SUMIFS('01工程产值对比表'!$M:$M,'01工程产值对比表'!$D:$D,Q21,'01工程产值对比表'!$C:$C,Q$2)</f>
        <v>0</v>
      </c>
      <c r="U21" s="1038"/>
      <c r="V21" s="1038"/>
      <c r="W21" s="1038"/>
      <c r="X21" s="1048"/>
      <c r="Y21" t="s">
        <v>238</v>
      </c>
      <c r="Z21" t="s">
        <v>169</v>
      </c>
      <c r="AA21">
        <v>300</v>
      </c>
      <c r="AB21" s="1038">
        <f>SUMIFS('01工程产值对比表'!$M:$M,'01工程产值对比表'!$D:$D,Y21,'01工程产值对比表'!$C:$C,Y$2)</f>
        <v>0</v>
      </c>
      <c r="AO21" t="s">
        <v>239</v>
      </c>
      <c r="AP21" s="1055" t="s">
        <v>72</v>
      </c>
      <c r="AQ21" s="1056">
        <f t="shared" si="3"/>
        <v>244.76592920354</v>
      </c>
      <c r="AR21" s="1057">
        <f>SUMIFS('01工程产值对比表'!$M:$M,'01工程产值对比表'!$D:$D,AO21,'01工程产值对比表'!$C:$C,"材料")</f>
        <v>78.29148</v>
      </c>
      <c r="AS21" s="1058">
        <f ca="1">SUMIFS('01工程产值对比表'!$T:$T,'01工程产值对比表'!$D:$D,AO21,'01工程产值对比表'!$C:$C,"材料")</f>
        <v>0</v>
      </c>
      <c r="AT21" s="1058">
        <f ca="1">SUMIFS('01工程产值对比表'!$V:$V,'01工程产值对比表'!$D:$D,AO21,'01工程产值对比表'!$C:$C,"材料")</f>
        <v>0</v>
      </c>
      <c r="AU21" s="918">
        <v>230</v>
      </c>
      <c r="AV21" s="918">
        <f t="shared" si="29"/>
        <v>0.353982300884956</v>
      </c>
      <c r="AW21" s="918">
        <f t="shared" si="4"/>
        <v>81.4159292035398</v>
      </c>
      <c r="AX21" s="918">
        <v>671</v>
      </c>
      <c r="AY21" s="918">
        <v>0.18</v>
      </c>
      <c r="AZ21" s="918">
        <f t="shared" si="5"/>
        <v>120.78</v>
      </c>
      <c r="BC21" s="918">
        <f t="shared" si="6"/>
        <v>0</v>
      </c>
      <c r="BF21" s="918">
        <f t="shared" si="7"/>
        <v>0</v>
      </c>
      <c r="BG21" s="918">
        <v>473</v>
      </c>
      <c r="BH21" s="918">
        <v>0.09</v>
      </c>
      <c r="BI21" s="918">
        <f t="shared" si="8"/>
        <v>42.57</v>
      </c>
      <c r="BL21" s="918">
        <f t="shared" si="9"/>
        <v>0</v>
      </c>
      <c r="BM21" s="918">
        <v>0</v>
      </c>
      <c r="BN21" s="918">
        <v>26.75</v>
      </c>
      <c r="BO21" s="918">
        <f t="shared" si="10"/>
        <v>0</v>
      </c>
      <c r="BR21" s="918">
        <f t="shared" si="11"/>
        <v>0</v>
      </c>
      <c r="BU21" s="918">
        <f t="shared" si="12"/>
        <v>0</v>
      </c>
      <c r="BX21" s="918">
        <f t="shared" si="13"/>
        <v>0</v>
      </c>
      <c r="CA21" s="918">
        <f t="shared" si="14"/>
        <v>0</v>
      </c>
      <c r="CD21" s="918">
        <f t="shared" si="15"/>
        <v>0</v>
      </c>
      <c r="CG21" s="918">
        <f t="shared" si="16"/>
        <v>0</v>
      </c>
      <c r="CJ21" s="918">
        <f t="shared" si="17"/>
        <v>0</v>
      </c>
      <c r="CM21" s="918">
        <f t="shared" si="18"/>
        <v>0</v>
      </c>
      <c r="CP21">
        <f t="shared" si="19"/>
        <v>0</v>
      </c>
      <c r="CS21">
        <f t="shared" si="20"/>
        <v>0</v>
      </c>
      <c r="CV21">
        <f t="shared" si="21"/>
        <v>0</v>
      </c>
      <c r="CY21">
        <f t="shared" si="22"/>
        <v>0</v>
      </c>
      <c r="DB21">
        <f t="shared" si="23"/>
        <v>0</v>
      </c>
      <c r="DE21">
        <f t="shared" si="24"/>
        <v>0</v>
      </c>
      <c r="DH21">
        <f t="shared" si="25"/>
        <v>0</v>
      </c>
      <c r="DK21">
        <f t="shared" si="26"/>
        <v>0</v>
      </c>
      <c r="DN21">
        <f t="shared" si="27"/>
        <v>0</v>
      </c>
      <c r="DQ21">
        <f t="shared" si="28"/>
        <v>0</v>
      </c>
    </row>
    <row r="22" spans="1:121">
      <c r="A22" t="str">
        <f t="shared" si="0"/>
        <v>AC-20</v>
      </c>
      <c r="B22" s="697" t="str">
        <f t="shared" si="1"/>
        <v>m3</v>
      </c>
      <c r="C22" s="1037">
        <f t="shared" si="2"/>
        <v>0</v>
      </c>
      <c r="D22" s="1038">
        <f>SUMIFS('01工程产值对比表'!$M:$M,'01工程产值对比表'!$D:$D,A22,'01工程产值对比表'!$C:$C,A$2)</f>
        <v>0</v>
      </c>
      <c r="F22" s="1039"/>
      <c r="H22" s="1038"/>
      <c r="I22" s="1049" t="s">
        <v>240</v>
      </c>
      <c r="J22" s="1046" t="s">
        <v>172</v>
      </c>
      <c r="K22" s="1050">
        <v>28318.58</v>
      </c>
      <c r="L22" s="1047">
        <f>SUMIFS('01工程产值对比表'!$M:$M,'01工程产值对比表'!$D:$D,I22,'01工程产值对比表'!$C:$C,I$2)</f>
        <v>0</v>
      </c>
      <c r="M22" s="1038"/>
      <c r="N22" s="1038"/>
      <c r="O22" s="1038"/>
      <c r="P22" s="1048"/>
      <c r="Q22" t="s">
        <v>165</v>
      </c>
      <c r="R22" s="697" t="s">
        <v>72</v>
      </c>
      <c r="S22">
        <v>60</v>
      </c>
      <c r="T22" s="1038">
        <f>SUMIFS('01工程产值对比表'!$M:$M,'01工程产值对比表'!$D:$D,Q22,'01工程产值对比表'!$C:$C,Q$2)</f>
        <v>0</v>
      </c>
      <c r="U22" s="1038"/>
      <c r="V22" s="1038"/>
      <c r="W22" s="1038"/>
      <c r="X22" s="1048"/>
      <c r="Y22" t="s">
        <v>241</v>
      </c>
      <c r="Z22" t="s">
        <v>169</v>
      </c>
      <c r="AA22">
        <v>300</v>
      </c>
      <c r="AB22" s="1038">
        <f>SUMIFS('01工程产值对比表'!$M:$M,'01工程产值对比表'!$D:$D,Y22,'01工程产值对比表'!$C:$C,Y$2)</f>
        <v>0</v>
      </c>
      <c r="AO22" t="s">
        <v>242</v>
      </c>
      <c r="AP22" s="1055" t="s">
        <v>72</v>
      </c>
      <c r="AQ22" s="1056">
        <f t="shared" si="3"/>
        <v>169.888871681416</v>
      </c>
      <c r="AR22" s="1057">
        <f>SUMIFS('01工程产值对比表'!$M:$M,'01工程产值对比表'!$D:$D,AO22,'01工程产值对比表'!$C:$C,"材料")</f>
        <v>0</v>
      </c>
      <c r="AS22" s="1058">
        <f ca="1">SUMIFS('01工程产值对比表'!$T:$T,'01工程产值对比表'!$D:$D,AO22,'01工程产值对比表'!$C:$C,"材料")</f>
        <v>0</v>
      </c>
      <c r="AT22" s="1058">
        <f ca="1">SUMIFS('01工程产值对比表'!$V:$V,'01工程产值对比表'!$D:$D,AO22,'01工程产值对比表'!$C:$C,"材料")</f>
        <v>0</v>
      </c>
      <c r="AU22" s="918">
        <v>205</v>
      </c>
      <c r="AV22" s="918">
        <f t="shared" si="29"/>
        <v>0.353982300884956</v>
      </c>
      <c r="AW22" s="918">
        <f t="shared" si="4"/>
        <v>72.5663716814159</v>
      </c>
      <c r="AZ22" s="918">
        <f t="shared" si="5"/>
        <v>0</v>
      </c>
      <c r="BC22" s="918">
        <f t="shared" si="6"/>
        <v>0</v>
      </c>
      <c r="BF22" s="918">
        <f t="shared" si="7"/>
        <v>0</v>
      </c>
      <c r="BG22" s="918">
        <v>830.25</v>
      </c>
      <c r="BH22" s="918">
        <v>0.09</v>
      </c>
      <c r="BI22" s="918">
        <f t="shared" si="8"/>
        <v>74.7225</v>
      </c>
      <c r="BJ22" s="918">
        <v>113</v>
      </c>
      <c r="BK22" s="918">
        <v>0.2</v>
      </c>
      <c r="BL22" s="918">
        <f t="shared" si="9"/>
        <v>22.6</v>
      </c>
      <c r="BM22" s="918">
        <v>0</v>
      </c>
      <c r="BN22" s="918">
        <v>26.75</v>
      </c>
      <c r="BO22" s="918">
        <f t="shared" si="10"/>
        <v>0</v>
      </c>
      <c r="BR22" s="918">
        <f t="shared" si="11"/>
        <v>0</v>
      </c>
      <c r="BU22" s="918">
        <f t="shared" si="12"/>
        <v>0</v>
      </c>
      <c r="BX22" s="918">
        <f t="shared" si="13"/>
        <v>0</v>
      </c>
      <c r="CA22" s="918">
        <f t="shared" si="14"/>
        <v>0</v>
      </c>
      <c r="CD22" s="918">
        <f t="shared" si="15"/>
        <v>0</v>
      </c>
      <c r="CG22" s="918">
        <f t="shared" si="16"/>
        <v>0</v>
      </c>
      <c r="CJ22" s="918">
        <f t="shared" si="17"/>
        <v>0</v>
      </c>
      <c r="CM22" s="918">
        <f t="shared" si="18"/>
        <v>0</v>
      </c>
      <c r="CP22">
        <f t="shared" si="19"/>
        <v>0</v>
      </c>
      <c r="CS22">
        <f t="shared" si="20"/>
        <v>0</v>
      </c>
      <c r="CV22">
        <f t="shared" si="21"/>
        <v>0</v>
      </c>
      <c r="CY22">
        <f t="shared" si="22"/>
        <v>0</v>
      </c>
      <c r="DB22">
        <f t="shared" si="23"/>
        <v>0</v>
      </c>
      <c r="DE22">
        <f t="shared" si="24"/>
        <v>0</v>
      </c>
      <c r="DH22">
        <f t="shared" si="25"/>
        <v>0</v>
      </c>
      <c r="DK22">
        <f t="shared" si="26"/>
        <v>0</v>
      </c>
      <c r="DN22">
        <f t="shared" si="27"/>
        <v>0</v>
      </c>
      <c r="DQ22">
        <f t="shared" si="28"/>
        <v>0</v>
      </c>
    </row>
    <row r="23" spans="1:121">
      <c r="A23" t="str">
        <f t="shared" si="0"/>
        <v>AC-25</v>
      </c>
      <c r="B23" s="697" t="str">
        <f t="shared" si="1"/>
        <v>m3</v>
      </c>
      <c r="C23" s="1037">
        <f t="shared" si="2"/>
        <v>0</v>
      </c>
      <c r="D23" s="1038">
        <f>SUMIFS('01工程产值对比表'!$M:$M,'01工程产值对比表'!$D:$D,A23,'01工程产值对比表'!$C:$C,A$2)</f>
        <v>0</v>
      </c>
      <c r="F23" s="1039"/>
      <c r="H23" s="1038"/>
      <c r="I23" s="1049" t="s">
        <v>243</v>
      </c>
      <c r="J23" s="1046" t="s">
        <v>172</v>
      </c>
      <c r="K23" s="1050">
        <v>35398.23</v>
      </c>
      <c r="L23" s="1047">
        <f>SUMIFS('01工程产值对比表'!$M:$M,'01工程产值对比表'!$D:$D,I23,'01工程产值对比表'!$C:$C,I$2)</f>
        <v>0</v>
      </c>
      <c r="M23" s="1038"/>
      <c r="N23" s="1038"/>
      <c r="O23" s="1038"/>
      <c r="P23" s="1048"/>
      <c r="Q23" t="s">
        <v>244</v>
      </c>
      <c r="R23" s="697" t="s">
        <v>76</v>
      </c>
      <c r="S23">
        <v>40000</v>
      </c>
      <c r="T23" s="1038">
        <f>SUMIFS('01工程产值对比表'!$M:$M,'01工程产值对比表'!$D:$D,Q23,'01工程产值对比表'!$C:$C,Q$2)</f>
        <v>0</v>
      </c>
      <c r="U23" s="1038"/>
      <c r="V23" s="1038"/>
      <c r="W23" s="1038"/>
      <c r="X23" s="1048"/>
      <c r="Y23" t="s">
        <v>245</v>
      </c>
      <c r="Z23" t="s">
        <v>169</v>
      </c>
      <c r="AA23">
        <v>800</v>
      </c>
      <c r="AB23" s="1038">
        <f>SUMIFS('01工程产值对比表'!$M:$M,'01工程产值对比表'!$D:$D,Y23,'01工程产值对比表'!$C:$C,Y$2)</f>
        <v>0</v>
      </c>
      <c r="AO23" t="s">
        <v>246</v>
      </c>
      <c r="AP23" s="1055" t="s">
        <v>72</v>
      </c>
      <c r="AQ23" s="1056">
        <f t="shared" si="3"/>
        <v>0</v>
      </c>
      <c r="AR23" s="1057">
        <f>SUMIFS('01工程产值对比表'!$M:$M,'01工程产值对比表'!$D:$D,AO23,'01工程产值对比表'!$C:$C,"材料")</f>
        <v>0</v>
      </c>
      <c r="AS23" s="1058">
        <f ca="1">SUMIFS('01工程产值对比表'!$T:$T,'01工程产值对比表'!$D:$D,AO23,'01工程产值对比表'!$C:$C,"材料")</f>
        <v>0</v>
      </c>
      <c r="AT23" s="1058">
        <f ca="1">SUMIFS('01工程产值对比表'!$V:$V,'01工程产值对比表'!$D:$D,AO23,'01工程产值对比表'!$C:$C,"材料")</f>
        <v>0</v>
      </c>
      <c r="AW23" s="918">
        <f t="shared" si="4"/>
        <v>0</v>
      </c>
      <c r="AZ23" s="918">
        <f t="shared" si="5"/>
        <v>0</v>
      </c>
      <c r="BC23" s="918">
        <f t="shared" si="6"/>
        <v>0</v>
      </c>
      <c r="BF23" s="918">
        <f t="shared" si="7"/>
        <v>0</v>
      </c>
      <c r="BI23" s="918">
        <f t="shared" si="8"/>
        <v>0</v>
      </c>
      <c r="BL23" s="918">
        <f t="shared" si="9"/>
        <v>0</v>
      </c>
      <c r="BO23" s="918">
        <f t="shared" si="10"/>
        <v>0</v>
      </c>
      <c r="BR23" s="918">
        <f t="shared" si="11"/>
        <v>0</v>
      </c>
      <c r="BU23" s="918">
        <f t="shared" si="12"/>
        <v>0</v>
      </c>
      <c r="BX23" s="918">
        <f t="shared" si="13"/>
        <v>0</v>
      </c>
      <c r="CA23" s="918">
        <f t="shared" si="14"/>
        <v>0</v>
      </c>
      <c r="CD23" s="918">
        <f t="shared" si="15"/>
        <v>0</v>
      </c>
      <c r="CG23" s="918">
        <f t="shared" si="16"/>
        <v>0</v>
      </c>
      <c r="CJ23" s="918">
        <f t="shared" si="17"/>
        <v>0</v>
      </c>
      <c r="CM23" s="918">
        <f t="shared" si="18"/>
        <v>0</v>
      </c>
      <c r="CP23">
        <f t="shared" si="19"/>
        <v>0</v>
      </c>
      <c r="CS23">
        <f t="shared" si="20"/>
        <v>0</v>
      </c>
      <c r="CV23">
        <f t="shared" si="21"/>
        <v>0</v>
      </c>
      <c r="CY23">
        <f t="shared" si="22"/>
        <v>0</v>
      </c>
      <c r="DB23">
        <f t="shared" si="23"/>
        <v>0</v>
      </c>
      <c r="DE23">
        <f t="shared" si="24"/>
        <v>0</v>
      </c>
      <c r="DH23">
        <f t="shared" si="25"/>
        <v>0</v>
      </c>
      <c r="DK23">
        <f t="shared" si="26"/>
        <v>0</v>
      </c>
      <c r="DN23">
        <f t="shared" si="27"/>
        <v>0</v>
      </c>
      <c r="DQ23">
        <f t="shared" si="28"/>
        <v>0</v>
      </c>
    </row>
    <row r="24" spans="1:121">
      <c r="A24" t="str">
        <f t="shared" si="0"/>
        <v>SMA-13</v>
      </c>
      <c r="B24" s="697" t="str">
        <f t="shared" si="1"/>
        <v>m3</v>
      </c>
      <c r="C24" s="1037">
        <f t="shared" si="2"/>
        <v>0</v>
      </c>
      <c r="D24" s="1038">
        <f>SUMIFS('01工程产值对比表'!$M:$M,'01工程产值对比表'!$D:$D,A24,'01工程产值对比表'!$C:$C,A$2)</f>
        <v>0</v>
      </c>
      <c r="F24" s="1039"/>
      <c r="H24" s="1038"/>
      <c r="I24" s="1049" t="s">
        <v>247</v>
      </c>
      <c r="J24" s="1046" t="s">
        <v>172</v>
      </c>
      <c r="K24" s="1050">
        <v>115044.25</v>
      </c>
      <c r="L24" s="1047">
        <f>SUMIFS('01工程产值对比表'!$M:$M,'01工程产值对比表'!$D:$D,I24,'01工程产值对比表'!$C:$C,I$2)</f>
        <v>0</v>
      </c>
      <c r="M24" s="1038"/>
      <c r="N24" s="1038"/>
      <c r="O24" s="1038"/>
      <c r="P24" s="1048"/>
      <c r="Q24" t="s">
        <v>248</v>
      </c>
      <c r="R24" s="697" t="s">
        <v>69</v>
      </c>
      <c r="S24">
        <v>10</v>
      </c>
      <c r="T24" s="1038">
        <f>SUMIFS('01工程产值对比表'!$M:$M,'01工程产值对比表'!$D:$D,Q24,'01工程产值对比表'!$C:$C,Q$2)</f>
        <v>0</v>
      </c>
      <c r="U24" s="1038"/>
      <c r="V24" s="1038"/>
      <c r="W24" s="1038"/>
      <c r="X24" s="1048"/>
      <c r="Y24" t="s">
        <v>249</v>
      </c>
      <c r="Z24" t="s">
        <v>169</v>
      </c>
      <c r="AA24">
        <v>800</v>
      </c>
      <c r="AB24" s="1038">
        <f>SUMIFS('01工程产值对比表'!$M:$M,'01工程产值对比表'!$D:$D,Y24,'01工程产值对比表'!$C:$C,Y$2)</f>
        <v>0</v>
      </c>
      <c r="AO24" t="s">
        <v>250</v>
      </c>
      <c r="AP24" s="1055" t="s">
        <v>72</v>
      </c>
      <c r="AQ24" s="1056">
        <f t="shared" si="3"/>
        <v>0</v>
      </c>
      <c r="AR24" s="1057">
        <f>SUMIFS('01工程产值对比表'!$M:$M,'01工程产值对比表'!$D:$D,AO24,'01工程产值对比表'!$C:$C,"材料")</f>
        <v>0</v>
      </c>
      <c r="AS24" s="1058">
        <f ca="1">SUMIFS('01工程产值对比表'!$T:$T,'01工程产值对比表'!$D:$D,AO24,'01工程产值对比表'!$C:$C,"材料")</f>
        <v>0</v>
      </c>
      <c r="AT24" s="1058">
        <f ca="1">SUMIFS('01工程产值对比表'!$V:$V,'01工程产值对比表'!$D:$D,AO24,'01工程产值对比表'!$C:$C,"材料")</f>
        <v>0</v>
      </c>
      <c r="AW24" s="918">
        <f t="shared" si="4"/>
        <v>0</v>
      </c>
      <c r="AZ24" s="918">
        <f t="shared" si="5"/>
        <v>0</v>
      </c>
      <c r="BC24" s="918">
        <f t="shared" si="6"/>
        <v>0</v>
      </c>
      <c r="BF24" s="918">
        <f t="shared" si="7"/>
        <v>0</v>
      </c>
      <c r="BI24" s="918">
        <f t="shared" si="8"/>
        <v>0</v>
      </c>
      <c r="BL24" s="918">
        <f t="shared" si="9"/>
        <v>0</v>
      </c>
      <c r="BO24" s="918">
        <f t="shared" si="10"/>
        <v>0</v>
      </c>
      <c r="BR24" s="918">
        <f t="shared" si="11"/>
        <v>0</v>
      </c>
      <c r="BU24" s="918">
        <f t="shared" si="12"/>
        <v>0</v>
      </c>
      <c r="BX24" s="918">
        <f t="shared" si="13"/>
        <v>0</v>
      </c>
      <c r="CA24" s="918">
        <f t="shared" si="14"/>
        <v>0</v>
      </c>
      <c r="CD24" s="918">
        <f t="shared" si="15"/>
        <v>0</v>
      </c>
      <c r="CG24" s="918">
        <f t="shared" si="16"/>
        <v>0</v>
      </c>
      <c r="CJ24" s="918">
        <f t="shared" si="17"/>
        <v>0</v>
      </c>
      <c r="CM24" s="918">
        <f t="shared" si="18"/>
        <v>0</v>
      </c>
      <c r="CP24">
        <f t="shared" si="19"/>
        <v>0</v>
      </c>
      <c r="CS24">
        <f t="shared" si="20"/>
        <v>0</v>
      </c>
      <c r="CV24">
        <f t="shared" si="21"/>
        <v>0</v>
      </c>
      <c r="CY24">
        <f t="shared" si="22"/>
        <v>0</v>
      </c>
      <c r="DB24">
        <f t="shared" si="23"/>
        <v>0</v>
      </c>
      <c r="DE24">
        <f t="shared" si="24"/>
        <v>0</v>
      </c>
      <c r="DH24">
        <f t="shared" si="25"/>
        <v>0</v>
      </c>
      <c r="DK24">
        <f t="shared" si="26"/>
        <v>0</v>
      </c>
      <c r="DN24">
        <f t="shared" si="27"/>
        <v>0</v>
      </c>
      <c r="DQ24">
        <f t="shared" si="28"/>
        <v>0</v>
      </c>
    </row>
    <row r="25" spans="1:121">
      <c r="A25" t="str">
        <f t="shared" si="0"/>
        <v>改性AC25</v>
      </c>
      <c r="B25" s="697" t="str">
        <f t="shared" si="1"/>
        <v>m3</v>
      </c>
      <c r="C25">
        <f t="shared" si="2"/>
        <v>0</v>
      </c>
      <c r="D25" s="1038">
        <f>SUMIFS('01工程产值对比表'!$M:$M,'01工程产值对比表'!$D:$D,A25,'01工程产值对比表'!$C:$C,A$2)</f>
        <v>0</v>
      </c>
      <c r="F25" s="1039"/>
      <c r="H25" s="1038"/>
      <c r="I25" s="1049" t="s">
        <v>251</v>
      </c>
      <c r="J25" s="1046" t="s">
        <v>172</v>
      </c>
      <c r="K25" s="1050">
        <v>26548.67</v>
      </c>
      <c r="L25" s="1047">
        <f>SUMIFS('01工程产值对比表'!$M:$M,'01工程产值对比表'!$D:$D,I25,'01工程产值对比表'!$C:$C,I$2)</f>
        <v>0</v>
      </c>
      <c r="M25" s="1038"/>
      <c r="N25" s="1038"/>
      <c r="O25" s="1038"/>
      <c r="P25" s="1048"/>
      <c r="Q25" t="s">
        <v>252</v>
      </c>
      <c r="R25" s="697" t="s">
        <v>72</v>
      </c>
      <c r="S25">
        <v>50</v>
      </c>
      <c r="T25" s="1038">
        <f>SUMIFS('01工程产值对比表'!$M:$M,'01工程产值对比表'!$D:$D,Q25,'01工程产值对比表'!$C:$C,Q$2)</f>
        <v>0</v>
      </c>
      <c r="U25" s="1038"/>
      <c r="V25" s="1038"/>
      <c r="W25" s="1038"/>
      <c r="X25" s="1048"/>
      <c r="Y25" t="s">
        <v>253</v>
      </c>
      <c r="Z25" t="s">
        <v>169</v>
      </c>
      <c r="AA25">
        <v>5000</v>
      </c>
      <c r="AB25" s="1038">
        <f>SUMIFS('01工程产值对比表'!$M:$M,'01工程产值对比表'!$D:$D,Y25,'01工程产值对比表'!$C:$C,Y$2)</f>
        <v>0</v>
      </c>
      <c r="AO25" t="s">
        <v>254</v>
      </c>
      <c r="AP25" s="1055" t="s">
        <v>72</v>
      </c>
      <c r="AQ25" s="1056">
        <f t="shared" si="3"/>
        <v>0</v>
      </c>
      <c r="AR25" s="1057">
        <f>SUMIFS('01工程产值对比表'!$M:$M,'01工程产值对比表'!$D:$D,AO25,'01工程产值对比表'!$C:$C,"材料")</f>
        <v>0</v>
      </c>
      <c r="AS25" s="1058">
        <f ca="1">SUMIFS('01工程产值对比表'!$T:$T,'01工程产值对比表'!$D:$D,AO25,'01工程产值对比表'!$C:$C,"材料")</f>
        <v>0</v>
      </c>
      <c r="AT25" s="1058">
        <f ca="1">SUMIFS('01工程产值对比表'!$V:$V,'01工程产值对比表'!$D:$D,AO25,'01工程产值对比表'!$C:$C,"材料")</f>
        <v>0</v>
      </c>
      <c r="AW25" s="918">
        <f t="shared" si="4"/>
        <v>0</v>
      </c>
      <c r="AZ25" s="918">
        <f t="shared" si="5"/>
        <v>0</v>
      </c>
      <c r="BC25" s="918">
        <f t="shared" si="6"/>
        <v>0</v>
      </c>
      <c r="BF25" s="918">
        <f t="shared" si="7"/>
        <v>0</v>
      </c>
      <c r="BI25" s="918">
        <f t="shared" si="8"/>
        <v>0</v>
      </c>
      <c r="BL25" s="918">
        <f t="shared" si="9"/>
        <v>0</v>
      </c>
      <c r="BO25" s="918">
        <f t="shared" si="10"/>
        <v>0</v>
      </c>
      <c r="BR25" s="918">
        <f t="shared" si="11"/>
        <v>0</v>
      </c>
      <c r="BU25" s="918">
        <f t="shared" si="12"/>
        <v>0</v>
      </c>
      <c r="BX25" s="918">
        <f t="shared" si="13"/>
        <v>0</v>
      </c>
      <c r="CA25" s="918">
        <f t="shared" si="14"/>
        <v>0</v>
      </c>
      <c r="CD25" s="918">
        <f t="shared" si="15"/>
        <v>0</v>
      </c>
      <c r="CG25" s="918">
        <f t="shared" si="16"/>
        <v>0</v>
      </c>
      <c r="CJ25" s="918">
        <f t="shared" si="17"/>
        <v>0</v>
      </c>
      <c r="CM25" s="918">
        <f t="shared" si="18"/>
        <v>0</v>
      </c>
      <c r="CP25">
        <f t="shared" si="19"/>
        <v>0</v>
      </c>
      <c r="CS25">
        <f t="shared" si="20"/>
        <v>0</v>
      </c>
      <c r="CV25">
        <f t="shared" si="21"/>
        <v>0</v>
      </c>
      <c r="CY25">
        <f t="shared" si="22"/>
        <v>0</v>
      </c>
      <c r="DB25">
        <f t="shared" si="23"/>
        <v>0</v>
      </c>
      <c r="DE25">
        <f t="shared" si="24"/>
        <v>0</v>
      </c>
      <c r="DH25">
        <f t="shared" si="25"/>
        <v>0</v>
      </c>
      <c r="DK25">
        <f t="shared" si="26"/>
        <v>0</v>
      </c>
      <c r="DN25">
        <f t="shared" si="27"/>
        <v>0</v>
      </c>
      <c r="DQ25">
        <f t="shared" si="28"/>
        <v>0</v>
      </c>
    </row>
    <row r="26" ht="31.5" spans="1:121">
      <c r="A26" s="889" t="s">
        <v>255</v>
      </c>
      <c r="B26" s="697" t="s">
        <v>76</v>
      </c>
      <c r="C26">
        <v>180</v>
      </c>
      <c r="D26" s="1038">
        <f>SUMIFS('01工程产值对比表'!$M:$M,'01工程产值对比表'!$D:$D,A26,'01工程产值对比表'!$C:$C,A$2)</f>
        <v>0</v>
      </c>
      <c r="F26" s="1039"/>
      <c r="H26" s="1038"/>
      <c r="I26" s="1049" t="s">
        <v>256</v>
      </c>
      <c r="J26" s="1046" t="s">
        <v>172</v>
      </c>
      <c r="K26" s="1050">
        <v>18000</v>
      </c>
      <c r="L26" s="1047">
        <f>SUMIFS('01工程产值对比表'!$M:$M,'01工程产值对比表'!$D:$D,I26,'01工程产值对比表'!$C:$C,I$2)</f>
        <v>0</v>
      </c>
      <c r="M26" s="1038"/>
      <c r="N26" s="1038"/>
      <c r="O26" s="1038"/>
      <c r="P26" s="1048"/>
      <c r="Q26" t="s">
        <v>257</v>
      </c>
      <c r="R26" s="697" t="s">
        <v>72</v>
      </c>
      <c r="S26">
        <v>60</v>
      </c>
      <c r="T26" s="1038">
        <f>SUMIFS('01工程产值对比表'!$M:$M,'01工程产值对比表'!$D:$D,Q26,'01工程产值对比表'!$C:$C,Q$2)</f>
        <v>0</v>
      </c>
      <c r="U26" s="1038"/>
      <c r="V26" s="1038"/>
      <c r="W26" s="1038"/>
      <c r="X26" s="1048"/>
      <c r="Y26" t="s">
        <v>258</v>
      </c>
      <c r="Z26" t="s">
        <v>169</v>
      </c>
      <c r="AA26">
        <v>1200</v>
      </c>
      <c r="AB26" s="1038">
        <f>SUMIFS('01工程产值对比表'!$M:$M,'01工程产值对比表'!$D:$D,Y26,'01工程产值对比表'!$C:$C,Y$2)</f>
        <v>0</v>
      </c>
      <c r="AO26" t="s">
        <v>259</v>
      </c>
      <c r="AP26" s="1055" t="s">
        <v>72</v>
      </c>
      <c r="AQ26" s="1056">
        <f t="shared" si="3"/>
        <v>0</v>
      </c>
      <c r="AR26" s="1057">
        <f>SUMIFS('01工程产值对比表'!$M:$M,'01工程产值对比表'!$D:$D,AO26,'01工程产值对比表'!$C:$C,"材料")</f>
        <v>0</v>
      </c>
      <c r="AS26" s="1058">
        <f ca="1">SUMIFS('01工程产值对比表'!$T:$T,'01工程产值对比表'!$D:$D,AO26,'01工程产值对比表'!$C:$C,"材料")</f>
        <v>0</v>
      </c>
      <c r="AT26" s="1058">
        <f ca="1">SUMIFS('01工程产值对比表'!$V:$V,'01工程产值对比表'!$D:$D,AO26,'01工程产值对比表'!$C:$C,"材料")</f>
        <v>0</v>
      </c>
      <c r="AW26" s="918">
        <f t="shared" si="4"/>
        <v>0</v>
      </c>
      <c r="AZ26" s="918">
        <f t="shared" si="5"/>
        <v>0</v>
      </c>
      <c r="BC26" s="918">
        <f t="shared" si="6"/>
        <v>0</v>
      </c>
      <c r="BF26" s="918">
        <f t="shared" si="7"/>
        <v>0</v>
      </c>
      <c r="BI26" s="918">
        <f t="shared" si="8"/>
        <v>0</v>
      </c>
      <c r="BL26" s="918">
        <f t="shared" si="9"/>
        <v>0</v>
      </c>
      <c r="BO26" s="918">
        <f t="shared" si="10"/>
        <v>0</v>
      </c>
      <c r="BR26" s="918">
        <f t="shared" si="11"/>
        <v>0</v>
      </c>
      <c r="BU26" s="918">
        <f t="shared" si="12"/>
        <v>0</v>
      </c>
      <c r="BX26" s="918">
        <f t="shared" si="13"/>
        <v>0</v>
      </c>
      <c r="CA26" s="918">
        <f t="shared" si="14"/>
        <v>0</v>
      </c>
      <c r="CD26" s="918">
        <f t="shared" si="15"/>
        <v>0</v>
      </c>
      <c r="CG26" s="918">
        <f t="shared" si="16"/>
        <v>0</v>
      </c>
      <c r="CJ26" s="918">
        <f t="shared" si="17"/>
        <v>0</v>
      </c>
      <c r="CM26" s="918">
        <f t="shared" si="18"/>
        <v>0</v>
      </c>
      <c r="CP26">
        <f t="shared" si="19"/>
        <v>0</v>
      </c>
      <c r="CS26">
        <f t="shared" si="20"/>
        <v>0</v>
      </c>
      <c r="CV26">
        <f t="shared" si="21"/>
        <v>0</v>
      </c>
      <c r="CY26">
        <f t="shared" si="22"/>
        <v>0</v>
      </c>
      <c r="DB26">
        <f t="shared" si="23"/>
        <v>0</v>
      </c>
      <c r="DE26">
        <f t="shared" si="24"/>
        <v>0</v>
      </c>
      <c r="DH26">
        <f t="shared" si="25"/>
        <v>0</v>
      </c>
      <c r="DK26">
        <f t="shared" si="26"/>
        <v>0</v>
      </c>
      <c r="DN26">
        <f t="shared" si="27"/>
        <v>0</v>
      </c>
      <c r="DQ26">
        <f t="shared" si="28"/>
        <v>0</v>
      </c>
    </row>
    <row r="27" spans="1:121">
      <c r="A27" t="s">
        <v>260</v>
      </c>
      <c r="B27" s="697" t="s">
        <v>169</v>
      </c>
      <c r="C27">
        <v>150</v>
      </c>
      <c r="D27" s="1038">
        <f>SUMIFS('01工程产值对比表'!$M:$M,'01工程产值对比表'!$D:$D,A27,'01工程产值对比表'!$C:$C,A$2)</f>
        <v>0</v>
      </c>
      <c r="F27" s="1039"/>
      <c r="H27" s="1038"/>
      <c r="I27" s="1049" t="s">
        <v>261</v>
      </c>
      <c r="J27" s="1046" t="s">
        <v>172</v>
      </c>
      <c r="K27" s="1050">
        <v>70000</v>
      </c>
      <c r="L27" s="1047">
        <f>SUMIFS('01工程产值对比表'!$M:$M,'01工程产值对比表'!$D:$D,I27,'01工程产值对比表'!$C:$C,I$2)</f>
        <v>0</v>
      </c>
      <c r="M27" s="1038"/>
      <c r="N27" s="1038"/>
      <c r="O27" s="1038"/>
      <c r="P27" s="1048"/>
      <c r="Q27" t="s">
        <v>262</v>
      </c>
      <c r="R27" s="697" t="s">
        <v>69</v>
      </c>
      <c r="S27">
        <v>55</v>
      </c>
      <c r="T27" s="1038">
        <f>SUMIFS('01工程产值对比表'!$M:$M,'01工程产值对比表'!$D:$D,Q27,'01工程产值对比表'!$C:$C,Q$2)</f>
        <v>1627.05</v>
      </c>
      <c r="U27" s="1038"/>
      <c r="V27" s="1038"/>
      <c r="W27" s="1038"/>
      <c r="X27" s="1048"/>
      <c r="Y27" t="s">
        <v>263</v>
      </c>
      <c r="Z27" t="s">
        <v>169</v>
      </c>
      <c r="AA27">
        <v>3000</v>
      </c>
      <c r="AB27" s="1038">
        <f>SUMIFS('01工程产值对比表'!$M:$M,'01工程产值对比表'!$D:$D,Y27,'01工程产值对比表'!$C:$C,Y$2)</f>
        <v>0</v>
      </c>
      <c r="AO27" t="s">
        <v>264</v>
      </c>
      <c r="AP27" s="1055" t="s">
        <v>72</v>
      </c>
      <c r="AQ27" s="1056">
        <f t="shared" si="3"/>
        <v>0</v>
      </c>
      <c r="AR27" s="1057">
        <f>SUMIFS('01工程产值对比表'!$M:$M,'01工程产值对比表'!$D:$D,AO27,'01工程产值对比表'!$C:$C,"材料")</f>
        <v>0</v>
      </c>
      <c r="AS27" s="1058">
        <f ca="1">SUMIFS('01工程产值对比表'!$T:$T,'01工程产值对比表'!$D:$D,AO27,'01工程产值对比表'!$C:$C,"材料")</f>
        <v>0</v>
      </c>
      <c r="AT27" s="1058">
        <f ca="1">SUMIFS('01工程产值对比表'!$V:$V,'01工程产值对比表'!$D:$D,AO27,'01工程产值对比表'!$C:$C,"材料")</f>
        <v>0</v>
      </c>
      <c r="AW27" s="918">
        <f t="shared" si="4"/>
        <v>0</v>
      </c>
      <c r="AZ27" s="918">
        <f t="shared" si="5"/>
        <v>0</v>
      </c>
      <c r="BC27" s="918">
        <f t="shared" si="6"/>
        <v>0</v>
      </c>
      <c r="BF27" s="918">
        <f t="shared" si="7"/>
        <v>0</v>
      </c>
      <c r="BI27" s="918">
        <f t="shared" si="8"/>
        <v>0</v>
      </c>
      <c r="BL27" s="918">
        <f t="shared" si="9"/>
        <v>0</v>
      </c>
      <c r="BO27" s="918">
        <f t="shared" si="10"/>
        <v>0</v>
      </c>
      <c r="BR27" s="918">
        <f t="shared" si="11"/>
        <v>0</v>
      </c>
      <c r="BU27" s="918">
        <f t="shared" si="12"/>
        <v>0</v>
      </c>
      <c r="BX27" s="918">
        <f t="shared" si="13"/>
        <v>0</v>
      </c>
      <c r="CA27" s="918">
        <f t="shared" si="14"/>
        <v>0</v>
      </c>
      <c r="CD27" s="918">
        <f t="shared" si="15"/>
        <v>0</v>
      </c>
      <c r="CG27" s="918">
        <f t="shared" si="16"/>
        <v>0</v>
      </c>
      <c r="CJ27" s="918">
        <f t="shared" si="17"/>
        <v>0</v>
      </c>
      <c r="CM27" s="918">
        <f t="shared" si="18"/>
        <v>0</v>
      </c>
      <c r="CP27">
        <f t="shared" si="19"/>
        <v>0</v>
      </c>
      <c r="CS27">
        <f t="shared" si="20"/>
        <v>0</v>
      </c>
      <c r="CV27">
        <f t="shared" si="21"/>
        <v>0</v>
      </c>
      <c r="CY27">
        <f t="shared" si="22"/>
        <v>0</v>
      </c>
      <c r="DB27">
        <f t="shared" si="23"/>
        <v>0</v>
      </c>
      <c r="DE27">
        <f t="shared" si="24"/>
        <v>0</v>
      </c>
      <c r="DH27">
        <f t="shared" si="25"/>
        <v>0</v>
      </c>
      <c r="DK27">
        <f t="shared" si="26"/>
        <v>0</v>
      </c>
      <c r="DN27">
        <f t="shared" si="27"/>
        <v>0</v>
      </c>
      <c r="DQ27">
        <f t="shared" si="28"/>
        <v>0</v>
      </c>
    </row>
    <row r="28" ht="23" customHeight="1" spans="1:121">
      <c r="A28" t="s">
        <v>265</v>
      </c>
      <c r="B28" s="697" t="s">
        <v>72</v>
      </c>
      <c r="C28">
        <v>1044.5725</v>
      </c>
      <c r="D28" s="1038">
        <f>SUMIFS('01工程产值对比表'!$M:$M,'01工程产值对比表'!$D:$D,A28,'01工程产值对比表'!$C:$C,A$2)</f>
        <v>0</v>
      </c>
      <c r="F28" s="1039"/>
      <c r="H28" s="1038"/>
      <c r="I28" s="1049" t="s">
        <v>266</v>
      </c>
      <c r="J28" s="1046" t="s">
        <v>172</v>
      </c>
      <c r="K28" s="1050">
        <v>45000</v>
      </c>
      <c r="L28" s="1047">
        <f>SUMIFS('01工程产值对比表'!$M:$M,'01工程产值对比表'!$D:$D,I28,'01工程产值对比表'!$C:$C,I$2)</f>
        <v>0</v>
      </c>
      <c r="M28" s="1038"/>
      <c r="N28" s="1038"/>
      <c r="O28" s="1038"/>
      <c r="P28" s="1048"/>
      <c r="Q28" t="s">
        <v>267</v>
      </c>
      <c r="R28" s="697" t="s">
        <v>76</v>
      </c>
      <c r="S28">
        <v>10</v>
      </c>
      <c r="T28" s="1038">
        <f>SUMIFS('01工程产值对比表'!$M:$M,'01工程产值对比表'!$D:$D,Q28,'01工程产值对比表'!$C:$C,Q$2)</f>
        <v>0</v>
      </c>
      <c r="U28" s="1038"/>
      <c r="V28" s="1038"/>
      <c r="W28" s="1038"/>
      <c r="X28" s="1048"/>
      <c r="Y28" t="s">
        <v>268</v>
      </c>
      <c r="Z28" t="s">
        <v>76</v>
      </c>
      <c r="AA28">
        <v>55</v>
      </c>
      <c r="AB28" s="1038">
        <f>SUMIFS('01工程产值对比表'!$M:$M,'01工程产值对比表'!$D:$D,Y28,'01工程产值对比表'!$C:$C,Y$2)</f>
        <v>0</v>
      </c>
      <c r="AO28" t="s">
        <v>269</v>
      </c>
      <c r="AP28" s="1055" t="s">
        <v>72</v>
      </c>
      <c r="AQ28" s="1056">
        <f t="shared" si="3"/>
        <v>0</v>
      </c>
      <c r="AR28" s="1057">
        <f>SUMIFS('01工程产值对比表'!$M:$M,'01工程产值对比表'!$D:$D,AO28,'01工程产值对比表'!$C:$C,"材料")</f>
        <v>0</v>
      </c>
      <c r="AS28" s="1058">
        <f ca="1">SUMIFS('01工程产值对比表'!$T:$T,'01工程产值对比表'!$D:$D,AO28,'01工程产值对比表'!$C:$C,"材料")</f>
        <v>0</v>
      </c>
      <c r="AT28" s="1058">
        <f ca="1">SUMIFS('01工程产值对比表'!$V:$V,'01工程产值对比表'!$D:$D,AO28,'01工程产值对比表'!$C:$C,"材料")</f>
        <v>0</v>
      </c>
      <c r="AW28" s="918">
        <f t="shared" si="4"/>
        <v>0</v>
      </c>
      <c r="AZ28" s="918">
        <f t="shared" si="5"/>
        <v>0</v>
      </c>
      <c r="BC28" s="918">
        <f t="shared" si="6"/>
        <v>0</v>
      </c>
      <c r="BF28" s="918">
        <f t="shared" si="7"/>
        <v>0</v>
      </c>
      <c r="BI28" s="918">
        <f t="shared" si="8"/>
        <v>0</v>
      </c>
      <c r="BL28" s="918">
        <f t="shared" si="9"/>
        <v>0</v>
      </c>
      <c r="BO28" s="918">
        <f t="shared" si="10"/>
        <v>0</v>
      </c>
      <c r="BR28" s="918">
        <f t="shared" si="11"/>
        <v>0</v>
      </c>
      <c r="BU28" s="918">
        <f t="shared" si="12"/>
        <v>0</v>
      </c>
      <c r="BX28" s="918">
        <f t="shared" si="13"/>
        <v>0</v>
      </c>
      <c r="CA28" s="918">
        <f t="shared" si="14"/>
        <v>0</v>
      </c>
      <c r="CD28" s="918">
        <f t="shared" si="15"/>
        <v>0</v>
      </c>
      <c r="CG28" s="918">
        <f t="shared" si="16"/>
        <v>0</v>
      </c>
      <c r="CJ28" s="918">
        <f t="shared" si="17"/>
        <v>0</v>
      </c>
      <c r="CM28" s="918">
        <f t="shared" si="18"/>
        <v>0</v>
      </c>
      <c r="CP28">
        <f t="shared" si="19"/>
        <v>0</v>
      </c>
      <c r="CS28">
        <f t="shared" si="20"/>
        <v>0</v>
      </c>
      <c r="CV28">
        <f t="shared" si="21"/>
        <v>0</v>
      </c>
      <c r="CY28">
        <f t="shared" si="22"/>
        <v>0</v>
      </c>
      <c r="DB28">
        <f t="shared" si="23"/>
        <v>0</v>
      </c>
      <c r="DE28">
        <f t="shared" si="24"/>
        <v>0</v>
      </c>
      <c r="DH28">
        <f t="shared" si="25"/>
        <v>0</v>
      </c>
      <c r="DK28">
        <f t="shared" si="26"/>
        <v>0</v>
      </c>
      <c r="DN28">
        <f t="shared" si="27"/>
        <v>0</v>
      </c>
      <c r="DQ28">
        <f t="shared" si="28"/>
        <v>0</v>
      </c>
    </row>
    <row r="29" ht="23" customHeight="1" spans="1:28">
      <c r="A29" t="s">
        <v>53</v>
      </c>
      <c r="B29" s="697" t="s">
        <v>82</v>
      </c>
      <c r="C29">
        <v>120</v>
      </c>
      <c r="D29" s="1038">
        <f>SUMIFS('01工程产值对比表'!$M:$M,'01工程产值对比表'!$D:$D,A29,'01工程产值对比表'!$C:$C,A$2)</f>
        <v>0</v>
      </c>
      <c r="F29" s="1039"/>
      <c r="H29" s="1038"/>
      <c r="I29" s="1049" t="s">
        <v>270</v>
      </c>
      <c r="J29" s="1046" t="s">
        <v>172</v>
      </c>
      <c r="K29" s="1050">
        <v>380000</v>
      </c>
      <c r="L29" s="1047">
        <f>SUMIFS('01工程产值对比表'!$M:$M,'01工程产值对比表'!$D:$D,I29,'01工程产值对比表'!$C:$C,I$2)</f>
        <v>0</v>
      </c>
      <c r="M29" s="1038"/>
      <c r="N29" s="1038"/>
      <c r="O29" s="1038"/>
      <c r="P29" s="1048"/>
      <c r="Q29" t="s">
        <v>271</v>
      </c>
      <c r="R29" s="697" t="s">
        <v>69</v>
      </c>
      <c r="S29">
        <v>0</v>
      </c>
      <c r="T29" s="1038">
        <f>SUMIFS('01工程产值对比表'!$M:$M,'01工程产值对比表'!$D:$D,Q29,'01工程产值对比表'!$C:$C,Q$2)</f>
        <v>0</v>
      </c>
      <c r="U29" s="1038"/>
      <c r="V29" s="1038"/>
      <c r="W29" s="1038"/>
      <c r="X29" s="1048"/>
      <c r="Y29" t="s">
        <v>272</v>
      </c>
      <c r="Z29" t="s">
        <v>76</v>
      </c>
      <c r="AA29">
        <v>220</v>
      </c>
      <c r="AB29" s="1038">
        <f>SUMIFS('01工程产值对比表'!$M:$M,'01工程产值对比表'!$D:$D,Y29,'01工程产值对比表'!$C:$C,Y$2)</f>
        <v>0</v>
      </c>
    </row>
    <row r="30" spans="1:28">
      <c r="A30" t="s">
        <v>273</v>
      </c>
      <c r="B30" s="697" t="s">
        <v>82</v>
      </c>
      <c r="C30">
        <v>2730</v>
      </c>
      <c r="D30" s="1038">
        <f>SUMIFS('01工程产值对比表'!$M:$M,'01工程产值对比表'!$D:$D,A30,'01工程产值对比表'!$C:$C,A$2)</f>
        <v>0</v>
      </c>
      <c r="F30" s="1039"/>
      <c r="H30" s="1038"/>
      <c r="I30" s="1049" t="s">
        <v>274</v>
      </c>
      <c r="J30" s="1046" t="s">
        <v>172</v>
      </c>
      <c r="K30" s="1050"/>
      <c r="L30" s="1047">
        <f>SUMIFS('01工程产值对比表'!$M:$M,'01工程产值对比表'!$D:$D,I30,'01工程产值对比表'!$C:$C,I$2)</f>
        <v>0</v>
      </c>
      <c r="M30" s="1038"/>
      <c r="N30" s="1038"/>
      <c r="O30" s="1038"/>
      <c r="P30" s="1051"/>
      <c r="Q30" t="s">
        <v>275</v>
      </c>
      <c r="R30" s="697" t="s">
        <v>72</v>
      </c>
      <c r="S30">
        <v>100</v>
      </c>
      <c r="T30" s="1038">
        <f>SUMIFS('01工程产值对比表'!$M:$M,'01工程产值对比表'!$D:$D,Q30,'01工程产值对比表'!$C:$C,Q$2)</f>
        <v>0</v>
      </c>
      <c r="U30" s="1038"/>
      <c r="V30" s="1038"/>
      <c r="W30" s="1038"/>
      <c r="X30" s="1048"/>
      <c r="Y30" t="s">
        <v>276</v>
      </c>
      <c r="Z30" t="s">
        <v>76</v>
      </c>
      <c r="AA30">
        <v>220</v>
      </c>
      <c r="AB30" s="1038">
        <f>SUMIFS('01工程产值对比表'!$M:$M,'01工程产值对比表'!$D:$D,Y30,'01工程产值对比表'!$C:$C,Y$2)</f>
        <v>0</v>
      </c>
    </row>
    <row r="31" spans="1:28">
      <c r="A31" t="s">
        <v>277</v>
      </c>
      <c r="B31" s="697" t="s">
        <v>82</v>
      </c>
      <c r="C31">
        <v>2750</v>
      </c>
      <c r="D31" s="1038">
        <f>SUMIFS('01工程产值对比表'!$M:$M,'01工程产值对比表'!$D:$D,A31,'01工程产值对比表'!$C:$C,A$2)</f>
        <v>0</v>
      </c>
      <c r="F31" s="1039"/>
      <c r="H31" s="1038"/>
      <c r="I31" s="1049" t="s">
        <v>278</v>
      </c>
      <c r="J31" s="1046" t="s">
        <v>279</v>
      </c>
      <c r="K31" s="1050">
        <v>1200000</v>
      </c>
      <c r="L31" s="1047">
        <f>SUMIFS('01工程产值对比表'!$M:$M,'01工程产值对比表'!$D:$D,I31,'01工程产值对比表'!$C:$C,I$2)</f>
        <v>0</v>
      </c>
      <c r="M31" s="1038"/>
      <c r="N31" s="1038"/>
      <c r="O31" s="1038"/>
      <c r="P31" s="1051"/>
      <c r="Q31" t="s">
        <v>170</v>
      </c>
      <c r="R31" s="697" t="s">
        <v>72</v>
      </c>
      <c r="S31">
        <v>1.03</v>
      </c>
      <c r="T31" s="1038">
        <f>SUMIFS('01工程产值对比表'!$M:$M,'01工程产值对比表'!$D:$D,Q31,'01工程产值对比表'!$C:$C,Q$2)</f>
        <v>0</v>
      </c>
      <c r="U31" s="1038"/>
      <c r="V31" s="1038"/>
      <c r="W31" s="1038"/>
      <c r="X31" s="1048"/>
      <c r="Y31" t="s">
        <v>280</v>
      </c>
      <c r="Z31" t="s">
        <v>185</v>
      </c>
      <c r="AA31">
        <v>35</v>
      </c>
      <c r="AB31" s="1038">
        <f>SUMIFS('01工程产值对比表'!$M:$M,'01工程产值对比表'!$D:$D,Y31,'01工程产值对比表'!$C:$C,Y$2)</f>
        <v>0</v>
      </c>
    </row>
    <row r="32" spans="1:28">
      <c r="A32" s="889" t="s">
        <v>281</v>
      </c>
      <c r="B32" s="697" t="s">
        <v>72</v>
      </c>
      <c r="C32">
        <v>371.7</v>
      </c>
      <c r="D32" s="1038">
        <f>SUMIFS('01工程产值对比表'!$M:$M,'01工程产值对比表'!$D:$D,A32,'01工程产值对比表'!$C:$C,A$2)</f>
        <v>0</v>
      </c>
      <c r="F32" s="1039"/>
      <c r="H32" s="1038"/>
      <c r="I32" s="1049" t="s">
        <v>282</v>
      </c>
      <c r="J32" s="1046" t="s">
        <v>82</v>
      </c>
      <c r="K32" s="1050">
        <v>170.8</v>
      </c>
      <c r="L32" s="1047">
        <f>SUMIFS('01工程产值对比表'!$M:$M,'01工程产值对比表'!$D:$D,I32,'01工程产值对比表'!$C:$C,I$2)</f>
        <v>0</v>
      </c>
      <c r="M32" s="1038"/>
      <c r="N32" s="1038"/>
      <c r="O32" s="1038"/>
      <c r="P32" s="1048"/>
      <c r="Q32" t="s">
        <v>283</v>
      </c>
      <c r="R32" s="697" t="s">
        <v>284</v>
      </c>
      <c r="T32" s="1038">
        <f>SUMIFS('01工程产值对比表'!$M:$M,'01工程产值对比表'!$D:$D,Q32,'01工程产值对比表'!$C:$C,Q$2)</f>
        <v>0</v>
      </c>
      <c r="U32" s="1038"/>
      <c r="V32" s="1038"/>
      <c r="W32" s="1038"/>
      <c r="X32" s="1048"/>
      <c r="Y32" t="s">
        <v>285</v>
      </c>
      <c r="Z32" t="s">
        <v>195</v>
      </c>
      <c r="AA32">
        <v>30000</v>
      </c>
      <c r="AB32" s="1038">
        <f>SUMIFS('01工程产值对比表'!$M:$M,'01工程产值对比表'!$D:$D,Y32,'01工程产值对比表'!$C:$C,Y$2)</f>
        <v>0</v>
      </c>
    </row>
    <row r="33" spans="1:28">
      <c r="A33" t="s">
        <v>286</v>
      </c>
      <c r="B33" s="697" t="s">
        <v>72</v>
      </c>
      <c r="C33">
        <v>380.53</v>
      </c>
      <c r="D33" s="1038">
        <f>SUMIFS('01工程产值对比表'!$M:$M,'01工程产值对比表'!$D:$D,A33,'01工程产值对比表'!$C:$C,A$2)</f>
        <v>0</v>
      </c>
      <c r="F33" s="1039"/>
      <c r="H33" s="1038"/>
      <c r="I33" s="1049" t="s">
        <v>287</v>
      </c>
      <c r="J33" s="1046" t="s">
        <v>82</v>
      </c>
      <c r="K33" s="1050">
        <v>681.416</v>
      </c>
      <c r="L33" s="1047">
        <f>SUMIFS('01工程产值对比表'!$M:$M,'01工程产值对比表'!$D:$D,I33,'01工程产值对比表'!$C:$C,I$2)</f>
        <v>0</v>
      </c>
      <c r="M33" s="1038"/>
      <c r="N33" s="1038"/>
      <c r="O33" s="1038"/>
      <c r="P33" s="1051"/>
      <c r="Q33" t="s">
        <v>288</v>
      </c>
      <c r="R33" s="697" t="s">
        <v>69</v>
      </c>
      <c r="S33">
        <v>55</v>
      </c>
      <c r="T33" s="1038">
        <f>SUMIFS('01工程产值对比表'!$M:$M,'01工程产值对比表'!$D:$D,Q33,'01工程产值对比表'!$C:$C,Q$2)</f>
        <v>0</v>
      </c>
      <c r="U33" s="1038"/>
      <c r="V33" s="1038"/>
      <c r="W33" s="1038"/>
      <c r="X33" s="1048"/>
      <c r="Y33" t="s">
        <v>289</v>
      </c>
      <c r="Z33" t="s">
        <v>169</v>
      </c>
      <c r="AA33">
        <v>5000</v>
      </c>
      <c r="AB33" s="1038">
        <f>SUMIFS('01工程产值对比表'!$M:$M,'01工程产值对比表'!$D:$D,Y33,'01工程产值对比表'!$C:$C,Y$2)</f>
        <v>0</v>
      </c>
    </row>
    <row r="34" ht="70.05" customHeight="1" spans="1:28">
      <c r="A34" s="889" t="s">
        <v>290</v>
      </c>
      <c r="B34" s="697" t="s">
        <v>69</v>
      </c>
      <c r="C34">
        <v>23</v>
      </c>
      <c r="D34" s="1038">
        <f>SUMIFS('01工程产值对比表'!$M:$M,'01工程产值对比表'!$D:$D,A34,'01工程产值对比表'!$C:$C,A$2)</f>
        <v>0</v>
      </c>
      <c r="F34" s="1039"/>
      <c r="H34" s="1038"/>
      <c r="I34" s="1049" t="s">
        <v>291</v>
      </c>
      <c r="J34" s="1046" t="s">
        <v>172</v>
      </c>
      <c r="K34" s="1050">
        <v>31000</v>
      </c>
      <c r="L34" s="1047">
        <f>SUMIFS('01工程产值对比表'!$M:$M,'01工程产值对比表'!$D:$D,I34,'01工程产值对比表'!$C:$C,I$2)</f>
        <v>0</v>
      </c>
      <c r="M34" s="1038"/>
      <c r="N34" s="1038"/>
      <c r="O34" s="1038"/>
      <c r="P34" s="1051"/>
      <c r="Q34" t="s">
        <v>292</v>
      </c>
      <c r="R34" s="697" t="s">
        <v>69</v>
      </c>
      <c r="S34">
        <v>2</v>
      </c>
      <c r="T34" s="1038">
        <f>SUMIFS('01工程产值对比表'!$M:$M,'01工程产值对比表'!$D:$D,Q34,'01工程产值对比表'!$C:$C,Q$2)</f>
        <v>0</v>
      </c>
      <c r="U34" s="1038"/>
      <c r="V34" s="1038"/>
      <c r="W34" s="1038"/>
      <c r="X34" s="1048"/>
      <c r="Y34" t="s">
        <v>293</v>
      </c>
      <c r="Z34" t="s">
        <v>69</v>
      </c>
      <c r="AA34">
        <v>35</v>
      </c>
      <c r="AB34" s="1038">
        <f>SUMIFS('01工程产值对比表'!$M:$M,'01工程产值对比表'!$D:$D,Y34,'01工程产值对比表'!$C:$C,Y$2)</f>
        <v>0</v>
      </c>
    </row>
    <row r="35" spans="1:28">
      <c r="A35" t="s">
        <v>294</v>
      </c>
      <c r="C35">
        <v>261960</v>
      </c>
      <c r="D35" s="1038">
        <f>SUMIFS('01工程产值对比表'!$M:$M,'01工程产值对比表'!$D:$D,A35,'01工程产值对比表'!$C:$C,A$2)</f>
        <v>0</v>
      </c>
      <c r="F35" s="1039"/>
      <c r="H35" s="1038"/>
      <c r="I35" s="1049" t="s">
        <v>295</v>
      </c>
      <c r="J35" s="1046" t="s">
        <v>172</v>
      </c>
      <c r="K35" s="1050">
        <v>10000</v>
      </c>
      <c r="L35" s="1047">
        <f>SUMIFS('01工程产值对比表'!$M:$M,'01工程产值对比表'!$D:$D,I35,'01工程产值对比表'!$C:$C,I$2)</f>
        <v>0</v>
      </c>
      <c r="M35" s="1038"/>
      <c r="N35" s="1038"/>
      <c r="O35" s="1038"/>
      <c r="P35" s="1051"/>
      <c r="Q35" t="s">
        <v>296</v>
      </c>
      <c r="R35" s="697" t="s">
        <v>82</v>
      </c>
      <c r="S35">
        <v>700</v>
      </c>
      <c r="T35" s="1038">
        <f>SUMIFS('01工程产值对比表'!$M:$M,'01工程产值对比表'!$D:$D,Q35,'01工程产值对比表'!$C:$C,Q$2)</f>
        <v>520.95345</v>
      </c>
      <c r="U35" s="1038"/>
      <c r="V35" s="1038"/>
      <c r="W35" s="1038"/>
      <c r="X35" s="1048"/>
      <c r="Y35" t="s">
        <v>297</v>
      </c>
      <c r="Z35" t="s">
        <v>69</v>
      </c>
      <c r="AA35">
        <v>35</v>
      </c>
      <c r="AB35" s="1038">
        <f>SUMIFS('01工程产值对比表'!$M:$M,'01工程产值对比表'!$D:$D,Y35,'01工程产值对比表'!$C:$C,Y$2)</f>
        <v>0</v>
      </c>
    </row>
    <row r="36" spans="1:28">
      <c r="A36" t="s">
        <v>298</v>
      </c>
      <c r="C36">
        <v>28613</v>
      </c>
      <c r="D36" s="1038">
        <f>SUMIFS('01工程产值对比表'!$M:$M,'01工程产值对比表'!$D:$D,A36,'01工程产值对比表'!$C:$C,A$2)</f>
        <v>0</v>
      </c>
      <c r="F36" s="1039"/>
      <c r="H36" s="1038"/>
      <c r="I36" s="1049" t="s">
        <v>299</v>
      </c>
      <c r="J36" s="1046" t="s">
        <v>172</v>
      </c>
      <c r="K36" s="1050"/>
      <c r="L36" s="1047">
        <f>SUMIFS('01工程产值对比表'!$M:$M,'01工程产值对比表'!$D:$D,I36,'01工程产值对比表'!$C:$C,I$2)</f>
        <v>0</v>
      </c>
      <c r="M36" s="1038"/>
      <c r="N36" s="1038"/>
      <c r="O36" s="1038"/>
      <c r="P36" s="1048"/>
      <c r="Q36" t="s">
        <v>300</v>
      </c>
      <c r="R36" s="697" t="s">
        <v>69</v>
      </c>
      <c r="S36">
        <v>2</v>
      </c>
      <c r="T36" s="1038">
        <f>SUMIFS('01工程产值对比表'!$M:$M,'01工程产值对比表'!$D:$D,Q36,'01工程产值对比表'!$C:$C,Q$2)</f>
        <v>0</v>
      </c>
      <c r="U36" s="1038"/>
      <c r="V36" s="1038"/>
      <c r="W36" s="1038"/>
      <c r="X36" s="1048"/>
      <c r="Y36" t="s">
        <v>301</v>
      </c>
      <c r="Z36" t="s">
        <v>180</v>
      </c>
      <c r="AA36">
        <v>8000</v>
      </c>
      <c r="AB36" s="1038">
        <f>SUMIFS('01工程产值对比表'!$M:$M,'01工程产值对比表'!$D:$D,Y36,'01工程产值对比表'!$C:$C,Y$2)</f>
        <v>0</v>
      </c>
    </row>
    <row r="37" spans="1:28">
      <c r="A37" t="s">
        <v>302</v>
      </c>
      <c r="C37">
        <v>38</v>
      </c>
      <c r="D37" s="1038">
        <f>SUMIFS('01工程产值对比表'!$M:$M,'01工程产值对比表'!$D:$D,A37,'01工程产值对比表'!$C:$C,A$2)</f>
        <v>0</v>
      </c>
      <c r="F37" s="1039"/>
      <c r="H37" s="1038"/>
      <c r="I37" s="1049" t="s">
        <v>303</v>
      </c>
      <c r="J37" s="1046" t="s">
        <v>172</v>
      </c>
      <c r="K37" s="1050">
        <v>60000</v>
      </c>
      <c r="L37" s="1047">
        <f>SUMIFS('01工程产值对比表'!$M:$M,'01工程产值对比表'!$D:$D,I37,'01工程产值对比表'!$C:$C,I$2)</f>
        <v>0</v>
      </c>
      <c r="M37" s="1038"/>
      <c r="N37" s="1038"/>
      <c r="O37" s="1038"/>
      <c r="P37" s="1051"/>
      <c r="Q37" t="s">
        <v>304</v>
      </c>
      <c r="R37" s="697" t="s">
        <v>72</v>
      </c>
      <c r="S37">
        <v>20</v>
      </c>
      <c r="T37" s="1038">
        <f>SUMIFS('01工程产值对比表'!$M:$M,'01工程产值对比表'!$D:$D,Q37,'01工程产值对比表'!$C:$C,Q$2)</f>
        <v>0</v>
      </c>
      <c r="U37" s="1038"/>
      <c r="V37" s="1038"/>
      <c r="W37" s="1038"/>
      <c r="X37" s="1048"/>
      <c r="Y37" t="s">
        <v>305</v>
      </c>
      <c r="Z37" t="s">
        <v>169</v>
      </c>
      <c r="AA37">
        <v>5000</v>
      </c>
      <c r="AB37" s="1038">
        <f>SUMIFS('01工程产值对比表'!$M:$M,'01工程产值对比表'!$D:$D,Y37,'01工程产值对比表'!$C:$C,Y$2)</f>
        <v>0</v>
      </c>
    </row>
    <row r="38" spans="1:41">
      <c r="A38" t="s">
        <v>306</v>
      </c>
      <c r="B38" s="697" t="s">
        <v>205</v>
      </c>
      <c r="C38">
        <v>0.58</v>
      </c>
      <c r="D38" s="1038">
        <f>SUMIFS('01工程产值对比表'!$M:$M,'01工程产值对比表'!$D:$D,A38,'01工程产值对比表'!$C:$C,A$2)</f>
        <v>0</v>
      </c>
      <c r="F38" s="1039"/>
      <c r="H38" s="1038"/>
      <c r="I38" s="1049" t="s">
        <v>307</v>
      </c>
      <c r="J38" s="1046" t="s">
        <v>180</v>
      </c>
      <c r="K38" s="1050">
        <v>12000</v>
      </c>
      <c r="L38" s="1047">
        <f>SUMIFS('01工程产值对比表'!$M:$M,'01工程产值对比表'!$D:$D,I38,'01工程产值对比表'!$C:$C,I$2)</f>
        <v>0</v>
      </c>
      <c r="M38" s="1038"/>
      <c r="N38" s="1038"/>
      <c r="O38" s="1038"/>
      <c r="P38" s="1051"/>
      <c r="Q38" t="s">
        <v>308</v>
      </c>
      <c r="R38" s="697" t="s">
        <v>82</v>
      </c>
      <c r="S38">
        <v>970</v>
      </c>
      <c r="T38" s="1038">
        <f>SUMIFS('01工程产值对比表'!$M:$M,'01工程产值对比表'!$D:$D,Q38,'01工程产值对比表'!$C:$C,Q$2)</f>
        <v>0</v>
      </c>
      <c r="U38" s="1038"/>
      <c r="V38" s="1038"/>
      <c r="W38" s="1038"/>
      <c r="X38" s="1048"/>
      <c r="Y38" t="s">
        <v>309</v>
      </c>
      <c r="Z38" t="s">
        <v>69</v>
      </c>
      <c r="AA38">
        <v>4000</v>
      </c>
      <c r="AB38" s="1038">
        <f>SUMIFS('01工程产值对比表'!$M:$M,'01工程产值对比表'!$D:$D,Y38,'01工程产值对比表'!$C:$C,Y$2)</f>
        <v>0</v>
      </c>
      <c r="AO38" t="s">
        <v>310</v>
      </c>
    </row>
    <row r="39" spans="1:28">
      <c r="A39" t="s">
        <v>311</v>
      </c>
      <c r="B39" s="697" t="s">
        <v>205</v>
      </c>
      <c r="C39">
        <v>0.82</v>
      </c>
      <c r="D39" s="1038">
        <f>SUMIFS('01工程产值对比表'!$M:$M,'01工程产值对比表'!$D:$D,A39,'01工程产值对比表'!$C:$C,A$2)</f>
        <v>0</v>
      </c>
      <c r="F39" s="1039"/>
      <c r="H39" s="1038"/>
      <c r="I39" s="1049" t="s">
        <v>312</v>
      </c>
      <c r="J39" s="1046" t="s">
        <v>180</v>
      </c>
      <c r="K39" s="1050">
        <v>6000</v>
      </c>
      <c r="L39" s="1047">
        <f>SUMIFS('01工程产值对比表'!$M:$M,'01工程产值对比表'!$D:$D,I39,'01工程产值对比表'!$C:$C,I$2)</f>
        <v>0</v>
      </c>
      <c r="M39" s="1038"/>
      <c r="N39" s="1038"/>
      <c r="O39" s="1038"/>
      <c r="P39" s="1048"/>
      <c r="Q39" t="s">
        <v>313</v>
      </c>
      <c r="R39" s="697" t="s">
        <v>72</v>
      </c>
      <c r="S39">
        <v>120</v>
      </c>
      <c r="T39" s="1038">
        <f>SUMIFS('01工程产值对比表'!$M:$M,'01工程产值对比表'!$D:$D,Q39,'01工程产值对比表'!$C:$C,Q$2)</f>
        <v>353.4</v>
      </c>
      <c r="U39" s="1038"/>
      <c r="V39" s="1038"/>
      <c r="W39" s="1038"/>
      <c r="X39" s="1048"/>
      <c r="Y39" t="s">
        <v>314</v>
      </c>
      <c r="Z39" t="s">
        <v>169</v>
      </c>
      <c r="AA39">
        <v>500</v>
      </c>
      <c r="AB39" s="1038">
        <f>SUMIFS('01工程产值对比表'!$M:$M,'01工程产值对比表'!$D:$D,Y39,'01工程产值对比表'!$C:$C,Y$2)</f>
        <v>0</v>
      </c>
    </row>
    <row r="40" spans="1:28">
      <c r="A40" t="s">
        <v>315</v>
      </c>
      <c r="B40" s="697" t="s">
        <v>316</v>
      </c>
      <c r="C40">
        <v>0.8</v>
      </c>
      <c r="D40" s="1038">
        <f>SUMIFS('01工程产值对比表'!$M:$M,'01工程产值对比表'!$D:$D,A40,'01工程产值对比表'!$C:$C,A$2)</f>
        <v>0</v>
      </c>
      <c r="F40" s="1039"/>
      <c r="H40" s="1038"/>
      <c r="I40" s="1049" t="s">
        <v>317</v>
      </c>
      <c r="J40" s="1046" t="s">
        <v>180</v>
      </c>
      <c r="K40" s="1050">
        <v>12000</v>
      </c>
      <c r="L40" s="1047">
        <f>SUMIFS('01工程产值对比表'!$M:$M,'01工程产值对比表'!$D:$D,I40,'01工程产值对比表'!$C:$C,I$2)</f>
        <v>0</v>
      </c>
      <c r="M40" s="1038"/>
      <c r="N40" s="1038"/>
      <c r="O40" s="1038"/>
      <c r="P40" s="1051"/>
      <c r="Q40" t="s">
        <v>318</v>
      </c>
      <c r="R40" s="697" t="s">
        <v>169</v>
      </c>
      <c r="S40">
        <v>100</v>
      </c>
      <c r="T40" s="1038">
        <f>SUMIFS('01工程产值对比表'!$M:$M,'01工程产值对比表'!$D:$D,Q40,'01工程产值对比表'!$C:$C,Q$2)</f>
        <v>0</v>
      </c>
      <c r="U40" s="1038"/>
      <c r="V40" s="1038"/>
      <c r="W40" s="1038"/>
      <c r="X40" s="1048"/>
      <c r="Y40" t="s">
        <v>319</v>
      </c>
      <c r="Z40" t="s">
        <v>69</v>
      </c>
      <c r="AA40">
        <v>15</v>
      </c>
      <c r="AB40" s="1038">
        <f>SUMIFS('01工程产值对比表'!$M:$M,'01工程产值对比表'!$D:$D,Y40,'01工程产值对比表'!$C:$C,Y$2)</f>
        <v>0</v>
      </c>
    </row>
    <row r="41" spans="1:28">
      <c r="A41" t="s">
        <v>320</v>
      </c>
      <c r="B41" s="697" t="s">
        <v>69</v>
      </c>
      <c r="C41">
        <v>60</v>
      </c>
      <c r="D41" s="1038">
        <f>SUMIFS('01工程产值对比表'!$M:$M,'01工程产值对比表'!$D:$D,A41,'01工程产值对比表'!$C:$C,A$2)</f>
        <v>0</v>
      </c>
      <c r="F41" s="1039"/>
      <c r="H41" s="1038"/>
      <c r="I41" s="1049" t="s">
        <v>321</v>
      </c>
      <c r="J41" s="1046" t="s">
        <v>180</v>
      </c>
      <c r="K41" s="1050">
        <v>12000</v>
      </c>
      <c r="L41" s="1047">
        <f>SUMIFS('01工程产值对比表'!$M:$M,'01工程产值对比表'!$D:$D,I41,'01工程产值对比表'!$C:$C,I$2)</f>
        <v>0</v>
      </c>
      <c r="M41" s="1038"/>
      <c r="N41" s="1038"/>
      <c r="O41" s="1038"/>
      <c r="P41" s="1051"/>
      <c r="Q41" t="s">
        <v>322</v>
      </c>
      <c r="R41" s="697" t="s">
        <v>69</v>
      </c>
      <c r="S41">
        <v>15</v>
      </c>
      <c r="T41" s="1038">
        <f>SUMIFS('01工程产值对比表'!$M:$M,'01工程产值对比表'!$D:$D,Q41,'01工程产值对比表'!$C:$C,Q$2)</f>
        <v>0</v>
      </c>
      <c r="U41" s="1038"/>
      <c r="V41" s="1038"/>
      <c r="W41" s="1038"/>
      <c r="X41" s="1048"/>
      <c r="Y41" t="s">
        <v>323</v>
      </c>
      <c r="Z41" t="s">
        <v>169</v>
      </c>
      <c r="AA41">
        <v>50</v>
      </c>
      <c r="AB41" s="1038">
        <f>SUMIFS('01工程产值对比表'!$M:$M,'01工程产值对比表'!$D:$D,Y41,'01工程产值对比表'!$C:$C,Y$2)</f>
        <v>0</v>
      </c>
    </row>
    <row r="42" spans="1:28">
      <c r="A42" t="s">
        <v>324</v>
      </c>
      <c r="B42" s="697" t="s">
        <v>69</v>
      </c>
      <c r="C42">
        <v>380</v>
      </c>
      <c r="D42" s="1038">
        <f>SUMIFS('01工程产值对比表'!$M:$M,'01工程产值对比表'!$D:$D,A42,'01工程产值对比表'!$C:$C,A$2)</f>
        <v>0</v>
      </c>
      <c r="F42" s="1039"/>
      <c r="H42" s="1038"/>
      <c r="I42" s="1049" t="s">
        <v>325</v>
      </c>
      <c r="J42" s="1046" t="s">
        <v>180</v>
      </c>
      <c r="K42" s="1050">
        <v>3000</v>
      </c>
      <c r="L42" s="1047">
        <f>SUMIFS('01工程产值对比表'!$M:$M,'01工程产值对比表'!$D:$D,I42,'01工程产值对比表'!$C:$C,I$2)</f>
        <v>0</v>
      </c>
      <c r="M42" s="1038"/>
      <c r="N42" s="1038"/>
      <c r="O42" s="1038"/>
      <c r="P42" s="1051"/>
      <c r="Q42" t="s">
        <v>326</v>
      </c>
      <c r="R42" s="697" t="s">
        <v>72</v>
      </c>
      <c r="S42">
        <v>50</v>
      </c>
      <c r="T42" s="1038">
        <f>SUMIFS('01工程产值对比表'!$M:$M,'01工程产值对比表'!$D:$D,Q42,'01工程产值对比表'!$C:$C,Q$2)</f>
        <v>3430.868</v>
      </c>
      <c r="U42" s="1038"/>
      <c r="V42" s="1038"/>
      <c r="W42" s="1038"/>
      <c r="X42" s="1048"/>
      <c r="Y42" t="s">
        <v>327</v>
      </c>
      <c r="Z42" t="s">
        <v>169</v>
      </c>
      <c r="AA42">
        <v>800</v>
      </c>
      <c r="AB42" s="1038">
        <f>SUMIFS('01工程产值对比表'!$M:$M,'01工程产值对比表'!$D:$D,Y42,'01工程产值对比表'!$C:$C,Y$2)</f>
        <v>0</v>
      </c>
    </row>
    <row r="43" spans="1:28">
      <c r="A43" t="s">
        <v>328</v>
      </c>
      <c r="B43" s="697" t="s">
        <v>82</v>
      </c>
      <c r="C43">
        <v>230</v>
      </c>
      <c r="D43" s="1038">
        <f>SUMIFS('01工程产值对比表'!$M:$M,'01工程产值对比表'!$D:$D,A43,'01工程产值对比表'!$C:$C,A$2)</f>
        <v>0</v>
      </c>
      <c r="F43" s="1039"/>
      <c r="H43" s="1038"/>
      <c r="I43" s="1049" t="s">
        <v>329</v>
      </c>
      <c r="J43" s="1046" t="s">
        <v>169</v>
      </c>
      <c r="K43" s="1050">
        <v>500000</v>
      </c>
      <c r="L43" s="1047">
        <f>SUMIFS('01工程产值对比表'!$M:$M,'01工程产值对比表'!$D:$D,I43,'01工程产值对比表'!$C:$C,I$2)</f>
        <v>0</v>
      </c>
      <c r="M43" s="1038"/>
      <c r="N43" s="1038"/>
      <c r="O43" s="1038"/>
      <c r="P43" s="1051"/>
      <c r="Q43" t="s">
        <v>330</v>
      </c>
      <c r="R43" s="697" t="s">
        <v>72</v>
      </c>
      <c r="S43">
        <v>120</v>
      </c>
      <c r="T43" s="1038">
        <f>SUMIFS('01工程产值对比表'!$M:$M,'01工程产值对比表'!$D:$D,Q43,'01工程产值对比表'!$C:$C,Q$2)</f>
        <v>0</v>
      </c>
      <c r="U43" s="1038"/>
      <c r="V43" s="1038"/>
      <c r="W43" s="1038"/>
      <c r="X43" s="1048"/>
      <c r="Y43" t="s">
        <v>331</v>
      </c>
      <c r="Z43" t="s">
        <v>76</v>
      </c>
      <c r="AA43">
        <v>20</v>
      </c>
      <c r="AB43" s="1038">
        <f>SUMIFS('01工程产值对比表'!$M:$M,'01工程产值对比表'!$D:$D,Y43,'01工程产值对比表'!$C:$C,Y$2)</f>
        <v>0</v>
      </c>
    </row>
    <row r="44" spans="1:28">
      <c r="A44" t="s">
        <v>332</v>
      </c>
      <c r="B44" s="697" t="s">
        <v>211</v>
      </c>
      <c r="C44">
        <v>5</v>
      </c>
      <c r="D44" s="1038">
        <f>SUMIFS('01工程产值对比表'!$M:$M,'01工程产值对比表'!$D:$D,A44,'01工程产值对比表'!$C:$C,A$2)</f>
        <v>0</v>
      </c>
      <c r="F44" s="1039"/>
      <c r="H44" s="1038"/>
      <c r="I44" s="1049" t="s">
        <v>333</v>
      </c>
      <c r="J44" s="1046" t="s">
        <v>15</v>
      </c>
      <c r="K44" s="1050">
        <v>1</v>
      </c>
      <c r="L44" s="1047">
        <f>SUMIFS('01工程产值对比表'!$M:$M,'01工程产值对比表'!$D:$D,I44,'01工程产值对比表'!$C:$C,I$2)</f>
        <v>0</v>
      </c>
      <c r="M44" s="1038"/>
      <c r="N44" s="1038"/>
      <c r="O44" s="1038"/>
      <c r="P44" s="1051"/>
      <c r="Q44" t="s">
        <v>334</v>
      </c>
      <c r="R44" s="697" t="s">
        <v>169</v>
      </c>
      <c r="S44">
        <v>100</v>
      </c>
      <c r="T44" s="1038">
        <f>SUMIFS('01工程产值对比表'!$M:$M,'01工程产值对比表'!$D:$D,Q44,'01工程产值对比表'!$C:$C,Q$2)</f>
        <v>0</v>
      </c>
      <c r="U44" s="1038"/>
      <c r="V44" s="1038"/>
      <c r="W44" s="1038"/>
      <c r="X44" s="1048"/>
      <c r="Y44" t="s">
        <v>335</v>
      </c>
      <c r="Z44" t="s">
        <v>76</v>
      </c>
      <c r="AA44">
        <v>1200</v>
      </c>
      <c r="AB44" s="1038">
        <f>SUMIFS('01工程产值对比表'!$M:$M,'01工程产值对比表'!$D:$D,Y44,'01工程产值对比表'!$C:$C,Y$2)</f>
        <v>0</v>
      </c>
    </row>
    <row r="45" spans="1:28">
      <c r="A45" t="s">
        <v>336</v>
      </c>
      <c r="B45" s="697" t="s">
        <v>211</v>
      </c>
      <c r="C45">
        <v>4.3</v>
      </c>
      <c r="D45" s="1038">
        <f>SUMIFS('01工程产值对比表'!$M:$M,'01工程产值对比表'!$D:$D,A45,'01工程产值对比表'!$C:$C,A$2)</f>
        <v>0</v>
      </c>
      <c r="F45" s="1039"/>
      <c r="H45" s="1038"/>
      <c r="I45" s="1049" t="s">
        <v>337</v>
      </c>
      <c r="J45" s="1046" t="s">
        <v>219</v>
      </c>
      <c r="K45" s="1050">
        <v>2000</v>
      </c>
      <c r="L45" s="1047">
        <f>SUMIFS('01工程产值对比表'!$M:$M,'01工程产值对比表'!$D:$D,I45,'01工程产值对比表'!$C:$C,I$2)</f>
        <v>0</v>
      </c>
      <c r="M45" s="1038"/>
      <c r="N45" s="1038"/>
      <c r="O45" s="1038"/>
      <c r="P45" s="1051"/>
      <c r="Q45" t="s">
        <v>338</v>
      </c>
      <c r="R45" s="697" t="s">
        <v>169</v>
      </c>
      <c r="S45">
        <v>100</v>
      </c>
      <c r="T45" s="1038">
        <f>SUMIFS('01工程产值对比表'!$M:$M,'01工程产值对比表'!$D:$D,Q45,'01工程产值对比表'!$C:$C,Q$2)</f>
        <v>0</v>
      </c>
      <c r="U45" s="1038"/>
      <c r="V45" s="1038"/>
      <c r="W45" s="1038"/>
      <c r="X45" s="1048"/>
      <c r="Y45" t="s">
        <v>339</v>
      </c>
      <c r="Z45" t="s">
        <v>69</v>
      </c>
      <c r="AA45">
        <v>55</v>
      </c>
      <c r="AB45" s="1038">
        <f>SUMIFS('01工程产值对比表'!$M:$M,'01工程产值对比表'!$D:$D,Y45,'01工程产值对比表'!$C:$C,Y$2)</f>
        <v>0</v>
      </c>
    </row>
    <row r="46" spans="1:28">
      <c r="A46" t="s">
        <v>340</v>
      </c>
      <c r="B46" s="697" t="s">
        <v>211</v>
      </c>
      <c r="C46">
        <v>25</v>
      </c>
      <c r="D46" s="1038">
        <f>SUMIFS('01工程产值对比表'!$M:$M,'01工程产值对比表'!$D:$D,A46,'01工程产值对比表'!$C:$C,A$2)</f>
        <v>0</v>
      </c>
      <c r="F46" s="1039"/>
      <c r="H46" s="1038"/>
      <c r="I46" s="1049" t="s">
        <v>341</v>
      </c>
      <c r="J46" s="1046" t="s">
        <v>72</v>
      </c>
      <c r="K46" s="1050">
        <v>6</v>
      </c>
      <c r="L46" s="1047">
        <f>SUMIFS('01工程产值对比表'!$M:$M,'01工程产值对比表'!$D:$D,I46,'01工程产值对比表'!$C:$C,I$2)</f>
        <v>0</v>
      </c>
      <c r="M46" s="1038"/>
      <c r="N46" s="1038"/>
      <c r="O46" s="1038"/>
      <c r="P46" s="1048"/>
      <c r="Q46" t="s">
        <v>342</v>
      </c>
      <c r="R46" s="697" t="s">
        <v>169</v>
      </c>
      <c r="S46">
        <v>100</v>
      </c>
      <c r="T46" s="1038">
        <f>SUMIFS('01工程产值对比表'!$M:$M,'01工程产值对比表'!$D:$D,Q46,'01工程产值对比表'!$C:$C,Q$2)</f>
        <v>0</v>
      </c>
      <c r="U46" s="1038"/>
      <c r="V46" s="1038"/>
      <c r="W46" s="1038"/>
      <c r="X46" s="1048"/>
      <c r="Y46" t="s">
        <v>343</v>
      </c>
      <c r="Z46" t="s">
        <v>69</v>
      </c>
      <c r="AA46">
        <v>45</v>
      </c>
      <c r="AB46" s="1038">
        <f>SUMIFS('01工程产值对比表'!$M:$M,'01工程产值对比表'!$D:$D,Y46,'01工程产值对比表'!$C:$C,Y$2)</f>
        <v>0</v>
      </c>
    </row>
    <row r="47" spans="1:28">
      <c r="A47" t="s">
        <v>344</v>
      </c>
      <c r="B47" s="697" t="s">
        <v>82</v>
      </c>
      <c r="D47" s="1038">
        <f>SUMIFS('01工程产值对比表'!$M:$M,'01工程产值对比表'!$D:$D,A47,'01工程产值对比表'!$C:$C,A$2)</f>
        <v>0</v>
      </c>
      <c r="F47" s="1039"/>
      <c r="H47" s="1038"/>
      <c r="I47" s="1049" t="s">
        <v>345</v>
      </c>
      <c r="J47" s="1046" t="s">
        <v>72</v>
      </c>
      <c r="K47" s="1050">
        <v>5</v>
      </c>
      <c r="L47" s="1047">
        <f>SUMIFS('01工程产值对比表'!$M:$M,'01工程产值对比表'!$D:$D,I47,'01工程产值对比表'!$C:$C,I$2)</f>
        <v>5950.86</v>
      </c>
      <c r="M47" s="1038"/>
      <c r="N47" s="1038"/>
      <c r="O47" s="1038"/>
      <c r="Q47" t="s">
        <v>346</v>
      </c>
      <c r="R47" s="697" t="s">
        <v>82</v>
      </c>
      <c r="S47">
        <v>570</v>
      </c>
      <c r="T47" s="1038">
        <f>SUMIFS('01工程产值对比表'!$M:$M,'01工程产值对比表'!$D:$D,Q47,'01工程产值对比表'!$C:$C,Q$2)</f>
        <v>0</v>
      </c>
      <c r="U47" s="1038"/>
      <c r="V47" s="1038"/>
      <c r="W47" s="1038"/>
      <c r="X47" s="1048"/>
      <c r="Y47" t="s">
        <v>347</v>
      </c>
      <c r="Z47" t="s">
        <v>72</v>
      </c>
      <c r="AA47">
        <v>800</v>
      </c>
      <c r="AB47" s="1038">
        <f>SUMIFS('01工程产值对比表'!$M:$M,'01工程产值对比表'!$D:$D,Y47,'01工程产值对比表'!$C:$C,Y$2)</f>
        <v>0</v>
      </c>
    </row>
    <row r="48" spans="1:28">
      <c r="A48" t="s">
        <v>348</v>
      </c>
      <c r="B48" s="697" t="s">
        <v>72</v>
      </c>
      <c r="C48">
        <v>120</v>
      </c>
      <c r="D48" s="1038">
        <f>SUMIFS('01工程产值对比表'!$M:$M,'01工程产值对比表'!$D:$D,A48,'01工程产值对比表'!$C:$C,A$2)</f>
        <v>38.9125</v>
      </c>
      <c r="F48" s="1039"/>
      <c r="H48" s="1038"/>
      <c r="I48" s="1049" t="s">
        <v>349</v>
      </c>
      <c r="J48" s="1046" t="s">
        <v>72</v>
      </c>
      <c r="K48" s="1050">
        <v>1.6</v>
      </c>
      <c r="L48" s="1047">
        <f>SUMIFS('01工程产值对比表'!$M:$M,'01工程产值对比表'!$D:$D,I48,'01工程产值对比表'!$C:$C,I$2)</f>
        <v>11616</v>
      </c>
      <c r="M48" s="1038"/>
      <c r="N48" s="1038"/>
      <c r="O48" s="1038"/>
      <c r="P48" s="1048"/>
      <c r="Q48" t="s">
        <v>350</v>
      </c>
      <c r="R48" s="697" t="s">
        <v>190</v>
      </c>
      <c r="S48">
        <v>200</v>
      </c>
      <c r="T48" s="1038">
        <f>SUMIFS('01工程产值对比表'!$M:$M,'01工程产值对比表'!$D:$D,Q48,'01工程产值对比表'!$C:$C,Q$2)</f>
        <v>0</v>
      </c>
      <c r="U48" s="1038"/>
      <c r="V48" s="1038"/>
      <c r="W48" s="1038"/>
      <c r="X48" s="1048"/>
      <c r="Y48" t="s">
        <v>351</v>
      </c>
      <c r="Z48" t="s">
        <v>200</v>
      </c>
      <c r="AA48">
        <v>50000</v>
      </c>
      <c r="AB48" s="1038">
        <f>SUMIFS('01工程产值对比表'!$M:$M,'01工程产值对比表'!$D:$D,Y48,'01工程产值对比表'!$C:$C,Y$2)</f>
        <v>0</v>
      </c>
    </row>
    <row r="49" spans="1:28">
      <c r="A49" t="s">
        <v>352</v>
      </c>
      <c r="B49" s="697" t="s">
        <v>76</v>
      </c>
      <c r="D49" s="1038">
        <f>SUMIFS('01工程产值对比表'!$M:$M,'01工程产值对比表'!$D:$D,A49,'01工程产值对比表'!$C:$C,A$2)</f>
        <v>0</v>
      </c>
      <c r="F49" s="1039"/>
      <c r="H49" s="1038"/>
      <c r="I49" s="1049" t="s">
        <v>353</v>
      </c>
      <c r="J49" s="1046" t="s">
        <v>72</v>
      </c>
      <c r="K49" s="1050">
        <v>8.5</v>
      </c>
      <c r="L49" s="1047">
        <f>SUMIFS('01工程产值对比表'!$M:$M,'01工程产值对比表'!$D:$D,I49,'01工程产值对比表'!$C:$C,I$2)</f>
        <v>0</v>
      </c>
      <c r="M49" s="1038"/>
      <c r="N49" s="1038"/>
      <c r="O49" s="1038"/>
      <c r="P49" s="1048"/>
      <c r="Q49" t="s">
        <v>354</v>
      </c>
      <c r="R49" s="697" t="s">
        <v>72</v>
      </c>
      <c r="S49">
        <v>100</v>
      </c>
      <c r="T49" s="1038">
        <f>SUMIFS('01工程产值对比表'!$M:$M,'01工程产值对比表'!$D:$D,Q49,'01工程产值对比表'!$C:$C,Q$2)</f>
        <v>0</v>
      </c>
      <c r="U49" s="1038"/>
      <c r="V49" s="1038"/>
      <c r="W49" s="1038"/>
      <c r="X49" s="1048"/>
      <c r="Y49" t="s">
        <v>355</v>
      </c>
      <c r="Z49" t="s">
        <v>76</v>
      </c>
      <c r="AA49">
        <v>200</v>
      </c>
      <c r="AB49" s="1038">
        <f>SUMIFS('01工程产值对比表'!$M:$M,'01工程产值对比表'!$D:$D,Y49,'01工程产值对比表'!$C:$C,Y$2)</f>
        <v>0</v>
      </c>
    </row>
    <row r="50" spans="1:28">
      <c r="A50" s="889" t="s">
        <v>356</v>
      </c>
      <c r="B50" s="697" t="s">
        <v>72</v>
      </c>
      <c r="D50" s="1038">
        <f>SUMIFS('01工程产值对比表'!$M:$M,'01工程产值对比表'!$D:$D,A50,'01工程产值对比表'!$C:$C,A$2)</f>
        <v>0</v>
      </c>
      <c r="F50" s="1039"/>
      <c r="H50" s="1038"/>
      <c r="I50" s="1049" t="s">
        <v>357</v>
      </c>
      <c r="J50" s="1046" t="s">
        <v>72</v>
      </c>
      <c r="K50" s="1050">
        <v>4.5</v>
      </c>
      <c r="L50" s="1047">
        <f>SUMIFS('01工程产值对比表'!$M:$M,'01工程产值对比表'!$D:$D,I50,'01工程产值对比表'!$C:$C,I$2)</f>
        <v>0</v>
      </c>
      <c r="M50" s="1038"/>
      <c r="N50" s="1038"/>
      <c r="O50" s="1038"/>
      <c r="P50" s="1052"/>
      <c r="Q50" t="s">
        <v>358</v>
      </c>
      <c r="R50" s="697" t="s">
        <v>76</v>
      </c>
      <c r="S50">
        <v>65</v>
      </c>
      <c r="T50" s="1038">
        <f>SUMIFS('01工程产值对比表'!$M:$M,'01工程产值对比表'!$D:$D,Q50,'01工程产值对比表'!$C:$C,Q$2)</f>
        <v>0</v>
      </c>
      <c r="U50" s="1038"/>
      <c r="V50" s="1038"/>
      <c r="W50" s="1038"/>
      <c r="X50" s="1048"/>
      <c r="Y50" t="s">
        <v>359</v>
      </c>
      <c r="Z50" t="s">
        <v>76</v>
      </c>
      <c r="AA50">
        <v>200</v>
      </c>
      <c r="AB50" s="1038">
        <f>SUMIFS('01工程产值对比表'!$M:$M,'01工程产值对比表'!$D:$D,Y50,'01工程产值对比表'!$C:$C,Y$2)</f>
        <v>0</v>
      </c>
    </row>
    <row r="51" spans="1:28">
      <c r="A51" s="889" t="s">
        <v>360</v>
      </c>
      <c r="B51" s="697" t="s">
        <v>82</v>
      </c>
      <c r="D51" s="1038">
        <f>SUMIFS('01工程产值对比表'!$M:$M,'01工程产值对比表'!$D:$D,A51,'01工程产值对比表'!$C:$C,A$2)</f>
        <v>0</v>
      </c>
      <c r="F51" s="1039"/>
      <c r="H51" s="1038"/>
      <c r="I51" s="1049" t="s">
        <v>361</v>
      </c>
      <c r="J51" s="1046" t="s">
        <v>362</v>
      </c>
      <c r="K51" s="1050">
        <v>3.88</v>
      </c>
      <c r="L51" s="1047">
        <f>SUMIFS('01工程产值对比表'!$M:$M,'01工程产值对比表'!$D:$D,I51,'01工程产值对比表'!$C:$C,I$2)</f>
        <v>0</v>
      </c>
      <c r="M51" s="1038"/>
      <c r="N51" s="1038"/>
      <c r="O51" s="1038"/>
      <c r="P51" s="1052"/>
      <c r="Q51" t="s">
        <v>363</v>
      </c>
      <c r="R51" s="697" t="s">
        <v>82</v>
      </c>
      <c r="S51">
        <v>620</v>
      </c>
      <c r="T51" s="1038">
        <f>SUMIFS('01工程产值对比表'!$M:$M,'01工程产值对比表'!$D:$D,Q51,'01工程产值对比表'!$C:$C,Q$2)</f>
        <v>0</v>
      </c>
      <c r="U51" s="1038"/>
      <c r="V51" s="1038"/>
      <c r="W51" s="1038"/>
      <c r="X51" s="1048"/>
      <c r="Y51" t="s">
        <v>364</v>
      </c>
      <c r="Z51" t="s">
        <v>185</v>
      </c>
      <c r="AA51">
        <v>55</v>
      </c>
      <c r="AB51" s="1038">
        <f>SUMIFS('01工程产值对比表'!$M:$M,'01工程产值对比表'!$D:$D,Y51,'01工程产值对比表'!$C:$C,Y$2)</f>
        <v>0</v>
      </c>
    </row>
    <row r="52" spans="1:28">
      <c r="A52" t="s">
        <v>365</v>
      </c>
      <c r="B52" s="697" t="s">
        <v>366</v>
      </c>
      <c r="D52" s="1038">
        <f>SUMIFS('01工程产值对比表'!$M:$M,'01工程产值对比表'!$D:$D,A52,'01工程产值对比表'!$C:$C,A$2)</f>
        <v>0</v>
      </c>
      <c r="F52" s="1039"/>
      <c r="H52" s="1038"/>
      <c r="I52" s="1049" t="s">
        <v>367</v>
      </c>
      <c r="J52" s="1046" t="s">
        <v>72</v>
      </c>
      <c r="K52" s="1050">
        <v>3.45</v>
      </c>
      <c r="L52" s="1047">
        <f>SUMIFS('01工程产值对比表'!$M:$M,'01工程产值对比表'!$D:$D,I52,'01工程产值对比表'!$C:$C,I$2)</f>
        <v>2202.7</v>
      </c>
      <c r="M52" s="1038"/>
      <c r="N52" s="1038"/>
      <c r="O52" s="1038"/>
      <c r="P52" s="1052"/>
      <c r="Q52" t="s">
        <v>368</v>
      </c>
      <c r="R52" s="697" t="s">
        <v>72</v>
      </c>
      <c r="S52">
        <v>58</v>
      </c>
      <c r="T52" s="1038">
        <f>SUMIFS('01工程产值对比表'!$M:$M,'01工程产值对比表'!$D:$D,Q52,'01工程产值对比表'!$C:$C,Q$2)</f>
        <v>0</v>
      </c>
      <c r="U52" s="1038"/>
      <c r="V52" s="1038"/>
      <c r="W52" s="1038"/>
      <c r="X52" s="1048"/>
      <c r="Y52" t="s">
        <v>369</v>
      </c>
      <c r="Z52" t="s">
        <v>185</v>
      </c>
      <c r="AA52">
        <v>300</v>
      </c>
      <c r="AB52" s="1038">
        <f>SUMIFS('01工程产值对比表'!$M:$M,'01工程产值对比表'!$D:$D,Y52,'01工程产值对比表'!$C:$C,Y$2)</f>
        <v>0</v>
      </c>
    </row>
    <row r="53" ht="31.5" spans="1:28">
      <c r="A53" s="889" t="s">
        <v>370</v>
      </c>
      <c r="B53" s="697" t="s">
        <v>82</v>
      </c>
      <c r="D53" s="1038">
        <f>SUMIFS('01工程产值对比表'!$M:$M,'01工程产值对比表'!$D:$D,A53,'01工程产值对比表'!$C:$C,A$2)</f>
        <v>0</v>
      </c>
      <c r="F53" s="1039"/>
      <c r="H53" s="1038"/>
      <c r="I53" s="1049" t="s">
        <v>371</v>
      </c>
      <c r="J53" s="1046" t="s">
        <v>72</v>
      </c>
      <c r="K53" s="1050">
        <v>23</v>
      </c>
      <c r="L53" s="1047">
        <f>SUMIFS('01工程产值对比表'!$M:$M,'01工程产值对比表'!$D:$D,I53,'01工程产值对比表'!$C:$C,I$2)</f>
        <v>0</v>
      </c>
      <c r="M53" s="1038"/>
      <c r="N53" s="1038"/>
      <c r="O53" s="1038"/>
      <c r="P53" s="1052"/>
      <c r="Q53" t="s">
        <v>372</v>
      </c>
      <c r="R53" s="697" t="s">
        <v>69</v>
      </c>
      <c r="S53">
        <v>1.5</v>
      </c>
      <c r="T53" s="1038">
        <f>SUMIFS('01工程产值对比表'!$M:$M,'01工程产值对比表'!$D:$D,Q53,'01工程产值对比表'!$C:$C,Q$2)</f>
        <v>0</v>
      </c>
      <c r="U53" s="1038"/>
      <c r="V53" s="1038"/>
      <c r="W53" s="1038"/>
      <c r="X53" s="1048"/>
      <c r="Y53" t="s">
        <v>373</v>
      </c>
      <c r="Z53" t="s">
        <v>82</v>
      </c>
      <c r="AA53">
        <v>35</v>
      </c>
      <c r="AB53" s="1038">
        <f>SUMIFS('01工程产值对比表'!$M:$M,'01工程产值对比表'!$D:$D,Y53,'01工程产值对比表'!$C:$C,Y$2)</f>
        <v>0</v>
      </c>
    </row>
    <row r="54" spans="1:28">
      <c r="A54" s="889" t="s">
        <v>374</v>
      </c>
      <c r="B54" s="697" t="s">
        <v>82</v>
      </c>
      <c r="D54" s="1038">
        <f>SUMIFS('01工程产值对比表'!$M:$M,'01工程产值对比表'!$D:$D,A54,'01工程产值对比表'!$C:$C,A$2)</f>
        <v>0</v>
      </c>
      <c r="F54" s="1039"/>
      <c r="H54" s="1038"/>
      <c r="I54" s="1049" t="s">
        <v>375</v>
      </c>
      <c r="J54" s="1046" t="s">
        <v>72</v>
      </c>
      <c r="K54" s="1050">
        <v>6</v>
      </c>
      <c r="L54" s="1047">
        <f>SUMIFS('01工程产值对比表'!$M:$M,'01工程产值对比表'!$D:$D,I54,'01工程产值对比表'!$C:$C,I$2)</f>
        <v>0</v>
      </c>
      <c r="M54" s="1038"/>
      <c r="N54" s="1038"/>
      <c r="O54" s="1038"/>
      <c r="P54" s="1048"/>
      <c r="Q54" t="s">
        <v>376</v>
      </c>
      <c r="R54" s="697" t="s">
        <v>72</v>
      </c>
      <c r="S54">
        <v>10</v>
      </c>
      <c r="T54" s="1038">
        <f>SUMIFS('01工程产值对比表'!$M:$M,'01工程产值对比表'!$D:$D,Q54,'01工程产值对比表'!$C:$C,Q$2)</f>
        <v>0</v>
      </c>
      <c r="U54" s="1038"/>
      <c r="V54" s="1038"/>
      <c r="W54" s="1038"/>
      <c r="X54" s="1048"/>
      <c r="Y54" t="s">
        <v>377</v>
      </c>
      <c r="Z54" t="s">
        <v>76</v>
      </c>
      <c r="AA54">
        <v>500</v>
      </c>
      <c r="AB54" s="1038">
        <f>SUMIFS('01工程产值对比表'!$M:$M,'01工程产值对比表'!$D:$D,Y54,'01工程产值对比表'!$C:$C,Y$2)</f>
        <v>0</v>
      </c>
    </row>
    <row r="55" spans="1:28">
      <c r="A55" s="889" t="s">
        <v>378</v>
      </c>
      <c r="B55" s="697" t="s">
        <v>69</v>
      </c>
      <c r="D55" s="1038">
        <f>SUMIFS('01工程产值对比表'!$M:$M,'01工程产值对比表'!$D:$D,A55,'01工程产值对比表'!$C:$C,A$2)</f>
        <v>0</v>
      </c>
      <c r="F55" s="1039"/>
      <c r="H55" s="1038"/>
      <c r="I55" s="1049" t="s">
        <v>379</v>
      </c>
      <c r="J55" s="1046" t="s">
        <v>69</v>
      </c>
      <c r="K55" s="1050">
        <v>18</v>
      </c>
      <c r="L55" s="1047">
        <f>SUMIFS('01工程产值对比表'!$M:$M,'01工程产值对比表'!$D:$D,I55,'01工程产值对比表'!$C:$C,I$2)</f>
        <v>0</v>
      </c>
      <c r="M55" s="1038"/>
      <c r="N55" s="1038"/>
      <c r="O55" s="1038"/>
      <c r="P55" s="1048"/>
      <c r="Q55" t="s">
        <v>380</v>
      </c>
      <c r="R55" s="697" t="s">
        <v>76</v>
      </c>
      <c r="S55">
        <v>15</v>
      </c>
      <c r="T55" s="1038">
        <f>SUMIFS('01工程产值对比表'!$M:$M,'01工程产值对比表'!$D:$D,Q55,'01工程产值对比表'!$C:$C,Q$2)</f>
        <v>0</v>
      </c>
      <c r="U55" s="1038"/>
      <c r="V55" s="1038"/>
      <c r="W55" s="1038"/>
      <c r="X55" s="1048"/>
      <c r="Y55" t="s">
        <v>381</v>
      </c>
      <c r="Z55" t="s">
        <v>72</v>
      </c>
      <c r="AA55">
        <v>800</v>
      </c>
      <c r="AB55" s="1038">
        <f>SUMIFS('01工程产值对比表'!$M:$M,'01工程产值对比表'!$D:$D,Y55,'01工程产值对比表'!$C:$C,Y$2)</f>
        <v>0</v>
      </c>
    </row>
    <row r="56" spans="1:28">
      <c r="A56" t="s">
        <v>382</v>
      </c>
      <c r="B56" s="697" t="s">
        <v>76</v>
      </c>
      <c r="C56">
        <v>80</v>
      </c>
      <c r="D56" s="1038">
        <f>SUMIFS('01工程产值对比表'!$M:$M,'01工程产值对比表'!$D:$D,A56,'01工程产值对比表'!$C:$C,A$2)</f>
        <v>0</v>
      </c>
      <c r="F56" s="1039"/>
      <c r="H56" s="1038"/>
      <c r="I56" s="1049" t="s">
        <v>383</v>
      </c>
      <c r="J56" s="1046" t="s">
        <v>69</v>
      </c>
      <c r="K56" s="1050">
        <v>1.5</v>
      </c>
      <c r="L56" s="1047">
        <f>SUMIFS('01工程产值对比表'!$M:$M,'01工程产值对比表'!$D:$D,I56,'01工程产值对比表'!$C:$C,I$2)</f>
        <v>0</v>
      </c>
      <c r="M56" s="1038"/>
      <c r="N56" s="1038"/>
      <c r="O56" s="1038"/>
      <c r="P56" s="1048"/>
      <c r="Q56" t="s">
        <v>384</v>
      </c>
      <c r="R56" s="697" t="s">
        <v>76</v>
      </c>
      <c r="S56">
        <v>10</v>
      </c>
      <c r="T56" s="1038">
        <f>SUMIFS('01工程产值对比表'!$M:$M,'01工程产值对比表'!$D:$D,Q56,'01工程产值对比表'!$C:$C,Q$2)</f>
        <v>0</v>
      </c>
      <c r="U56" s="1038"/>
      <c r="V56" s="1038"/>
      <c r="W56" s="1038"/>
      <c r="X56" s="1048"/>
      <c r="Y56" t="s">
        <v>385</v>
      </c>
      <c r="Z56" t="s">
        <v>72</v>
      </c>
      <c r="AA56">
        <v>800</v>
      </c>
      <c r="AB56" s="1038">
        <f>SUMIFS('01工程产值对比表'!$M:$M,'01工程产值对比表'!$D:$D,Y56,'01工程产值对比表'!$C:$C,Y$2)</f>
        <v>0</v>
      </c>
    </row>
    <row r="57" ht="31.5" spans="1:28">
      <c r="A57" s="889" t="s">
        <v>386</v>
      </c>
      <c r="B57" s="697" t="s">
        <v>76</v>
      </c>
      <c r="D57" s="1038">
        <f>SUMIFS('01工程产值对比表'!$M:$M,'01工程产值对比表'!$D:$D,A57,'01工程产值对比表'!$C:$C,A$2)</f>
        <v>0</v>
      </c>
      <c r="F57" s="1039"/>
      <c r="H57" s="1038"/>
      <c r="I57" s="1049" t="s">
        <v>387</v>
      </c>
      <c r="J57" s="1046" t="s">
        <v>69</v>
      </c>
      <c r="K57" s="1050">
        <v>1.27</v>
      </c>
      <c r="L57" s="1047">
        <f>SUMIFS('01工程产值对比表'!$M:$M,'01工程产值对比表'!$D:$D,I57,'01工程产值对比表'!$C:$C,I$2)</f>
        <v>0</v>
      </c>
      <c r="M57" s="1038"/>
      <c r="N57" s="1038"/>
      <c r="O57" s="1038"/>
      <c r="P57" s="1048"/>
      <c r="Q57" t="s">
        <v>388</v>
      </c>
      <c r="R57" s="697" t="s">
        <v>72</v>
      </c>
      <c r="S57">
        <v>164</v>
      </c>
      <c r="T57" s="1038">
        <f>SUMIFS('01工程产值对比表'!$M:$M,'01工程产值对比表'!$D:$D,Q57,'01工程产值对比表'!$C:$C,Q$2)</f>
        <v>0</v>
      </c>
      <c r="U57" s="1038"/>
      <c r="V57" s="1038"/>
      <c r="W57" s="1038"/>
      <c r="X57" s="1048"/>
      <c r="Y57" t="s">
        <v>389</v>
      </c>
      <c r="Z57" t="s">
        <v>69</v>
      </c>
      <c r="AA57">
        <v>150</v>
      </c>
      <c r="AB57" s="1038">
        <f>SUMIFS('01工程产值对比表'!$M:$M,'01工程产值对比表'!$D:$D,Y57,'01工程产值对比表'!$C:$C,Y$2)</f>
        <v>0</v>
      </c>
    </row>
    <row r="58" spans="1:28">
      <c r="A58" t="s">
        <v>390</v>
      </c>
      <c r="B58" s="697" t="s">
        <v>82</v>
      </c>
      <c r="C58">
        <v>5000</v>
      </c>
      <c r="D58" s="1038">
        <f>SUMIFS('01工程产值对比表'!$M:$M,'01工程产值对比表'!$D:$D,A58,'01工程产值对比表'!$C:$C,A$2)</f>
        <v>8.24</v>
      </c>
      <c r="F58" s="1039"/>
      <c r="H58" s="1038"/>
      <c r="I58" s="1049" t="s">
        <v>391</v>
      </c>
      <c r="J58" s="1046" t="s">
        <v>72</v>
      </c>
      <c r="K58" s="1050">
        <v>11</v>
      </c>
      <c r="L58" s="1047">
        <f>SUMIFS('01工程产值对比表'!$M:$M,'01工程产值对比表'!$D:$D,I58,'01工程产值对比表'!$C:$C,I$2)</f>
        <v>0</v>
      </c>
      <c r="M58" s="1038"/>
      <c r="N58" s="1038"/>
      <c r="O58" s="1038"/>
      <c r="P58" s="1048"/>
      <c r="Q58" t="s">
        <v>392</v>
      </c>
      <c r="R58" s="697" t="s">
        <v>72</v>
      </c>
      <c r="S58">
        <v>24</v>
      </c>
      <c r="T58" s="1038">
        <f>SUMIFS('01工程产值对比表'!$M:$M,'01工程产值对比表'!$D:$D,Q58,'01工程产值对比表'!$C:$C,Q$2)</f>
        <v>0</v>
      </c>
      <c r="U58" s="1038"/>
      <c r="V58" s="1038"/>
      <c r="W58" s="1038"/>
      <c r="X58" s="1048"/>
      <c r="Y58" t="s">
        <v>393</v>
      </c>
      <c r="Z58" t="s">
        <v>169</v>
      </c>
      <c r="AA58">
        <v>200</v>
      </c>
      <c r="AB58" s="1038">
        <f>SUMIFS('01工程产值对比表'!$M:$M,'01工程产值对比表'!$D:$D,Y58,'01工程产值对比表'!$C:$C,Y$2)</f>
        <v>0</v>
      </c>
    </row>
    <row r="59" spans="1:28">
      <c r="A59" s="889" t="s">
        <v>394</v>
      </c>
      <c r="B59" s="697" t="s">
        <v>82</v>
      </c>
      <c r="D59" s="1038">
        <f>SUMIFS('01工程产值对比表'!$M:$M,'01工程产值对比表'!$D:$D,A59,'01工程产值对比表'!$C:$C,A$2)</f>
        <v>0</v>
      </c>
      <c r="F59" s="1039"/>
      <c r="H59" s="1038"/>
      <c r="I59" s="1049" t="s">
        <v>395</v>
      </c>
      <c r="J59" s="1046" t="s">
        <v>72</v>
      </c>
      <c r="K59" s="1050">
        <v>4.5</v>
      </c>
      <c r="L59" s="1047">
        <f>SUMIFS('01工程产值对比表'!$M:$M,'01工程产值对比表'!$D:$D,I59,'01工程产值对比表'!$C:$C,I$2)</f>
        <v>0</v>
      </c>
      <c r="M59" s="1038"/>
      <c r="N59" s="1038"/>
      <c r="O59" s="1038"/>
      <c r="P59" s="1048"/>
      <c r="Q59" t="s">
        <v>396</v>
      </c>
      <c r="R59" s="697" t="s">
        <v>76</v>
      </c>
      <c r="S59">
        <v>65</v>
      </c>
      <c r="T59" s="1038">
        <f>SUMIFS('01工程产值对比表'!$M:$M,'01工程产值对比表'!$D:$D,Q59,'01工程产值对比表'!$C:$C,Q$2)</f>
        <v>0</v>
      </c>
      <c r="U59" s="1038"/>
      <c r="V59" s="1038"/>
      <c r="W59" s="1038"/>
      <c r="X59" s="1048"/>
      <c r="Y59" t="s">
        <v>397</v>
      </c>
      <c r="Z59" t="s">
        <v>76</v>
      </c>
      <c r="AA59">
        <v>55</v>
      </c>
      <c r="AB59" s="1038">
        <f>SUMIFS('01工程产值对比表'!$M:$M,'01工程产值对比表'!$D:$D,Y59,'01工程产值对比表'!$C:$C,Y$2)</f>
        <v>0</v>
      </c>
    </row>
    <row r="60" spans="1:28">
      <c r="A60" s="889" t="s">
        <v>398</v>
      </c>
      <c r="B60" s="697" t="s">
        <v>82</v>
      </c>
      <c r="C60">
        <v>4000</v>
      </c>
      <c r="D60" s="1038">
        <f>SUMIFS('01工程产值对比表'!$M:$M,'01工程产值对比表'!$D:$D,A60,'01工程产值对比表'!$C:$C,A$2)</f>
        <v>0</v>
      </c>
      <c r="F60" s="1039"/>
      <c r="H60" s="1038"/>
      <c r="I60" s="1049" t="s">
        <v>399</v>
      </c>
      <c r="J60" s="1046" t="s">
        <v>69</v>
      </c>
      <c r="K60" s="1050">
        <v>3.3</v>
      </c>
      <c r="L60" s="1047">
        <f>SUMIFS('01工程产值对比表'!$M:$M,'01工程产值对比表'!$D:$D,I60,'01工程产值对比表'!$C:$C,I$2)</f>
        <v>0</v>
      </c>
      <c r="M60" s="1038"/>
      <c r="N60" s="1038"/>
      <c r="O60" s="1038"/>
      <c r="P60" s="1048"/>
      <c r="Q60" t="s">
        <v>400</v>
      </c>
      <c r="R60" s="697" t="s">
        <v>69</v>
      </c>
      <c r="S60">
        <v>40</v>
      </c>
      <c r="T60" s="1038">
        <f>SUMIFS('01工程产值对比表'!$M:$M,'01工程产值对比表'!$D:$D,Q60,'01工程产值对比表'!$C:$C,Q$2)</f>
        <v>0</v>
      </c>
      <c r="U60" s="1038"/>
      <c r="V60" s="1038"/>
      <c r="W60" s="1038"/>
      <c r="X60" s="1048"/>
      <c r="Y60" t="s">
        <v>401</v>
      </c>
      <c r="Z60" t="s">
        <v>69</v>
      </c>
      <c r="AA60">
        <v>55</v>
      </c>
      <c r="AB60" s="1038">
        <f>SUMIFS('01工程产值对比表'!$M:$M,'01工程产值对比表'!$D:$D,Y60,'01工程产值对比表'!$C:$C,Y$2)</f>
        <v>0</v>
      </c>
    </row>
    <row r="61" spans="1:28">
      <c r="A61" s="889" t="s">
        <v>402</v>
      </c>
      <c r="B61" s="697" t="s">
        <v>82</v>
      </c>
      <c r="C61">
        <v>90</v>
      </c>
      <c r="D61" s="1038">
        <f>SUMIFS('01工程产值对比表'!$M:$M,'01工程产值对比表'!$D:$D,A61,'01工程产值对比表'!$C:$C,A$2)</f>
        <v>0</v>
      </c>
      <c r="F61" s="1039"/>
      <c r="H61" s="1038"/>
      <c r="I61" s="1049" t="s">
        <v>403</v>
      </c>
      <c r="J61" s="1046" t="s">
        <v>72</v>
      </c>
      <c r="K61" s="1050">
        <v>6</v>
      </c>
      <c r="L61" s="1047">
        <f>SUMIFS('01工程产值对比表'!$M:$M,'01工程产值对比表'!$D:$D,I61,'01工程产值对比表'!$C:$C,I$2)</f>
        <v>0</v>
      </c>
      <c r="M61" s="1038"/>
      <c r="N61" s="1038"/>
      <c r="O61" s="1038"/>
      <c r="P61" s="1048"/>
      <c r="Q61" t="s">
        <v>404</v>
      </c>
      <c r="R61" s="697" t="s">
        <v>72</v>
      </c>
      <c r="S61">
        <v>100</v>
      </c>
      <c r="T61" s="1038">
        <f>SUMIFS('01工程产值对比表'!$M:$M,'01工程产值对比表'!$D:$D,Q61,'01工程产值对比表'!$C:$C,Q$2)</f>
        <v>0</v>
      </c>
      <c r="U61" s="1038"/>
      <c r="V61" s="1038"/>
      <c r="W61" s="1038"/>
      <c r="X61" s="1048"/>
      <c r="Y61" t="s">
        <v>405</v>
      </c>
      <c r="Z61" t="s">
        <v>82</v>
      </c>
      <c r="AA61">
        <v>7500</v>
      </c>
      <c r="AB61" s="1038">
        <f>SUMIFS('01工程产值对比表'!$M:$M,'01工程产值对比表'!$D:$D,Y61,'01工程产值对比表'!$C:$C,Y$2)</f>
        <v>0</v>
      </c>
    </row>
    <row r="62" ht="31.5" spans="1:28">
      <c r="A62" s="889" t="s">
        <v>406</v>
      </c>
      <c r="B62" s="697" t="s">
        <v>82</v>
      </c>
      <c r="D62" s="1038">
        <f>SUMIFS('01工程产值对比表'!$M:$M,'01工程产值对比表'!$D:$D,A62,'01工程产值对比表'!$C:$C,A$2)</f>
        <v>0</v>
      </c>
      <c r="F62" s="1039"/>
      <c r="H62" s="1038"/>
      <c r="I62" s="1049" t="s">
        <v>407</v>
      </c>
      <c r="J62" s="1046" t="s">
        <v>72</v>
      </c>
      <c r="K62" s="1050">
        <v>14</v>
      </c>
      <c r="L62" s="1047">
        <f>SUMIFS('01工程产值对比表'!$M:$M,'01工程产值对比表'!$D:$D,I62,'01工程产值对比表'!$C:$C,I$2)</f>
        <v>0</v>
      </c>
      <c r="M62" s="1038"/>
      <c r="N62" s="1038"/>
      <c r="O62" s="1038"/>
      <c r="P62" s="1048"/>
      <c r="Q62" t="s">
        <v>408</v>
      </c>
      <c r="R62" s="697" t="s">
        <v>82</v>
      </c>
      <c r="S62">
        <v>570</v>
      </c>
      <c r="T62" s="1038">
        <f>SUMIFS('01工程产值对比表'!$M:$M,'01工程产值对比表'!$D:$D,Q62,'01工程产值对比表'!$C:$C,Q$2)</f>
        <v>0</v>
      </c>
      <c r="U62" s="1038"/>
      <c r="V62" s="1038"/>
      <c r="W62" s="1038"/>
      <c r="X62" s="1048"/>
      <c r="Y62" t="s">
        <v>409</v>
      </c>
      <c r="Z62" t="s">
        <v>169</v>
      </c>
      <c r="AA62">
        <v>35</v>
      </c>
      <c r="AB62" s="1038">
        <f>SUMIFS('01工程产值对比表'!$M:$M,'01工程产值对比表'!$D:$D,Y62,'01工程产值对比表'!$C:$C,Y$2)</f>
        <v>0</v>
      </c>
    </row>
    <row r="63" ht="47.25" spans="1:28">
      <c r="A63" s="889" t="s">
        <v>410</v>
      </c>
      <c r="B63" s="697" t="s">
        <v>69</v>
      </c>
      <c r="D63" s="1038">
        <f>SUMIFS('01工程产值对比表'!$M:$M,'01工程产值对比表'!$D:$D,A63,'01工程产值对比表'!$C:$C,A$2)</f>
        <v>0</v>
      </c>
      <c r="F63" s="1039"/>
      <c r="H63" s="1038"/>
      <c r="I63" s="1049" t="s">
        <v>411</v>
      </c>
      <c r="J63" s="1046" t="s">
        <v>72</v>
      </c>
      <c r="K63" s="1050">
        <v>15</v>
      </c>
      <c r="L63" s="1047">
        <f>SUMIFS('01工程产值对比表'!$M:$M,'01工程产值对比表'!$D:$D,I63,'01工程产值对比表'!$C:$C,I$2)</f>
        <v>0</v>
      </c>
      <c r="M63" s="1038"/>
      <c r="N63" s="1038"/>
      <c r="O63" s="1038"/>
      <c r="P63" s="1048"/>
      <c r="Q63" t="s">
        <v>412</v>
      </c>
      <c r="R63" s="697" t="s">
        <v>69</v>
      </c>
      <c r="S63">
        <v>6</v>
      </c>
      <c r="T63" s="1038">
        <f>SUMIFS('01工程产值对比表'!$M:$M,'01工程产值对比表'!$D:$D,Q63,'01工程产值对比表'!$C:$C,Q$2)</f>
        <v>0</v>
      </c>
      <c r="U63" s="1038"/>
      <c r="V63" s="1038"/>
      <c r="W63" s="1038"/>
      <c r="X63" s="1048"/>
      <c r="Y63" t="s">
        <v>413</v>
      </c>
      <c r="Z63" t="s">
        <v>169</v>
      </c>
      <c r="AA63">
        <v>350</v>
      </c>
      <c r="AB63" s="1038">
        <f>SUMIFS('01工程产值对比表'!$M:$M,'01工程产值对比表'!$D:$D,Y63,'01工程产值对比表'!$C:$C,Y$2)</f>
        <v>0</v>
      </c>
    </row>
    <row r="64" spans="1:28">
      <c r="A64" s="889" t="s">
        <v>414</v>
      </c>
      <c r="B64" s="697" t="s">
        <v>76</v>
      </c>
      <c r="D64" s="1038">
        <f>SUMIFS('01工程产值对比表'!$M:$M,'01工程产值对比表'!$D:$D,A64,'01工程产值对比表'!$C:$C,A$2)</f>
        <v>0</v>
      </c>
      <c r="F64" s="1039"/>
      <c r="H64" s="1038"/>
      <c r="I64" s="1049" t="s">
        <v>415</v>
      </c>
      <c r="J64" s="1046" t="s">
        <v>72</v>
      </c>
      <c r="K64" s="1050">
        <v>2.5</v>
      </c>
      <c r="L64" s="1047">
        <f>SUMIFS('01工程产值对比表'!$M:$M,'01工程产值对比表'!$D:$D,I64,'01工程产值对比表'!$C:$C,I$2)</f>
        <v>0</v>
      </c>
      <c r="M64" s="1038"/>
      <c r="N64" s="1038"/>
      <c r="O64" s="1038"/>
      <c r="P64" s="1048"/>
      <c r="Q64" t="s">
        <v>416</v>
      </c>
      <c r="R64" s="697" t="s">
        <v>82</v>
      </c>
      <c r="S64">
        <v>970</v>
      </c>
      <c r="T64" s="1038">
        <f>SUMIFS('01工程产值对比表'!$M:$M,'01工程产值对比表'!$D:$D,Q64,'01工程产值对比表'!$C:$C,Q$2)</f>
        <v>0</v>
      </c>
      <c r="U64" s="1038"/>
      <c r="V64" s="1038"/>
      <c r="W64" s="1038"/>
      <c r="X64" s="1048"/>
      <c r="Y64" t="s">
        <v>417</v>
      </c>
      <c r="Z64" t="s">
        <v>180</v>
      </c>
      <c r="AA64">
        <v>50</v>
      </c>
      <c r="AB64" s="1038">
        <f>SUMIFS('01工程产值对比表'!$M:$M,'01工程产值对比表'!$D:$D,Y64,'01工程产值对比表'!$C:$C,Y$2)</f>
        <v>0</v>
      </c>
    </row>
    <row r="65" spans="1:28">
      <c r="A65" s="889" t="s">
        <v>418</v>
      </c>
      <c r="B65" s="697" t="s">
        <v>82</v>
      </c>
      <c r="D65" s="1038">
        <f>SUMIFS('01工程产值对比表'!$M:$M,'01工程产值对比表'!$D:$D,A65,'01工程产值对比表'!$C:$C,A$2)</f>
        <v>0</v>
      </c>
      <c r="F65" s="1039"/>
      <c r="H65" s="1038"/>
      <c r="I65" s="1049" t="s">
        <v>419</v>
      </c>
      <c r="J65" s="1046" t="s">
        <v>69</v>
      </c>
      <c r="K65" s="1050"/>
      <c r="L65" s="1047">
        <f>SUMIFS('01工程产值对比表'!$M:$M,'01工程产值对比表'!$D:$D,I65,'01工程产值对比表'!$C:$C,I$2)</f>
        <v>0</v>
      </c>
      <c r="M65" s="1038"/>
      <c r="N65" s="1038"/>
      <c r="O65" s="1038"/>
      <c r="P65" s="1048"/>
      <c r="Q65" t="s">
        <v>420</v>
      </c>
      <c r="R65" s="697" t="s">
        <v>82</v>
      </c>
      <c r="S65">
        <v>620</v>
      </c>
      <c r="T65" s="1038">
        <f>SUMIFS('01工程产值对比表'!$M:$M,'01工程产值对比表'!$D:$D,Q65,'01工程产值对比表'!$C:$C,Q$2)</f>
        <v>0</v>
      </c>
      <c r="U65" s="1038"/>
      <c r="V65" s="1038"/>
      <c r="W65" s="1038"/>
      <c r="X65" s="1048"/>
      <c r="Y65" t="s">
        <v>421</v>
      </c>
      <c r="Z65" t="s">
        <v>180</v>
      </c>
      <c r="AA65">
        <v>550</v>
      </c>
      <c r="AB65" s="1038">
        <f>SUMIFS('01工程产值对比表'!$M:$M,'01工程产值对比表'!$D:$D,Y65,'01工程产值对比表'!$C:$C,Y$2)</f>
        <v>0</v>
      </c>
    </row>
    <row r="66" spans="1:28">
      <c r="A66" s="889" t="s">
        <v>422</v>
      </c>
      <c r="B66" s="697" t="s">
        <v>185</v>
      </c>
      <c r="D66" s="1038">
        <f>SUMIFS('01工程产值对比表'!$M:$M,'01工程产值对比表'!$D:$D,A66,'01工程产值对比表'!$C:$C,A$2)</f>
        <v>0</v>
      </c>
      <c r="F66" s="1039"/>
      <c r="H66" s="1038"/>
      <c r="I66" s="1049" t="s">
        <v>423</v>
      </c>
      <c r="J66" s="1046" t="s">
        <v>72</v>
      </c>
      <c r="K66" s="1050">
        <v>4.3</v>
      </c>
      <c r="L66" s="1047">
        <f>SUMIFS('01工程产值对比表'!$M:$M,'01工程产值对比表'!$D:$D,I66,'01工程产值对比表'!$C:$C,I$2)</f>
        <v>982.4</v>
      </c>
      <c r="M66" s="1038"/>
      <c r="N66" s="1038"/>
      <c r="O66" s="1038"/>
      <c r="P66" s="1048"/>
      <c r="Q66" t="s">
        <v>424</v>
      </c>
      <c r="R66" s="697" t="s">
        <v>82</v>
      </c>
      <c r="S66">
        <v>920</v>
      </c>
      <c r="T66" s="1038">
        <f>SUMIFS('01工程产值对比表'!$M:$M,'01工程产值对比表'!$D:$D,Q66,'01工程产值对比表'!$C:$C,Q$2)</f>
        <v>0</v>
      </c>
      <c r="U66" s="1038"/>
      <c r="V66" s="1038"/>
      <c r="W66" s="1038"/>
      <c r="X66" s="1048"/>
      <c r="Y66" t="s">
        <v>425</v>
      </c>
      <c r="Z66" t="s">
        <v>180</v>
      </c>
      <c r="AA66">
        <v>350</v>
      </c>
      <c r="AB66" s="1038">
        <f>SUMIFS('01工程产值对比表'!$M:$M,'01工程产值对比表'!$D:$D,Y66,'01工程产值对比表'!$C:$C,Y$2)</f>
        <v>0</v>
      </c>
    </row>
    <row r="67" ht="47.25" spans="1:28">
      <c r="A67" s="889" t="s">
        <v>426</v>
      </c>
      <c r="B67" s="697" t="s">
        <v>185</v>
      </c>
      <c r="D67" s="1038">
        <f>SUMIFS('01工程产值对比表'!$M:$M,'01工程产值对比表'!$D:$D,A67,'01工程产值对比表'!$C:$C,A$2)</f>
        <v>0</v>
      </c>
      <c r="F67" s="1039"/>
      <c r="H67" s="1038"/>
      <c r="I67" s="1049" t="s">
        <v>427</v>
      </c>
      <c r="J67" s="1046" t="s">
        <v>69</v>
      </c>
      <c r="K67" s="1050">
        <v>5.5</v>
      </c>
      <c r="L67" s="1047">
        <f>SUMIFS('01工程产值对比表'!$M:$M,'01工程产值对比表'!$D:$D,I67,'01工程产值对比表'!$C:$C,I$2)</f>
        <v>0</v>
      </c>
      <c r="M67" s="1038"/>
      <c r="N67" s="1038"/>
      <c r="O67" s="1038"/>
      <c r="P67" s="1048"/>
      <c r="Q67" t="s">
        <v>428</v>
      </c>
      <c r="R67" s="697" t="s">
        <v>76</v>
      </c>
      <c r="S67">
        <v>100</v>
      </c>
      <c r="T67" s="1038">
        <f>SUMIFS('01工程产值对比表'!$M:$M,'01工程产值对比表'!$D:$D,Q67,'01工程产值对比表'!$C:$C,Q$2)</f>
        <v>0</v>
      </c>
      <c r="U67" s="1038"/>
      <c r="V67" s="1038"/>
      <c r="W67" s="1038"/>
      <c r="X67" s="1048"/>
      <c r="Y67" t="s">
        <v>429</v>
      </c>
      <c r="Z67" t="s">
        <v>76</v>
      </c>
      <c r="AA67">
        <v>55</v>
      </c>
      <c r="AB67" s="1038">
        <f>SUMIFS('01工程产值对比表'!$M:$M,'01工程产值对比表'!$D:$D,Y67,'01工程产值对比表'!$C:$C,Y$2)</f>
        <v>0</v>
      </c>
    </row>
    <row r="68" spans="1:28">
      <c r="A68" t="s">
        <v>430</v>
      </c>
      <c r="B68" s="697" t="s">
        <v>185</v>
      </c>
      <c r="D68" s="1038">
        <f>SUMIFS('01工程产值对比表'!$M:$M,'01工程产值对比表'!$D:$D,A68,'01工程产值对比表'!$C:$C,A$2)</f>
        <v>0</v>
      </c>
      <c r="F68" s="1039"/>
      <c r="H68" s="1038"/>
      <c r="I68" s="1049" t="s">
        <v>431</v>
      </c>
      <c r="J68" s="1046" t="s">
        <v>76</v>
      </c>
      <c r="K68" s="1050">
        <v>370</v>
      </c>
      <c r="L68" s="1047">
        <f>SUMIFS('01工程产值对比表'!$M:$M,'01工程产值对比表'!$D:$D,I68,'01工程产值对比表'!$C:$C,I$2)</f>
        <v>0</v>
      </c>
      <c r="M68" s="1038"/>
      <c r="N68" s="1038"/>
      <c r="O68" s="1038"/>
      <c r="P68" s="1048"/>
      <c r="Q68" t="s">
        <v>432</v>
      </c>
      <c r="R68" s="697" t="s">
        <v>82</v>
      </c>
      <c r="S68">
        <v>570</v>
      </c>
      <c r="T68" s="1038">
        <f>SUMIFS('01工程产值对比表'!$M:$M,'01工程产值对比表'!$D:$D,Q68,'01工程产值对比表'!$C:$C,Q$2)</f>
        <v>0</v>
      </c>
      <c r="U68" s="1038"/>
      <c r="V68" s="1038"/>
      <c r="W68" s="1038"/>
      <c r="X68" s="1048"/>
      <c r="Y68" t="s">
        <v>433</v>
      </c>
      <c r="Z68" t="s">
        <v>76</v>
      </c>
      <c r="AA68">
        <v>35</v>
      </c>
      <c r="AB68" s="1038">
        <f>SUMIFS('01工程产值对比表'!$M:$M,'01工程产值对比表'!$D:$D,Y68,'01工程产值对比表'!$C:$C,Y$2)</f>
        <v>0</v>
      </c>
    </row>
    <row r="69" ht="31.5" spans="1:28">
      <c r="A69" s="889" t="s">
        <v>434</v>
      </c>
      <c r="B69" s="697" t="s">
        <v>211</v>
      </c>
      <c r="D69" s="1038">
        <f>SUMIFS('01工程产值对比表'!$M:$M,'01工程产值对比表'!$D:$D,A69,'01工程产值对比表'!$C:$C,A$2)</f>
        <v>0</v>
      </c>
      <c r="F69" s="1039"/>
      <c r="H69" s="1038"/>
      <c r="I69" s="1049" t="s">
        <v>435</v>
      </c>
      <c r="J69" s="1046" t="s">
        <v>69</v>
      </c>
      <c r="K69" s="1050">
        <v>4</v>
      </c>
      <c r="L69" s="1047">
        <f>SUMIFS('01工程产值对比表'!$M:$M,'01工程产值对比表'!$D:$D,I69,'01工程产值对比表'!$C:$C,I$2)</f>
        <v>0</v>
      </c>
      <c r="M69" s="1038"/>
      <c r="N69" s="1038"/>
      <c r="O69" s="1038"/>
      <c r="P69" s="1048"/>
      <c r="Q69" t="s">
        <v>436</v>
      </c>
      <c r="R69" s="697" t="s">
        <v>72</v>
      </c>
      <c r="S69">
        <v>150</v>
      </c>
      <c r="T69" s="1038">
        <f>SUMIFS('01工程产值对比表'!$M:$M,'01工程产值对比表'!$D:$D,Q69,'01工程产值对比表'!$C:$C,Q$2)</f>
        <v>0</v>
      </c>
      <c r="U69" s="1038"/>
      <c r="V69" s="1038"/>
      <c r="W69" s="1038"/>
      <c r="X69" s="1048"/>
      <c r="Y69" t="s">
        <v>437</v>
      </c>
      <c r="Z69" t="s">
        <v>69</v>
      </c>
      <c r="AA69">
        <v>95</v>
      </c>
      <c r="AB69" s="1038">
        <f>SUMIFS('01工程产值对比表'!$M:$M,'01工程产值对比表'!$D:$D,Y69,'01工程产值对比表'!$C:$C,Y$2)</f>
        <v>0</v>
      </c>
    </row>
    <row r="70" spans="1:28">
      <c r="A70" t="s">
        <v>438</v>
      </c>
      <c r="B70" s="697" t="s">
        <v>76</v>
      </c>
      <c r="D70" s="1038">
        <f>SUMIFS('01工程产值对比表'!$M:$M,'01工程产值对比表'!$D:$D,A70,'01工程产值对比表'!$C:$C,A$2)</f>
        <v>0</v>
      </c>
      <c r="F70" s="1039"/>
      <c r="H70" s="1038"/>
      <c r="I70" s="1049" t="s">
        <v>439</v>
      </c>
      <c r="J70" s="1046" t="s">
        <v>72</v>
      </c>
      <c r="K70" s="1050">
        <v>1.5</v>
      </c>
      <c r="L70" s="1047">
        <f>SUMIFS('01工程产值对比表'!$M:$M,'01工程产值对比表'!$D:$D,I70,'01工程产值对比表'!$C:$C,I$2)</f>
        <v>0</v>
      </c>
      <c r="M70" s="1038"/>
      <c r="N70" s="1038"/>
      <c r="O70" s="1038"/>
      <c r="P70" s="1048"/>
      <c r="Q70" t="s">
        <v>440</v>
      </c>
      <c r="R70" s="697" t="s">
        <v>69</v>
      </c>
      <c r="S70">
        <v>2</v>
      </c>
      <c r="T70" s="1038">
        <f>SUMIFS('01工程产值对比表'!$M:$M,'01工程产值对比表'!$D:$D,Q70,'01工程产值对比表'!$C:$C,Q$2)</f>
        <v>0</v>
      </c>
      <c r="U70" s="1038"/>
      <c r="V70" s="1038"/>
      <c r="W70" s="1038"/>
      <c r="X70" s="1048"/>
      <c r="Y70" t="s">
        <v>441</v>
      </c>
      <c r="Z70" t="s">
        <v>69</v>
      </c>
      <c r="AA70">
        <v>45</v>
      </c>
      <c r="AB70" s="1038">
        <f>SUMIFS('01工程产值对比表'!$M:$M,'01工程产值对比表'!$D:$D,Y70,'01工程产值对比表'!$C:$C,Y$2)</f>
        <v>0</v>
      </c>
    </row>
    <row r="71" spans="1:28">
      <c r="A71" s="889" t="s">
        <v>442</v>
      </c>
      <c r="B71" s="697" t="s">
        <v>211</v>
      </c>
      <c r="D71" s="1038">
        <f>SUMIFS('01工程产值对比表'!$M:$M,'01工程产值对比表'!$D:$D,A71,'01工程产值对比表'!$C:$C,A$2)</f>
        <v>0</v>
      </c>
      <c r="F71" s="1039"/>
      <c r="H71" s="1038"/>
      <c r="I71" s="1049" t="s">
        <v>443</v>
      </c>
      <c r="J71" s="1046" t="s">
        <v>72</v>
      </c>
      <c r="K71" s="1050">
        <v>2</v>
      </c>
      <c r="L71" s="1047">
        <f>SUMIFS('01工程产值对比表'!$M:$M,'01工程产值对比表'!$D:$D,I71,'01工程产值对比表'!$C:$C,I$2)</f>
        <v>0</v>
      </c>
      <c r="M71" s="1038"/>
      <c r="N71" s="1038"/>
      <c r="O71" s="1038"/>
      <c r="P71" s="1048"/>
      <c r="Q71" t="s">
        <v>444</v>
      </c>
      <c r="R71" s="697" t="s">
        <v>69</v>
      </c>
      <c r="S71">
        <v>55</v>
      </c>
      <c r="T71" s="1038">
        <f>SUMIFS('01工程产值对比表'!$M:$M,'01工程产值对比表'!$D:$D,Q71,'01工程产值对比表'!$C:$C,Q$2)</f>
        <v>0</v>
      </c>
      <c r="U71" s="1038"/>
      <c r="V71" s="1038"/>
      <c r="W71" s="1038"/>
      <c r="X71" s="1048"/>
      <c r="Y71" t="s">
        <v>445</v>
      </c>
      <c r="Z71" t="s">
        <v>69</v>
      </c>
      <c r="AA71">
        <v>45</v>
      </c>
      <c r="AB71" s="1038">
        <f>SUMIFS('01工程产值对比表'!$M:$M,'01工程产值对比表'!$D:$D,Y71,'01工程产值对比表'!$C:$C,Y$2)</f>
        <v>0</v>
      </c>
    </row>
    <row r="72" spans="1:28">
      <c r="A72" t="s">
        <v>446</v>
      </c>
      <c r="B72" s="697" t="s">
        <v>69</v>
      </c>
      <c r="D72" s="1038">
        <f>SUMIFS('01工程产值对比表'!$M:$M,'01工程产值对比表'!$D:$D,A72,'01工程产值对比表'!$C:$C,A$2)</f>
        <v>0</v>
      </c>
      <c r="F72" s="1039"/>
      <c r="H72" s="1038"/>
      <c r="I72" s="1049" t="s">
        <v>447</v>
      </c>
      <c r="J72" s="1046" t="s">
        <v>72</v>
      </c>
      <c r="K72" s="1050">
        <v>3.5</v>
      </c>
      <c r="L72" s="1047">
        <f>SUMIFS('01工程产值对比表'!$M:$M,'01工程产值对比表'!$D:$D,I72,'01工程产值对比表'!$C:$C,I$2)</f>
        <v>0</v>
      </c>
      <c r="M72" s="1038"/>
      <c r="N72" s="1038"/>
      <c r="O72" s="1038"/>
      <c r="P72" s="1048"/>
      <c r="Q72" t="s">
        <v>448</v>
      </c>
      <c r="R72" s="697" t="s">
        <v>195</v>
      </c>
      <c r="S72">
        <v>35</v>
      </c>
      <c r="T72" s="1038">
        <f>SUMIFS('01工程产值对比表'!$M:$M,'01工程产值对比表'!$D:$D,Q72,'01工程产值对比表'!$C:$C,Q$2)</f>
        <v>0</v>
      </c>
      <c r="U72" s="1038"/>
      <c r="V72" s="1038"/>
      <c r="W72" s="1038"/>
      <c r="X72" s="1048"/>
      <c r="Y72" t="s">
        <v>449</v>
      </c>
      <c r="Z72" t="s">
        <v>180</v>
      </c>
      <c r="AA72">
        <v>800</v>
      </c>
      <c r="AB72" s="1038">
        <f>SUMIFS('01工程产值对比表'!$M:$M,'01工程产值对比表'!$D:$D,Y72,'01工程产值对比表'!$C:$C,Y$2)</f>
        <v>0</v>
      </c>
    </row>
    <row r="73" spans="1:28">
      <c r="A73" t="s">
        <v>450</v>
      </c>
      <c r="B73" s="697" t="s">
        <v>69</v>
      </c>
      <c r="D73" s="1038">
        <f>SUMIFS('01工程产值对比表'!$M:$M,'01工程产值对比表'!$D:$D,A73,'01工程产值对比表'!$C:$C,A$2)</f>
        <v>0</v>
      </c>
      <c r="F73" s="1039"/>
      <c r="H73" s="1038"/>
      <c r="I73" s="1049" t="s">
        <v>451</v>
      </c>
      <c r="J73" s="1046" t="s">
        <v>72</v>
      </c>
      <c r="K73" s="1050">
        <v>4</v>
      </c>
      <c r="L73" s="1047">
        <f>SUMIFS('01工程产值对比表'!$M:$M,'01工程产值对比表'!$D:$D,I73,'01工程产值对比表'!$C:$C,I$2)</f>
        <v>0</v>
      </c>
      <c r="M73" s="1038"/>
      <c r="N73" s="1038"/>
      <c r="O73" s="1038"/>
      <c r="P73" s="1048"/>
      <c r="Q73" t="s">
        <v>452</v>
      </c>
      <c r="R73" s="697" t="s">
        <v>72</v>
      </c>
      <c r="S73">
        <v>300</v>
      </c>
      <c r="T73" s="1038">
        <f>SUMIFS('01工程产值对比表'!$M:$M,'01工程产值对比表'!$D:$D,Q73,'01工程产值对比表'!$C:$C,Q$2)</f>
        <v>0</v>
      </c>
      <c r="U73" s="1038"/>
      <c r="V73" s="1038"/>
      <c r="W73" s="1038"/>
      <c r="X73" s="1048"/>
      <c r="Y73" t="s">
        <v>453</v>
      </c>
      <c r="Z73" t="s">
        <v>76</v>
      </c>
      <c r="AA73">
        <v>150</v>
      </c>
      <c r="AB73" s="1038">
        <f>SUMIFS('01工程产值对比表'!$M:$M,'01工程产值对比表'!$D:$D,Y73,'01工程产值对比表'!$C:$C,Y$2)</f>
        <v>0</v>
      </c>
    </row>
    <row r="74" ht="63" spans="1:28">
      <c r="A74" s="889" t="s">
        <v>454</v>
      </c>
      <c r="B74" s="697" t="s">
        <v>72</v>
      </c>
      <c r="C74">
        <v>3000</v>
      </c>
      <c r="D74" s="1038">
        <f>SUMIFS('01工程产值对比表'!$M:$M,'01工程产值对比表'!$D:$D,A74,'01工程产值对比表'!$C:$C,A$2)</f>
        <v>0</v>
      </c>
      <c r="F74" s="1039"/>
      <c r="H74" s="1038"/>
      <c r="I74" s="1049" t="s">
        <v>455</v>
      </c>
      <c r="J74" s="1046" t="s">
        <v>72</v>
      </c>
      <c r="K74" s="1050">
        <v>6</v>
      </c>
      <c r="L74" s="1047">
        <f>SUMIFS('01工程产值对比表'!$M:$M,'01工程产值对比表'!$D:$D,I74,'01工程产值对比表'!$C:$C,I$2)</f>
        <v>0</v>
      </c>
      <c r="M74" s="1038"/>
      <c r="N74" s="1038"/>
      <c r="O74" s="1038"/>
      <c r="P74" s="1048"/>
      <c r="Q74" t="s">
        <v>456</v>
      </c>
      <c r="R74" s="697" t="s">
        <v>82</v>
      </c>
      <c r="S74">
        <v>970</v>
      </c>
      <c r="T74" s="1038">
        <f>SUMIFS('01工程产值对比表'!$M:$M,'01工程产值对比表'!$D:$D,Q74,'01工程产值对比表'!$C:$C,Q$2)</f>
        <v>0</v>
      </c>
      <c r="U74" s="1038"/>
      <c r="V74" s="1038"/>
      <c r="W74" s="1038"/>
      <c r="X74" s="1048"/>
      <c r="Y74" t="s">
        <v>457</v>
      </c>
      <c r="Z74" t="s">
        <v>76</v>
      </c>
      <c r="AA74">
        <v>500</v>
      </c>
      <c r="AB74" s="1038">
        <f>SUMIFS('01工程产值对比表'!$M:$M,'01工程产值对比表'!$D:$D,Y74,'01工程产值对比表'!$C:$C,Y$2)</f>
        <v>0</v>
      </c>
    </row>
    <row r="75" spans="1:28">
      <c r="A75" t="s">
        <v>458</v>
      </c>
      <c r="B75" s="697" t="s">
        <v>211</v>
      </c>
      <c r="D75" s="1038">
        <f>SUMIFS('01工程产值对比表'!$M:$M,'01工程产值对比表'!$D:$D,A75,'01工程产值对比表'!$C:$C,A$2)</f>
        <v>0</v>
      </c>
      <c r="F75" s="1039"/>
      <c r="H75" s="1038"/>
      <c r="I75" s="1049" t="s">
        <v>459</v>
      </c>
      <c r="J75" s="1046" t="s">
        <v>72</v>
      </c>
      <c r="K75" s="1050">
        <v>3</v>
      </c>
      <c r="L75" s="1047">
        <f>SUMIFS('01工程产值对比表'!$M:$M,'01工程产值对比表'!$D:$D,I75,'01工程产值对比表'!$C:$C,I$2)</f>
        <v>0</v>
      </c>
      <c r="M75" s="1038"/>
      <c r="N75" s="1038"/>
      <c r="O75" s="1038"/>
      <c r="P75" s="1048"/>
      <c r="Q75" t="s">
        <v>460</v>
      </c>
      <c r="R75" s="697" t="s">
        <v>69</v>
      </c>
      <c r="S75">
        <v>2</v>
      </c>
      <c r="T75" s="1038">
        <f>SUMIFS('01工程产值对比表'!$M:$M,'01工程产值对比表'!$D:$D,Q75,'01工程产值对比表'!$C:$C,Q$2)</f>
        <v>0</v>
      </c>
      <c r="U75" s="1038"/>
      <c r="V75" s="1038"/>
      <c r="W75" s="1038"/>
      <c r="X75" s="1048"/>
      <c r="Y75" t="s">
        <v>461</v>
      </c>
      <c r="Z75" t="s">
        <v>185</v>
      </c>
      <c r="AA75">
        <v>350</v>
      </c>
      <c r="AB75" s="1038">
        <f>SUMIFS('01工程产值对比表'!$M:$M,'01工程产值对比表'!$D:$D,Y75,'01工程产值对比表'!$C:$C,Y$2)</f>
        <v>0</v>
      </c>
    </row>
    <row r="76" spans="1:28">
      <c r="A76" s="889"/>
      <c r="B76" s="697" t="s">
        <v>72</v>
      </c>
      <c r="C76">
        <v>450</v>
      </c>
      <c r="D76" s="1038">
        <f>SUMIFS('01工程产值对比表'!$M:$M,'01工程产值对比表'!$D:$D,A76,'01工程产值对比表'!$C:$C,A$2)</f>
        <v>0</v>
      </c>
      <c r="F76" s="1039"/>
      <c r="H76" s="1038"/>
      <c r="I76" s="1049" t="s">
        <v>462</v>
      </c>
      <c r="J76" s="1046" t="s">
        <v>72</v>
      </c>
      <c r="K76" s="1050">
        <v>95</v>
      </c>
      <c r="L76" s="1047">
        <f>SUMIFS('01工程产值对比表'!$M:$M,'01工程产值对比表'!$D:$D,I76,'01工程产值对比表'!$C:$C,I$2)</f>
        <v>0</v>
      </c>
      <c r="M76" s="1038"/>
      <c r="N76" s="1038"/>
      <c r="O76" s="1038"/>
      <c r="P76" s="1048"/>
      <c r="Q76" t="s">
        <v>463</v>
      </c>
      <c r="R76" s="697" t="s">
        <v>76</v>
      </c>
      <c r="S76">
        <v>53.38</v>
      </c>
      <c r="T76" s="1038">
        <f>SUMIFS('01工程产值对比表'!$M:$M,'01工程产值对比表'!$D:$D,Q76,'01工程产值对比表'!$C:$C,Q$2)</f>
        <v>0</v>
      </c>
      <c r="U76" s="1038"/>
      <c r="V76" s="1038"/>
      <c r="W76" s="1038"/>
      <c r="X76" s="1048"/>
      <c r="Y76" t="s">
        <v>464</v>
      </c>
      <c r="Z76" t="s">
        <v>72</v>
      </c>
      <c r="AA76">
        <v>800</v>
      </c>
      <c r="AB76" s="1038">
        <f>SUMIFS('01工程产值对比表'!$M:$M,'01工程产值对比表'!$D:$D,Y76,'01工程产值对比表'!$C:$C,Y$2)</f>
        <v>0</v>
      </c>
    </row>
    <row r="77" spans="1:28">
      <c r="A77" s="889" t="s">
        <v>465</v>
      </c>
      <c r="B77" s="697" t="s">
        <v>69</v>
      </c>
      <c r="D77" s="1038">
        <f>SUMIFS('01工程产值对比表'!$M:$M,'01工程产值对比表'!$D:$D,A77,'01工程产值对比表'!$C:$C,A$2)</f>
        <v>0</v>
      </c>
      <c r="F77" s="1039"/>
      <c r="H77" s="1038"/>
      <c r="I77" s="1049" t="s">
        <v>466</v>
      </c>
      <c r="J77" s="1046" t="s">
        <v>72</v>
      </c>
      <c r="K77" s="1050">
        <v>3.33</v>
      </c>
      <c r="L77" s="1047">
        <f>SUMIFS('01工程产值对比表'!$M:$M,'01工程产值对比表'!$D:$D,I77,'01工程产值对比表'!$C:$C,I$2)</f>
        <v>0</v>
      </c>
      <c r="M77" s="1038"/>
      <c r="N77" s="1038"/>
      <c r="O77" s="1038"/>
      <c r="P77" s="1048"/>
      <c r="Q77" t="s">
        <v>467</v>
      </c>
      <c r="R77" s="697" t="s">
        <v>72</v>
      </c>
      <c r="S77">
        <v>59.11</v>
      </c>
      <c r="T77" s="1038">
        <f>SUMIFS('01工程产值对比表'!$M:$M,'01工程产值对比表'!$D:$D,Q77,'01工程产值对比表'!$C:$C,Q$2)</f>
        <v>0</v>
      </c>
      <c r="U77" s="1038"/>
      <c r="V77" s="1038"/>
      <c r="W77" s="1038"/>
      <c r="X77" s="1048"/>
      <c r="Y77" t="s">
        <v>468</v>
      </c>
      <c r="Z77" t="s">
        <v>169</v>
      </c>
      <c r="AA77">
        <v>800</v>
      </c>
      <c r="AB77" s="1038">
        <f>SUMIFS('01工程产值对比表'!$M:$M,'01工程产值对比表'!$D:$D,Y77,'01工程产值对比表'!$C:$C,Y$2)</f>
        <v>0</v>
      </c>
    </row>
    <row r="78" spans="1:28">
      <c r="A78" t="s">
        <v>469</v>
      </c>
      <c r="B78" s="697" t="s">
        <v>69</v>
      </c>
      <c r="D78" s="1038">
        <f>SUMIFS('01工程产值对比表'!$M:$M,'01工程产值对比表'!$D:$D,A78,'01工程产值对比表'!$C:$C,A$2)</f>
        <v>0</v>
      </c>
      <c r="F78" s="1039"/>
      <c r="H78" s="1038"/>
      <c r="I78" s="1049" t="s">
        <v>470</v>
      </c>
      <c r="J78" s="1046" t="s">
        <v>72</v>
      </c>
      <c r="K78" s="1050">
        <v>1.6</v>
      </c>
      <c r="L78" s="1047">
        <f>SUMIFS('01工程产值对比表'!$M:$M,'01工程产值对比表'!$D:$D,I78,'01工程产值对比表'!$C:$C,I$2)</f>
        <v>0</v>
      </c>
      <c r="M78" s="1038"/>
      <c r="N78" s="1038"/>
      <c r="O78" s="1038"/>
      <c r="P78" s="1048"/>
      <c r="Q78" t="s">
        <v>471</v>
      </c>
      <c r="R78" s="697" t="s">
        <v>76</v>
      </c>
      <c r="S78">
        <v>2.61</v>
      </c>
      <c r="T78" s="1038">
        <f>SUMIFS('01工程产值对比表'!$M:$M,'01工程产值对比表'!$D:$D,Q78,'01工程产值对比表'!$C:$C,Q$2)</f>
        <v>0</v>
      </c>
      <c r="U78" s="1038"/>
      <c r="V78" s="1038"/>
      <c r="W78" s="1038"/>
      <c r="X78" s="1048"/>
      <c r="Y78" t="s">
        <v>472</v>
      </c>
      <c r="Z78" t="s">
        <v>69</v>
      </c>
      <c r="AA78">
        <v>85</v>
      </c>
      <c r="AB78" s="1038">
        <f>SUMIFS('01工程产值对比表'!$M:$M,'01工程产值对比表'!$D:$D,Y78,'01工程产值对比表'!$C:$C,Y$2)</f>
        <v>0</v>
      </c>
    </row>
    <row r="79" ht="31.5" spans="1:28">
      <c r="A79" s="889" t="s">
        <v>473</v>
      </c>
      <c r="B79" s="697" t="s">
        <v>76</v>
      </c>
      <c r="D79" s="1038">
        <f>SUMIFS('01工程产值对比表'!$M:$M,'01工程产值对比表'!$D:$D,A79,'01工程产值对比表'!$C:$C,A$2)</f>
        <v>0</v>
      </c>
      <c r="F79" s="1039"/>
      <c r="H79" s="1038"/>
      <c r="I79" s="1049" t="s">
        <v>474</v>
      </c>
      <c r="J79" s="1046" t="s">
        <v>72</v>
      </c>
      <c r="K79" s="1050">
        <v>8</v>
      </c>
      <c r="L79" s="1047">
        <f>SUMIFS('01工程产值对比表'!$M:$M,'01工程产值对比表'!$D:$D,I79,'01工程产值对比表'!$C:$C,I$2)</f>
        <v>0</v>
      </c>
      <c r="M79" s="1038"/>
      <c r="N79" s="1038"/>
      <c r="O79" s="1038"/>
      <c r="P79" s="1048"/>
      <c r="Q79" t="s">
        <v>475</v>
      </c>
      <c r="R79" s="697" t="s">
        <v>76</v>
      </c>
      <c r="S79">
        <v>3.5</v>
      </c>
      <c r="T79" s="1038">
        <f>SUMIFS('01工程产值对比表'!$M:$M,'01工程产值对比表'!$D:$D,Q79,'01工程产值对比表'!$C:$C,Q$2)</f>
        <v>0</v>
      </c>
      <c r="U79" s="1038"/>
      <c r="V79" s="1038"/>
      <c r="W79" s="1038"/>
      <c r="X79" s="1048"/>
      <c r="Y79" t="s">
        <v>476</v>
      </c>
      <c r="Z79" t="s">
        <v>76</v>
      </c>
      <c r="AA79">
        <v>35</v>
      </c>
      <c r="AB79" s="1038">
        <f>SUMIFS('01工程产值对比表'!$M:$M,'01工程产值对比表'!$D:$D,Y79,'01工程产值对比表'!$C:$C,Y$2)</f>
        <v>0</v>
      </c>
    </row>
    <row r="80" spans="1:28">
      <c r="A80" t="s">
        <v>477</v>
      </c>
      <c r="B80" s="697" t="s">
        <v>72</v>
      </c>
      <c r="D80" s="1038">
        <f>SUMIFS('01工程产值对比表'!$M:$M,'01工程产值对比表'!$D:$D,A80,'01工程产值对比表'!$C:$C,A$2)</f>
        <v>0</v>
      </c>
      <c r="F80" s="1039"/>
      <c r="H80" s="1038"/>
      <c r="I80" s="1049" t="s">
        <v>478</v>
      </c>
      <c r="J80" s="1046" t="s">
        <v>72</v>
      </c>
      <c r="K80" s="1050">
        <v>1.6</v>
      </c>
      <c r="L80" s="1047">
        <f>SUMIFS('01工程产值对比表'!$M:$M,'01工程产值对比表'!$D:$D,I80,'01工程产值对比表'!$C:$C,I$2)</f>
        <v>0</v>
      </c>
      <c r="M80" s="1038"/>
      <c r="N80" s="1038"/>
      <c r="O80" s="1038"/>
      <c r="P80" s="1048"/>
      <c r="Q80" t="s">
        <v>479</v>
      </c>
      <c r="R80" s="697" t="s">
        <v>69</v>
      </c>
      <c r="S80">
        <v>675.39</v>
      </c>
      <c r="T80" s="1038">
        <f>SUMIFS('01工程产值对比表'!$M:$M,'01工程产值对比表'!$D:$D,Q80,'01工程产值对比表'!$C:$C,Q$2)</f>
        <v>0</v>
      </c>
      <c r="U80" s="1038"/>
      <c r="V80" s="1038"/>
      <c r="W80" s="1038"/>
      <c r="X80" s="1048"/>
      <c r="Y80" t="s">
        <v>480</v>
      </c>
      <c r="Z80" t="s">
        <v>169</v>
      </c>
      <c r="AA80">
        <v>1200</v>
      </c>
      <c r="AB80" s="1038">
        <f>SUMIFS('01工程产值对比表'!$M:$M,'01工程产值对比表'!$D:$D,Y80,'01工程产值对比表'!$C:$C,Y$2)</f>
        <v>0</v>
      </c>
    </row>
    <row r="81" spans="1:28">
      <c r="A81" t="s">
        <v>481</v>
      </c>
      <c r="B81" s="697" t="s">
        <v>82</v>
      </c>
      <c r="C81">
        <v>4200</v>
      </c>
      <c r="D81" s="1038">
        <f>SUMIFS('01工程产值对比表'!$M:$M,'01工程产值对比表'!$D:$D,A81,'01工程产值对比表'!$C:$C,A$2)</f>
        <v>34.94245</v>
      </c>
      <c r="F81" s="1039"/>
      <c r="H81" s="1038"/>
      <c r="I81" s="1049" t="s">
        <v>482</v>
      </c>
      <c r="J81" s="1046" t="s">
        <v>72</v>
      </c>
      <c r="K81" s="1050">
        <v>1.6</v>
      </c>
      <c r="L81" s="1047">
        <f>SUMIFS('01工程产值对比表'!$M:$M,'01工程产值对比表'!$D:$D,I81,'01工程产值对比表'!$C:$C,I$2)</f>
        <v>0</v>
      </c>
      <c r="M81" s="1038"/>
      <c r="N81" s="1038"/>
      <c r="O81" s="1038"/>
      <c r="P81" s="1048"/>
      <c r="Q81" t="s">
        <v>483</v>
      </c>
      <c r="R81" s="697" t="s">
        <v>72</v>
      </c>
      <c r="S81">
        <v>30.36</v>
      </c>
      <c r="T81" s="1038">
        <f>SUMIFS('01工程产值对比表'!$M:$M,'01工程产值对比表'!$D:$D,Q81,'01工程产值对比表'!$C:$C,Q$2)</f>
        <v>0</v>
      </c>
      <c r="U81" s="1038"/>
      <c r="V81" s="1038"/>
      <c r="W81" s="1038"/>
      <c r="X81" s="1048"/>
      <c r="Y81" t="s">
        <v>484</v>
      </c>
      <c r="Z81" t="s">
        <v>76</v>
      </c>
      <c r="AA81">
        <v>80</v>
      </c>
      <c r="AB81" s="1038">
        <f>SUMIFS('01工程产值对比表'!$M:$M,'01工程产值对比表'!$D:$D,Y81,'01工程产值对比表'!$C:$C,Y$2)</f>
        <v>0</v>
      </c>
    </row>
    <row r="82" ht="47.25" spans="1:28">
      <c r="A82" s="889" t="s">
        <v>485</v>
      </c>
      <c r="B82" s="697" t="s">
        <v>169</v>
      </c>
      <c r="D82" s="1038">
        <f>SUMIFS('01工程产值对比表'!$M:$M,'01工程产值对比表'!$D:$D,A82,'01工程产值对比表'!$C:$C,A$2)</f>
        <v>0</v>
      </c>
      <c r="F82" s="1039"/>
      <c r="H82" s="1038"/>
      <c r="I82" s="1049" t="s">
        <v>486</v>
      </c>
      <c r="J82" s="1046" t="s">
        <v>72</v>
      </c>
      <c r="K82" s="1050">
        <v>100</v>
      </c>
      <c r="L82" s="1047">
        <f>SUMIFS('01工程产值对比表'!$M:$M,'01工程产值对比表'!$D:$D,I82,'01工程产值对比表'!$C:$C,I$2)</f>
        <v>0</v>
      </c>
      <c r="M82" s="1038"/>
      <c r="N82" s="1038"/>
      <c r="O82" s="1038"/>
      <c r="P82" s="1048"/>
      <c r="Q82" t="s">
        <v>487</v>
      </c>
      <c r="R82" s="697" t="s">
        <v>72</v>
      </c>
      <c r="S82">
        <v>200</v>
      </c>
      <c r="T82" s="1038">
        <f>SUMIFS('01工程产值对比表'!$M:$M,'01工程产值对比表'!$D:$D,Q82,'01工程产值对比表'!$C:$C,Q$2)</f>
        <v>0</v>
      </c>
      <c r="U82" s="1038"/>
      <c r="V82" s="1038"/>
      <c r="W82" s="1038"/>
      <c r="X82" s="1048"/>
      <c r="Y82" t="s">
        <v>488</v>
      </c>
      <c r="Z82" t="s">
        <v>169</v>
      </c>
      <c r="AA82">
        <v>1300</v>
      </c>
      <c r="AB82" s="1038">
        <f>SUMIFS('01工程产值对比表'!$M:$M,'01工程产值对比表'!$D:$D,Y82,'01工程产值对比表'!$C:$C,Y$2)</f>
        <v>0</v>
      </c>
    </row>
    <row r="83" spans="1:28">
      <c r="A83" t="s">
        <v>489</v>
      </c>
      <c r="B83" s="697" t="s">
        <v>72</v>
      </c>
      <c r="D83" s="1038">
        <f>SUMIFS('01工程产值对比表'!$M:$M,'01工程产值对比表'!$D:$D,A83,'01工程产值对比表'!$C:$C,A$2)</f>
        <v>423.48</v>
      </c>
      <c r="F83" s="1039"/>
      <c r="H83" s="1038"/>
      <c r="I83" s="1049" t="s">
        <v>490</v>
      </c>
      <c r="J83" s="1046" t="s">
        <v>69</v>
      </c>
      <c r="K83" s="1050">
        <v>1</v>
      </c>
      <c r="L83" s="1047">
        <f>SUMIFS('01工程产值对比表'!$M:$M,'01工程产值对比表'!$D:$D,I83,'01工程产值对比表'!$C:$C,I$2)</f>
        <v>0</v>
      </c>
      <c r="M83" s="1038"/>
      <c r="N83" s="1038"/>
      <c r="O83" s="1038"/>
      <c r="P83" s="1048"/>
      <c r="Q83" t="s">
        <v>491</v>
      </c>
      <c r="R83" s="697" t="s">
        <v>72</v>
      </c>
      <c r="S83">
        <v>7.66</v>
      </c>
      <c r="T83" s="1038">
        <f>SUMIFS('01工程产值对比表'!$M:$M,'01工程产值对比表'!$D:$D,Q83,'01工程产值对比表'!$C:$C,Q$2)</f>
        <v>0</v>
      </c>
      <c r="U83" s="1038"/>
      <c r="V83" s="1038"/>
      <c r="W83" s="1038"/>
      <c r="X83" s="1048"/>
      <c r="Y83" t="s">
        <v>492</v>
      </c>
      <c r="Z83" t="s">
        <v>76</v>
      </c>
      <c r="AA83">
        <v>600</v>
      </c>
      <c r="AB83" s="1038">
        <f>SUMIFS('01工程产值对比表'!$M:$M,'01工程产值对比表'!$D:$D,Y83,'01工程产值对比表'!$C:$C,Y$2)</f>
        <v>0</v>
      </c>
    </row>
    <row r="84" spans="1:28">
      <c r="A84" s="889" t="s">
        <v>493</v>
      </c>
      <c r="B84" s="697" t="s">
        <v>72</v>
      </c>
      <c r="C84">
        <v>600</v>
      </c>
      <c r="D84" s="1038">
        <f>SUMIFS('01工程产值对比表'!$M:$M,'01工程产值对比表'!$D:$D,A84,'01工程产值对比表'!$C:$C,A$2)</f>
        <v>116.8</v>
      </c>
      <c r="F84" s="1039"/>
      <c r="H84" s="1038"/>
      <c r="I84" s="1049" t="s">
        <v>494</v>
      </c>
      <c r="J84" s="1046" t="s">
        <v>72</v>
      </c>
      <c r="K84" s="1050">
        <v>5</v>
      </c>
      <c r="L84" s="1047">
        <f>SUMIFS('01工程产值对比表'!$M:$M,'01工程产值对比表'!$D:$D,I84,'01工程产值对比表'!$C:$C,I$2)</f>
        <v>0</v>
      </c>
      <c r="M84" s="1038"/>
      <c r="N84" s="1038"/>
      <c r="O84" s="1038"/>
      <c r="P84" s="1048"/>
      <c r="Q84" t="s">
        <v>495</v>
      </c>
      <c r="R84" s="697" t="s">
        <v>72</v>
      </c>
      <c r="S84">
        <v>18.94</v>
      </c>
      <c r="T84" s="1038">
        <f>SUMIFS('01工程产值对比表'!$M:$M,'01工程产值对比表'!$D:$D,Q84,'01工程产值对比表'!$C:$C,Q$2)</f>
        <v>0</v>
      </c>
      <c r="U84" s="1038"/>
      <c r="V84" s="1038"/>
      <c r="W84" s="1038"/>
      <c r="X84" s="1048"/>
      <c r="Y84" t="s">
        <v>496</v>
      </c>
      <c r="Z84" t="s">
        <v>190</v>
      </c>
      <c r="AA84">
        <v>500</v>
      </c>
      <c r="AB84" s="1038">
        <f>SUMIFS('01工程产值对比表'!$M:$M,'01工程产值对比表'!$D:$D,Y84,'01工程产值对比表'!$C:$C,Y$2)</f>
        <v>0</v>
      </c>
    </row>
    <row r="85" spans="1:28">
      <c r="A85" s="889" t="s">
        <v>497</v>
      </c>
      <c r="B85" s="697" t="s">
        <v>72</v>
      </c>
      <c r="D85" s="1038">
        <f>SUMIFS('01工程产值对比表'!$M:$M,'01工程产值对比表'!$D:$D,A85,'01工程产值对比表'!$C:$C,A$2)</f>
        <v>0</v>
      </c>
      <c r="F85" s="1039"/>
      <c r="H85" s="1038"/>
      <c r="I85" s="1049" t="s">
        <v>498</v>
      </c>
      <c r="J85" s="1046" t="s">
        <v>69</v>
      </c>
      <c r="K85" s="1050">
        <v>1</v>
      </c>
      <c r="L85" s="1047">
        <f>SUMIFS('01工程产值对比表'!$M:$M,'01工程产值对比表'!$D:$D,I85,'01工程产值对比表'!$C:$C,I$2)</f>
        <v>0</v>
      </c>
      <c r="M85" s="1038"/>
      <c r="N85" s="1038"/>
      <c r="O85" s="1038"/>
      <c r="P85" s="1048"/>
      <c r="Q85" t="s">
        <v>499</v>
      </c>
      <c r="R85" s="697" t="s">
        <v>72</v>
      </c>
      <c r="S85">
        <v>6.16</v>
      </c>
      <c r="T85" s="1038">
        <f>SUMIFS('01工程产值对比表'!$M:$M,'01工程产值对比表'!$D:$D,Q85,'01工程产值对比表'!$C:$C,Q$2)</f>
        <v>0</v>
      </c>
      <c r="U85" s="1038"/>
      <c r="V85" s="1038"/>
      <c r="W85" s="1038"/>
      <c r="X85" s="1048"/>
      <c r="Y85" t="s">
        <v>500</v>
      </c>
      <c r="Z85" t="s">
        <v>190</v>
      </c>
      <c r="AA85">
        <v>500</v>
      </c>
      <c r="AB85" s="1038">
        <f>SUMIFS('01工程产值对比表'!$M:$M,'01工程产值对比表'!$D:$D,Y85,'01工程产值对比表'!$C:$C,Y$2)</f>
        <v>0</v>
      </c>
    </row>
    <row r="86" spans="1:28">
      <c r="A86" s="889" t="s">
        <v>501</v>
      </c>
      <c r="B86" s="697" t="s">
        <v>72</v>
      </c>
      <c r="D86" s="1038">
        <f>SUMIFS('01工程产值对比表'!$M:$M,'01工程产值对比表'!$D:$D,A86,'01工程产值对比表'!$C:$C,A$2)</f>
        <v>0</v>
      </c>
      <c r="F86" s="1039"/>
      <c r="H86" s="1038"/>
      <c r="I86" s="1049" t="s">
        <v>502</v>
      </c>
      <c r="J86" s="1046" t="s">
        <v>72</v>
      </c>
      <c r="K86" s="1050">
        <v>3.33</v>
      </c>
      <c r="L86" s="1047">
        <f>SUMIFS('01工程产值对比表'!$M:$M,'01工程产值对比表'!$D:$D,I86,'01工程产值对比表'!$C:$C,I$2)</f>
        <v>0</v>
      </c>
      <c r="M86" s="1038"/>
      <c r="N86" s="1038"/>
      <c r="O86" s="1038"/>
      <c r="P86" s="1048"/>
      <c r="Q86" t="s">
        <v>503</v>
      </c>
      <c r="R86" s="697" t="s">
        <v>72</v>
      </c>
      <c r="S86">
        <v>15.25</v>
      </c>
      <c r="T86" s="1038">
        <f>SUMIFS('01工程产值对比表'!$M:$M,'01工程产值对比表'!$D:$D,Q86,'01工程产值对比表'!$C:$C,Q$2)</f>
        <v>0</v>
      </c>
      <c r="U86" s="1038"/>
      <c r="V86" s="1038"/>
      <c r="W86" s="1038"/>
      <c r="X86" s="1048"/>
      <c r="Y86" t="s">
        <v>504</v>
      </c>
      <c r="Z86" t="s">
        <v>82</v>
      </c>
      <c r="AA86">
        <v>8000</v>
      </c>
      <c r="AB86" s="1038">
        <f>SUMIFS('01工程产值对比表'!$M:$M,'01工程产值对比表'!$D:$D,Y86,'01工程产值对比表'!$C:$C,Y$2)</f>
        <v>0</v>
      </c>
    </row>
    <row r="87" spans="1:28">
      <c r="A87" s="889" t="s">
        <v>505</v>
      </c>
      <c r="B87" s="697" t="s">
        <v>72</v>
      </c>
      <c r="D87" s="1038">
        <f>SUMIFS('01工程产值对比表'!$M:$M,'01工程产值对比表'!$D:$D,A87,'01工程产值对比表'!$C:$C,A$2)</f>
        <v>0</v>
      </c>
      <c r="F87" s="1039"/>
      <c r="H87" s="1038"/>
      <c r="I87" s="1049" t="s">
        <v>506</v>
      </c>
      <c r="J87" s="1046" t="s">
        <v>72</v>
      </c>
      <c r="K87" s="1050">
        <v>2.5</v>
      </c>
      <c r="L87" s="1047">
        <f>SUMIFS('01工程产值对比表'!$M:$M,'01工程产值对比表'!$D:$D,I87,'01工程产值对比表'!$C:$C,I$2)</f>
        <v>0</v>
      </c>
      <c r="M87" s="1038"/>
      <c r="N87" s="1038"/>
      <c r="O87" s="1038"/>
      <c r="P87" s="1048"/>
      <c r="Q87" t="s">
        <v>507</v>
      </c>
      <c r="R87" s="697" t="s">
        <v>72</v>
      </c>
      <c r="S87">
        <v>10</v>
      </c>
      <c r="T87" s="1038">
        <f>SUMIFS('01工程产值对比表'!$M:$M,'01工程产值对比表'!$D:$D,Q87,'01工程产值对比表'!$C:$C,Q$2)</f>
        <v>0</v>
      </c>
      <c r="U87" s="1038"/>
      <c r="V87" s="1038"/>
      <c r="W87" s="1038"/>
      <c r="X87" s="1048"/>
      <c r="Y87" t="s">
        <v>508</v>
      </c>
      <c r="Z87" t="s">
        <v>190</v>
      </c>
      <c r="AA87">
        <v>550</v>
      </c>
      <c r="AB87" s="1038">
        <f>SUMIFS('01工程产值对比表'!$M:$M,'01工程产值对比表'!$D:$D,Y87,'01工程产值对比表'!$C:$C,Y$2)</f>
        <v>0</v>
      </c>
    </row>
    <row r="88" ht="31.5" spans="1:28">
      <c r="A88" s="889" t="s">
        <v>509</v>
      </c>
      <c r="B88" s="697" t="s">
        <v>82</v>
      </c>
      <c r="C88">
        <v>430</v>
      </c>
      <c r="D88" s="1038">
        <f>SUMIFS('01工程产值对比表'!$M:$M,'01工程产值对比表'!$D:$D,A88,'01工程产值对比表'!$C:$C,A$2)</f>
        <v>0</v>
      </c>
      <c r="F88" s="1039"/>
      <c r="H88" s="1038"/>
      <c r="I88" s="1049" t="s">
        <v>510</v>
      </c>
      <c r="J88" s="1046" t="s">
        <v>72</v>
      </c>
      <c r="K88" s="1050">
        <v>27.5</v>
      </c>
      <c r="L88" s="1047">
        <f>SUMIFS('01工程产值对比表'!$M:$M,'01工程产值对比表'!$D:$D,I88,'01工程产值对比表'!$C:$C,I$2)</f>
        <v>0</v>
      </c>
      <c r="M88" s="1038"/>
      <c r="N88" s="1038"/>
      <c r="O88" s="1038"/>
      <c r="P88" s="1048"/>
      <c r="Q88" t="s">
        <v>511</v>
      </c>
      <c r="R88" s="697" t="s">
        <v>69</v>
      </c>
      <c r="S88">
        <v>15</v>
      </c>
      <c r="T88" s="1038">
        <f>SUMIFS('01工程产值对比表'!$M:$M,'01工程产值对比表'!$D:$D,Q88,'01工程产值对比表'!$C:$C,Q$2)</f>
        <v>0</v>
      </c>
      <c r="U88" s="1038"/>
      <c r="V88" s="1038"/>
      <c r="W88" s="1038"/>
      <c r="X88" s="1048"/>
      <c r="Y88" t="s">
        <v>512</v>
      </c>
      <c r="Z88" t="s">
        <v>69</v>
      </c>
      <c r="AA88">
        <v>85</v>
      </c>
      <c r="AB88" s="1038">
        <f>SUMIFS('01工程产值对比表'!$M:$M,'01工程产值对比表'!$D:$D,Y88,'01工程产值对比表'!$C:$C,Y$2)</f>
        <v>0</v>
      </c>
    </row>
    <row r="89" ht="47.25" spans="1:28">
      <c r="A89" s="889" t="s">
        <v>513</v>
      </c>
      <c r="B89" s="697" t="s">
        <v>82</v>
      </c>
      <c r="C89">
        <v>7000</v>
      </c>
      <c r="D89" s="1038">
        <f>SUMIFS('01工程产值对比表'!$M:$M,'01工程产值对比表'!$D:$D,A89,'01工程产值对比表'!$C:$C,A$2)</f>
        <v>0</v>
      </c>
      <c r="F89" s="1039"/>
      <c r="H89" s="1038"/>
      <c r="I89" s="1049" t="s">
        <v>514</v>
      </c>
      <c r="J89" s="1046" t="s">
        <v>72</v>
      </c>
      <c r="K89" s="1050">
        <v>14</v>
      </c>
      <c r="L89" s="1047">
        <f>SUMIFS('01工程产值对比表'!$M:$M,'01工程产值对比表'!$D:$D,I89,'01工程产值对比表'!$C:$C,I$2)</f>
        <v>0</v>
      </c>
      <c r="M89" s="1038"/>
      <c r="N89" s="1038"/>
      <c r="O89" s="1038"/>
      <c r="P89" s="1048"/>
      <c r="Q89" t="s">
        <v>515</v>
      </c>
      <c r="R89" s="697" t="s">
        <v>69</v>
      </c>
      <c r="S89">
        <v>1</v>
      </c>
      <c r="T89" s="1038">
        <f>SUMIFS('01工程产值对比表'!$M:$M,'01工程产值对比表'!$D:$D,Q89,'01工程产值对比表'!$C:$C,Q$2)</f>
        <v>0</v>
      </c>
      <c r="U89" s="1038"/>
      <c r="V89" s="1038"/>
      <c r="W89" s="1038"/>
      <c r="X89" s="1048"/>
      <c r="Y89" t="s">
        <v>516</v>
      </c>
      <c r="Z89" t="s">
        <v>190</v>
      </c>
      <c r="AA89">
        <v>300</v>
      </c>
      <c r="AB89" s="1038">
        <f>SUMIFS('01工程产值对比表'!$M:$M,'01工程产值对比表'!$D:$D,Y89,'01工程产值对比表'!$C:$C,Y$2)</f>
        <v>0</v>
      </c>
    </row>
    <row r="90" ht="31.5" spans="1:28">
      <c r="A90" s="889" t="s">
        <v>517</v>
      </c>
      <c r="B90" s="697" t="s">
        <v>72</v>
      </c>
      <c r="C90">
        <v>360</v>
      </c>
      <c r="D90" s="1038">
        <f>SUMIFS('01工程产值对比表'!$M:$M,'01工程产值对比表'!$D:$D,A90,'01工程产值对比表'!$C:$C,A$2)</f>
        <v>0</v>
      </c>
      <c r="F90" s="1039"/>
      <c r="H90" s="1038"/>
      <c r="I90" s="1049" t="s">
        <v>518</v>
      </c>
      <c r="J90" s="1046" t="s">
        <v>72</v>
      </c>
      <c r="K90" s="1050">
        <v>24</v>
      </c>
      <c r="L90" s="1047">
        <f>SUMIFS('01工程产值对比表'!$M:$M,'01工程产值对比表'!$D:$D,I90,'01工程产值对比表'!$C:$C,I$2)</f>
        <v>0</v>
      </c>
      <c r="M90" s="1038"/>
      <c r="N90" s="1038"/>
      <c r="O90" s="1038"/>
      <c r="P90" s="1048"/>
      <c r="Q90" t="s">
        <v>519</v>
      </c>
      <c r="R90" s="697" t="s">
        <v>72</v>
      </c>
      <c r="S90">
        <v>1.27</v>
      </c>
      <c r="T90" s="1038">
        <f>SUMIFS('01工程产值对比表'!$M:$M,'01工程产值对比表'!$D:$D,Q90,'01工程产值对比表'!$C:$C,Q$2)</f>
        <v>0</v>
      </c>
      <c r="U90" s="1038"/>
      <c r="V90" s="1038"/>
      <c r="W90" s="1038"/>
      <c r="X90" s="1048"/>
      <c r="Y90" t="s">
        <v>520</v>
      </c>
      <c r="Z90" t="s">
        <v>82</v>
      </c>
      <c r="AA90">
        <v>4500</v>
      </c>
      <c r="AB90" s="1038">
        <f>SUMIFS('01工程产值对比表'!$M:$M,'01工程产值对比表'!$D:$D,Y90,'01工程产值对比表'!$C:$C,Y$2)</f>
        <v>0</v>
      </c>
    </row>
    <row r="91" ht="31.5" spans="1:37">
      <c r="A91" s="889" t="s">
        <v>521</v>
      </c>
      <c r="B91" s="697" t="s">
        <v>72</v>
      </c>
      <c r="D91" s="1038">
        <f>SUMIFS('01工程产值对比表'!$M:$M,'01工程产值对比表'!$D:$D,A91,'01工程产值对比表'!$C:$C,A$2)</f>
        <v>0</v>
      </c>
      <c r="F91" s="1039"/>
      <c r="H91" s="1038"/>
      <c r="I91" s="1049" t="s">
        <v>522</v>
      </c>
      <c r="J91" s="1046" t="s">
        <v>72</v>
      </c>
      <c r="K91" s="1050">
        <v>15</v>
      </c>
      <c r="L91" s="1047">
        <f>SUMIFS('01工程产值对比表'!$M:$M,'01工程产值对比表'!$D:$D,I91,'01工程产值对比表'!$C:$C,I$2)</f>
        <v>0</v>
      </c>
      <c r="M91" s="1038"/>
      <c r="N91" s="1038"/>
      <c r="O91" s="1038"/>
      <c r="Q91" t="s">
        <v>523</v>
      </c>
      <c r="R91" s="697" t="s">
        <v>72</v>
      </c>
      <c r="S91">
        <v>14.5</v>
      </c>
      <c r="T91" s="1038">
        <f>SUMIFS('01工程产值对比表'!$M:$M,'01工程产值对比表'!$D:$D,Q91,'01工程产值对比表'!$C:$C,Q$2)</f>
        <v>0</v>
      </c>
      <c r="U91" s="1038"/>
      <c r="V91" s="1038"/>
      <c r="W91" s="1038"/>
      <c r="X91" s="1048"/>
      <c r="Y91" t="s">
        <v>524</v>
      </c>
      <c r="Z91" t="s">
        <v>76</v>
      </c>
      <c r="AA91">
        <v>55</v>
      </c>
      <c r="AB91" s="1038">
        <f>SUMIFS('01工程产值对比表'!$M:$M,'01工程产值对比表'!$D:$D,Y91,'01工程产值对比表'!$C:$C,Y$2)</f>
        <v>0</v>
      </c>
      <c r="AK91" t="s">
        <v>525</v>
      </c>
    </row>
    <row r="92" spans="1:28">
      <c r="A92" t="s">
        <v>526</v>
      </c>
      <c r="B92" s="697" t="s">
        <v>82</v>
      </c>
      <c r="C92">
        <v>6000</v>
      </c>
      <c r="D92" s="1038">
        <f>SUMIFS('01工程产值对比表'!$M:$M,'01工程产值对比表'!$D:$D,A92,'01工程产值对比表'!$C:$C,A$2)</f>
        <v>0</v>
      </c>
      <c r="F92" s="1039"/>
      <c r="H92" s="1038"/>
      <c r="I92" s="1049" t="s">
        <v>527</v>
      </c>
      <c r="J92" s="1046" t="s">
        <v>72</v>
      </c>
      <c r="K92" s="1050">
        <v>3.5</v>
      </c>
      <c r="L92" s="1047">
        <f>SUMIFS('01工程产值对比表'!$M:$M,'01工程产值对比表'!$D:$D,I92,'01工程产值对比表'!$C:$C,I$2)</f>
        <v>0</v>
      </c>
      <c r="M92" s="1038"/>
      <c r="N92" s="1038"/>
      <c r="O92" s="1038"/>
      <c r="Q92" t="s">
        <v>528</v>
      </c>
      <c r="R92" s="697" t="s">
        <v>72</v>
      </c>
      <c r="T92" s="1038">
        <f>SUMIFS('01工程产值对比表'!$M:$M,'01工程产值对比表'!$D:$D,Q92,'01工程产值对比表'!$C:$C,Q$2)</f>
        <v>0</v>
      </c>
      <c r="U92" s="1038"/>
      <c r="V92" s="1038"/>
      <c r="W92" s="1038"/>
      <c r="X92" s="1048"/>
      <c r="Y92" t="s">
        <v>529</v>
      </c>
      <c r="Z92" t="s">
        <v>169</v>
      </c>
      <c r="AA92">
        <v>800</v>
      </c>
      <c r="AB92" s="1038">
        <f>SUMIFS('01工程产值对比表'!$M:$M,'01工程产值对比表'!$D:$D,Y92,'01工程产值对比表'!$C:$C,Y$2)</f>
        <v>0</v>
      </c>
    </row>
    <row r="93" spans="1:28">
      <c r="A93" t="s">
        <v>530</v>
      </c>
      <c r="B93" s="697" t="s">
        <v>69</v>
      </c>
      <c r="C93">
        <v>2.5</v>
      </c>
      <c r="D93" s="1038">
        <f>SUMIFS('01工程产值对比表'!$M:$M,'01工程产值对比表'!$D:$D,A93,'01工程产值对比表'!$C:$C,A$2)</f>
        <v>0</v>
      </c>
      <c r="F93" s="1039"/>
      <c r="H93" s="1038"/>
      <c r="I93" s="1049" t="s">
        <v>531</v>
      </c>
      <c r="J93" s="1046" t="s">
        <v>69</v>
      </c>
      <c r="K93" s="1050">
        <v>1.5</v>
      </c>
      <c r="L93" s="1047">
        <f>SUMIFS('01工程产值对比表'!$M:$M,'01工程产值对比表'!$D:$D,I93,'01工程产值对比表'!$C:$C,I$2)</f>
        <v>0</v>
      </c>
      <c r="M93" s="1038"/>
      <c r="N93" s="1038"/>
      <c r="O93" s="1038"/>
      <c r="Q93" t="s">
        <v>532</v>
      </c>
      <c r="R93" s="697" t="s">
        <v>82</v>
      </c>
      <c r="S93">
        <v>105.5</v>
      </c>
      <c r="T93" s="1038">
        <f>SUMIFS('01工程产值对比表'!$M:$M,'01工程产值对比表'!$D:$D,Q93,'01工程产值对比表'!$C:$C,Q$2)</f>
        <v>0</v>
      </c>
      <c r="U93" s="1038"/>
      <c r="V93" s="1038"/>
      <c r="W93" s="1038"/>
      <c r="Y93" t="s">
        <v>533</v>
      </c>
      <c r="Z93" t="s">
        <v>169</v>
      </c>
      <c r="AA93">
        <v>500</v>
      </c>
      <c r="AB93" s="1038">
        <f>SUMIFS('01工程产值对比表'!$M:$M,'01工程产值对比表'!$D:$D,Y93,'01工程产值对比表'!$C:$C,Y$2)</f>
        <v>0</v>
      </c>
    </row>
    <row r="94" spans="1:28">
      <c r="A94" t="s">
        <v>534</v>
      </c>
      <c r="B94" s="697" t="s">
        <v>72</v>
      </c>
      <c r="C94">
        <v>600</v>
      </c>
      <c r="D94" s="1038">
        <f>SUMIFS('01工程产值对比表'!$M:$M,'01工程产值对比表'!$D:$D,A94,'01工程产值对比表'!$C:$C,A$2)</f>
        <v>0</v>
      </c>
      <c r="F94" s="1039"/>
      <c r="H94" s="1038"/>
      <c r="I94" s="1049" t="s">
        <v>535</v>
      </c>
      <c r="J94" s="1046" t="s">
        <v>72</v>
      </c>
      <c r="K94" s="1050">
        <v>100</v>
      </c>
      <c r="L94" s="1047">
        <f>SUMIFS('01工程产值对比表'!$M:$M,'01工程产值对比表'!$D:$D,I94,'01工程产值对比表'!$C:$C,I$2)</f>
        <v>0</v>
      </c>
      <c r="M94" s="1038"/>
      <c r="N94" s="1038"/>
      <c r="O94" s="1038"/>
      <c r="Q94" t="s">
        <v>536</v>
      </c>
      <c r="R94" s="697" t="s">
        <v>82</v>
      </c>
      <c r="S94">
        <v>43</v>
      </c>
      <c r="T94" s="1038">
        <f>SUMIFS('01工程产值对比表'!$M:$M,'01工程产值对比表'!$D:$D,Q94,'01工程产值对比表'!$C:$C,Q$2)</f>
        <v>0</v>
      </c>
      <c r="U94" s="1038"/>
      <c r="V94" s="1038"/>
      <c r="W94" s="1038"/>
      <c r="Y94" t="s">
        <v>537</v>
      </c>
      <c r="Z94" t="s">
        <v>72</v>
      </c>
      <c r="AA94">
        <v>850</v>
      </c>
      <c r="AB94" s="1038">
        <f>SUMIFS('01工程产值对比表'!$M:$M,'01工程产值对比表'!$D:$D,Y94,'01工程产值对比表'!$C:$C,Y$2)</f>
        <v>0</v>
      </c>
    </row>
    <row r="95" spans="1:28">
      <c r="A95" t="s">
        <v>538</v>
      </c>
      <c r="B95" s="697" t="s">
        <v>72</v>
      </c>
      <c r="C95">
        <v>2.3</v>
      </c>
      <c r="D95" s="1038">
        <f>SUMIFS('01工程产值对比表'!$M:$M,'01工程产值对比表'!$D:$D,A95,'01工程产值对比表'!$C:$C,A$2)</f>
        <v>0</v>
      </c>
      <c r="F95" s="1039"/>
      <c r="H95" s="1038"/>
      <c r="I95" s="1049" t="s">
        <v>539</v>
      </c>
      <c r="J95" s="1046" t="s">
        <v>72</v>
      </c>
      <c r="K95" s="1050">
        <v>94</v>
      </c>
      <c r="L95" s="1047">
        <f>SUMIFS('01工程产值对比表'!$M:$M,'01工程产值对比表'!$D:$D,I95,'01工程产值对比表'!$C:$C,I$2)</f>
        <v>0</v>
      </c>
      <c r="M95" s="1038"/>
      <c r="N95" s="1038"/>
      <c r="O95" s="1038"/>
      <c r="Q95" t="s">
        <v>540</v>
      </c>
      <c r="R95" s="697" t="s">
        <v>82</v>
      </c>
      <c r="T95" s="1038">
        <f>SUMIFS('01工程产值对比表'!$M:$M,'01工程产值对比表'!$D:$D,Q95,'01工程产值对比表'!$C:$C,Q$2)</f>
        <v>0</v>
      </c>
      <c r="U95" s="1038"/>
      <c r="V95" s="1038"/>
      <c r="W95" s="1038"/>
      <c r="Y95" t="s">
        <v>541</v>
      </c>
      <c r="Z95" t="s">
        <v>169</v>
      </c>
      <c r="AA95">
        <v>35</v>
      </c>
      <c r="AB95" s="1038">
        <f>SUMIFS('01工程产值对比表'!$M:$M,'01工程产值对比表'!$D:$D,Y95,'01工程产值对比表'!$C:$C,Y$2)</f>
        <v>0</v>
      </c>
    </row>
    <row r="96" spans="1:28">
      <c r="A96" t="s">
        <v>542</v>
      </c>
      <c r="B96" s="697" t="s">
        <v>543</v>
      </c>
      <c r="C96">
        <v>0.8</v>
      </c>
      <c r="D96" s="1038">
        <f>SUMIFS('01工程产值对比表'!$M:$M,'01工程产值对比表'!$D:$D,A96,'01工程产值对比表'!$C:$C,A$2)</f>
        <v>0</v>
      </c>
      <c r="F96" s="1039"/>
      <c r="H96" s="1038"/>
      <c r="I96" s="1049" t="s">
        <v>544</v>
      </c>
      <c r="J96" s="1046" t="s">
        <v>72</v>
      </c>
      <c r="K96" s="1050">
        <v>16</v>
      </c>
      <c r="L96" s="1047">
        <f>SUMIFS('01工程产值对比表'!$M:$M,'01工程产值对比表'!$D:$D,I96,'01工程产值对比表'!$C:$C,I$2)</f>
        <v>0</v>
      </c>
      <c r="M96" s="1038"/>
      <c r="N96" s="1038"/>
      <c r="O96" s="1038"/>
      <c r="Q96" t="s">
        <v>545</v>
      </c>
      <c r="R96" s="697" t="s">
        <v>69</v>
      </c>
      <c r="S96">
        <v>0.84</v>
      </c>
      <c r="T96" s="1038">
        <f>SUMIFS('01工程产值对比表'!$M:$M,'01工程产值对比表'!$D:$D,Q96,'01工程产值对比表'!$C:$C,Q$2)</f>
        <v>0</v>
      </c>
      <c r="U96" s="1038"/>
      <c r="V96" s="1038"/>
      <c r="W96" s="1038"/>
      <c r="Y96" t="s">
        <v>546</v>
      </c>
      <c r="Z96" t="s">
        <v>185</v>
      </c>
      <c r="AA96">
        <v>55</v>
      </c>
      <c r="AB96" s="1038">
        <f>SUMIFS('01工程产值对比表'!$M:$M,'01工程产值对比表'!$D:$D,Y96,'01工程产值对比表'!$C:$C,Y$2)</f>
        <v>0</v>
      </c>
    </row>
    <row r="97" spans="1:28">
      <c r="A97" t="s">
        <v>547</v>
      </c>
      <c r="B97" s="697" t="s">
        <v>72</v>
      </c>
      <c r="D97" s="1038">
        <f>SUMIFS('01工程产值对比表'!$M:$M,'01工程产值对比表'!$D:$D,A97,'01工程产值对比表'!$C:$C,A$2)</f>
        <v>0</v>
      </c>
      <c r="F97" s="1039"/>
      <c r="H97" s="1038"/>
      <c r="I97" s="1049" t="s">
        <v>548</v>
      </c>
      <c r="J97" s="1046" t="s">
        <v>72</v>
      </c>
      <c r="K97" s="1050">
        <v>19</v>
      </c>
      <c r="L97" s="1047">
        <f>SUMIFS('01工程产值对比表'!$M:$M,'01工程产值对比表'!$D:$D,I97,'01工程产值对比表'!$C:$C,I$2)</f>
        <v>0</v>
      </c>
      <c r="M97" s="1038"/>
      <c r="N97" s="1038"/>
      <c r="O97" s="1038"/>
      <c r="Q97" t="s">
        <v>549</v>
      </c>
      <c r="R97" s="697" t="s">
        <v>69</v>
      </c>
      <c r="S97">
        <v>0.67</v>
      </c>
      <c r="T97" s="1038">
        <f>SUMIFS('01工程产值对比表'!$M:$M,'01工程产值对比表'!$D:$D,Q97,'01工程产值对比表'!$C:$C,Q$2)</f>
        <v>0</v>
      </c>
      <c r="U97" s="1038"/>
      <c r="V97" s="1038"/>
      <c r="W97" s="1038"/>
      <c r="Y97" t="s">
        <v>550</v>
      </c>
      <c r="Z97" t="s">
        <v>82</v>
      </c>
      <c r="AA97">
        <v>8000</v>
      </c>
      <c r="AB97" s="1038">
        <f>SUMIFS('01工程产值对比表'!$M:$M,'01工程产值对比表'!$D:$D,Y97,'01工程产值对比表'!$C:$C,Y$2)</f>
        <v>0</v>
      </c>
    </row>
    <row r="98" spans="1:28">
      <c r="A98" t="s">
        <v>551</v>
      </c>
      <c r="B98" s="697" t="s">
        <v>185</v>
      </c>
      <c r="C98">
        <v>2</v>
      </c>
      <c r="D98" s="1038">
        <f>SUMIFS('01工程产值对比表'!$M:$M,'01工程产值对比表'!$D:$D,A98,'01工程产值对比表'!$C:$C,A$2)</f>
        <v>0</v>
      </c>
      <c r="F98" s="1039"/>
      <c r="H98" s="1038"/>
      <c r="I98" s="1049" t="s">
        <v>552</v>
      </c>
      <c r="J98" s="1046" t="s">
        <v>72</v>
      </c>
      <c r="K98" s="1050">
        <v>18</v>
      </c>
      <c r="L98" s="1047">
        <f>SUMIFS('01工程产值对比表'!$M:$M,'01工程产值对比表'!$D:$D,I98,'01工程产值对比表'!$C:$C,I$2)</f>
        <v>0</v>
      </c>
      <c r="M98" s="1038"/>
      <c r="N98" s="1038"/>
      <c r="O98" s="1038"/>
      <c r="Q98" t="s">
        <v>553</v>
      </c>
      <c r="R98" s="697" t="s">
        <v>69</v>
      </c>
      <c r="S98">
        <v>0.5</v>
      </c>
      <c r="T98" s="1038">
        <f>SUMIFS('01工程产值对比表'!$M:$M,'01工程产值对比表'!$D:$D,Q98,'01工程产值对比表'!$C:$C,Q$2)</f>
        <v>0</v>
      </c>
      <c r="U98" s="1038"/>
      <c r="V98" s="1038"/>
      <c r="W98" s="1038"/>
      <c r="Y98" t="s">
        <v>554</v>
      </c>
      <c r="Z98" t="s">
        <v>169</v>
      </c>
      <c r="AA98">
        <v>5000</v>
      </c>
      <c r="AB98" s="1038">
        <f>SUMIFS('01工程产值对比表'!$M:$M,'01工程产值对比表'!$D:$D,Y98,'01工程产值对比表'!$C:$C,Y$2)</f>
        <v>0</v>
      </c>
    </row>
    <row r="99" spans="1:28">
      <c r="A99" s="889" t="s">
        <v>555</v>
      </c>
      <c r="B99" s="697" t="s">
        <v>72</v>
      </c>
      <c r="D99" s="1038">
        <f>SUMIFS('01工程产值对比表'!$M:$M,'01工程产值对比表'!$D:$D,A99,'01工程产值对比表'!$C:$C,A$2)</f>
        <v>0</v>
      </c>
      <c r="F99" s="1039"/>
      <c r="H99" s="1038"/>
      <c r="I99" s="1049" t="s">
        <v>556</v>
      </c>
      <c r="J99" s="1046" t="s">
        <v>195</v>
      </c>
      <c r="K99" s="1050">
        <v>14760000</v>
      </c>
      <c r="L99" s="1047">
        <f>SUMIFS('01工程产值对比表'!$M:$M,'01工程产值对比表'!$D:$D,I99,'01工程产值对比表'!$C:$C,I$2)</f>
        <v>0</v>
      </c>
      <c r="M99" s="1038"/>
      <c r="N99" s="1038"/>
      <c r="O99" s="1038"/>
      <c r="Q99" t="s">
        <v>557</v>
      </c>
      <c r="R99" s="697" t="s">
        <v>69</v>
      </c>
      <c r="S99">
        <v>55</v>
      </c>
      <c r="T99" s="1038">
        <f>SUMIFS('01工程产值对比表'!$M:$M,'01工程产值对比表'!$D:$D,Q99,'01工程产值对比表'!$C:$C,Q$2)</f>
        <v>0</v>
      </c>
      <c r="U99" s="1038"/>
      <c r="V99" s="1038"/>
      <c r="W99" s="1038"/>
      <c r="Y99" t="s">
        <v>558</v>
      </c>
      <c r="Z99" t="s">
        <v>175</v>
      </c>
      <c r="AA99">
        <v>350000</v>
      </c>
      <c r="AB99" s="1038">
        <f>SUMIFS('01工程产值对比表'!$M:$M,'01工程产值对比表'!$D:$D,Y99,'01工程产值对比表'!$C:$C,Y$2)</f>
        <v>0</v>
      </c>
    </row>
    <row r="100" spans="1:28">
      <c r="A100" s="889" t="s">
        <v>559</v>
      </c>
      <c r="B100" s="697" t="s">
        <v>69</v>
      </c>
      <c r="D100" s="1038">
        <f>SUMIFS('01工程产值对比表'!$M:$M,'01工程产值对比表'!$D:$D,A100,'01工程产值对比表'!$C:$C,A$2)</f>
        <v>0</v>
      </c>
      <c r="F100" s="1039"/>
      <c r="H100" s="1038"/>
      <c r="I100" s="1049" t="s">
        <v>560</v>
      </c>
      <c r="J100" s="1046" t="s">
        <v>69</v>
      </c>
      <c r="K100" s="1050">
        <v>3</v>
      </c>
      <c r="L100" s="1047">
        <f>SUMIFS('01工程产值对比表'!$M:$M,'01工程产值对比表'!$D:$D,I100,'01工程产值对比表'!$C:$C,I$2)</f>
        <v>0</v>
      </c>
      <c r="M100" s="1038"/>
      <c r="N100" s="1038"/>
      <c r="O100" s="1038"/>
      <c r="Q100" t="s">
        <v>561</v>
      </c>
      <c r="R100" s="697" t="s">
        <v>69</v>
      </c>
      <c r="S100">
        <v>45</v>
      </c>
      <c r="T100" s="1038">
        <f>SUMIFS('01工程产值对比表'!$M:$M,'01工程产值对比表'!$D:$D,Q100,'01工程产值对比表'!$C:$C,Q$2)</f>
        <v>0</v>
      </c>
      <c r="U100" s="1038"/>
      <c r="V100" s="1038"/>
      <c r="W100" s="1038"/>
      <c r="Y100" t="s">
        <v>562</v>
      </c>
      <c r="Z100" t="s">
        <v>76</v>
      </c>
      <c r="AA100">
        <v>85</v>
      </c>
      <c r="AB100" s="1038">
        <f>SUMIFS('01工程产值对比表'!$M:$M,'01工程产值对比表'!$D:$D,Y100,'01工程产值对比表'!$C:$C,Y$2)</f>
        <v>0</v>
      </c>
    </row>
    <row r="101" spans="1:28">
      <c r="A101" s="889" t="s">
        <v>563</v>
      </c>
      <c r="B101" s="697" t="s">
        <v>72</v>
      </c>
      <c r="D101" s="1038">
        <f>SUMIFS('01工程产值对比表'!$M:$M,'01工程产值对比表'!$D:$D,A101,'01工程产值对比表'!$C:$C,A$2)</f>
        <v>0</v>
      </c>
      <c r="F101" s="1039"/>
      <c r="H101" s="1038"/>
      <c r="I101" s="1049" t="s">
        <v>564</v>
      </c>
      <c r="J101" s="1046" t="s">
        <v>69</v>
      </c>
      <c r="K101" s="1050">
        <v>1.8</v>
      </c>
      <c r="L101" s="1047">
        <f>SUMIFS('01工程产值对比表'!$M:$M,'01工程产值对比表'!$D:$D,I101,'01工程产值对比表'!$C:$C,I$2)</f>
        <v>7260</v>
      </c>
      <c r="M101" s="1038"/>
      <c r="N101" s="1038"/>
      <c r="O101" s="1038"/>
      <c r="Q101" t="s">
        <v>565</v>
      </c>
      <c r="R101" s="697" t="s">
        <v>72</v>
      </c>
      <c r="S101">
        <v>700</v>
      </c>
      <c r="T101" s="1038">
        <f>SUMIFS('01工程产值对比表'!$M:$M,'01工程产值对比表'!$D:$D,Q101,'01工程产值对比表'!$C:$C,Q$2)</f>
        <v>0</v>
      </c>
      <c r="U101" s="1038"/>
      <c r="V101" s="1038"/>
      <c r="W101" s="1038"/>
      <c r="Y101" t="s">
        <v>566</v>
      </c>
      <c r="Z101" t="s">
        <v>175</v>
      </c>
      <c r="AA101">
        <v>6000</v>
      </c>
      <c r="AB101" s="1038">
        <f>SUMIFS('01工程产值对比表'!$M:$M,'01工程产值对比表'!$D:$D,Y101,'01工程产值对比表'!$C:$C,Y$2)</f>
        <v>0</v>
      </c>
    </row>
    <row r="102" spans="1:28">
      <c r="A102" s="889" t="s">
        <v>567</v>
      </c>
      <c r="B102" s="697" t="s">
        <v>72</v>
      </c>
      <c r="D102" s="1038">
        <f>SUMIFS('01工程产值对比表'!$M:$M,'01工程产值对比表'!$D:$D,A102,'01工程产值对比表'!$C:$C,A$2)</f>
        <v>0</v>
      </c>
      <c r="F102" s="1039"/>
      <c r="H102" s="1038"/>
      <c r="I102" s="1049" t="s">
        <v>568</v>
      </c>
      <c r="J102" s="1046" t="s">
        <v>72</v>
      </c>
      <c r="K102" s="1050">
        <v>800</v>
      </c>
      <c r="L102" s="1047">
        <f>SUMIFS('01工程产值对比表'!$M:$M,'01工程产值对比表'!$D:$D,I102,'01工程产值对比表'!$C:$C,I$2)</f>
        <v>0</v>
      </c>
      <c r="M102" s="1038"/>
      <c r="N102" s="1038"/>
      <c r="O102" s="1038"/>
      <c r="Q102" t="s">
        <v>569</v>
      </c>
      <c r="R102" s="697" t="s">
        <v>72</v>
      </c>
      <c r="S102">
        <v>0.8</v>
      </c>
      <c r="T102" s="1038">
        <f>SUMIFS('01工程产值对比表'!$M:$M,'01工程产值对比表'!$D:$D,Q102,'01工程产值对比表'!$C:$C,Q$2)</f>
        <v>0</v>
      </c>
      <c r="U102" s="1038"/>
      <c r="V102" s="1038"/>
      <c r="W102" s="1038"/>
      <c r="Y102" t="s">
        <v>570</v>
      </c>
      <c r="Z102" t="s">
        <v>15</v>
      </c>
      <c r="AA102">
        <v>1300000</v>
      </c>
      <c r="AB102" s="1038">
        <f>SUMIFS('01工程产值对比表'!$M:$M,'01工程产值对比表'!$D:$D,Y102,'01工程产值对比表'!$C:$C,Y$2)</f>
        <v>0</v>
      </c>
    </row>
    <row r="103" spans="1:28">
      <c r="A103" s="889" t="s">
        <v>571</v>
      </c>
      <c r="B103" s="697" t="s">
        <v>82</v>
      </c>
      <c r="C103">
        <v>4500</v>
      </c>
      <c r="D103" s="1038">
        <f>SUMIFS('01工程产值对比表'!$M:$M,'01工程产值对比表'!$D:$D,A103,'01工程产值对比表'!$C:$C,A$2)</f>
        <v>0</v>
      </c>
      <c r="F103" s="1039"/>
      <c r="H103" s="1038"/>
      <c r="I103" s="1049" t="s">
        <v>572</v>
      </c>
      <c r="J103" s="1046" t="s">
        <v>72</v>
      </c>
      <c r="K103" s="1050">
        <v>4</v>
      </c>
      <c r="L103" s="1047">
        <f>SUMIFS('01工程产值对比表'!$M:$M,'01工程产值对比表'!$D:$D,I103,'01工程产值对比表'!$C:$C,I$2)</f>
        <v>0</v>
      </c>
      <c r="M103" s="1038"/>
      <c r="N103" s="1038"/>
      <c r="O103" s="1038"/>
      <c r="Q103" t="s">
        <v>573</v>
      </c>
      <c r="R103" s="697" t="s">
        <v>72</v>
      </c>
      <c r="S103">
        <v>0.5</v>
      </c>
      <c r="T103" s="1038">
        <f>SUMIFS('01工程产值对比表'!$M:$M,'01工程产值对比表'!$D:$D,Q103,'01工程产值对比表'!$C:$C,Q$2)</f>
        <v>0</v>
      </c>
      <c r="U103" s="1038"/>
      <c r="V103" s="1038"/>
      <c r="W103" s="1038"/>
      <c r="Y103" t="s">
        <v>574</v>
      </c>
      <c r="Z103" t="s">
        <v>69</v>
      </c>
      <c r="AA103">
        <v>25</v>
      </c>
      <c r="AB103" s="1038">
        <f>SUMIFS('01工程产值对比表'!$M:$M,'01工程产值对比表'!$D:$D,Y103,'01工程产值对比表'!$C:$C,Y$2)</f>
        <v>0</v>
      </c>
    </row>
    <row r="104" ht="47.25" spans="1:28">
      <c r="A104" s="889" t="s">
        <v>575</v>
      </c>
      <c r="B104" s="697" t="s">
        <v>82</v>
      </c>
      <c r="C104">
        <v>200</v>
      </c>
      <c r="D104" s="1038">
        <f>SUMIFS('01工程产值对比表'!$M:$M,'01工程产值对比表'!$D:$D,A104,'01工程产值对比表'!$C:$C,A$2)</f>
        <v>0</v>
      </c>
      <c r="F104" s="1039"/>
      <c r="H104" s="1038"/>
      <c r="I104" s="1049" t="s">
        <v>576</v>
      </c>
      <c r="J104" s="1046" t="s">
        <v>72</v>
      </c>
      <c r="K104" s="1050">
        <v>3</v>
      </c>
      <c r="L104" s="1047">
        <f>SUMIFS('01工程产值对比表'!$M:$M,'01工程产值对比表'!$D:$D,I104,'01工程产值对比表'!$C:$C,I$2)</f>
        <v>0</v>
      </c>
      <c r="M104" s="1038"/>
      <c r="N104" s="1038"/>
      <c r="O104" s="1038"/>
      <c r="Q104" t="s">
        <v>577</v>
      </c>
      <c r="R104" s="697" t="s">
        <v>72</v>
      </c>
      <c r="S104">
        <v>1.5</v>
      </c>
      <c r="T104" s="1038">
        <f>SUMIFS('01工程产值对比表'!$M:$M,'01工程产值对比表'!$D:$D,Q104,'01工程产值对比表'!$C:$C,Q$2)</f>
        <v>0</v>
      </c>
      <c r="U104" s="1038"/>
      <c r="V104" s="1038"/>
      <c r="W104" s="1038"/>
      <c r="Y104" t="s">
        <v>578</v>
      </c>
      <c r="AA104">
        <v>1300000</v>
      </c>
      <c r="AB104" s="1038">
        <f>SUMIFS('01工程产值对比表'!$M:$M,'01工程产值对比表'!$D:$D,Y104,'01工程产值对比表'!$C:$C,Y$2)</f>
        <v>0</v>
      </c>
    </row>
    <row r="105" ht="31.5" spans="1:28">
      <c r="A105" s="889" t="s">
        <v>579</v>
      </c>
      <c r="B105" s="697" t="s">
        <v>76</v>
      </c>
      <c r="D105" s="1038">
        <f>SUMIFS('01工程产值对比表'!$M:$M,'01工程产值对比表'!$D:$D,A105,'01工程产值对比表'!$C:$C,A$2)</f>
        <v>0</v>
      </c>
      <c r="F105" s="1039"/>
      <c r="H105" s="1038"/>
      <c r="I105" s="1049" t="s">
        <v>580</v>
      </c>
      <c r="J105" s="1046" t="s">
        <v>72</v>
      </c>
      <c r="K105" s="1050">
        <v>5</v>
      </c>
      <c r="L105" s="1047">
        <f>SUMIFS('01工程产值对比表'!$M:$M,'01工程产值对比表'!$D:$D,I105,'01工程产值对比表'!$C:$C,I$2)</f>
        <v>0</v>
      </c>
      <c r="M105" s="1038"/>
      <c r="N105" s="1038"/>
      <c r="O105" s="1038"/>
      <c r="Q105" t="s">
        <v>581</v>
      </c>
      <c r="R105" s="697" t="s">
        <v>72</v>
      </c>
      <c r="S105">
        <v>56.7</v>
      </c>
      <c r="T105" s="1038">
        <f>SUMIFS('01工程产值对比表'!$M:$M,'01工程产值对比表'!$D:$D,Q105,'01工程产值对比表'!$C:$C,Q$2)</f>
        <v>0</v>
      </c>
      <c r="U105" s="1038"/>
      <c r="V105" s="1038"/>
      <c r="W105" s="1038"/>
      <c r="Y105" t="s">
        <v>582</v>
      </c>
      <c r="Z105" t="s">
        <v>190</v>
      </c>
      <c r="AB105" s="1038">
        <f>SUMIFS('01工程产值对比表'!$M:$M,'01工程产值对比表'!$D:$D,Y105,'01工程产值对比表'!$C:$C,Y$2)</f>
        <v>0</v>
      </c>
    </row>
    <row r="106" ht="31.5" spans="1:28">
      <c r="A106" s="889" t="s">
        <v>583</v>
      </c>
      <c r="B106" s="697" t="s">
        <v>72</v>
      </c>
      <c r="D106" s="1038">
        <f>SUMIFS('01工程产值对比表'!$M:$M,'01工程产值对比表'!$D:$D,A106,'01工程产值对比表'!$C:$C,A$2)</f>
        <v>0</v>
      </c>
      <c r="F106" s="1039"/>
      <c r="H106" s="1038"/>
      <c r="I106" s="1049" t="s">
        <v>584</v>
      </c>
      <c r="J106" s="1046" t="s">
        <v>72</v>
      </c>
      <c r="K106" s="1050">
        <v>3.33</v>
      </c>
      <c r="L106" s="1047">
        <f>SUMIFS('01工程产值对比表'!$M:$M,'01工程产值对比表'!$D:$D,I106,'01工程产值对比表'!$C:$C,I$2)</f>
        <v>0</v>
      </c>
      <c r="M106" s="1038"/>
      <c r="N106" s="1038"/>
      <c r="O106" s="1038"/>
      <c r="Q106" t="s">
        <v>585</v>
      </c>
      <c r="R106" s="697" t="s">
        <v>72</v>
      </c>
      <c r="S106">
        <v>65</v>
      </c>
      <c r="T106" s="1038">
        <f>SUMIFS('01工程产值对比表'!$M:$M,'01工程产值对比表'!$D:$D,Q106,'01工程产值对比表'!$C:$C,Q$2)</f>
        <v>0</v>
      </c>
      <c r="U106" s="1038"/>
      <c r="V106" s="1038"/>
      <c r="W106" s="1038"/>
      <c r="Y106" t="s">
        <v>586</v>
      </c>
      <c r="Z106" t="s">
        <v>69</v>
      </c>
      <c r="AB106" s="1038">
        <f>SUMIFS('01工程产值对比表'!$M:$M,'01工程产值对比表'!$D:$D,Y106,'01工程产值对比表'!$C:$C,Y$2)</f>
        <v>0</v>
      </c>
    </row>
    <row r="107" ht="31.5" spans="1:28">
      <c r="A107" s="889" t="s">
        <v>587</v>
      </c>
      <c r="B107" s="697" t="s">
        <v>76</v>
      </c>
      <c r="D107" s="1038">
        <f>SUMIFS('01工程产值对比表'!$M:$M,'01工程产值对比表'!$D:$D,A107,'01工程产值对比表'!$C:$C,A$2)</f>
        <v>0</v>
      </c>
      <c r="F107" s="1039"/>
      <c r="H107" s="1038"/>
      <c r="I107" s="1049" t="s">
        <v>588</v>
      </c>
      <c r="J107" s="1046" t="s">
        <v>72</v>
      </c>
      <c r="K107" s="1050">
        <v>2.5</v>
      </c>
      <c r="L107" s="1047">
        <f>SUMIFS('01工程产值对比表'!$M:$M,'01工程产值对比表'!$D:$D,I107,'01工程产值对比表'!$C:$C,I$2)</f>
        <v>0</v>
      </c>
      <c r="M107" s="1038"/>
      <c r="N107" s="1038"/>
      <c r="O107" s="1038"/>
      <c r="Q107" t="s">
        <v>589</v>
      </c>
      <c r="R107" s="697" t="s">
        <v>72</v>
      </c>
      <c r="S107">
        <v>56.7</v>
      </c>
      <c r="T107" s="1038">
        <f>SUMIFS('01工程产值对比表'!$M:$M,'01工程产值对比表'!$D:$D,Q107,'01工程产值对比表'!$C:$C,Q$2)</f>
        <v>0</v>
      </c>
      <c r="U107" s="1038"/>
      <c r="V107" s="1038"/>
      <c r="W107" s="1038"/>
      <c r="Y107" t="s">
        <v>590</v>
      </c>
      <c r="Z107" t="s">
        <v>76</v>
      </c>
      <c r="AB107" s="1038">
        <f>SUMIFS('01工程产值对比表'!$M:$M,'01工程产值对比表'!$D:$D,Y107,'01工程产值对比表'!$C:$C,Y$2)</f>
        <v>0</v>
      </c>
    </row>
    <row r="108" spans="1:28">
      <c r="A108" s="889" t="s">
        <v>591</v>
      </c>
      <c r="B108" s="697" t="s">
        <v>76</v>
      </c>
      <c r="D108" s="1038">
        <f>SUMIFS('01工程产值对比表'!$M:$M,'01工程产值对比表'!$D:$D,A108,'01工程产值对比表'!$C:$C,A$2)</f>
        <v>0</v>
      </c>
      <c r="F108" s="1039"/>
      <c r="H108" s="1038"/>
      <c r="I108" s="1049" t="s">
        <v>592</v>
      </c>
      <c r="J108" s="1046" t="s">
        <v>72</v>
      </c>
      <c r="K108" s="1050">
        <v>10</v>
      </c>
      <c r="L108" s="1047">
        <f>SUMIFS('01工程产值对比表'!$M:$M,'01工程产值对比表'!$D:$D,I108,'01工程产值对比表'!$C:$C,I$2)</f>
        <v>0</v>
      </c>
      <c r="M108" s="1038"/>
      <c r="N108" s="1038"/>
      <c r="O108" s="1038"/>
      <c r="Q108" t="s">
        <v>593</v>
      </c>
      <c r="R108" s="697" t="s">
        <v>72</v>
      </c>
      <c r="S108">
        <v>200</v>
      </c>
      <c r="T108" s="1038">
        <f>SUMIFS('01工程产值对比表'!$M:$M,'01工程产值对比表'!$D:$D,Q108,'01工程产值对比表'!$C:$C,Q$2)</f>
        <v>0</v>
      </c>
      <c r="U108" s="1038"/>
      <c r="V108" s="1038"/>
      <c r="W108" s="1038"/>
      <c r="Y108" t="s">
        <v>594</v>
      </c>
      <c r="Z108" t="s">
        <v>69</v>
      </c>
      <c r="AB108" s="1038">
        <f>SUMIFS('01工程产值对比表'!$M:$M,'01工程产值对比表'!$D:$D,Y108,'01工程产值对比表'!$C:$C,Y$2)</f>
        <v>0</v>
      </c>
    </row>
    <row r="109" ht="31.5" spans="1:28">
      <c r="A109" s="889" t="s">
        <v>595</v>
      </c>
      <c r="B109" s="697" t="s">
        <v>72</v>
      </c>
      <c r="C109">
        <v>400</v>
      </c>
      <c r="D109" s="1038">
        <f>SUMIFS('01工程产值对比表'!$M:$M,'01工程产值对比表'!$D:$D,A109,'01工程产值对比表'!$C:$C,A$2)</f>
        <v>0</v>
      </c>
      <c r="F109" s="1039"/>
      <c r="H109" s="1038"/>
      <c r="I109" s="1049" t="s">
        <v>596</v>
      </c>
      <c r="J109" s="1046" t="s">
        <v>72</v>
      </c>
      <c r="K109" s="1050">
        <v>5</v>
      </c>
      <c r="L109" s="1047">
        <f>SUMIFS('01工程产值对比表'!$M:$M,'01工程产值对比表'!$D:$D,I109,'01工程产值对比表'!$C:$C,I$2)</f>
        <v>0</v>
      </c>
      <c r="M109" s="1038"/>
      <c r="N109" s="1038"/>
      <c r="O109" s="1038"/>
      <c r="Q109" t="s">
        <v>597</v>
      </c>
      <c r="R109" s="697" t="s">
        <v>69</v>
      </c>
      <c r="S109">
        <v>34.5</v>
      </c>
      <c r="T109" s="1038">
        <f>SUMIFS('01工程产值对比表'!$M:$M,'01工程产值对比表'!$D:$D,Q109,'01工程产值对比表'!$C:$C,Q$2)</f>
        <v>0</v>
      </c>
      <c r="U109" s="1038"/>
      <c r="V109" s="1038"/>
      <c r="W109" s="1038"/>
      <c r="Y109" t="s">
        <v>598</v>
      </c>
      <c r="Z109" t="s">
        <v>69</v>
      </c>
      <c r="AB109" s="1038">
        <f>SUMIFS('01工程产值对比表'!$M:$M,'01工程产值对比表'!$D:$D,Y109,'01工程产值对比表'!$C:$C,Y$2)</f>
        <v>0</v>
      </c>
    </row>
    <row r="110" ht="31.5" spans="1:28">
      <c r="A110" s="889" t="s">
        <v>599</v>
      </c>
      <c r="B110" s="697" t="s">
        <v>600</v>
      </c>
      <c r="D110" s="1038">
        <f>SUMIFS('01工程产值对比表'!$M:$M,'01工程产值对比表'!$D:$D,A110,'01工程产值对比表'!$C:$C,A$2)</f>
        <v>0</v>
      </c>
      <c r="F110" s="1039"/>
      <c r="H110" s="1038"/>
      <c r="I110" s="1049" t="s">
        <v>601</v>
      </c>
      <c r="J110" s="1046" t="s">
        <v>72</v>
      </c>
      <c r="K110" s="1050"/>
      <c r="L110" s="1047">
        <f>SUMIFS('01工程产值对比表'!$M:$M,'01工程产值对比表'!$D:$D,I110,'01工程产值对比表'!$C:$C,I$2)</f>
        <v>0</v>
      </c>
      <c r="M110" s="1038"/>
      <c r="N110" s="1038"/>
      <c r="O110" s="1038"/>
      <c r="Q110" t="s">
        <v>602</v>
      </c>
      <c r="R110" s="697" t="s">
        <v>72</v>
      </c>
      <c r="S110">
        <v>2500</v>
      </c>
      <c r="T110" s="1038">
        <f>SUMIFS('01工程产值对比表'!$M:$M,'01工程产值对比表'!$D:$D,Q110,'01工程产值对比表'!$C:$C,Q$2)</f>
        <v>0</v>
      </c>
      <c r="U110" s="1038"/>
      <c r="V110" s="1038"/>
      <c r="W110" s="1038"/>
      <c r="Y110" t="s">
        <v>603</v>
      </c>
      <c r="Z110" t="s">
        <v>82</v>
      </c>
      <c r="AB110" s="1038">
        <f>SUMIFS('01工程产值对比表'!$M:$M,'01工程产值对比表'!$D:$D,Y110,'01工程产值对比表'!$C:$C,Y$2)</f>
        <v>0</v>
      </c>
    </row>
    <row r="111" ht="31.5" spans="1:28">
      <c r="A111" s="889" t="s">
        <v>604</v>
      </c>
      <c r="B111" s="697" t="s">
        <v>185</v>
      </c>
      <c r="D111" s="1038">
        <f>SUMIFS('01工程产值对比表'!$M:$M,'01工程产值对比表'!$D:$D,A111,'01工程产值对比表'!$C:$C,A$2)</f>
        <v>0</v>
      </c>
      <c r="F111" s="1039"/>
      <c r="H111" s="1038"/>
      <c r="I111" s="1049" t="s">
        <v>605</v>
      </c>
      <c r="J111" s="1046" t="s">
        <v>72</v>
      </c>
      <c r="K111" s="1050">
        <v>5.26</v>
      </c>
      <c r="L111" s="1047">
        <f>SUMIFS('01工程产值对比表'!$M:$M,'01工程产值对比表'!$D:$D,I111,'01工程产值对比表'!$C:$C,I$2)</f>
        <v>0</v>
      </c>
      <c r="M111" s="1038"/>
      <c r="N111" s="1038"/>
      <c r="O111" s="1038"/>
      <c r="Q111" t="s">
        <v>606</v>
      </c>
      <c r="R111" s="697" t="s">
        <v>72</v>
      </c>
      <c r="S111">
        <v>420</v>
      </c>
      <c r="T111" s="1038">
        <f>SUMIFS('01工程产值对比表'!$M:$M,'01工程产值对比表'!$D:$D,Q111,'01工程产值对比表'!$C:$C,Q$2)</f>
        <v>0</v>
      </c>
      <c r="U111" s="1038"/>
      <c r="V111" s="1038"/>
      <c r="W111" s="1038"/>
      <c r="Y111" t="s">
        <v>607</v>
      </c>
      <c r="Z111" t="s">
        <v>82</v>
      </c>
      <c r="AB111" s="1038">
        <f>SUMIFS('01工程产值对比表'!$M:$M,'01工程产值对比表'!$D:$D,Y111,'01工程产值对比表'!$C:$C,Y$2)</f>
        <v>0</v>
      </c>
    </row>
    <row r="112" spans="1:28">
      <c r="A112" s="889" t="s">
        <v>608</v>
      </c>
      <c r="B112" s="697" t="s">
        <v>72</v>
      </c>
      <c r="D112" s="1038">
        <f>SUMIFS('01工程产值对比表'!$M:$M,'01工程产值对比表'!$D:$D,A112,'01工程产值对比表'!$C:$C,A$2)</f>
        <v>0</v>
      </c>
      <c r="F112" s="1039"/>
      <c r="H112" s="1038"/>
      <c r="I112" s="1049" t="s">
        <v>609</v>
      </c>
      <c r="J112" s="1046" t="s">
        <v>72</v>
      </c>
      <c r="K112" s="1050">
        <v>5.71</v>
      </c>
      <c r="L112" s="1047">
        <f>SUMIFS('01工程产值对比表'!$M:$M,'01工程产值对比表'!$D:$D,I112,'01工程产值对比表'!$C:$C,I$2)</f>
        <v>0</v>
      </c>
      <c r="M112" s="1038"/>
      <c r="N112" s="1038"/>
      <c r="O112" s="1038"/>
      <c r="Q112" t="s">
        <v>610</v>
      </c>
      <c r="R112" s="697" t="s">
        <v>82</v>
      </c>
      <c r="S112">
        <v>20</v>
      </c>
      <c r="T112" s="1038">
        <f>SUMIFS('01工程产值对比表'!$M:$M,'01工程产值对比表'!$D:$D,Q112,'01工程产值对比表'!$C:$C,Q$2)</f>
        <v>0</v>
      </c>
      <c r="U112" s="1038"/>
      <c r="V112" s="1038"/>
      <c r="W112" s="1038"/>
      <c r="Y112" t="s">
        <v>611</v>
      </c>
      <c r="Z112" t="s">
        <v>82</v>
      </c>
      <c r="AB112" s="1038">
        <f>SUMIFS('01工程产值对比表'!$M:$M,'01工程产值对比表'!$D:$D,Y112,'01工程产值对比表'!$C:$C,Y$2)</f>
        <v>0</v>
      </c>
    </row>
    <row r="113" ht="31.5" spans="1:28">
      <c r="A113" s="889" t="s">
        <v>612</v>
      </c>
      <c r="B113" s="697" t="s">
        <v>69</v>
      </c>
      <c r="D113" s="1038">
        <f>SUMIFS('01工程产值对比表'!$M:$M,'01工程产值对比表'!$D:$D,A113,'01工程产值对比表'!$C:$C,A$2)</f>
        <v>0</v>
      </c>
      <c r="F113" s="1039"/>
      <c r="H113" s="1038"/>
      <c r="I113" s="1049" t="s">
        <v>613</v>
      </c>
      <c r="J113" s="1046" t="s">
        <v>72</v>
      </c>
      <c r="K113" s="1050">
        <v>4.19</v>
      </c>
      <c r="L113" s="1047">
        <f>SUMIFS('01工程产值对比表'!$M:$M,'01工程产值对比表'!$D:$D,I113,'01工程产值对比表'!$C:$C,I$2)</f>
        <v>0</v>
      </c>
      <c r="M113" s="1038"/>
      <c r="N113" s="1038"/>
      <c r="O113" s="1038"/>
      <c r="Q113" t="s">
        <v>614</v>
      </c>
      <c r="R113" s="697" t="s">
        <v>82</v>
      </c>
      <c r="S113">
        <v>400000</v>
      </c>
      <c r="T113" s="1038">
        <f>SUMIFS('01工程产值对比表'!$M:$M,'01工程产值对比表'!$D:$D,Q113,'01工程产值对比表'!$C:$C,Q$2)</f>
        <v>0</v>
      </c>
      <c r="U113" s="1038"/>
      <c r="V113" s="1038"/>
      <c r="W113" s="1038"/>
      <c r="Y113" t="s">
        <v>615</v>
      </c>
      <c r="Z113" t="s">
        <v>169</v>
      </c>
      <c r="AB113" s="1038">
        <f>SUMIFS('01工程产值对比表'!$M:$M,'01工程产值对比表'!$D:$D,Y113,'01工程产值对比表'!$C:$C,Y$2)</f>
        <v>0</v>
      </c>
    </row>
    <row r="114" ht="31.5" spans="1:28">
      <c r="A114" s="889" t="s">
        <v>616</v>
      </c>
      <c r="B114" s="697" t="s">
        <v>185</v>
      </c>
      <c r="D114" s="1038">
        <f>SUMIFS('01工程产值对比表'!$M:$M,'01工程产值对比表'!$D:$D,A114,'01工程产值对比表'!$C:$C,A$2)</f>
        <v>0</v>
      </c>
      <c r="F114" s="1039"/>
      <c r="H114" s="1038"/>
      <c r="I114" s="1049" t="s">
        <v>617</v>
      </c>
      <c r="J114" s="1046" t="s">
        <v>72</v>
      </c>
      <c r="K114" s="1050">
        <v>1.03</v>
      </c>
      <c r="L114" s="1047">
        <f>SUMIFS('01工程产值对比表'!$M:$M,'01工程产值对比表'!$D:$D,I114,'01工程产值对比表'!$C:$C,I$2)</f>
        <v>0</v>
      </c>
      <c r="M114" s="1038"/>
      <c r="N114" s="1038"/>
      <c r="O114" s="1038"/>
      <c r="Q114" t="s">
        <v>618</v>
      </c>
      <c r="R114" s="697" t="s">
        <v>82</v>
      </c>
      <c r="S114">
        <v>300000</v>
      </c>
      <c r="T114" s="1038">
        <f>SUMIFS('01工程产值对比表'!$M:$M,'01工程产值对比表'!$D:$D,Q114,'01工程产值对比表'!$C:$C,Q$2)</f>
        <v>0</v>
      </c>
      <c r="U114" s="1038"/>
      <c r="V114" s="1038"/>
      <c r="W114" s="1038"/>
      <c r="Y114" t="s">
        <v>619</v>
      </c>
      <c r="Z114" t="s">
        <v>76</v>
      </c>
      <c r="AB114" s="1038">
        <f>SUMIFS('01工程产值对比表'!$M:$M,'01工程产值对比表'!$D:$D,Y114,'01工程产值对比表'!$C:$C,Y$2)</f>
        <v>0</v>
      </c>
    </row>
    <row r="115" ht="31.5" spans="1:28">
      <c r="A115" s="889" t="s">
        <v>620</v>
      </c>
      <c r="B115" s="697" t="s">
        <v>185</v>
      </c>
      <c r="D115" s="1038">
        <f>SUMIFS('01工程产值对比表'!$M:$M,'01工程产值对比表'!$D:$D,A115,'01工程产值对比表'!$C:$C,A$2)</f>
        <v>0</v>
      </c>
      <c r="F115" s="1039"/>
      <c r="H115" s="1038"/>
      <c r="I115" s="1049" t="s">
        <v>621</v>
      </c>
      <c r="J115" s="1046" t="s">
        <v>72</v>
      </c>
      <c r="K115" s="1050"/>
      <c r="L115" s="1047">
        <f>SUMIFS('01工程产值对比表'!$M:$M,'01工程产值对比表'!$D:$D,I115,'01工程产值对比表'!$C:$C,I$2)</f>
        <v>0</v>
      </c>
      <c r="M115" s="1038"/>
      <c r="N115" s="1038"/>
      <c r="O115" s="1038"/>
      <c r="Q115" t="s">
        <v>622</v>
      </c>
      <c r="R115" s="697" t="s">
        <v>82</v>
      </c>
      <c r="S115">
        <v>200</v>
      </c>
      <c r="T115" s="1038">
        <f>SUMIFS('01工程产值对比表'!$M:$M,'01工程产值对比表'!$D:$D,Q115,'01工程产值对比表'!$C:$C,Q$2)</f>
        <v>0</v>
      </c>
      <c r="U115" s="1038"/>
      <c r="V115" s="1038"/>
      <c r="W115" s="1038"/>
      <c r="Y115" t="s">
        <v>623</v>
      </c>
      <c r="Z115" t="s">
        <v>76</v>
      </c>
      <c r="AA115">
        <v>500</v>
      </c>
      <c r="AB115" s="1038">
        <f>SUMIFS('01工程产值对比表'!$M:$M,'01工程产值对比表'!$D:$D,Y115,'01工程产值对比表'!$C:$C,Y$2)</f>
        <v>0</v>
      </c>
    </row>
    <row r="116" ht="31.5" spans="1:28">
      <c r="A116" s="889" t="s">
        <v>624</v>
      </c>
      <c r="B116" s="697" t="s">
        <v>72</v>
      </c>
      <c r="C116">
        <v>500</v>
      </c>
      <c r="D116" s="1038">
        <f>SUMIFS('01工程产值对比表'!$M:$M,'01工程产值对比表'!$D:$D,A116,'01工程产值对比表'!$C:$C,A$2)</f>
        <v>0</v>
      </c>
      <c r="F116" s="1039"/>
      <c r="H116" s="1038"/>
      <c r="I116" s="1049" t="s">
        <v>625</v>
      </c>
      <c r="J116" s="1046" t="s">
        <v>72</v>
      </c>
      <c r="K116" s="1050">
        <v>3.95</v>
      </c>
      <c r="L116" s="1047">
        <f>SUMIFS('01工程产值对比表'!$M:$M,'01工程产值对比表'!$D:$D,I116,'01工程产值对比表'!$C:$C,I$2)</f>
        <v>0</v>
      </c>
      <c r="M116" s="1038"/>
      <c r="N116" s="1038"/>
      <c r="O116" s="1038"/>
      <c r="Q116" t="s">
        <v>626</v>
      </c>
      <c r="R116" s="697" t="s">
        <v>69</v>
      </c>
      <c r="S116">
        <v>200</v>
      </c>
      <c r="T116" s="1038">
        <f>SUMIFS('01工程产值对比表'!$M:$M,'01工程产值对比表'!$D:$D,Q116,'01工程产值对比表'!$C:$C,Q$2)</f>
        <v>0</v>
      </c>
      <c r="U116" s="1038"/>
      <c r="V116" s="1038"/>
      <c r="W116" s="1038"/>
      <c r="Y116" t="s">
        <v>627</v>
      </c>
      <c r="Z116" t="s">
        <v>190</v>
      </c>
      <c r="AA116">
        <v>550</v>
      </c>
      <c r="AB116" s="1038">
        <f>SUMIFS('01工程产值对比表'!$M:$M,'01工程产值对比表'!$D:$D,Y116,'01工程产值对比表'!$C:$C,Y$2)</f>
        <v>0</v>
      </c>
    </row>
    <row r="117" ht="47.25" spans="1:28">
      <c r="A117" s="889" t="s">
        <v>628</v>
      </c>
      <c r="B117" s="697" t="s">
        <v>185</v>
      </c>
      <c r="D117" s="1038">
        <f>SUMIFS('01工程产值对比表'!$M:$M,'01工程产值对比表'!$D:$D,A117,'01工程产值对比表'!$C:$C,A$2)</f>
        <v>0</v>
      </c>
      <c r="F117" s="1039"/>
      <c r="H117" s="1038"/>
      <c r="I117" s="1049" t="s">
        <v>629</v>
      </c>
      <c r="J117" s="1046" t="s">
        <v>72</v>
      </c>
      <c r="K117" s="1050">
        <v>0.9</v>
      </c>
      <c r="L117" s="1047">
        <f>SUMIFS('01工程产值对比表'!$M:$M,'01工程产值对比表'!$D:$D,I117,'01工程产值对比表'!$C:$C,I$2)</f>
        <v>249.5021</v>
      </c>
      <c r="M117" s="1038"/>
      <c r="N117" s="1038"/>
      <c r="O117" s="1038"/>
      <c r="Q117" t="s">
        <v>630</v>
      </c>
      <c r="R117" s="697" t="s">
        <v>72</v>
      </c>
      <c r="S117">
        <v>55</v>
      </c>
      <c r="T117" s="1038">
        <f>SUMIFS('01工程产值对比表'!$M:$M,'01工程产值对比表'!$D:$D,Q117,'01工程产值对比表'!$C:$C,Q$2)</f>
        <v>0</v>
      </c>
      <c r="U117" s="1038"/>
      <c r="V117" s="1038"/>
      <c r="W117" s="1038"/>
      <c r="Y117" t="s">
        <v>631</v>
      </c>
      <c r="Z117" t="s">
        <v>69</v>
      </c>
      <c r="AB117" s="1038">
        <f>SUMIFS('01工程产值对比表'!$M:$M,'01工程产值对比表'!$D:$D,Y117,'01工程产值对比表'!$C:$C,Y$2)</f>
        <v>0</v>
      </c>
    </row>
    <row r="118" spans="1:28">
      <c r="A118" s="889" t="s">
        <v>632</v>
      </c>
      <c r="B118" s="697" t="s">
        <v>72</v>
      </c>
      <c r="C118">
        <v>100</v>
      </c>
      <c r="D118" s="1038">
        <f>SUMIFS('01工程产值对比表'!$M:$M,'01工程产值对比表'!$D:$D,A118,'01工程产值对比表'!$C:$C,A$2)</f>
        <v>0</v>
      </c>
      <c r="F118" s="1039"/>
      <c r="H118" s="1038"/>
      <c r="I118" s="1049" t="s">
        <v>633</v>
      </c>
      <c r="J118" s="1046" t="s">
        <v>72</v>
      </c>
      <c r="K118" s="1050">
        <v>5</v>
      </c>
      <c r="L118" s="1047">
        <f>SUMIFS('01工程产值对比表'!$M:$M,'01工程产值对比表'!$D:$D,I118,'01工程产值对比表'!$C:$C,I$2)</f>
        <v>0</v>
      </c>
      <c r="M118" s="1038"/>
      <c r="N118" s="1038"/>
      <c r="O118" s="1038"/>
      <c r="Q118" t="s">
        <v>634</v>
      </c>
      <c r="R118" s="697" t="s">
        <v>69</v>
      </c>
      <c r="S118">
        <v>55</v>
      </c>
      <c r="T118" s="1038">
        <f>SUMIFS('01工程产值对比表'!$M:$M,'01工程产值对比表'!$D:$D,Q118,'01工程产值对比表'!$C:$C,Q$2)</f>
        <v>0</v>
      </c>
      <c r="U118" s="1038"/>
      <c r="V118" s="1038"/>
      <c r="W118" s="1038"/>
      <c r="Y118" t="s">
        <v>635</v>
      </c>
      <c r="Z118" t="s">
        <v>82</v>
      </c>
      <c r="AB118" s="1038">
        <f>SUMIFS('01工程产值对比表'!$M:$M,'01工程产值对比表'!$D:$D,Y118,'01工程产值对比表'!$C:$C,Y$2)</f>
        <v>0</v>
      </c>
    </row>
    <row r="119" spans="1:28">
      <c r="A119" s="889" t="s">
        <v>636</v>
      </c>
      <c r="B119" s="697" t="s">
        <v>69</v>
      </c>
      <c r="C119">
        <v>1200</v>
      </c>
      <c r="D119" s="1038">
        <f>SUMIFS('01工程产值对比表'!$M:$M,'01工程产值对比表'!$D:$D,A119,'01工程产值对比表'!$C:$C,A$2)</f>
        <v>0</v>
      </c>
      <c r="F119" s="1039"/>
      <c r="H119" s="1038"/>
      <c r="I119" s="1049" t="s">
        <v>637</v>
      </c>
      <c r="J119" s="1046" t="s">
        <v>72</v>
      </c>
      <c r="K119" s="1050">
        <v>7.39</v>
      </c>
      <c r="L119" s="1047">
        <f>SUMIFS('01工程产值对比表'!$M:$M,'01工程产值对比表'!$D:$D,I119,'01工程产值对比表'!$C:$C,I$2)</f>
        <v>0</v>
      </c>
      <c r="M119" s="1038"/>
      <c r="N119" s="1038"/>
      <c r="O119" s="1038"/>
      <c r="Q119" t="s">
        <v>638</v>
      </c>
      <c r="R119" s="697" t="s">
        <v>72</v>
      </c>
      <c r="S119">
        <v>55</v>
      </c>
      <c r="T119" s="1038">
        <f>SUMIFS('01工程产值对比表'!$M:$M,'01工程产值对比表'!$D:$D,Q119,'01工程产值对比表'!$C:$C,Q$2)</f>
        <v>0</v>
      </c>
      <c r="U119" s="1038"/>
      <c r="V119" s="1038"/>
      <c r="W119" s="1038"/>
      <c r="Y119" t="s">
        <v>639</v>
      </c>
      <c r="Z119" t="s">
        <v>82</v>
      </c>
      <c r="AB119" s="1038">
        <f>SUMIFS('01工程产值对比表'!$M:$M,'01工程产值对比表'!$D:$D,Y119,'01工程产值对比表'!$C:$C,Y$2)</f>
        <v>0</v>
      </c>
    </row>
    <row r="120" spans="1:28">
      <c r="A120" t="s">
        <v>640</v>
      </c>
      <c r="B120" s="697" t="s">
        <v>641</v>
      </c>
      <c r="D120" s="1038">
        <f>SUMIFS('01工程产值对比表'!$M:$M,'01工程产值对比表'!$D:$D,A120,'01工程产值对比表'!$C:$C,A$2)</f>
        <v>0</v>
      </c>
      <c r="F120" s="1039"/>
      <c r="H120" s="1038"/>
      <c r="I120" s="1049" t="s">
        <v>642</v>
      </c>
      <c r="J120" s="1046" t="s">
        <v>72</v>
      </c>
      <c r="K120" s="1050">
        <v>1.24</v>
      </c>
      <c r="L120" s="1047">
        <f>SUMIFS('01工程产值对比表'!$M:$M,'01工程产值对比表'!$D:$D,I120,'01工程产值对比表'!$C:$C,I$2)</f>
        <v>0</v>
      </c>
      <c r="M120" s="1038"/>
      <c r="N120" s="1038"/>
      <c r="O120" s="1038"/>
      <c r="Q120" t="s">
        <v>643</v>
      </c>
      <c r="R120" s="697" t="s">
        <v>69</v>
      </c>
      <c r="S120">
        <v>45</v>
      </c>
      <c r="T120" s="1038">
        <f>SUMIFS('01工程产值对比表'!$M:$M,'01工程产值对比表'!$D:$D,Q120,'01工程产值对比表'!$C:$C,Q$2)</f>
        <v>0</v>
      </c>
      <c r="U120" s="1038"/>
      <c r="V120" s="1038"/>
      <c r="W120" s="1038"/>
      <c r="Y120" t="s">
        <v>644</v>
      </c>
      <c r="Z120" t="s">
        <v>82</v>
      </c>
      <c r="AB120" s="1038">
        <f>SUMIFS('01工程产值对比表'!$M:$M,'01工程产值对比表'!$D:$D,Y120,'01工程产值对比表'!$C:$C,Y$2)</f>
        <v>0</v>
      </c>
    </row>
    <row r="121" ht="47.25" spans="1:28">
      <c r="A121" s="889" t="s">
        <v>645</v>
      </c>
      <c r="B121" s="697" t="s">
        <v>185</v>
      </c>
      <c r="D121" s="1038">
        <f>SUMIFS('01工程产值对比表'!$M:$M,'01工程产值对比表'!$D:$D,A121,'01工程产值对比表'!$C:$C,A$2)</f>
        <v>0</v>
      </c>
      <c r="F121" s="1039"/>
      <c r="H121" s="1038"/>
      <c r="I121" s="1049" t="s">
        <v>646</v>
      </c>
      <c r="J121" s="1046" t="s">
        <v>72</v>
      </c>
      <c r="K121" s="1050"/>
      <c r="L121" s="1047">
        <f>SUMIFS('01工程产值对比表'!$M:$M,'01工程产值对比表'!$D:$D,I121,'01工程产值对比表'!$C:$C,I$2)</f>
        <v>424.8279</v>
      </c>
      <c r="M121" s="1038"/>
      <c r="N121" s="1038"/>
      <c r="O121" s="1038"/>
      <c r="Q121" t="s">
        <v>647</v>
      </c>
      <c r="R121" s="697" t="s">
        <v>69</v>
      </c>
      <c r="S121">
        <v>15</v>
      </c>
      <c r="T121" s="1038">
        <f>SUMIFS('01工程产值对比表'!$M:$M,'01工程产值对比表'!$D:$D,Q121,'01工程产值对比表'!$C:$C,Q$2)</f>
        <v>0</v>
      </c>
      <c r="U121" s="1038"/>
      <c r="V121" s="1038"/>
      <c r="W121" s="1038"/>
      <c r="Y121" t="s">
        <v>648</v>
      </c>
      <c r="Z121" t="s">
        <v>82</v>
      </c>
      <c r="AB121" s="1038">
        <f>SUMIFS('01工程产值对比表'!$M:$M,'01工程产值对比表'!$D:$D,Y121,'01工程产值对比表'!$C:$C,Y$2)</f>
        <v>0</v>
      </c>
    </row>
    <row r="122" ht="47.25" spans="1:28">
      <c r="A122" s="889" t="s">
        <v>649</v>
      </c>
      <c r="B122" s="697" t="s">
        <v>185</v>
      </c>
      <c r="D122" s="1038">
        <f>SUMIFS('01工程产值对比表'!$M:$M,'01工程产值对比表'!$D:$D,A122,'01工程产值对比表'!$C:$C,A$2)</f>
        <v>0</v>
      </c>
      <c r="F122" s="1039"/>
      <c r="H122" s="1038"/>
      <c r="I122" s="1049" t="s">
        <v>650</v>
      </c>
      <c r="J122" s="1046" t="s">
        <v>72</v>
      </c>
      <c r="K122" s="1050">
        <v>5.28</v>
      </c>
      <c r="L122" s="1047">
        <f>SUMIFS('01工程产值对比表'!$M:$M,'01工程产值对比表'!$D:$D,I122,'01工程产值对比表'!$C:$C,I$2)</f>
        <v>0</v>
      </c>
      <c r="M122" s="1038"/>
      <c r="N122" s="1038"/>
      <c r="O122" s="1038"/>
      <c r="Q122" t="s">
        <v>651</v>
      </c>
      <c r="R122" s="697" t="s">
        <v>69</v>
      </c>
      <c r="S122">
        <v>150</v>
      </c>
      <c r="T122" s="1038">
        <f>SUMIFS('01工程产值对比表'!$M:$M,'01工程产值对比表'!$D:$D,Q122,'01工程产值对比表'!$C:$C,Q$2)</f>
        <v>0</v>
      </c>
      <c r="U122" s="1038"/>
      <c r="V122" s="1038"/>
      <c r="W122" s="1038"/>
      <c r="Y122" t="s">
        <v>652</v>
      </c>
      <c r="Z122" t="s">
        <v>190</v>
      </c>
      <c r="AA122">
        <v>65</v>
      </c>
      <c r="AB122" s="1038">
        <f>SUMIFS('01工程产值对比表'!$M:$M,'01工程产值对比表'!$D:$D,Y122,'01工程产值对比表'!$C:$C,Y$2)</f>
        <v>167</v>
      </c>
    </row>
    <row r="123" ht="47.25" spans="1:28">
      <c r="A123" s="889" t="s">
        <v>653</v>
      </c>
      <c r="B123" s="697" t="s">
        <v>185</v>
      </c>
      <c r="D123" s="1038">
        <f>SUMIFS('01工程产值对比表'!$M:$M,'01工程产值对比表'!$D:$D,A123,'01工程产值对比表'!$C:$C,A$2)</f>
        <v>0</v>
      </c>
      <c r="F123" s="1039"/>
      <c r="H123" s="1038"/>
      <c r="I123" s="1049" t="s">
        <v>654</v>
      </c>
      <c r="J123" s="1046" t="s">
        <v>72</v>
      </c>
      <c r="K123" s="1050"/>
      <c r="L123" s="1047">
        <f>SUMIFS('01工程产值对比表'!$M:$M,'01工程产值对比表'!$D:$D,I123,'01工程产值对比表'!$C:$C,I$2)</f>
        <v>0</v>
      </c>
      <c r="M123" s="1038"/>
      <c r="N123" s="1038"/>
      <c r="O123" s="1038"/>
      <c r="Q123" t="s">
        <v>655</v>
      </c>
      <c r="R123" s="697" t="s">
        <v>69</v>
      </c>
      <c r="S123">
        <v>15</v>
      </c>
      <c r="T123" s="1038">
        <f>SUMIFS('01工程产值对比表'!$M:$M,'01工程产值对比表'!$D:$D,Q123,'01工程产值对比表'!$C:$C,Q$2)</f>
        <v>0</v>
      </c>
      <c r="U123" s="1038"/>
      <c r="V123" s="1038"/>
      <c r="W123" s="1038"/>
      <c r="Y123" t="s">
        <v>656</v>
      </c>
      <c r="Z123" t="s">
        <v>190</v>
      </c>
      <c r="AA123">
        <v>750</v>
      </c>
      <c r="AB123" s="1038">
        <f>SUMIFS('01工程产值对比表'!$M:$M,'01工程产值对比表'!$D:$D,Y123,'01工程产值对比表'!$C:$C,Y$2)</f>
        <v>167</v>
      </c>
    </row>
    <row r="124" ht="47.25" spans="1:28">
      <c r="A124" s="889" t="s">
        <v>657</v>
      </c>
      <c r="B124" s="697" t="s">
        <v>185</v>
      </c>
      <c r="D124" s="1038">
        <f>SUMIFS('01工程产值对比表'!$M:$M,'01工程产值对比表'!$D:$D,A124,'01工程产值对比表'!$C:$C,A$2)</f>
        <v>0</v>
      </c>
      <c r="F124" s="1039"/>
      <c r="H124" s="1038"/>
      <c r="I124" s="1049" t="s">
        <v>658</v>
      </c>
      <c r="J124" s="1046" t="s">
        <v>72</v>
      </c>
      <c r="K124" s="1050">
        <v>6</v>
      </c>
      <c r="L124" s="1047">
        <f>SUMIFS('01工程产值对比表'!$M:$M,'01工程产值对比表'!$D:$D,I124,'01工程产值对比表'!$C:$C,I$2)</f>
        <v>1452</v>
      </c>
      <c r="M124" s="1038"/>
      <c r="N124" s="1038"/>
      <c r="O124" s="1038"/>
      <c r="Q124" t="s">
        <v>659</v>
      </c>
      <c r="R124" s="697" t="s">
        <v>72</v>
      </c>
      <c r="S124">
        <v>15</v>
      </c>
      <c r="T124" s="1038">
        <f>SUMIFS('01工程产值对比表'!$M:$M,'01工程产值对比表'!$D:$D,Q124,'01工程产值对比表'!$C:$C,Q$2)</f>
        <v>0</v>
      </c>
      <c r="U124" s="1038"/>
      <c r="V124" s="1038"/>
      <c r="W124" s="1038"/>
      <c r="Y124" t="s">
        <v>660</v>
      </c>
      <c r="Z124" t="s">
        <v>76</v>
      </c>
      <c r="AA124">
        <v>40</v>
      </c>
      <c r="AB124" s="1038">
        <f>SUMIFS('01工程产值对比表'!$M:$M,'01工程产值对比表'!$D:$D,Y124,'01工程产值对比表'!$C:$C,Y$2)</f>
        <v>99.9</v>
      </c>
    </row>
    <row r="125" spans="1:28">
      <c r="A125" s="889" t="s">
        <v>661</v>
      </c>
      <c r="B125" s="697" t="s">
        <v>185</v>
      </c>
      <c r="D125" s="1038">
        <f>SUMIFS('01工程产值对比表'!$M:$M,'01工程产值对比表'!$D:$D,A125,'01工程产值对比表'!$C:$C,A$2)</f>
        <v>0</v>
      </c>
      <c r="F125" s="1039"/>
      <c r="H125" s="1038"/>
      <c r="I125" s="1049" t="s">
        <v>662</v>
      </c>
      <c r="J125" s="1046" t="s">
        <v>72</v>
      </c>
      <c r="K125" s="1050">
        <v>5.12</v>
      </c>
      <c r="L125" s="1047">
        <f>SUMIFS('01工程产值对比表'!$M:$M,'01工程产值对比表'!$D:$D,I125,'01工程产值对比表'!$C:$C,I$2)</f>
        <v>0</v>
      </c>
      <c r="M125" s="1038"/>
      <c r="N125" s="1038"/>
      <c r="O125" s="1038"/>
      <c r="Q125" t="s">
        <v>663</v>
      </c>
      <c r="R125" s="697" t="s">
        <v>72</v>
      </c>
      <c r="S125">
        <v>2</v>
      </c>
      <c r="T125" s="1038">
        <f>SUMIFS('01工程产值对比表'!$M:$M,'01工程产值对比表'!$D:$D,Q125,'01工程产值对比表'!$C:$C,Q$2)</f>
        <v>155.71</v>
      </c>
      <c r="U125" s="1038"/>
      <c r="V125" s="1038"/>
      <c r="W125" s="1038"/>
      <c r="Y125" t="s">
        <v>664</v>
      </c>
      <c r="Z125" t="s">
        <v>69</v>
      </c>
      <c r="AA125">
        <v>45</v>
      </c>
      <c r="AB125" s="1038">
        <f>SUMIFS('01工程产值对比表'!$M:$M,'01工程产值对比表'!$D:$D,Y125,'01工程产值对比表'!$C:$C,Y$2)</f>
        <v>2562.15</v>
      </c>
    </row>
    <row r="126" spans="1:28">
      <c r="A126" s="889" t="s">
        <v>665</v>
      </c>
      <c r="B126" s="697" t="s">
        <v>72</v>
      </c>
      <c r="D126" s="1038">
        <f>SUMIFS('01工程产值对比表'!$M:$M,'01工程产值对比表'!$D:$D,A126,'01工程产值对比表'!$C:$C,A$2)</f>
        <v>0</v>
      </c>
      <c r="F126" s="1039"/>
      <c r="H126" s="1038"/>
      <c r="I126" s="1049" t="s">
        <v>666</v>
      </c>
      <c r="J126" s="1046" t="s">
        <v>72</v>
      </c>
      <c r="K126" s="1050">
        <v>4.52</v>
      </c>
      <c r="L126" s="1047">
        <f>SUMIFS('01工程产值对比表'!$M:$M,'01工程产值对比表'!$D:$D,I126,'01工程产值对比表'!$C:$C,I$2)</f>
        <v>0</v>
      </c>
      <c r="M126" s="1038"/>
      <c r="N126" s="1038"/>
      <c r="O126" s="1038"/>
      <c r="Q126" t="s">
        <v>667</v>
      </c>
      <c r="R126" s="697" t="s">
        <v>72</v>
      </c>
      <c r="S126">
        <v>250</v>
      </c>
      <c r="T126" s="1038">
        <f>SUMIFS('01工程产值对比表'!$M:$M,'01工程产值对比表'!$D:$D,Q126,'01工程产值对比表'!$C:$C,Q$2)</f>
        <v>0</v>
      </c>
      <c r="U126" s="1038"/>
      <c r="V126" s="1038"/>
      <c r="W126" s="1038"/>
      <c r="Y126" t="s">
        <v>668</v>
      </c>
      <c r="Z126" t="s">
        <v>69</v>
      </c>
      <c r="AA126">
        <v>20</v>
      </c>
      <c r="AB126" s="1038">
        <f>SUMIFS('01工程产值对比表'!$M:$M,'01工程产值对比表'!$D:$D,Y126,'01工程产值对比表'!$C:$C,Y$2)</f>
        <v>934.3</v>
      </c>
    </row>
    <row r="127" ht="31.5" spans="1:28">
      <c r="A127" s="889" t="s">
        <v>669</v>
      </c>
      <c r="B127" s="697" t="s">
        <v>216</v>
      </c>
      <c r="D127" s="1038">
        <f>SUMIFS('01工程产值对比表'!$M:$M,'01工程产值对比表'!$D:$D,A127,'01工程产值对比表'!$C:$C,A$2)</f>
        <v>0</v>
      </c>
      <c r="F127" s="1039"/>
      <c r="H127" s="1038"/>
      <c r="I127" s="1049" t="s">
        <v>670</v>
      </c>
      <c r="J127" s="1046" t="s">
        <v>72</v>
      </c>
      <c r="K127" s="1050">
        <v>0.94</v>
      </c>
      <c r="L127" s="1047">
        <f>SUMIFS('01工程产值对比表'!$M:$M,'01工程产值对比表'!$D:$D,I127,'01工程产值对比表'!$C:$C,I$2)</f>
        <v>0</v>
      </c>
      <c r="M127" s="1038"/>
      <c r="N127" s="1038"/>
      <c r="O127" s="1038"/>
      <c r="Q127" t="s">
        <v>671</v>
      </c>
      <c r="R127" s="697" t="s">
        <v>76</v>
      </c>
      <c r="S127">
        <v>250</v>
      </c>
      <c r="T127" s="1038">
        <f>SUMIFS('01工程产值对比表'!$M:$M,'01工程产值对比表'!$D:$D,Q127,'01工程产值对比表'!$C:$C,Q$2)</f>
        <v>0</v>
      </c>
      <c r="U127" s="1038"/>
      <c r="V127" s="1038"/>
      <c r="W127" s="1038"/>
      <c r="Y127" t="s">
        <v>672</v>
      </c>
      <c r="Z127" t="s">
        <v>72</v>
      </c>
      <c r="AA127">
        <v>300</v>
      </c>
      <c r="AB127" s="1038">
        <f>SUMIFS('01工程产值对比表'!$M:$M,'01工程产值对比表'!$D:$D,Y127,'01工程产值对比表'!$C:$C,Y$2)</f>
        <v>0</v>
      </c>
    </row>
    <row r="128" ht="21" customHeight="1" spans="1:28">
      <c r="A128" s="889" t="s">
        <v>673</v>
      </c>
      <c r="B128" s="697" t="s">
        <v>216</v>
      </c>
      <c r="D128" s="1038">
        <f>SUMIFS('01工程产值对比表'!$M:$M,'01工程产值对比表'!$D:$D,A128,'01工程产值对比表'!$C:$C,A$2)</f>
        <v>0</v>
      </c>
      <c r="F128" s="1039"/>
      <c r="H128" s="1038"/>
      <c r="I128" s="1049" t="s">
        <v>674</v>
      </c>
      <c r="J128" s="1046" t="s">
        <v>72</v>
      </c>
      <c r="K128" s="1050"/>
      <c r="L128" s="1047">
        <f>SUMIFS('01工程产值对比表'!$M:$M,'01工程产值对比表'!$D:$D,I128,'01工程产值对比表'!$C:$C,I$2)</f>
        <v>0</v>
      </c>
      <c r="M128" s="1038"/>
      <c r="N128" s="1038"/>
      <c r="O128" s="1038"/>
      <c r="Q128" t="s">
        <v>675</v>
      </c>
      <c r="R128" s="697" t="s">
        <v>76</v>
      </c>
      <c r="S128">
        <v>56.7</v>
      </c>
      <c r="T128" s="1038">
        <f>SUMIFS('01工程产值对比表'!$M:$M,'01工程产值对比表'!$D:$D,Q128,'01工程产值对比表'!$C:$C,Q$2)</f>
        <v>0</v>
      </c>
      <c r="U128" s="1038"/>
      <c r="V128" s="1038"/>
      <c r="W128" s="1038"/>
      <c r="Y128" t="s">
        <v>676</v>
      </c>
      <c r="Z128" t="s">
        <v>72</v>
      </c>
      <c r="AB128" s="1038">
        <f>SUMIFS('01工程产值对比表'!$M:$M,'01工程产值对比表'!$D:$D,Y128,'01工程产值对比表'!$C:$C,Y$2)</f>
        <v>0</v>
      </c>
    </row>
    <row r="129" ht="63" spans="1:28">
      <c r="A129" s="889" t="s">
        <v>677</v>
      </c>
      <c r="B129" s="697" t="s">
        <v>216</v>
      </c>
      <c r="D129" s="1038">
        <f>SUMIFS('01工程产值对比表'!$M:$M,'01工程产值对比表'!$D:$D,A129,'01工程产值对比表'!$C:$C,A$2)</f>
        <v>0</v>
      </c>
      <c r="F129" s="1039"/>
      <c r="H129" s="1038"/>
      <c r="I129" s="1049" t="s">
        <v>678</v>
      </c>
      <c r="J129" s="1046" t="s">
        <v>72</v>
      </c>
      <c r="K129" s="1050">
        <v>5.82</v>
      </c>
      <c r="L129" s="1047">
        <f>SUMIFS('01工程产值对比表'!$M:$M,'01工程产值对比表'!$D:$D,I129,'01工程产值对比表'!$C:$C,I$2)</f>
        <v>982.4</v>
      </c>
      <c r="M129" s="1038"/>
      <c r="N129" s="1038"/>
      <c r="O129" s="1038"/>
      <c r="Q129" t="s">
        <v>679</v>
      </c>
      <c r="R129" s="697" t="s">
        <v>76</v>
      </c>
      <c r="S129">
        <v>800</v>
      </c>
      <c r="T129" s="1038">
        <f>SUMIFS('01工程产值对比表'!$M:$M,'01工程产值对比表'!$D:$D,Q129,'01工程产值对比表'!$C:$C,Q$2)</f>
        <v>0</v>
      </c>
      <c r="U129" s="1038"/>
      <c r="V129" s="1038"/>
      <c r="W129" s="1038"/>
      <c r="Y129" t="s">
        <v>680</v>
      </c>
      <c r="Z129" t="s">
        <v>15</v>
      </c>
      <c r="AA129">
        <v>1</v>
      </c>
      <c r="AB129" s="1038">
        <f>SUMIFS('01工程产值对比表'!$M:$M,'01工程产值对比表'!$D:$D,Y129,'01工程产值对比表'!$C:$C,Y$2)</f>
        <v>167207.436146789</v>
      </c>
    </row>
    <row r="130" ht="47.25" spans="1:28">
      <c r="A130" s="889" t="s">
        <v>681</v>
      </c>
      <c r="B130" s="697" t="s">
        <v>82</v>
      </c>
      <c r="D130" s="1038">
        <f>SUMIFS('01工程产值对比表'!$M:$M,'01工程产值对比表'!$D:$D,A130,'01工程产值对比表'!$C:$C,A$2)</f>
        <v>0</v>
      </c>
      <c r="F130" s="1039"/>
      <c r="H130" s="1038"/>
      <c r="I130" s="1049" t="s">
        <v>682</v>
      </c>
      <c r="J130" s="1046" t="s">
        <v>72</v>
      </c>
      <c r="K130" s="1050"/>
      <c r="L130" s="1047">
        <f>SUMIFS('01工程产值对比表'!$M:$M,'01工程产值对比表'!$D:$D,I130,'01工程产值对比表'!$C:$C,I$2)</f>
        <v>0</v>
      </c>
      <c r="M130" s="1038"/>
      <c r="N130" s="1038"/>
      <c r="O130" s="1038"/>
      <c r="Q130" t="s">
        <v>683</v>
      </c>
      <c r="R130" s="697" t="s">
        <v>76</v>
      </c>
      <c r="S130">
        <v>800</v>
      </c>
      <c r="T130" s="1038">
        <f>SUMIFS('01工程产值对比表'!$M:$M,'01工程产值对比表'!$D:$D,Q130,'01工程产值对比表'!$C:$C,Q$2)</f>
        <v>0</v>
      </c>
      <c r="U130" s="1038"/>
      <c r="V130" s="1038"/>
      <c r="W130" s="1038"/>
      <c r="Y130" t="s">
        <v>684</v>
      </c>
      <c r="Z130" t="s">
        <v>15</v>
      </c>
      <c r="AA130">
        <v>1</v>
      </c>
      <c r="AB130" s="1038">
        <f>SUMIFS('01工程产值对比表'!$M:$M,'01工程产值对比表'!$D:$D,Y130,'01工程产值对比表'!$C:$C,Y$2)</f>
        <v>111676.862385321</v>
      </c>
    </row>
    <row r="131" ht="31.5" spans="1:28">
      <c r="A131" s="889" t="s">
        <v>685</v>
      </c>
      <c r="B131" s="697" t="s">
        <v>76</v>
      </c>
      <c r="D131" s="1038">
        <f>SUMIFS('01工程产值对比表'!$M:$M,'01工程产值对比表'!$D:$D,A131,'01工程产值对比表'!$C:$C,A$2)</f>
        <v>0</v>
      </c>
      <c r="F131" s="1039"/>
      <c r="H131" s="1038"/>
      <c r="I131" s="1049" t="s">
        <v>686</v>
      </c>
      <c r="J131" s="1046" t="s">
        <v>72</v>
      </c>
      <c r="K131" s="1050"/>
      <c r="L131" s="1047">
        <f>SUMIFS('01工程产值对比表'!$M:$M,'01工程产值对比表'!$D:$D,I131,'01工程产值对比表'!$C:$C,I$2)</f>
        <v>0</v>
      </c>
      <c r="M131" s="1038"/>
      <c r="N131" s="1038"/>
      <c r="O131" s="1038"/>
      <c r="Q131" t="s">
        <v>687</v>
      </c>
      <c r="S131">
        <v>120</v>
      </c>
      <c r="T131" s="1038">
        <f>SUMIFS('01工程产值对比表'!$M:$M,'01工程产值对比表'!$D:$D,Q131,'01工程产值对比表'!$C:$C,Q$2)</f>
        <v>0</v>
      </c>
      <c r="U131" s="1038"/>
      <c r="V131" s="1038"/>
      <c r="W131" s="1038"/>
      <c r="Y131" t="s">
        <v>688</v>
      </c>
      <c r="Z131" t="s">
        <v>689</v>
      </c>
      <c r="AA131">
        <v>390</v>
      </c>
      <c r="AB131" s="1038">
        <f>SUMIFS('01工程产值对比表'!$M:$M,'01工程产值对比表'!$D:$D,Y131,'01工程产值对比表'!$C:$C,Y$2)</f>
        <v>6471.7</v>
      </c>
    </row>
    <row r="132" spans="1:28">
      <c r="A132" t="s">
        <v>690</v>
      </c>
      <c r="B132" s="697" t="s">
        <v>82</v>
      </c>
      <c r="D132" s="1038">
        <f>SUMIFS('01工程产值对比表'!$M:$M,'01工程产值对比表'!$D:$D,A132,'01工程产值对比表'!$C:$C,A$2)</f>
        <v>0</v>
      </c>
      <c r="F132" s="1039"/>
      <c r="H132" s="1038"/>
      <c r="I132" s="1049" t="s">
        <v>691</v>
      </c>
      <c r="J132" s="1046" t="s">
        <v>72</v>
      </c>
      <c r="K132" s="1050"/>
      <c r="L132" s="1047">
        <f>SUMIFS('01工程产值对比表'!$M:$M,'01工程产值对比表'!$D:$D,I132,'01工程产值对比表'!$C:$C,I$2)</f>
        <v>0</v>
      </c>
      <c r="M132" s="1038"/>
      <c r="N132" s="1038"/>
      <c r="O132" s="1038"/>
      <c r="Q132" t="s">
        <v>692</v>
      </c>
      <c r="R132" s="697" t="s">
        <v>69</v>
      </c>
      <c r="S132">
        <v>13</v>
      </c>
      <c r="T132" s="1038">
        <f>SUMIFS('01工程产值对比表'!$M:$M,'01工程产值对比表'!$D:$D,Q132,'01工程产值对比表'!$C:$C,Q$2)</f>
        <v>0</v>
      </c>
      <c r="U132" s="1038"/>
      <c r="V132" s="1038"/>
      <c r="W132" s="1038"/>
      <c r="Y132" t="s">
        <v>693</v>
      </c>
      <c r="Z132" t="s">
        <v>69</v>
      </c>
      <c r="AA132">
        <v>15</v>
      </c>
      <c r="AB132" s="1038">
        <f>SUMIFS('01工程产值对比表'!$M:$M,'01工程产值对比表'!$D:$D,Y132,'01工程产值对比表'!$C:$C,Y$2)</f>
        <v>0</v>
      </c>
    </row>
    <row r="133" ht="31.5" spans="1:28">
      <c r="A133" s="889" t="s">
        <v>694</v>
      </c>
      <c r="B133" s="697" t="s">
        <v>72</v>
      </c>
      <c r="D133" s="1038">
        <f>SUMIFS('01工程产值对比表'!$M:$M,'01工程产值对比表'!$D:$D,A133,'01工程产值对比表'!$C:$C,A$2)</f>
        <v>0</v>
      </c>
      <c r="F133" s="1039"/>
      <c r="H133" s="1038"/>
      <c r="I133" s="1049" t="s">
        <v>695</v>
      </c>
      <c r="J133" s="1046" t="s">
        <v>72</v>
      </c>
      <c r="K133" s="1050">
        <v>5.93</v>
      </c>
      <c r="L133" s="1047">
        <f>SUMIFS('01工程产值对比表'!$M:$M,'01工程产值对比表'!$D:$D,I133,'01工程产值对比表'!$C:$C,I$2)</f>
        <v>0</v>
      </c>
      <c r="M133" s="1038"/>
      <c r="N133" s="1038"/>
      <c r="O133" s="1038"/>
      <c r="Q133" t="s">
        <v>696</v>
      </c>
      <c r="R133" s="697" t="s">
        <v>69</v>
      </c>
      <c r="S133">
        <v>100</v>
      </c>
      <c r="T133" s="1038">
        <f>SUMIFS('01工程产值对比表'!$M:$M,'01工程产值对比表'!$D:$D,Q133,'01工程产值对比表'!$C:$C,Q$2)</f>
        <v>0</v>
      </c>
      <c r="U133" s="1038"/>
      <c r="V133" s="1038"/>
      <c r="W133" s="1038"/>
      <c r="Y133" t="s">
        <v>697</v>
      </c>
      <c r="Z133" t="s">
        <v>195</v>
      </c>
      <c r="AA133">
        <v>420294.05</v>
      </c>
      <c r="AB133" s="1038">
        <f>SUMIFS('01工程产值对比表'!$M:$M,'01工程产值对比表'!$D:$D,Y133,'01工程产值对比表'!$C:$C,Y$2)</f>
        <v>0</v>
      </c>
    </row>
    <row r="134" ht="31.5" spans="1:28">
      <c r="A134" s="889" t="s">
        <v>698</v>
      </c>
      <c r="B134" s="697" t="s">
        <v>76</v>
      </c>
      <c r="C134">
        <v>600</v>
      </c>
      <c r="D134" s="1038">
        <f>SUMIFS('01工程产值对比表'!$M:$M,'01工程产值对比表'!$D:$D,A134,'01工程产值对比表'!$C:$C,A$2)</f>
        <v>0</v>
      </c>
      <c r="F134" s="1039"/>
      <c r="H134" s="1038"/>
      <c r="I134" s="1049" t="s">
        <v>699</v>
      </c>
      <c r="J134" s="1046" t="s">
        <v>72</v>
      </c>
      <c r="K134" s="1050">
        <v>7.05</v>
      </c>
      <c r="L134" s="1047">
        <f>SUMIFS('01工程产值对比表'!$M:$M,'01工程产值对比表'!$D:$D,I134,'01工程产值对比表'!$C:$C,I$2)</f>
        <v>0</v>
      </c>
      <c r="M134" s="1038"/>
      <c r="N134" s="1038"/>
      <c r="O134" s="1038"/>
      <c r="Q134" t="s">
        <v>700</v>
      </c>
      <c r="R134" s="697" t="s">
        <v>69</v>
      </c>
      <c r="S134">
        <v>600</v>
      </c>
      <c r="T134" s="1038">
        <f>SUMIFS('01工程产值对比表'!$M:$M,'01工程产值对比表'!$D:$D,Q134,'01工程产值对比表'!$C:$C,Q$2)</f>
        <v>0</v>
      </c>
      <c r="U134" s="1038"/>
      <c r="V134" s="1038"/>
      <c r="W134" s="1038"/>
      <c r="Y134" t="s">
        <v>701</v>
      </c>
      <c r="Z134" t="s">
        <v>195</v>
      </c>
      <c r="AA134">
        <v>25053.42</v>
      </c>
      <c r="AB134" s="1038">
        <f>SUMIFS('01工程产值对比表'!$M:$M,'01工程产值对比表'!$D:$D,Y134,'01工程产值对比表'!$C:$C,Y$2)</f>
        <v>0</v>
      </c>
    </row>
    <row r="135" spans="1:28">
      <c r="A135" t="s">
        <v>702</v>
      </c>
      <c r="B135" s="697" t="s">
        <v>82</v>
      </c>
      <c r="D135" s="1038">
        <f>SUMIFS('01工程产值对比表'!$M:$M,'01工程产值对比表'!$D:$D,A135,'01工程产值对比表'!$C:$C,A$2)</f>
        <v>0</v>
      </c>
      <c r="F135" s="1039"/>
      <c r="H135" s="1038"/>
      <c r="I135" s="1049" t="s">
        <v>703</v>
      </c>
      <c r="J135" s="1046" t="s">
        <v>72</v>
      </c>
      <c r="K135" s="1050"/>
      <c r="L135" s="1047">
        <f>SUMIFS('01工程产值对比表'!$M:$M,'01工程产值对比表'!$D:$D,I135,'01工程产值对比表'!$C:$C,I$2)</f>
        <v>0</v>
      </c>
      <c r="M135" s="1038"/>
      <c r="N135" s="1038"/>
      <c r="O135" s="1038"/>
      <c r="Q135" t="s">
        <v>704</v>
      </c>
      <c r="R135" s="697" t="s">
        <v>69</v>
      </c>
      <c r="S135">
        <v>125</v>
      </c>
      <c r="T135" s="1038">
        <f>SUMIFS('01工程产值对比表'!$M:$M,'01工程产值对比表'!$D:$D,Q135,'01工程产值对比表'!$C:$C,Q$2)</f>
        <v>0</v>
      </c>
      <c r="U135" s="1038"/>
      <c r="V135" s="1038"/>
      <c r="W135" s="1038"/>
      <c r="Y135" t="s">
        <v>705</v>
      </c>
      <c r="Z135" t="s">
        <v>195</v>
      </c>
      <c r="AA135">
        <v>4500</v>
      </c>
      <c r="AB135" s="1038">
        <f>SUMIFS('01工程产值对比表'!$M:$M,'01工程产值对比表'!$D:$D,Y135,'01工程产值对比表'!$C:$C,Y$2)</f>
        <v>0</v>
      </c>
    </row>
    <row r="136" ht="31.5" spans="1:28">
      <c r="A136" s="889" t="s">
        <v>706</v>
      </c>
      <c r="B136" s="697" t="s">
        <v>82</v>
      </c>
      <c r="C136">
        <v>7000</v>
      </c>
      <c r="D136" s="1038">
        <f>SUMIFS('01工程产值对比表'!$M:$M,'01工程产值对比表'!$D:$D,A136,'01工程产值对比表'!$C:$C,A$2)</f>
        <v>0</v>
      </c>
      <c r="F136" s="1039"/>
      <c r="H136" s="1038"/>
      <c r="I136" s="1049" t="s">
        <v>707</v>
      </c>
      <c r="J136" s="1046" t="s">
        <v>72</v>
      </c>
      <c r="K136" s="1050">
        <v>19.32</v>
      </c>
      <c r="L136" s="1047">
        <f>SUMIFS('01工程产值对比表'!$M:$M,'01工程产值对比表'!$D:$D,I136,'01工程产值对比表'!$C:$C,I$2)</f>
        <v>0</v>
      </c>
      <c r="M136" s="1038"/>
      <c r="N136" s="1038"/>
      <c r="O136" s="1038"/>
      <c r="Q136" t="s">
        <v>708</v>
      </c>
      <c r="R136" s="697" t="s">
        <v>69</v>
      </c>
      <c r="S136">
        <v>35</v>
      </c>
      <c r="T136" s="1038">
        <f>SUMIFS('01工程产值对比表'!$M:$M,'01工程产值对比表'!$D:$D,Q136,'01工程产值对比表'!$C:$C,Q$2)</f>
        <v>0</v>
      </c>
      <c r="U136" s="1038"/>
      <c r="V136" s="1038"/>
      <c r="W136" s="1038"/>
      <c r="Y136" t="s">
        <v>709</v>
      </c>
      <c r="Z136" t="s">
        <v>76</v>
      </c>
      <c r="AA136">
        <v>300</v>
      </c>
      <c r="AB136" s="1038">
        <f>SUMIFS('01工程产值对比表'!$M:$M,'01工程产值对比表'!$D:$D,Y136,'01工程产值对比表'!$C:$C,Y$2)</f>
        <v>500</v>
      </c>
    </row>
    <row r="137" spans="1:28">
      <c r="A137" t="s">
        <v>710</v>
      </c>
      <c r="B137" s="697" t="s">
        <v>82</v>
      </c>
      <c r="C137">
        <v>5000</v>
      </c>
      <c r="D137" s="1038">
        <f>SUMIFS('01工程产值对比表'!$M:$M,'01工程产值对比表'!$D:$D,A137,'01工程产值对比表'!$C:$C,A$2)</f>
        <v>0</v>
      </c>
      <c r="F137" s="1039"/>
      <c r="H137" s="1038"/>
      <c r="I137" s="1049" t="s">
        <v>711</v>
      </c>
      <c r="J137" s="1046" t="s">
        <v>72</v>
      </c>
      <c r="K137" s="1050">
        <v>3.04</v>
      </c>
      <c r="L137" s="1047">
        <f>SUMIFS('01工程产值对比表'!$M:$M,'01工程产值对比表'!$D:$D,I137,'01工程产值对比表'!$C:$C,I$2)</f>
        <v>0</v>
      </c>
      <c r="M137" s="1038"/>
      <c r="N137" s="1038"/>
      <c r="O137" s="1038"/>
      <c r="Q137" t="s">
        <v>712</v>
      </c>
      <c r="R137" s="697" t="s">
        <v>72</v>
      </c>
      <c r="S137">
        <v>280</v>
      </c>
      <c r="T137" s="1038">
        <f>SUMIFS('01工程产值对比表'!$M:$M,'01工程产值对比表'!$D:$D,Q137,'01工程产值对比表'!$C:$C,Q$2)</f>
        <v>0</v>
      </c>
      <c r="U137" s="1038"/>
      <c r="V137" s="1038"/>
      <c r="W137" s="1038"/>
      <c r="Y137" t="s">
        <v>713</v>
      </c>
      <c r="Z137" t="s">
        <v>69</v>
      </c>
      <c r="AA137">
        <v>30</v>
      </c>
      <c r="AB137" s="1038">
        <f>SUMIFS('01工程产值对比表'!$M:$M,'01工程产值对比表'!$D:$D,Y137,'01工程产值对比表'!$C:$C,Y$2)</f>
        <v>39695</v>
      </c>
    </row>
    <row r="138" spans="1:28">
      <c r="A138" s="889" t="s">
        <v>714</v>
      </c>
      <c r="B138" s="697" t="s">
        <v>82</v>
      </c>
      <c r="D138" s="1038">
        <f>SUMIFS('01工程产值对比表'!$M:$M,'01工程产值对比表'!$D:$D,A138,'01工程产值对比表'!$C:$C,A$2)</f>
        <v>73.485</v>
      </c>
      <c r="F138" s="1039"/>
      <c r="H138" s="1038"/>
      <c r="I138" s="1049" t="s">
        <v>715</v>
      </c>
      <c r="J138" s="1046" t="s">
        <v>72</v>
      </c>
      <c r="K138" s="1050">
        <v>1.84</v>
      </c>
      <c r="L138" s="1047">
        <f>SUMIFS('01工程产值对比表'!$M:$M,'01工程产值对比表'!$D:$D,I138,'01工程产值对比表'!$C:$C,I$2)</f>
        <v>0</v>
      </c>
      <c r="M138" s="1038"/>
      <c r="N138" s="1038"/>
      <c r="O138" s="1038"/>
      <c r="Q138" t="s">
        <v>716</v>
      </c>
      <c r="R138" s="697" t="s">
        <v>69</v>
      </c>
      <c r="S138">
        <v>70</v>
      </c>
      <c r="T138" s="1038">
        <f>SUMIFS('01工程产值对比表'!$M:$M,'01工程产值对比表'!$D:$D,Q138,'01工程产值对比表'!$C:$C,Q$2)</f>
        <v>0</v>
      </c>
      <c r="U138" s="1038"/>
      <c r="V138" s="1038"/>
      <c r="W138" s="1038"/>
      <c r="Y138" t="s">
        <v>717</v>
      </c>
      <c r="Z138" t="s">
        <v>82</v>
      </c>
      <c r="AA138">
        <v>10</v>
      </c>
      <c r="AB138" s="1038">
        <f>SUMIFS('01工程产值对比表'!$M:$M,'01工程产值对比表'!$D:$D,Y138,'01工程产值对比表'!$C:$C,Y$2)</f>
        <v>19837</v>
      </c>
    </row>
    <row r="139" ht="31.5" spans="1:28">
      <c r="A139" s="889" t="s">
        <v>718</v>
      </c>
      <c r="B139" s="697" t="s">
        <v>211</v>
      </c>
      <c r="D139" s="1038">
        <f>SUMIFS('01工程产值对比表'!$M:$M,'01工程产值对比表'!$D:$D,A139,'01工程产值对比表'!$C:$C,A$2)</f>
        <v>0</v>
      </c>
      <c r="F139" s="1039"/>
      <c r="H139" s="1038"/>
      <c r="I139" s="1049" t="s">
        <v>719</v>
      </c>
      <c r="J139" s="1046" t="s">
        <v>72</v>
      </c>
      <c r="K139" s="1050"/>
      <c r="L139" s="1047">
        <f>SUMIFS('01工程产值对比表'!$M:$M,'01工程产值对比表'!$D:$D,I139,'01工程产值对比表'!$C:$C,I$2)</f>
        <v>0</v>
      </c>
      <c r="M139" s="1038"/>
      <c r="N139" s="1038"/>
      <c r="O139" s="1038"/>
      <c r="Q139" t="s">
        <v>619</v>
      </c>
      <c r="R139" s="697" t="s">
        <v>69</v>
      </c>
      <c r="S139">
        <v>280</v>
      </c>
      <c r="T139" s="1038">
        <f>SUMIFS('01工程产值对比表'!$M:$M,'01工程产值对比表'!$D:$D,Q139,'01工程产值对比表'!$C:$C,Q$2)</f>
        <v>0</v>
      </c>
      <c r="U139" s="1038"/>
      <c r="V139" s="1038"/>
      <c r="W139" s="1038"/>
      <c r="Y139" t="s">
        <v>720</v>
      </c>
      <c r="Z139" t="s">
        <v>195</v>
      </c>
      <c r="AA139">
        <v>555504.55</v>
      </c>
      <c r="AB139" s="1038">
        <f>SUMIFS('01工程产值对比表'!$M:$M,'01工程产值对比表'!$D:$D,Y139,'01工程产值对比表'!$C:$C,Y$2)</f>
        <v>0</v>
      </c>
    </row>
    <row r="140" ht="31.5" spans="1:28">
      <c r="A140" s="889" t="s">
        <v>721</v>
      </c>
      <c r="B140" s="697" t="s">
        <v>205</v>
      </c>
      <c r="D140" s="1038">
        <f>SUMIFS('01工程产值对比表'!$M:$M,'01工程产值对比表'!$D:$D,A140,'01工程产值对比表'!$C:$C,A$2)</f>
        <v>0</v>
      </c>
      <c r="F140" s="1039"/>
      <c r="H140" s="1038"/>
      <c r="I140" s="1049" t="s">
        <v>722</v>
      </c>
      <c r="J140" s="1046" t="s">
        <v>72</v>
      </c>
      <c r="K140" s="1050"/>
      <c r="L140" s="1047">
        <f>SUMIFS('01工程产值对比表'!$M:$M,'01工程产值对比表'!$D:$D,I140,'01工程产值对比表'!$C:$C,I$2)</f>
        <v>1452</v>
      </c>
      <c r="M140" s="1038"/>
      <c r="N140" s="1038"/>
      <c r="O140" s="1038"/>
      <c r="Q140" t="s">
        <v>723</v>
      </c>
      <c r="R140" s="697" t="s">
        <v>69</v>
      </c>
      <c r="S140">
        <v>10</v>
      </c>
      <c r="T140" s="1038">
        <f>SUMIFS('01工程产值对比表'!$M:$M,'01工程产值对比表'!$D:$D,Q140,'01工程产值对比表'!$C:$C,Q$2)</f>
        <v>0</v>
      </c>
      <c r="U140" s="1038"/>
      <c r="V140" s="1038"/>
      <c r="W140" s="1038"/>
      <c r="Y140" t="s">
        <v>724</v>
      </c>
      <c r="Z140" t="s">
        <v>195</v>
      </c>
      <c r="AA140">
        <v>46662.3</v>
      </c>
      <c r="AB140" s="1038">
        <f>SUMIFS('01工程产值对比表'!$M:$M,'01工程产值对比表'!$D:$D,Y140,'01工程产值对比表'!$C:$C,Y$2)</f>
        <v>0</v>
      </c>
    </row>
    <row r="141" spans="1:28">
      <c r="A141" s="889" t="s">
        <v>725</v>
      </c>
      <c r="B141" s="697" t="s">
        <v>76</v>
      </c>
      <c r="D141" s="1038">
        <f>SUMIFS('01工程产值对比表'!$M:$M,'01工程产值对比表'!$D:$D,A141,'01工程产值对比表'!$C:$C,A$2)</f>
        <v>0</v>
      </c>
      <c r="F141" s="1039"/>
      <c r="H141" s="1038"/>
      <c r="I141" s="1049" t="s">
        <v>726</v>
      </c>
      <c r="J141" s="1046" t="s">
        <v>72</v>
      </c>
      <c r="K141" s="1050">
        <v>35</v>
      </c>
      <c r="L141" s="1047">
        <f>SUMIFS('01工程产值对比表'!$M:$M,'01工程产值对比表'!$D:$D,I141,'01工程产值对比表'!$C:$C,I$2)</f>
        <v>0</v>
      </c>
      <c r="M141" s="1038"/>
      <c r="N141" s="1038"/>
      <c r="O141" s="1038"/>
      <c r="Q141" t="s">
        <v>727</v>
      </c>
      <c r="R141" s="697" t="s">
        <v>69</v>
      </c>
      <c r="S141">
        <v>55</v>
      </c>
      <c r="T141" s="1038">
        <f>SUMIFS('01工程产值对比表'!$M:$M,'01工程产值对比表'!$D:$D,Q141,'01工程产值对比表'!$C:$C,Q$2)</f>
        <v>0</v>
      </c>
      <c r="U141" s="1038"/>
      <c r="V141" s="1038"/>
      <c r="W141" s="1038"/>
      <c r="Y141" t="s">
        <v>728</v>
      </c>
      <c r="Z141" t="s">
        <v>195</v>
      </c>
      <c r="AA141">
        <v>4061.86</v>
      </c>
      <c r="AB141" s="1038">
        <f>SUMIFS('01工程产值对比表'!$M:$M,'01工程产值对比表'!$D:$D,Y141,'01工程产值对比表'!$C:$C,Y$2)</f>
        <v>0</v>
      </c>
    </row>
    <row r="142" spans="1:28">
      <c r="A142" t="s">
        <v>729</v>
      </c>
      <c r="B142" s="697" t="s">
        <v>211</v>
      </c>
      <c r="D142" s="1038">
        <f>SUMIFS('01工程产值对比表'!$M:$M,'01工程产值对比表'!$D:$D,A142,'01工程产值对比表'!$C:$C,A$2)</f>
        <v>0</v>
      </c>
      <c r="F142" s="1039"/>
      <c r="H142" s="1038"/>
      <c r="I142" s="1049" t="s">
        <v>730</v>
      </c>
      <c r="J142" s="1046" t="s">
        <v>72</v>
      </c>
      <c r="K142" s="1050">
        <v>5</v>
      </c>
      <c r="L142" s="1047">
        <f>SUMIFS('01工程产值对比表'!$M:$M,'01工程产值对比表'!$D:$D,I142,'01工程产值对比表'!$C:$C,I$2)</f>
        <v>2202.7</v>
      </c>
      <c r="M142" s="1038"/>
      <c r="N142" s="1038"/>
      <c r="O142" s="1038"/>
      <c r="Q142" t="s">
        <v>731</v>
      </c>
      <c r="R142" s="697" t="s">
        <v>69</v>
      </c>
      <c r="S142">
        <v>55</v>
      </c>
      <c r="T142" s="1038">
        <f>SUMIFS('01工程产值对比表'!$M:$M,'01工程产值对比表'!$D:$D,Q142,'01工程产值对比表'!$C:$C,Q$2)</f>
        <v>0</v>
      </c>
      <c r="U142" s="1038"/>
      <c r="V142" s="1038"/>
      <c r="W142" s="1038"/>
      <c r="Y142" t="s">
        <v>732</v>
      </c>
      <c r="Z142" t="s">
        <v>82</v>
      </c>
      <c r="AA142">
        <v>8800</v>
      </c>
      <c r="AB142" s="1038">
        <f>SUMIFS('01工程产值对比表'!$M:$M,'01工程产值对比表'!$D:$D,Y142,'01工程产值对比表'!$C:$C,Y$2)</f>
        <v>0</v>
      </c>
    </row>
    <row r="143" ht="31.5" spans="1:28">
      <c r="A143" s="889" t="s">
        <v>733</v>
      </c>
      <c r="B143" s="697" t="s">
        <v>205</v>
      </c>
      <c r="D143" s="1038">
        <f>SUMIFS('01工程产值对比表'!$M:$M,'01工程产值对比表'!$D:$D,A143,'01工程产值对比表'!$C:$C,A$2)</f>
        <v>0</v>
      </c>
      <c r="F143" s="1039"/>
      <c r="H143" s="1038"/>
      <c r="I143" s="1049" t="s">
        <v>734</v>
      </c>
      <c r="J143" s="1046" t="s">
        <v>735</v>
      </c>
      <c r="K143" s="1050">
        <v>3.6</v>
      </c>
      <c r="L143" s="1047">
        <f>SUMIFS('01工程产值对比表'!$M:$M,'01工程产值对比表'!$D:$D,I143,'01工程产值对比表'!$C:$C,I$2)</f>
        <v>0</v>
      </c>
      <c r="M143" s="1038"/>
      <c r="N143" s="1038"/>
      <c r="O143" s="1038"/>
      <c r="Q143" t="s">
        <v>736</v>
      </c>
      <c r="R143" s="697" t="s">
        <v>69</v>
      </c>
      <c r="S143">
        <v>32.8</v>
      </c>
      <c r="T143" s="1038">
        <f>SUMIFS('01工程产值对比表'!$M:$M,'01工程产值对比表'!$D:$D,Q143,'01工程产值对比表'!$C:$C,Q$2)</f>
        <v>866.6</v>
      </c>
      <c r="U143" s="1038"/>
      <c r="V143" s="1038"/>
      <c r="W143" s="1038"/>
      <c r="Y143" t="s">
        <v>737</v>
      </c>
      <c r="Z143" t="s">
        <v>82</v>
      </c>
      <c r="AA143">
        <v>70000</v>
      </c>
      <c r="AB143" s="1038">
        <f>SUMIFS('01工程产值对比表'!$M:$M,'01工程产值对比表'!$D:$D,Y143,'01工程产值对比表'!$C:$C,Y$2)</f>
        <v>0</v>
      </c>
    </row>
    <row r="144" ht="31.5" spans="1:28">
      <c r="A144" s="889" t="s">
        <v>738</v>
      </c>
      <c r="B144" s="697" t="s">
        <v>739</v>
      </c>
      <c r="D144" s="1038">
        <f>SUMIFS('01工程产值对比表'!$M:$M,'01工程产值对比表'!$D:$D,A144,'01工程产值对比表'!$C:$C,A$2)</f>
        <v>0</v>
      </c>
      <c r="F144" s="1039"/>
      <c r="H144" s="1038"/>
      <c r="I144" s="1066" t="s">
        <v>740</v>
      </c>
      <c r="J144" s="1046" t="s">
        <v>735</v>
      </c>
      <c r="K144" s="1050">
        <v>3.32</v>
      </c>
      <c r="L144" s="1047">
        <f>SUMIFS('01工程产值对比表'!$M:$M,'01工程产值对比表'!$D:$D,I144,'01工程产值对比表'!$C:$C,I$2)</f>
        <v>0</v>
      </c>
      <c r="M144" s="1038"/>
      <c r="N144" s="1038"/>
      <c r="O144" s="1038"/>
      <c r="Q144" t="s">
        <v>741</v>
      </c>
      <c r="R144" s="697" t="s">
        <v>69</v>
      </c>
      <c r="S144">
        <v>65</v>
      </c>
      <c r="T144" s="1038">
        <f>SUMIFS('01工程产值对比表'!$M:$M,'01工程产值对比表'!$D:$D,Q144,'01工程产值对比表'!$C:$C,Q$2)</f>
        <v>0</v>
      </c>
      <c r="U144" s="1038"/>
      <c r="V144" s="1038"/>
      <c r="W144" s="1038"/>
      <c r="Y144" t="s">
        <v>742</v>
      </c>
      <c r="Z144" t="s">
        <v>82</v>
      </c>
      <c r="AA144">
        <v>8800</v>
      </c>
      <c r="AB144" s="1038">
        <f>SUMIFS('01工程产值对比表'!$M:$M,'01工程产值对比表'!$D:$D,Y144,'01工程产值对比表'!$C:$C,Y$2)</f>
        <v>0</v>
      </c>
    </row>
    <row r="145" spans="1:28">
      <c r="A145" t="s">
        <v>743</v>
      </c>
      <c r="B145" s="697" t="s">
        <v>185</v>
      </c>
      <c r="D145" s="1038">
        <f>SUMIFS('01工程产值对比表'!$M:$M,'01工程产值对比表'!$D:$D,A145,'01工程产值对比表'!$C:$C,A$2)</f>
        <v>0</v>
      </c>
      <c r="F145" s="1039"/>
      <c r="H145" s="1038"/>
      <c r="I145" s="1049" t="s">
        <v>744</v>
      </c>
      <c r="J145" s="1046" t="s">
        <v>735</v>
      </c>
      <c r="K145" s="1050">
        <v>3.32</v>
      </c>
      <c r="L145" s="1047">
        <f>SUMIFS('01工程产值对比表'!$M:$M,'01工程产值对比表'!$D:$D,I145,'01工程产值对比表'!$C:$C,I$2)</f>
        <v>0</v>
      </c>
      <c r="M145" s="1038"/>
      <c r="N145" s="1038"/>
      <c r="O145" s="1038"/>
      <c r="Q145" t="s">
        <v>745</v>
      </c>
      <c r="R145" s="697" t="s">
        <v>69</v>
      </c>
      <c r="S145">
        <v>2</v>
      </c>
      <c r="T145" s="1038">
        <f>SUMIFS('01工程产值对比表'!$M:$M,'01工程产值对比表'!$D:$D,Q145,'01工程产值对比表'!$C:$C,Q$2)</f>
        <v>0</v>
      </c>
      <c r="U145" s="1038"/>
      <c r="V145" s="1038"/>
      <c r="W145" s="1038"/>
      <c r="Y145" t="s">
        <v>746</v>
      </c>
      <c r="Z145" t="s">
        <v>82</v>
      </c>
      <c r="AA145">
        <v>8000</v>
      </c>
      <c r="AB145" s="1038">
        <f>SUMIFS('01工程产值对比表'!$M:$M,'01工程产值对比表'!$D:$D,Y145,'01工程产值对比表'!$C:$C,Y$2)</f>
        <v>0</v>
      </c>
    </row>
    <row r="146" spans="1:28">
      <c r="A146" t="s">
        <v>747</v>
      </c>
      <c r="B146" s="697" t="s">
        <v>72</v>
      </c>
      <c r="D146" s="1038">
        <f>SUMIFS('01工程产值对比表'!$M:$M,'01工程产值对比表'!$D:$D,A146,'01工程产值对比表'!$C:$C,A$2)</f>
        <v>0</v>
      </c>
      <c r="F146" s="1039"/>
      <c r="H146" s="1038"/>
      <c r="I146" s="1049" t="s">
        <v>748</v>
      </c>
      <c r="J146" s="1046" t="s">
        <v>735</v>
      </c>
      <c r="K146" s="1050">
        <v>3.64</v>
      </c>
      <c r="L146" s="1047">
        <f>SUMIFS('01工程产值对比表'!$M:$M,'01工程产值对比表'!$D:$D,I146,'01工程产值对比表'!$C:$C,I$2)</f>
        <v>0</v>
      </c>
      <c r="M146" s="1038"/>
      <c r="N146" s="1038"/>
      <c r="O146" s="1038"/>
      <c r="Q146" t="s">
        <v>749</v>
      </c>
      <c r="R146" s="697" t="s">
        <v>69</v>
      </c>
      <c r="S146">
        <v>120</v>
      </c>
      <c r="T146" s="1038">
        <f>SUMIFS('01工程产值对比表'!$M:$M,'01工程产值对比表'!$D:$D,Q146,'01工程产值对比表'!$C:$C,Q$2)</f>
        <v>0</v>
      </c>
      <c r="U146" s="1038"/>
      <c r="V146" s="1038"/>
      <c r="W146" s="1038"/>
      <c r="Y146" t="s">
        <v>750</v>
      </c>
      <c r="Z146" t="s">
        <v>82</v>
      </c>
      <c r="AA146">
        <v>8800</v>
      </c>
      <c r="AB146" s="1038">
        <f>SUMIFS('01工程产值对比表'!$M:$M,'01工程产值对比表'!$D:$D,Y146,'01工程产值对比表'!$C:$C,Y$2)</f>
        <v>0</v>
      </c>
    </row>
    <row r="147" spans="1:28">
      <c r="A147" t="s">
        <v>751</v>
      </c>
      <c r="B147" s="697" t="s">
        <v>211</v>
      </c>
      <c r="D147" s="1038">
        <f>SUMIFS('01工程产值对比表'!$M:$M,'01工程产值对比表'!$D:$D,A147,'01工程产值对比表'!$C:$C,A$2)</f>
        <v>0</v>
      </c>
      <c r="F147" s="1039"/>
      <c r="H147" s="1038"/>
      <c r="I147" s="1049" t="s">
        <v>752</v>
      </c>
      <c r="J147" s="1046" t="s">
        <v>735</v>
      </c>
      <c r="K147" s="1050">
        <v>2.25</v>
      </c>
      <c r="L147" s="1047">
        <f>SUMIFS('01工程产值对比表'!$M:$M,'01工程产值对比表'!$D:$D,I147,'01工程产值对比表'!$C:$C,I$2)</f>
        <v>0</v>
      </c>
      <c r="M147" s="1038"/>
      <c r="N147" s="1038"/>
      <c r="O147" s="1038"/>
      <c r="Q147" t="s">
        <v>753</v>
      </c>
      <c r="R147" s="697" t="s">
        <v>72</v>
      </c>
      <c r="S147">
        <v>30</v>
      </c>
      <c r="T147" s="1038">
        <f>SUMIFS('01工程产值对比表'!$M:$M,'01工程产值对比表'!$D:$D,Q147,'01工程产值对比表'!$C:$C,Q$2)</f>
        <v>4640.956</v>
      </c>
      <c r="U147" s="1038"/>
      <c r="V147" s="1038"/>
      <c r="W147" s="1038"/>
      <c r="Y147" t="s">
        <v>754</v>
      </c>
      <c r="Z147" t="s">
        <v>82</v>
      </c>
      <c r="AA147">
        <v>8800</v>
      </c>
      <c r="AB147" s="1038">
        <f>SUMIFS('01工程产值对比表'!$M:$M,'01工程产值对比表'!$D:$D,Y147,'01工程产值对比表'!$C:$C,Y$2)</f>
        <v>0</v>
      </c>
    </row>
    <row r="148" spans="1:28">
      <c r="A148" t="s">
        <v>755</v>
      </c>
      <c r="B148" s="697" t="s">
        <v>82</v>
      </c>
      <c r="D148" s="1038">
        <f>SUMIFS('01工程产值对比表'!$M:$M,'01工程产值对比表'!$D:$D,A148,'01工程产值对比表'!$C:$C,A$2)</f>
        <v>21.83</v>
      </c>
      <c r="F148" s="1039"/>
      <c r="H148" s="1038"/>
      <c r="I148" s="1049" t="s">
        <v>756</v>
      </c>
      <c r="J148" s="1046" t="s">
        <v>735</v>
      </c>
      <c r="K148" s="1050">
        <v>2</v>
      </c>
      <c r="L148" s="1047">
        <f>SUMIFS('01工程产值对比表'!$M:$M,'01工程产值对比表'!$D:$D,I148,'01工程产值对比表'!$C:$C,I$2)</f>
        <v>0</v>
      </c>
      <c r="M148" s="1038"/>
      <c r="N148" s="1038"/>
      <c r="O148" s="1038"/>
      <c r="Q148" t="s">
        <v>757</v>
      </c>
      <c r="R148" s="697" t="s">
        <v>69</v>
      </c>
      <c r="S148">
        <v>35</v>
      </c>
      <c r="T148" s="1038">
        <f>SUMIFS('01工程产值对比表'!$M:$M,'01工程产值对比表'!$D:$D,Q148,'01工程产值对比表'!$C:$C,Q$2)</f>
        <v>0</v>
      </c>
      <c r="U148" s="1038"/>
      <c r="V148" s="1038"/>
      <c r="W148" s="1038"/>
      <c r="Y148" t="s">
        <v>758</v>
      </c>
      <c r="Z148" t="s">
        <v>82</v>
      </c>
      <c r="AA148">
        <v>8800</v>
      </c>
      <c r="AB148" s="1038">
        <f>SUMIFS('01工程产值对比表'!$M:$M,'01工程产值对比表'!$D:$D,Y148,'01工程产值对比表'!$C:$C,Y$2)</f>
        <v>0</v>
      </c>
    </row>
    <row r="149" spans="1:28">
      <c r="A149" t="s">
        <v>759</v>
      </c>
      <c r="B149" s="697" t="s">
        <v>211</v>
      </c>
      <c r="D149" s="1038">
        <f>SUMIFS('01工程产值对比表'!$M:$M,'01工程产值对比表'!$D:$D,A149,'01工程产值对比表'!$C:$C,A$2)</f>
        <v>0</v>
      </c>
      <c r="F149" s="1039"/>
      <c r="H149" s="1038"/>
      <c r="I149" s="1049" t="s">
        <v>760</v>
      </c>
      <c r="J149" s="1046" t="s">
        <v>735</v>
      </c>
      <c r="K149" s="1050">
        <v>2.5</v>
      </c>
      <c r="L149" s="1047">
        <f>SUMIFS('01工程产值对比表'!$M:$M,'01工程产值对比表'!$D:$D,I149,'01工程产值对比表'!$C:$C,I$2)</f>
        <v>0</v>
      </c>
      <c r="M149" s="1038"/>
      <c r="N149" s="1038"/>
      <c r="O149" s="1038"/>
      <c r="Q149" t="s">
        <v>761</v>
      </c>
      <c r="R149" s="697" t="s">
        <v>76</v>
      </c>
      <c r="S149">
        <v>400</v>
      </c>
      <c r="T149" s="1038">
        <f>SUMIFS('01工程产值对比表'!$M:$M,'01工程产值对比表'!$D:$D,Q149,'01工程产值对比表'!$C:$C,Q$2)</f>
        <v>0</v>
      </c>
      <c r="U149" s="1038"/>
      <c r="V149" s="1038"/>
      <c r="W149" s="1038"/>
      <c r="Y149" t="s">
        <v>762</v>
      </c>
      <c r="Z149" t="s">
        <v>82</v>
      </c>
      <c r="AA149">
        <v>8800</v>
      </c>
      <c r="AB149" s="1038">
        <f>SUMIFS('01工程产值对比表'!$M:$M,'01工程产值对比表'!$D:$D,Y149,'01工程产值对比表'!$C:$C,Y$2)</f>
        <v>0</v>
      </c>
    </row>
    <row r="150" spans="1:28">
      <c r="A150" s="889" t="s">
        <v>763</v>
      </c>
      <c r="B150" s="697" t="s">
        <v>76</v>
      </c>
      <c r="D150" s="1038">
        <f>SUMIFS('01工程产值对比表'!$M:$M,'01工程产值对比表'!$D:$D,A150,'01工程产值对比表'!$C:$C,A$2)</f>
        <v>0</v>
      </c>
      <c r="F150" s="1039"/>
      <c r="H150" s="1038"/>
      <c r="I150" s="1049" t="s">
        <v>764</v>
      </c>
      <c r="J150" s="1046" t="s">
        <v>735</v>
      </c>
      <c r="K150" s="1050">
        <v>1</v>
      </c>
      <c r="L150" s="1047">
        <f>SUMIFS('01工程产值对比表'!$M:$M,'01工程产值对比表'!$D:$D,I150,'01工程产值对比表'!$C:$C,I$2)</f>
        <v>0</v>
      </c>
      <c r="M150" s="1038"/>
      <c r="N150" s="1038"/>
      <c r="O150" s="1038"/>
      <c r="Q150" t="s">
        <v>765</v>
      </c>
      <c r="R150" s="697" t="s">
        <v>76</v>
      </c>
      <c r="S150">
        <v>3.5</v>
      </c>
      <c r="T150" s="1038">
        <f>SUMIFS('01工程产值对比表'!$M:$M,'01工程产值对比表'!$D:$D,Q150,'01工程产值对比表'!$C:$C,Q$2)</f>
        <v>0</v>
      </c>
      <c r="U150" s="1038"/>
      <c r="V150" s="1038"/>
      <c r="W150" s="1038"/>
      <c r="Y150" t="s">
        <v>766</v>
      </c>
      <c r="Z150" t="s">
        <v>82</v>
      </c>
      <c r="AA150">
        <v>8800</v>
      </c>
      <c r="AB150" s="1038">
        <f>SUMIFS('01工程产值对比表'!$M:$M,'01工程产值对比表'!$D:$D,Y150,'01工程产值对比表'!$C:$C,Y$2)</f>
        <v>0</v>
      </c>
    </row>
    <row r="151" spans="1:28">
      <c r="A151" t="s">
        <v>767</v>
      </c>
      <c r="B151" s="697" t="s">
        <v>689</v>
      </c>
      <c r="D151" s="1038">
        <f>SUMIFS('01工程产值对比表'!$M:$M,'01工程产值对比表'!$D:$D,A151,'01工程产值对比表'!$C:$C,A$2)</f>
        <v>0</v>
      </c>
      <c r="F151" s="1039"/>
      <c r="H151" s="1038"/>
      <c r="I151" s="1049" t="s">
        <v>768</v>
      </c>
      <c r="J151" s="1046" t="s">
        <v>735</v>
      </c>
      <c r="K151" s="1050"/>
      <c r="L151" s="1047">
        <f>SUMIFS('01工程产值对比表'!$M:$M,'01工程产值对比表'!$D:$D,I151,'01工程产值对比表'!$C:$C,I$2)</f>
        <v>0</v>
      </c>
      <c r="M151" s="1038"/>
      <c r="N151" s="1038"/>
      <c r="O151" s="1038"/>
      <c r="Q151" t="s">
        <v>769</v>
      </c>
      <c r="R151" s="697" t="s">
        <v>69</v>
      </c>
      <c r="S151">
        <v>25</v>
      </c>
      <c r="T151" s="1038">
        <f>SUMIFS('01工程产值对比表'!$M:$M,'01工程产值对比表'!$D:$D,Q151,'01工程产值对比表'!$C:$C,Q$2)</f>
        <v>0</v>
      </c>
      <c r="U151" s="1038"/>
      <c r="V151" s="1038"/>
      <c r="W151" s="1038"/>
      <c r="Y151" t="s">
        <v>770</v>
      </c>
      <c r="Z151" t="s">
        <v>76</v>
      </c>
      <c r="AA151">
        <v>500</v>
      </c>
      <c r="AB151" s="1038">
        <f>SUMIFS('01工程产值对比表'!$M:$M,'01工程产值对比表'!$D:$D,Y151,'01工程产值对比表'!$C:$C,Y$2)</f>
        <v>0</v>
      </c>
    </row>
    <row r="152" spans="1:28">
      <c r="A152" t="s">
        <v>771</v>
      </c>
      <c r="B152" s="697" t="s">
        <v>772</v>
      </c>
      <c r="D152" s="1038">
        <f>SUMIFS('01工程产值对比表'!$M:$M,'01工程产值对比表'!$D:$D,A152,'01工程产值对比表'!$C:$C,A$2)</f>
        <v>0</v>
      </c>
      <c r="F152" s="1039"/>
      <c r="H152" s="1038"/>
      <c r="I152" s="1049" t="s">
        <v>773</v>
      </c>
      <c r="J152" s="1046" t="s">
        <v>735</v>
      </c>
      <c r="K152" s="1050"/>
      <c r="L152" s="1047">
        <f>SUMIFS('01工程产值对比表'!$M:$M,'01工程产值对比表'!$D:$D,I152,'01工程产值对比表'!$C:$C,I$2)</f>
        <v>0</v>
      </c>
      <c r="M152" s="1038"/>
      <c r="N152" s="1038"/>
      <c r="O152" s="1038"/>
      <c r="Q152" t="s">
        <v>774</v>
      </c>
      <c r="R152" s="697" t="s">
        <v>69</v>
      </c>
      <c r="S152">
        <v>280</v>
      </c>
      <c r="T152" s="1038">
        <f>SUMIFS('01工程产值对比表'!$M:$M,'01工程产值对比表'!$D:$D,Q152,'01工程产值对比表'!$C:$C,Q$2)</f>
        <v>0</v>
      </c>
      <c r="U152" s="1038"/>
      <c r="V152" s="1038"/>
      <c r="W152" s="1038"/>
      <c r="Y152" t="s">
        <v>775</v>
      </c>
      <c r="Z152" t="s">
        <v>82</v>
      </c>
      <c r="AA152">
        <v>8800</v>
      </c>
      <c r="AB152" s="1038">
        <f>SUMIFS('01工程产值对比表'!$M:$M,'01工程产值对比表'!$D:$D,Y152,'01工程产值对比表'!$C:$C,Y$2)</f>
        <v>0</v>
      </c>
    </row>
    <row r="153" spans="1:28">
      <c r="A153" t="s">
        <v>776</v>
      </c>
      <c r="B153" s="697" t="s">
        <v>205</v>
      </c>
      <c r="D153" s="1038">
        <f>SUMIFS('01工程产值对比表'!$M:$M,'01工程产值对比表'!$D:$D,A153,'01工程产值对比表'!$C:$C,A$2)</f>
        <v>0</v>
      </c>
      <c r="F153" s="1039"/>
      <c r="H153" s="1038"/>
      <c r="I153" s="1049" t="s">
        <v>777</v>
      </c>
      <c r="J153" s="1046" t="s">
        <v>735</v>
      </c>
      <c r="K153" s="1050">
        <v>4.2</v>
      </c>
      <c r="L153" s="1047">
        <f>SUMIFS('01工程产值对比表'!$M:$M,'01工程产值对比表'!$D:$D,I153,'01工程产值对比表'!$C:$C,I$2)</f>
        <v>0</v>
      </c>
      <c r="M153" s="1038"/>
      <c r="N153" s="1038"/>
      <c r="O153" s="1038"/>
      <c r="Q153" t="s">
        <v>778</v>
      </c>
      <c r="R153" s="697" t="s">
        <v>69</v>
      </c>
      <c r="T153" s="1038">
        <f>SUMIFS('01工程产值对比表'!$M:$M,'01工程产值对比表'!$D:$D,Q153,'01工程产值对比表'!$C:$C,Q$2)</f>
        <v>0</v>
      </c>
      <c r="U153" s="1038"/>
      <c r="V153" s="1038"/>
      <c r="W153" s="1038"/>
      <c r="Y153" t="s">
        <v>779</v>
      </c>
      <c r="Z153" t="s">
        <v>82</v>
      </c>
      <c r="AA153">
        <v>8800</v>
      </c>
      <c r="AB153" s="1038">
        <f>SUMIFS('01工程产值对比表'!$M:$M,'01工程产值对比表'!$D:$D,Y153,'01工程产值对比表'!$C:$C,Y$2)</f>
        <v>0</v>
      </c>
    </row>
    <row r="154" spans="1:28">
      <c r="A154" s="889" t="s">
        <v>780</v>
      </c>
      <c r="B154" s="697" t="s">
        <v>781</v>
      </c>
      <c r="D154" s="1038">
        <f>SUMIFS('01工程产值对比表'!$M:$M,'01工程产值对比表'!$D:$D,A154,'01工程产值对比表'!$C:$C,A$2)</f>
        <v>4.010496</v>
      </c>
      <c r="F154" s="1039"/>
      <c r="H154" s="1038"/>
      <c r="I154" s="1049" t="s">
        <v>782</v>
      </c>
      <c r="J154" s="1046" t="s">
        <v>735</v>
      </c>
      <c r="K154" s="1050">
        <v>10</v>
      </c>
      <c r="L154" s="1047">
        <f>SUMIFS('01工程产值对比表'!$M:$M,'01工程产值对比表'!$D:$D,I154,'01工程产值对比表'!$C:$C,I$2)</f>
        <v>0</v>
      </c>
      <c r="M154" s="1038"/>
      <c r="N154" s="1038"/>
      <c r="O154" s="1038"/>
      <c r="Q154" t="s">
        <v>783</v>
      </c>
      <c r="R154" s="697" t="s">
        <v>72</v>
      </c>
      <c r="S154">
        <v>1</v>
      </c>
      <c r="T154" s="1038">
        <f>SUMIFS('01工程产值对比表'!$M:$M,'01工程产值对比表'!$D:$D,Q154,'01工程产值对比表'!$C:$C,Q$2)</f>
        <v>0</v>
      </c>
      <c r="U154" s="1038"/>
      <c r="V154" s="1038"/>
      <c r="W154" s="1038"/>
      <c r="Y154" t="s">
        <v>784</v>
      </c>
      <c r="Z154" t="s">
        <v>76</v>
      </c>
      <c r="AA154">
        <v>706.194690265487</v>
      </c>
      <c r="AB154" s="1038">
        <f>SUMIFS('01工程产值对比表'!$M:$M,'01工程产值对比表'!$D:$D,Y154,'01工程产值对比表'!$C:$C,Y$2)</f>
        <v>0</v>
      </c>
    </row>
    <row r="155" spans="1:28">
      <c r="A155" t="s">
        <v>785</v>
      </c>
      <c r="B155" s="697" t="s">
        <v>689</v>
      </c>
      <c r="C155">
        <v>400</v>
      </c>
      <c r="D155" s="1038">
        <f>SUMIFS('01工程产值对比表'!$M:$M,'01工程产值对比表'!$D:$D,A155,'01工程产值对比表'!$C:$C,A$2)</f>
        <v>2446.262258</v>
      </c>
      <c r="F155" s="1039"/>
      <c r="H155" s="1038"/>
      <c r="I155" s="1049" t="s">
        <v>786</v>
      </c>
      <c r="J155" s="1046" t="s">
        <v>735</v>
      </c>
      <c r="K155" s="1050"/>
      <c r="L155" s="1047">
        <f>SUMIFS('01工程产值对比表'!$M:$M,'01工程产值对比表'!$D:$D,I155,'01工程产值对比表'!$C:$C,I$2)</f>
        <v>0</v>
      </c>
      <c r="M155" s="1038"/>
      <c r="N155" s="1038"/>
      <c r="O155" s="1038"/>
      <c r="Q155" t="s">
        <v>787</v>
      </c>
      <c r="R155" s="697" t="s">
        <v>69</v>
      </c>
      <c r="S155">
        <v>2</v>
      </c>
      <c r="T155" s="1038">
        <f>SUMIFS('01工程产值对比表'!$M:$M,'01工程产值对比表'!$D:$D,Q155,'01工程产值对比表'!$C:$C,Q$2)</f>
        <v>0</v>
      </c>
      <c r="U155" s="1038"/>
      <c r="V155" s="1038"/>
      <c r="W155" s="1038"/>
      <c r="Y155" t="s">
        <v>788</v>
      </c>
      <c r="Z155" t="s">
        <v>69</v>
      </c>
      <c r="AA155">
        <v>70</v>
      </c>
      <c r="AB155" s="1038">
        <f>SUMIFS('01工程产值对比表'!$M:$M,'01工程产值对比表'!$D:$D,Y155,'01工程产值对比表'!$C:$C,Y$2)</f>
        <v>2221.3</v>
      </c>
    </row>
    <row r="156" spans="1:28">
      <c r="A156" s="889" t="s">
        <v>789</v>
      </c>
      <c r="B156" s="697" t="s">
        <v>82</v>
      </c>
      <c r="C156">
        <v>4000</v>
      </c>
      <c r="D156" s="1038">
        <f>SUMIFS('01工程产值对比表'!$M:$M,'01工程产值对比表'!$D:$D,A156,'01工程产值对比表'!$C:$C,A$2)</f>
        <v>588.50074</v>
      </c>
      <c r="F156" s="1039"/>
      <c r="H156" s="1038"/>
      <c r="I156" s="1049" t="s">
        <v>790</v>
      </c>
      <c r="J156" s="1046" t="s">
        <v>735</v>
      </c>
      <c r="K156" s="1050"/>
      <c r="L156" s="1047">
        <f>SUMIFS('01工程产值对比表'!$M:$M,'01工程产值对比表'!$D:$D,I156,'01工程产值对比表'!$C:$C,I$2)</f>
        <v>0</v>
      </c>
      <c r="M156" s="1038"/>
      <c r="N156" s="1038"/>
      <c r="O156" s="1038"/>
      <c r="Q156" t="s">
        <v>791</v>
      </c>
      <c r="R156" s="697" t="s">
        <v>69</v>
      </c>
      <c r="S156">
        <v>9</v>
      </c>
      <c r="T156" s="1038">
        <f>SUMIFS('01工程产值对比表'!$M:$M,'01工程产值对比表'!$D:$D,Q156,'01工程产值对比表'!$C:$C,Q$2)</f>
        <v>0</v>
      </c>
      <c r="U156" s="1038"/>
      <c r="V156" s="1038"/>
      <c r="W156" s="1038"/>
      <c r="Y156" t="s">
        <v>792</v>
      </c>
      <c r="Z156" t="s">
        <v>82</v>
      </c>
      <c r="AA156">
        <v>100</v>
      </c>
      <c r="AB156" s="1038">
        <f>SUMIFS('01工程产值对比表'!$M:$M,'01工程产值对比表'!$D:$D,Y156,'01工程产值对比表'!$C:$C,Y$2)</f>
        <v>0</v>
      </c>
    </row>
    <row r="157" spans="1:28">
      <c r="A157" t="s">
        <v>793</v>
      </c>
      <c r="B157" s="697" t="s">
        <v>689</v>
      </c>
      <c r="C157">
        <v>450</v>
      </c>
      <c r="D157" s="1038">
        <f>SUMIFS('01工程产值对比表'!$M:$M,'01工程产值对比表'!$D:$D,A157,'01工程产值对比表'!$C:$C,A$2)</f>
        <v>795.156</v>
      </c>
      <c r="F157" s="1039"/>
      <c r="H157" s="1038"/>
      <c r="I157" s="1049" t="s">
        <v>794</v>
      </c>
      <c r="J157" s="1046" t="s">
        <v>735</v>
      </c>
      <c r="K157" s="1050">
        <v>15</v>
      </c>
      <c r="L157" s="1047">
        <f>SUMIFS('01工程产值对比表'!$M:$M,'01工程产值对比表'!$D:$D,I157,'01工程产值对比表'!$C:$C,I$2)</f>
        <v>0</v>
      </c>
      <c r="M157" s="1038"/>
      <c r="N157" s="1038"/>
      <c r="O157" s="1038"/>
      <c r="Q157" t="s">
        <v>795</v>
      </c>
      <c r="R157" s="697" t="s">
        <v>69</v>
      </c>
      <c r="S157">
        <v>0.5</v>
      </c>
      <c r="T157" s="1038">
        <f>SUMIFS('01工程产值对比表'!$M:$M,'01工程产值对比表'!$D:$D,Q157,'01工程产值对比表'!$C:$C,Q$2)</f>
        <v>0</v>
      </c>
      <c r="U157" s="1038"/>
      <c r="V157" s="1038"/>
      <c r="W157" s="1038"/>
      <c r="Y157" t="s">
        <v>796</v>
      </c>
      <c r="Z157" t="s">
        <v>82</v>
      </c>
      <c r="AA157">
        <v>8800</v>
      </c>
      <c r="AB157" s="1038">
        <f>SUMIFS('01工程产值对比表'!$M:$M,'01工程产值对比表'!$D:$D,Y157,'01工程产值对比表'!$C:$C,Y$2)</f>
        <v>0</v>
      </c>
    </row>
    <row r="158" spans="1:28">
      <c r="A158" t="s">
        <v>797</v>
      </c>
      <c r="B158" s="697" t="s">
        <v>689</v>
      </c>
      <c r="C158">
        <v>470</v>
      </c>
      <c r="D158" s="1038">
        <f>SUMIFS('01工程产值对比表'!$M:$M,'01工程产值对比表'!$D:$D,A158,'01工程产值对比表'!$C:$C,A$2)</f>
        <v>0</v>
      </c>
      <c r="F158" s="1039"/>
      <c r="H158" s="1038"/>
      <c r="I158" s="1049" t="s">
        <v>798</v>
      </c>
      <c r="J158" s="1046" t="s">
        <v>735</v>
      </c>
      <c r="K158" s="1050">
        <v>4.69</v>
      </c>
      <c r="L158" s="1047">
        <f>SUMIFS('01工程产值对比表'!$M:$M,'01工程产值对比表'!$D:$D,I158,'01工程产值对比表'!$C:$C,I$2)</f>
        <v>0</v>
      </c>
      <c r="M158" s="1038"/>
      <c r="N158" s="1038"/>
      <c r="O158" s="1038"/>
      <c r="Q158" t="s">
        <v>799</v>
      </c>
      <c r="R158" s="697" t="s">
        <v>82</v>
      </c>
      <c r="S158">
        <v>1.2</v>
      </c>
      <c r="T158" s="1038">
        <f>SUMIFS('01工程产值对比表'!$M:$M,'01工程产值对比表'!$D:$D,Q158,'01工程产值对比表'!$C:$C,Q$2)</f>
        <v>0</v>
      </c>
      <c r="U158" s="1038"/>
      <c r="V158" s="1038"/>
      <c r="W158" s="1038"/>
      <c r="Y158" t="s">
        <v>800</v>
      </c>
      <c r="Z158" t="s">
        <v>82</v>
      </c>
      <c r="AA158">
        <v>463.76</v>
      </c>
      <c r="AB158" s="1038">
        <f>SUMIFS('01工程产值对比表'!$M:$M,'01工程产值对比表'!$D:$D,Y158,'01工程产值对比表'!$C:$C,Y$2)</f>
        <v>0</v>
      </c>
    </row>
    <row r="159" spans="1:28">
      <c r="A159" s="889" t="s">
        <v>801</v>
      </c>
      <c r="B159" s="697" t="s">
        <v>82</v>
      </c>
      <c r="C159">
        <v>7000</v>
      </c>
      <c r="D159" s="1038">
        <f>SUMIFS('01工程产值对比表'!$M:$M,'01工程产值对比表'!$D:$D,A159,'01工程产值对比表'!$C:$C,A$2)</f>
        <v>0</v>
      </c>
      <c r="F159" s="1039"/>
      <c r="H159" s="1038"/>
      <c r="I159" s="1049" t="s">
        <v>802</v>
      </c>
      <c r="J159" s="1046" t="s">
        <v>72</v>
      </c>
      <c r="K159" s="1050">
        <v>5.91</v>
      </c>
      <c r="L159" s="1047">
        <f>SUMIFS('01工程产值对比表'!$M:$M,'01工程产值对比表'!$D:$D,I159,'01工程产值对比表'!$C:$C,I$2)</f>
        <v>25610.9</v>
      </c>
      <c r="M159" s="1038"/>
      <c r="N159" s="1038"/>
      <c r="O159" s="1038"/>
      <c r="Q159" t="s">
        <v>803</v>
      </c>
      <c r="R159" s="697" t="s">
        <v>72</v>
      </c>
      <c r="S159">
        <v>5</v>
      </c>
      <c r="T159" s="1038">
        <f>SUMIFS('01工程产值对比表'!$M:$M,'01工程产值对比表'!$D:$D,Q159,'01工程产值对比表'!$C:$C,Q$2)</f>
        <v>0</v>
      </c>
      <c r="U159" s="1038"/>
      <c r="V159" s="1038"/>
      <c r="W159" s="1038"/>
      <c r="Y159" t="s">
        <v>804</v>
      </c>
      <c r="Z159" t="s">
        <v>82</v>
      </c>
      <c r="AA159">
        <v>6000</v>
      </c>
      <c r="AB159" s="1038">
        <f>SUMIFS('01工程产值对比表'!$M:$M,'01工程产值对比表'!$D:$D,Y159,'01工程产值对比表'!$C:$C,Y$2)</f>
        <v>0</v>
      </c>
    </row>
    <row r="160" spans="1:28">
      <c r="A160" s="889" t="s">
        <v>805</v>
      </c>
      <c r="B160" s="697" t="s">
        <v>76</v>
      </c>
      <c r="C160">
        <v>20</v>
      </c>
      <c r="D160" s="1038">
        <f>SUMIFS('01工程产值对比表'!$M:$M,'01工程产值对比表'!$D:$D,A160,'01工程产值对比表'!$C:$C,A$2)</f>
        <v>0</v>
      </c>
      <c r="F160" s="1039"/>
      <c r="H160" s="1038"/>
      <c r="I160" s="1049" t="s">
        <v>806</v>
      </c>
      <c r="J160" s="1046" t="s">
        <v>72</v>
      </c>
      <c r="K160" s="1050">
        <v>9.05</v>
      </c>
      <c r="L160" s="1047">
        <f>SUMIFS('01工程产值对比表'!$M:$M,'01工程产值对比表'!$D:$D,I160,'01工程产值对比表'!$C:$C,I$2)</f>
        <v>0</v>
      </c>
      <c r="M160" s="1038"/>
      <c r="N160" s="1038"/>
      <c r="O160" s="1038"/>
      <c r="Q160" t="s">
        <v>807</v>
      </c>
      <c r="R160" s="697" t="s">
        <v>69</v>
      </c>
      <c r="S160">
        <v>10</v>
      </c>
      <c r="T160" s="1038">
        <f>SUMIFS('01工程产值对比表'!$M:$M,'01工程产值对比表'!$D:$D,Q160,'01工程产值对比表'!$C:$C,Q$2)</f>
        <v>0</v>
      </c>
      <c r="U160" s="1038"/>
      <c r="V160" s="1038"/>
      <c r="W160" s="1038"/>
      <c r="Y160" t="s">
        <v>808</v>
      </c>
      <c r="Z160" t="s">
        <v>82</v>
      </c>
      <c r="AA160">
        <v>8800</v>
      </c>
      <c r="AB160" s="1038">
        <f>SUMIFS('01工程产值对比表'!$M:$M,'01工程产值对比表'!$D:$D,Y160,'01工程产值对比表'!$C:$C,Y$2)</f>
        <v>0</v>
      </c>
    </row>
    <row r="161" spans="1:28">
      <c r="A161" t="s">
        <v>809</v>
      </c>
      <c r="B161" s="697" t="s">
        <v>169</v>
      </c>
      <c r="C161">
        <v>180</v>
      </c>
      <c r="D161" s="1038">
        <f>SUMIFS('01工程产值对比表'!$M:$M,'01工程产值对比表'!$D:$D,A161,'01工程产值对比表'!$C:$C,A$2)</f>
        <v>0</v>
      </c>
      <c r="F161" s="1039"/>
      <c r="H161" s="1038"/>
      <c r="I161" s="1049" t="s">
        <v>810</v>
      </c>
      <c r="J161" s="1046" t="s">
        <v>72</v>
      </c>
      <c r="K161" s="1050">
        <v>5.51</v>
      </c>
      <c r="L161" s="1047">
        <f>SUMIFS('01工程产值对比表'!$M:$M,'01工程产值对比表'!$D:$D,I161,'01工程产值对比表'!$C:$C,I$2)</f>
        <v>0</v>
      </c>
      <c r="M161" s="1038"/>
      <c r="N161" s="1038"/>
      <c r="O161" s="1038"/>
      <c r="Q161" t="s">
        <v>811</v>
      </c>
      <c r="R161" s="697" t="s">
        <v>76</v>
      </c>
      <c r="S161">
        <v>150000</v>
      </c>
      <c r="T161" s="1038">
        <f>SUMIFS('01工程产值对比表'!$M:$M,'01工程产值对比表'!$D:$D,Q161,'01工程产值对比表'!$C:$C,Q$2)</f>
        <v>0</v>
      </c>
      <c r="U161" s="1038"/>
      <c r="V161" s="1038"/>
      <c r="W161" s="1038"/>
      <c r="Y161" t="s">
        <v>812</v>
      </c>
      <c r="Z161" t="s">
        <v>69</v>
      </c>
      <c r="AA161">
        <v>25</v>
      </c>
      <c r="AB161" s="1038">
        <f>SUMIFS('01工程产值对比表'!$M:$M,'01工程产值对比表'!$D:$D,Y161,'01工程产值对比表'!$C:$C,Y$2)</f>
        <v>0</v>
      </c>
    </row>
    <row r="162" spans="1:28">
      <c r="A162" t="s">
        <v>813</v>
      </c>
      <c r="B162" s="697" t="s">
        <v>689</v>
      </c>
      <c r="C162">
        <v>460</v>
      </c>
      <c r="D162" s="1038">
        <f>SUMIFS('01工程产值对比表'!$M:$M,'01工程产值对比表'!$D:$D,A162,'01工程产值对比表'!$C:$C,A$2)</f>
        <v>0</v>
      </c>
      <c r="F162" s="1039"/>
      <c r="H162" s="1038"/>
      <c r="I162" s="1049" t="s">
        <v>814</v>
      </c>
      <c r="J162" s="1046" t="s">
        <v>72</v>
      </c>
      <c r="K162" s="1050">
        <v>17</v>
      </c>
      <c r="L162" s="1047">
        <f>SUMIFS('01工程产值对比表'!$M:$M,'01工程产值对比表'!$D:$D,I162,'01工程产值对比表'!$C:$C,I$2)</f>
        <v>0</v>
      </c>
      <c r="M162" s="1038"/>
      <c r="N162" s="1038"/>
      <c r="O162" s="1038"/>
      <c r="Q162" t="s">
        <v>566</v>
      </c>
      <c r="R162" s="697" t="s">
        <v>175</v>
      </c>
      <c r="T162" s="1038">
        <f>SUMIFS('01工程产值对比表'!$M:$M,'01工程产值对比表'!$D:$D,Q162,'01工程产值对比表'!$C:$C,Q$2)</f>
        <v>0</v>
      </c>
      <c r="U162" s="1038"/>
      <c r="V162" s="1038"/>
      <c r="W162" s="1038"/>
      <c r="Y162" t="s">
        <v>815</v>
      </c>
      <c r="Z162" t="s">
        <v>82</v>
      </c>
      <c r="AA162">
        <v>8800</v>
      </c>
      <c r="AB162" s="1038">
        <f>SUMIFS('01工程产值对比表'!$M:$M,'01工程产值对比表'!$D:$D,Y162,'01工程产值对比表'!$C:$C,Y$2)</f>
        <v>0</v>
      </c>
    </row>
    <row r="163" spans="1:28">
      <c r="A163" t="s">
        <v>816</v>
      </c>
      <c r="B163" s="697" t="s">
        <v>76</v>
      </c>
      <c r="C163">
        <v>20</v>
      </c>
      <c r="D163" s="1038">
        <f>SUMIFS('01工程产值对比表'!$M:$M,'01工程产值对比表'!$D:$D,A163,'01工程产值对比表'!$C:$C,A$2)</f>
        <v>0</v>
      </c>
      <c r="F163" s="1039"/>
      <c r="H163" s="1038"/>
      <c r="I163" s="1049" t="s">
        <v>817</v>
      </c>
      <c r="J163" s="1046" t="s">
        <v>72</v>
      </c>
      <c r="K163" s="1050"/>
      <c r="L163" s="1047">
        <f>SUMIFS('01工程产值对比表'!$M:$M,'01工程产值对比表'!$D:$D,I163,'01工程产值对比表'!$C:$C,I$2)</f>
        <v>0</v>
      </c>
      <c r="M163" s="1038"/>
      <c r="N163" s="1038"/>
      <c r="O163" s="1038"/>
      <c r="Q163" t="s">
        <v>818</v>
      </c>
      <c r="R163" s="697" t="s">
        <v>72</v>
      </c>
      <c r="T163" s="1038">
        <f>SUMIFS('01工程产值对比表'!$M:$M,'01工程产值对比表'!$D:$D,Q163,'01工程产值对比表'!$C:$C,Q$2)</f>
        <v>0</v>
      </c>
      <c r="U163" s="1038"/>
      <c r="V163" s="1038"/>
      <c r="W163" s="1038"/>
      <c r="Y163" t="s">
        <v>819</v>
      </c>
      <c r="Z163" t="s">
        <v>772</v>
      </c>
      <c r="AA163">
        <v>43</v>
      </c>
      <c r="AB163" s="1038">
        <f>SUMIFS('01工程产值对比表'!$M:$M,'01工程产值对比表'!$D:$D,Y163,'01工程产值对比表'!$C:$C,Y$2)</f>
        <v>0</v>
      </c>
    </row>
    <row r="164" spans="1:28">
      <c r="A164" t="s">
        <v>820</v>
      </c>
      <c r="B164" s="697" t="s">
        <v>169</v>
      </c>
      <c r="C164">
        <v>180</v>
      </c>
      <c r="D164" s="1038">
        <f>SUMIFS('01工程产值对比表'!$M:$M,'01工程产值对比表'!$D:$D,A164,'01工程产值对比表'!$C:$C,A$2)</f>
        <v>0</v>
      </c>
      <c r="F164" s="1039"/>
      <c r="H164" s="1038"/>
      <c r="I164" s="1049" t="s">
        <v>821</v>
      </c>
      <c r="J164" s="1046" t="s">
        <v>72</v>
      </c>
      <c r="K164" s="1050"/>
      <c r="L164" s="1047">
        <f>SUMIFS('01工程产值对比表'!$M:$M,'01工程产值对比表'!$D:$D,I164,'01工程产值对比表'!$C:$C,I$2)</f>
        <v>0</v>
      </c>
      <c r="M164" s="1038"/>
      <c r="N164" s="1038"/>
      <c r="O164" s="1038"/>
      <c r="Q164" t="s">
        <v>822</v>
      </c>
      <c r="R164" s="697" t="s">
        <v>169</v>
      </c>
      <c r="T164" s="1038">
        <f>SUMIFS('01工程产值对比表'!$M:$M,'01工程产值对比表'!$D:$D,Q164,'01工程产值对比表'!$C:$C,Q$2)</f>
        <v>0</v>
      </c>
      <c r="U164" s="1038"/>
      <c r="V164" s="1038"/>
      <c r="W164" s="1038"/>
      <c r="Y164" t="s">
        <v>823</v>
      </c>
      <c r="Z164" t="s">
        <v>76</v>
      </c>
      <c r="AA164">
        <v>550</v>
      </c>
      <c r="AB164" s="1038">
        <f>SUMIFS('01工程产值对比表'!$M:$M,'01工程产值对比表'!$D:$D,Y164,'01工程产值对比表'!$C:$C,Y$2)</f>
        <v>0</v>
      </c>
    </row>
    <row r="165" spans="1:28">
      <c r="A165" t="s">
        <v>824</v>
      </c>
      <c r="B165" s="697" t="s">
        <v>169</v>
      </c>
      <c r="C165">
        <v>180</v>
      </c>
      <c r="D165" s="1038">
        <f>SUMIFS('01工程产值对比表'!$M:$M,'01工程产值对比表'!$D:$D,A165,'01工程产值对比表'!$C:$C,A$2)</f>
        <v>0</v>
      </c>
      <c r="F165" s="1039"/>
      <c r="H165" s="1038"/>
      <c r="I165" s="1049" t="s">
        <v>825</v>
      </c>
      <c r="J165" s="1046" t="s">
        <v>72</v>
      </c>
      <c r="K165" s="1050"/>
      <c r="L165" s="1047">
        <f>SUMIFS('01工程产值对比表'!$M:$M,'01工程产值对比表'!$D:$D,I165,'01工程产值对比表'!$C:$C,I$2)</f>
        <v>0</v>
      </c>
      <c r="M165" s="1038"/>
      <c r="N165" s="1038"/>
      <c r="O165" s="1038"/>
      <c r="Q165" t="s">
        <v>826</v>
      </c>
      <c r="R165" s="697" t="s">
        <v>69</v>
      </c>
      <c r="S165">
        <v>100</v>
      </c>
      <c r="T165" s="1038">
        <f>SUMIFS('01工程产值对比表'!$M:$M,'01工程产值对比表'!$D:$D,Q165,'01工程产值对比表'!$C:$C,Q$2)</f>
        <v>0</v>
      </c>
      <c r="U165" s="1038"/>
      <c r="V165" s="1038"/>
      <c r="W165" s="1038"/>
      <c r="Y165" t="s">
        <v>827</v>
      </c>
      <c r="Z165" t="s">
        <v>82</v>
      </c>
      <c r="AA165">
        <v>9005</v>
      </c>
      <c r="AB165" s="1038">
        <f>SUMIFS('01工程产值对比表'!$M:$M,'01工程产值对比表'!$D:$D,Y165,'01工程产值对比表'!$C:$C,Y$2)</f>
        <v>6.592</v>
      </c>
    </row>
    <row r="166" spans="1:28">
      <c r="A166" t="s">
        <v>828</v>
      </c>
      <c r="B166" s="697" t="s">
        <v>69</v>
      </c>
      <c r="C166">
        <v>20</v>
      </c>
      <c r="D166" s="1038">
        <f>SUMIFS('01工程产值对比表'!$M:$M,'01工程产值对比表'!$D:$D,A166,'01工程产值对比表'!$C:$C,A$2)</f>
        <v>0</v>
      </c>
      <c r="F166" s="1039"/>
      <c r="H166" s="1038"/>
      <c r="I166" s="1049" t="s">
        <v>829</v>
      </c>
      <c r="J166" s="1046" t="s">
        <v>72</v>
      </c>
      <c r="K166" s="1050"/>
      <c r="L166" s="1047">
        <f>SUMIFS('01工程产值对比表'!$M:$M,'01工程产值对比表'!$D:$D,I166,'01工程产值对比表'!$C:$C,I$2)</f>
        <v>0</v>
      </c>
      <c r="M166" s="1038"/>
      <c r="N166" s="1038"/>
      <c r="O166" s="1038"/>
      <c r="Q166" t="s">
        <v>830</v>
      </c>
      <c r="R166" s="697" t="s">
        <v>72</v>
      </c>
      <c r="T166" s="1038">
        <f>SUMIFS('01工程产值对比表'!$M:$M,'01工程产值对比表'!$D:$D,Q166,'01工程产值对比表'!$C:$C,Q$2)</f>
        <v>0</v>
      </c>
      <c r="U166" s="1038"/>
      <c r="V166" s="1038"/>
      <c r="W166" s="1038"/>
      <c r="Y166" t="s">
        <v>831</v>
      </c>
      <c r="Z166" t="s">
        <v>72</v>
      </c>
      <c r="AA166">
        <v>2789</v>
      </c>
      <c r="AB166" s="1038">
        <f>SUMIFS('01工程产值对比表'!$M:$M,'01工程产值对比表'!$D:$D,Y166,'01工程产值对比表'!$C:$C,Y$2)</f>
        <v>0</v>
      </c>
    </row>
    <row r="167" spans="1:23">
      <c r="A167" t="s">
        <v>832</v>
      </c>
      <c r="B167" s="697" t="s">
        <v>82</v>
      </c>
      <c r="C167">
        <v>6000</v>
      </c>
      <c r="D167" s="1038">
        <f>SUMIFS('01工程产值对比表'!$M:$M,'01工程产值对比表'!$D:$D,A167,'01工程产值对比表'!$C:$C,A$2)</f>
        <v>0</v>
      </c>
      <c r="F167" s="1039"/>
      <c r="H167" s="1038"/>
      <c r="I167" s="1049" t="s">
        <v>833</v>
      </c>
      <c r="J167" s="1046" t="s">
        <v>72</v>
      </c>
      <c r="K167" s="1050">
        <v>30</v>
      </c>
      <c r="L167" s="1047">
        <f>SUMIFS('01工程产值对比表'!$M:$M,'01工程产值对比表'!$D:$D,I167,'01工程产值对比表'!$C:$C,I$2)</f>
        <v>0</v>
      </c>
      <c r="M167" s="1038"/>
      <c r="N167" s="1038"/>
      <c r="O167" s="1038"/>
      <c r="Q167" t="s">
        <v>834</v>
      </c>
      <c r="R167" s="697" t="s">
        <v>72</v>
      </c>
      <c r="T167" s="1038">
        <f>SUMIFS('01工程产值对比表'!$M:$M,'01工程产值对比表'!$D:$D,Q167,'01工程产值对比表'!$C:$C,Q$2)</f>
        <v>0</v>
      </c>
      <c r="U167" s="1038"/>
      <c r="V167" s="1038"/>
      <c r="W167" s="1038"/>
    </row>
    <row r="168" spans="1:23">
      <c r="A168" t="s">
        <v>835</v>
      </c>
      <c r="B168" s="697" t="s">
        <v>689</v>
      </c>
      <c r="C168">
        <v>500</v>
      </c>
      <c r="D168" s="1038">
        <f>SUMIFS('01工程产值对比表'!$M:$M,'01工程产值对比表'!$D:$D,A168,'01工程产值对比表'!$C:$C,A$2)</f>
        <v>0</v>
      </c>
      <c r="F168" s="1039"/>
      <c r="H168" s="1038"/>
      <c r="I168" s="1049" t="s">
        <v>836</v>
      </c>
      <c r="J168" s="1046" t="s">
        <v>72</v>
      </c>
      <c r="K168" s="1050"/>
      <c r="L168" s="1047">
        <f>SUMIFS('01工程产值对比表'!$M:$M,'01工程产值对比表'!$D:$D,I168,'01工程产值对比表'!$C:$C,I$2)</f>
        <v>0</v>
      </c>
      <c r="M168" s="1038"/>
      <c r="N168" s="1038"/>
      <c r="O168" s="1038"/>
      <c r="Q168" t="s">
        <v>837</v>
      </c>
      <c r="R168" s="697" t="s">
        <v>76</v>
      </c>
      <c r="T168" s="1038">
        <f>SUMIFS('01工程产值对比表'!$M:$M,'01工程产值对比表'!$D:$D,Q168,'01工程产值对比表'!$C:$C,Q$2)</f>
        <v>0</v>
      </c>
      <c r="U168" s="1038"/>
      <c r="V168" s="1038"/>
      <c r="W168" s="1038"/>
    </row>
    <row r="169" spans="1:23">
      <c r="A169" t="s">
        <v>838</v>
      </c>
      <c r="B169" s="697" t="s">
        <v>69</v>
      </c>
      <c r="C169">
        <v>30</v>
      </c>
      <c r="D169" s="1038">
        <f>SUMIFS('01工程产值对比表'!$M:$M,'01工程产值对比表'!$D:$D,A169,'01工程产值对比表'!$C:$C,A$2)</f>
        <v>0</v>
      </c>
      <c r="F169" s="1039"/>
      <c r="H169" s="1038"/>
      <c r="I169" s="1049" t="s">
        <v>839</v>
      </c>
      <c r="J169" s="1046" t="s">
        <v>69</v>
      </c>
      <c r="K169" s="1050">
        <v>2.98</v>
      </c>
      <c r="L169" s="1047">
        <f>SUMIFS('01工程产值对比表'!$M:$M,'01工程产值对比表'!$D:$D,I169,'01工程产值对比表'!$C:$C,I$2)</f>
        <v>0</v>
      </c>
      <c r="M169" s="1038"/>
      <c r="N169" s="1038"/>
      <c r="O169" s="1038"/>
      <c r="Q169" t="s">
        <v>840</v>
      </c>
      <c r="R169" s="697" t="s">
        <v>76</v>
      </c>
      <c r="S169">
        <v>0.5</v>
      </c>
      <c r="T169" s="1038">
        <f>SUMIFS('01工程产值对比表'!$M:$M,'01工程产值对比表'!$D:$D,Q169,'01工程产值对比表'!$C:$C,Q$2)</f>
        <v>0</v>
      </c>
      <c r="U169" s="1038"/>
      <c r="V169" s="1038"/>
      <c r="W169" s="1038"/>
    </row>
    <row r="170" spans="1:23">
      <c r="A170" t="s">
        <v>841</v>
      </c>
      <c r="B170" s="697" t="s">
        <v>72</v>
      </c>
      <c r="C170">
        <v>1800</v>
      </c>
      <c r="D170" s="1038">
        <f>SUMIFS('01工程产值对比表'!$M:$M,'01工程产值对比表'!$D:$D,A170,'01工程产值对比表'!$C:$C,A$2)</f>
        <v>0</v>
      </c>
      <c r="F170" s="1039"/>
      <c r="H170" s="1038"/>
      <c r="I170" s="1049" t="s">
        <v>842</v>
      </c>
      <c r="J170" s="1046" t="s">
        <v>69</v>
      </c>
      <c r="K170" s="1050">
        <v>4.56</v>
      </c>
      <c r="L170" s="1047">
        <f>SUMIFS('01工程产值对比表'!$M:$M,'01工程产值对比表'!$D:$D,I170,'01工程产值对比表'!$C:$C,I$2)</f>
        <v>0</v>
      </c>
      <c r="M170" s="1038"/>
      <c r="N170" s="1038"/>
      <c r="O170" s="1038"/>
      <c r="Q170" t="s">
        <v>843</v>
      </c>
      <c r="R170" s="697" t="s">
        <v>72</v>
      </c>
      <c r="T170" s="1038">
        <f>SUMIFS('01工程产值对比表'!$M:$M,'01工程产值对比表'!$D:$D,Q170,'01工程产值对比表'!$C:$C,Q$2)</f>
        <v>0</v>
      </c>
      <c r="U170" s="1038"/>
      <c r="V170" s="1038"/>
      <c r="W170" s="1038"/>
    </row>
    <row r="171" spans="1:23">
      <c r="A171" t="s">
        <v>844</v>
      </c>
      <c r="B171" s="697" t="s">
        <v>76</v>
      </c>
      <c r="C171">
        <v>500</v>
      </c>
      <c r="D171" s="1038">
        <f>SUMIFS('01工程产值对比表'!$M:$M,'01工程产值对比表'!$D:$D,A171,'01工程产值对比表'!$C:$C,A$2)</f>
        <v>0</v>
      </c>
      <c r="F171" s="1039"/>
      <c r="H171" s="1038"/>
      <c r="I171" s="1049" t="s">
        <v>845</v>
      </c>
      <c r="J171" s="1046" t="s">
        <v>72</v>
      </c>
      <c r="K171" s="1050">
        <v>6.31</v>
      </c>
      <c r="L171" s="1047">
        <f>SUMIFS('01工程产值对比表'!$M:$M,'01工程产值对比表'!$D:$D,I171,'01工程产值对比表'!$C:$C,I$2)</f>
        <v>0</v>
      </c>
      <c r="M171" s="1038"/>
      <c r="N171" s="1038"/>
      <c r="O171" s="1038"/>
      <c r="Q171" t="s">
        <v>846</v>
      </c>
      <c r="R171" s="697" t="s">
        <v>69</v>
      </c>
      <c r="T171" s="1038">
        <f>SUMIFS('01工程产值对比表'!$M:$M,'01工程产值对比表'!$D:$D,Q171,'01工程产值对比表'!$C:$C,Q$2)</f>
        <v>0</v>
      </c>
      <c r="U171" s="1038"/>
      <c r="V171" s="1038"/>
      <c r="W171" s="1038"/>
    </row>
    <row r="172" spans="1:23">
      <c r="A172" t="s">
        <v>847</v>
      </c>
      <c r="B172" s="697" t="s">
        <v>82</v>
      </c>
      <c r="C172">
        <v>4000</v>
      </c>
      <c r="D172" s="1038">
        <f>SUMIFS('01工程产值对比表'!$M:$M,'01工程产值对比表'!$D:$D,A172,'01工程产值对比表'!$C:$C,A$2)</f>
        <v>0</v>
      </c>
      <c r="F172" s="1039"/>
      <c r="H172" s="1038"/>
      <c r="I172" s="1049" t="s">
        <v>848</v>
      </c>
      <c r="J172" s="1046" t="s">
        <v>72</v>
      </c>
      <c r="K172" s="1050"/>
      <c r="L172" s="1047">
        <f>SUMIFS('01工程产值对比表'!$M:$M,'01工程产值对比表'!$D:$D,I172,'01工程产值对比表'!$C:$C,I$2)</f>
        <v>0</v>
      </c>
      <c r="M172" s="1038"/>
      <c r="N172" s="1038"/>
      <c r="O172" s="1038"/>
      <c r="Q172" t="s">
        <v>849</v>
      </c>
      <c r="R172" s="697" t="s">
        <v>69</v>
      </c>
      <c r="S172">
        <v>10</v>
      </c>
      <c r="T172" s="1038">
        <f>SUMIFS('01工程产值对比表'!$M:$M,'01工程产值对比表'!$D:$D,Q172,'01工程产值对比表'!$C:$C,Q$2)</f>
        <v>0</v>
      </c>
      <c r="U172" s="1038"/>
      <c r="V172" s="1038"/>
      <c r="W172" s="1038"/>
    </row>
    <row r="173" spans="1:23">
      <c r="A173" t="s">
        <v>850</v>
      </c>
      <c r="B173" s="697" t="s">
        <v>76</v>
      </c>
      <c r="C173">
        <v>200</v>
      </c>
      <c r="D173" s="1038">
        <f>SUMIFS('01工程产值对比表'!$M:$M,'01工程产值对比表'!$D:$D,A173,'01工程产值对比表'!$C:$C,A$2)</f>
        <v>0</v>
      </c>
      <c r="F173" s="1039"/>
      <c r="H173" s="1038"/>
      <c r="I173" s="1049" t="s">
        <v>851</v>
      </c>
      <c r="J173" s="1046" t="s">
        <v>72</v>
      </c>
      <c r="K173" s="1050">
        <v>146.42</v>
      </c>
      <c r="L173" s="1047">
        <f>SUMIFS('01工程产值对比表'!$M:$M,'01工程产值对比表'!$D:$D,I173,'01工程产值对比表'!$C:$C,I$2)</f>
        <v>0</v>
      </c>
      <c r="M173" s="1038"/>
      <c r="N173" s="1038"/>
      <c r="O173" s="1038"/>
      <c r="Q173" t="s">
        <v>852</v>
      </c>
      <c r="R173" s="697" t="s">
        <v>69</v>
      </c>
      <c r="T173" s="1038">
        <f>SUMIFS('01工程产值对比表'!$M:$M,'01工程产值对比表'!$D:$D,Q173,'01工程产值对比表'!$C:$C,Q$2)</f>
        <v>0</v>
      </c>
      <c r="U173" s="1038"/>
      <c r="V173" s="1038"/>
      <c r="W173" s="1038"/>
    </row>
    <row r="174" spans="1:23">
      <c r="A174" t="s">
        <v>853</v>
      </c>
      <c r="B174" s="697" t="s">
        <v>76</v>
      </c>
      <c r="C174">
        <v>44.71</v>
      </c>
      <c r="D174" s="1038">
        <f>SUMIFS('01工程产值对比表'!$M:$M,'01工程产值对比表'!$D:$D,A174,'01工程产值对比表'!$C:$C,A$2)</f>
        <v>0</v>
      </c>
      <c r="F174" s="1039"/>
      <c r="H174" s="1038"/>
      <c r="I174" s="1049" t="s">
        <v>854</v>
      </c>
      <c r="J174" s="1046" t="s">
        <v>72</v>
      </c>
      <c r="K174" s="1050">
        <v>295</v>
      </c>
      <c r="L174" s="1047">
        <f>SUMIFS('01工程产值对比表'!$M:$M,'01工程产值对比表'!$D:$D,I174,'01工程产值对比表'!$C:$C,I$2)</f>
        <v>0</v>
      </c>
      <c r="M174" s="1038"/>
      <c r="N174" s="1038"/>
      <c r="O174" s="1038"/>
      <c r="Q174" t="s">
        <v>855</v>
      </c>
      <c r="R174" s="697" t="s">
        <v>69</v>
      </c>
      <c r="T174" s="1038">
        <f>SUMIFS('01工程产值对比表'!$M:$M,'01工程产值对比表'!$D:$D,Q174,'01工程产值对比表'!$C:$C,Q$2)</f>
        <v>0</v>
      </c>
      <c r="U174" s="1038"/>
      <c r="V174" s="1038"/>
      <c r="W174" s="1038"/>
    </row>
    <row r="175" spans="1:23">
      <c r="A175" t="s">
        <v>856</v>
      </c>
      <c r="B175" s="697" t="s">
        <v>185</v>
      </c>
      <c r="C175">
        <v>22</v>
      </c>
      <c r="D175" s="1038">
        <f>SUMIFS('01工程产值对比表'!$M:$M,'01工程产值对比表'!$D:$D,A175,'01工程产值对比表'!$C:$C,A$2)</f>
        <v>0</v>
      </c>
      <c r="F175" s="1039"/>
      <c r="H175" s="1038"/>
      <c r="I175" s="1049" t="s">
        <v>857</v>
      </c>
      <c r="J175" s="1046" t="s">
        <v>72</v>
      </c>
      <c r="K175" s="1050">
        <v>109</v>
      </c>
      <c r="L175" s="1047">
        <f>SUMIFS('01工程产值对比表'!$M:$M,'01工程产值对比表'!$D:$D,I175,'01工程产值对比表'!$C:$C,I$2)</f>
        <v>0</v>
      </c>
      <c r="M175" s="1038"/>
      <c r="N175" s="1038"/>
      <c r="O175" s="1038"/>
      <c r="Q175" t="s">
        <v>858</v>
      </c>
      <c r="R175" s="697" t="s">
        <v>69</v>
      </c>
      <c r="T175" s="1038">
        <f>SUMIFS('01工程产值对比表'!$M:$M,'01工程产值对比表'!$D:$D,Q175,'01工程产值对比表'!$C:$C,Q$2)</f>
        <v>0</v>
      </c>
      <c r="U175" s="1038"/>
      <c r="V175" s="1038"/>
      <c r="W175" s="1038"/>
    </row>
    <row r="176" spans="1:23">
      <c r="A176" t="s">
        <v>859</v>
      </c>
      <c r="B176" s="697" t="s">
        <v>185</v>
      </c>
      <c r="C176">
        <v>9.38</v>
      </c>
      <c r="D176" s="1038">
        <f>SUMIFS('01工程产值对比表'!$M:$M,'01工程产值对比表'!$D:$D,A176,'01工程产值对比表'!$C:$C,A$2)</f>
        <v>0</v>
      </c>
      <c r="F176" s="1039"/>
      <c r="H176" s="1038"/>
      <c r="I176" s="1049" t="s">
        <v>860</v>
      </c>
      <c r="J176" s="1046" t="s">
        <v>76</v>
      </c>
      <c r="K176" s="1050">
        <v>400</v>
      </c>
      <c r="L176" s="1047">
        <f>SUMIFS('01工程产值对比表'!$M:$M,'01工程产值对比表'!$D:$D,I176,'01工程产值对比表'!$C:$C,I$2)</f>
        <v>0</v>
      </c>
      <c r="M176" s="1038"/>
      <c r="N176" s="1038"/>
      <c r="O176" s="1038"/>
      <c r="Q176" t="s">
        <v>861</v>
      </c>
      <c r="R176" s="697" t="s">
        <v>69</v>
      </c>
      <c r="T176" s="1038">
        <f>SUMIFS('01工程产值对比表'!$M:$M,'01工程产值对比表'!$D:$D,Q176,'01工程产值对比表'!$C:$C,Q$2)</f>
        <v>0</v>
      </c>
      <c r="U176" s="1038"/>
      <c r="V176" s="1038"/>
      <c r="W176" s="1038"/>
    </row>
    <row r="177" spans="1:23">
      <c r="A177" t="s">
        <v>862</v>
      </c>
      <c r="B177" s="697" t="s">
        <v>169</v>
      </c>
      <c r="C177">
        <v>120</v>
      </c>
      <c r="D177" s="1038">
        <f>SUMIFS('01工程产值对比表'!$M:$M,'01工程产值对比表'!$D:$D,A177,'01工程产值对比表'!$C:$C,A$2)</f>
        <v>0</v>
      </c>
      <c r="F177" s="1039"/>
      <c r="H177" s="1038"/>
      <c r="I177" s="1049" t="s">
        <v>863</v>
      </c>
      <c r="J177" s="1046" t="s">
        <v>76</v>
      </c>
      <c r="K177" s="1050">
        <v>400</v>
      </c>
      <c r="L177" s="1047">
        <f>SUMIFS('01工程产值对比表'!$M:$M,'01工程产值对比表'!$D:$D,I177,'01工程产值对比表'!$C:$C,I$2)</f>
        <v>0</v>
      </c>
      <c r="M177" s="1038"/>
      <c r="N177" s="1038"/>
      <c r="O177" s="1038"/>
      <c r="Q177" t="s">
        <v>864</v>
      </c>
      <c r="R177" s="697" t="s">
        <v>69</v>
      </c>
      <c r="T177" s="1038">
        <f>SUMIFS('01工程产值对比表'!$M:$M,'01工程产值对比表'!$D:$D,Q177,'01工程产值对比表'!$C:$C,Q$2)</f>
        <v>0</v>
      </c>
      <c r="U177" s="1038"/>
      <c r="V177" s="1038"/>
      <c r="W177" s="1038"/>
    </row>
    <row r="178" spans="1:23">
      <c r="A178" t="s">
        <v>865</v>
      </c>
      <c r="B178" s="697" t="s">
        <v>72</v>
      </c>
      <c r="C178">
        <v>330</v>
      </c>
      <c r="D178" s="1038">
        <f>SUMIFS('01工程产值对比表'!$M:$M,'01工程产值对比表'!$D:$D,A178,'01工程产值对比表'!$C:$C,A$2)</f>
        <v>0</v>
      </c>
      <c r="F178" s="1039"/>
      <c r="H178" s="1038"/>
      <c r="I178" s="1049" t="s">
        <v>866</v>
      </c>
      <c r="J178" s="1046" t="s">
        <v>76</v>
      </c>
      <c r="K178" s="1050">
        <v>200</v>
      </c>
      <c r="L178" s="1047">
        <f>SUMIFS('01工程产值对比表'!$M:$M,'01工程产值对比表'!$D:$D,I178,'01工程产值对比表'!$C:$C,I$2)</f>
        <v>0</v>
      </c>
      <c r="M178" s="1038"/>
      <c r="N178" s="1038"/>
      <c r="O178" s="1038"/>
      <c r="Q178" t="s">
        <v>867</v>
      </c>
      <c r="R178" s="697" t="s">
        <v>69</v>
      </c>
      <c r="T178" s="1038">
        <f>SUMIFS('01工程产值对比表'!$M:$M,'01工程产值对比表'!$D:$D,Q178,'01工程产值对比表'!$C:$C,Q$2)</f>
        <v>0</v>
      </c>
      <c r="U178" s="1038"/>
      <c r="V178" s="1038"/>
      <c r="W178" s="1038"/>
    </row>
    <row r="179" spans="1:23">
      <c r="A179" t="s">
        <v>868</v>
      </c>
      <c r="B179" s="697" t="s">
        <v>76</v>
      </c>
      <c r="C179">
        <v>24.65</v>
      </c>
      <c r="D179" s="1038">
        <f>SUMIFS('01工程产值对比表'!$M:$M,'01工程产值对比表'!$D:$D,A179,'01工程产值对比表'!$C:$C,A$2)</f>
        <v>260.9</v>
      </c>
      <c r="F179" s="1039"/>
      <c r="H179" s="1038"/>
      <c r="I179" s="1049" t="s">
        <v>869</v>
      </c>
      <c r="J179" s="1046" t="s">
        <v>76</v>
      </c>
      <c r="K179" s="1050"/>
      <c r="L179" s="1047">
        <f>SUMIFS('01工程产值对比表'!$M:$M,'01工程产值对比表'!$D:$D,I179,'01工程产值对比表'!$C:$C,I$2)</f>
        <v>0</v>
      </c>
      <c r="M179" s="1038"/>
      <c r="N179" s="1038"/>
      <c r="O179" s="1038"/>
      <c r="Q179" t="s">
        <v>870</v>
      </c>
      <c r="R179" s="697" t="s">
        <v>72</v>
      </c>
      <c r="T179" s="1038">
        <f>SUMIFS('01工程产值对比表'!$M:$M,'01工程产值对比表'!$D:$D,Q179,'01工程产值对比表'!$C:$C,Q$2)</f>
        <v>0</v>
      </c>
      <c r="U179" s="1038"/>
      <c r="V179" s="1038"/>
      <c r="W179" s="1038"/>
    </row>
    <row r="180" spans="1:23">
      <c r="A180" t="s">
        <v>871</v>
      </c>
      <c r="B180" s="697" t="s">
        <v>72</v>
      </c>
      <c r="C180">
        <v>130</v>
      </c>
      <c r="D180" s="1038">
        <f>SUMIFS('01工程产值对比表'!$M:$M,'01工程产值对比表'!$D:$D,A180,'01工程产值对比表'!$C:$C,A$2)</f>
        <v>1087.49</v>
      </c>
      <c r="F180" s="1039"/>
      <c r="H180" s="1038"/>
      <c r="I180" s="1049" t="s">
        <v>872</v>
      </c>
      <c r="J180" s="1046" t="s">
        <v>76</v>
      </c>
      <c r="K180" s="1050"/>
      <c r="L180" s="1047">
        <f>SUMIFS('01工程产值对比表'!$M:$M,'01工程产值对比表'!$D:$D,I180,'01工程产值对比表'!$C:$C,I$2)</f>
        <v>0</v>
      </c>
      <c r="M180" s="1038"/>
      <c r="N180" s="1038"/>
      <c r="O180" s="1038"/>
      <c r="Q180" t="s">
        <v>873</v>
      </c>
      <c r="R180" s="697" t="s">
        <v>72</v>
      </c>
      <c r="T180" s="1038">
        <f>SUMIFS('01工程产值对比表'!$M:$M,'01工程产值对比表'!$D:$D,Q180,'01工程产值对比表'!$C:$C,Q$2)</f>
        <v>0</v>
      </c>
      <c r="U180" s="1038"/>
      <c r="V180" s="1038"/>
      <c r="W180" s="1038"/>
    </row>
    <row r="181" spans="1:23">
      <c r="A181" s="27" t="s">
        <v>874</v>
      </c>
      <c r="B181" s="697" t="s">
        <v>72</v>
      </c>
      <c r="C181">
        <v>300</v>
      </c>
      <c r="D181" s="1038">
        <f>SUMIFS('01工程产值对比表'!$M:$M,'01工程产值对比表'!$D:$D,A181,'01工程产值对比表'!$C:$C,A$2)</f>
        <v>196</v>
      </c>
      <c r="F181" s="1039"/>
      <c r="H181" s="1038"/>
      <c r="I181" s="1049" t="s">
        <v>875</v>
      </c>
      <c r="J181" s="1046" t="s">
        <v>76</v>
      </c>
      <c r="K181" s="1050">
        <v>12.5</v>
      </c>
      <c r="L181" s="1047">
        <f>SUMIFS('01工程产值对比表'!$M:$M,'01工程产值对比表'!$D:$D,I181,'01工程产值对比表'!$C:$C,I$2)</f>
        <v>0</v>
      </c>
      <c r="M181" s="1038"/>
      <c r="N181" s="1038"/>
      <c r="O181" s="1038"/>
      <c r="Q181" t="s">
        <v>876</v>
      </c>
      <c r="R181" s="697" t="s">
        <v>76</v>
      </c>
      <c r="T181" s="1038">
        <f>SUMIFS('01工程产值对比表'!$M:$M,'01工程产值对比表'!$D:$D,Q181,'01工程产值对比表'!$C:$C,Q$2)</f>
        <v>0</v>
      </c>
      <c r="U181" s="1038"/>
      <c r="V181" s="1038"/>
      <c r="W181" s="1038"/>
    </row>
    <row r="182" spans="1:23">
      <c r="A182" s="508" t="s">
        <v>877</v>
      </c>
      <c r="B182" s="697" t="s">
        <v>72</v>
      </c>
      <c r="C182">
        <v>330</v>
      </c>
      <c r="D182" s="1038">
        <f>SUMIFS('01工程产值对比表'!$M:$M,'01工程产值对比表'!$D:$D,A182,'01工程产值对比表'!$C:$C,A$2)</f>
        <v>1134</v>
      </c>
      <c r="F182" s="1039"/>
      <c r="H182" s="1038"/>
      <c r="I182" s="1049" t="s">
        <v>878</v>
      </c>
      <c r="J182" s="1046" t="s">
        <v>76</v>
      </c>
      <c r="K182" s="1050">
        <v>9.14</v>
      </c>
      <c r="L182" s="1047">
        <f>SUMIFS('01工程产值对比表'!$M:$M,'01工程产值对比表'!$D:$D,I182,'01工程产值对比表'!$C:$C,I$2)</f>
        <v>0</v>
      </c>
      <c r="M182" s="1038"/>
      <c r="N182" s="1038"/>
      <c r="O182" s="1038"/>
      <c r="Q182" t="s">
        <v>879</v>
      </c>
      <c r="R182" s="697" t="s">
        <v>76</v>
      </c>
      <c r="T182" s="1038">
        <f>SUMIFS('01工程产值对比表'!$M:$M,'01工程产值对比表'!$D:$D,Q182,'01工程产值对比表'!$C:$C,Q$2)</f>
        <v>0</v>
      </c>
      <c r="U182" s="1038"/>
      <c r="V182" s="1038"/>
      <c r="W182" s="1038"/>
    </row>
    <row r="183" spans="1:23">
      <c r="A183" t="s">
        <v>880</v>
      </c>
      <c r="B183" s="697" t="s">
        <v>69</v>
      </c>
      <c r="C183">
        <v>16</v>
      </c>
      <c r="D183" s="1038">
        <f>SUMIFS('01工程产值对比表'!$M:$M,'01工程产值对比表'!$D:$D,A183,'01工程产值对比表'!$C:$C,A$2)</f>
        <v>255.6</v>
      </c>
      <c r="F183" s="1039"/>
      <c r="H183" s="1038"/>
      <c r="I183" s="1049" t="s">
        <v>881</v>
      </c>
      <c r="J183" s="1046" t="s">
        <v>76</v>
      </c>
      <c r="K183" s="1050">
        <v>1</v>
      </c>
      <c r="L183" s="1047">
        <f>SUMIFS('01工程产值对比表'!$M:$M,'01工程产值对比表'!$D:$D,I183,'01工程产值对比表'!$C:$C,I$2)</f>
        <v>0</v>
      </c>
      <c r="M183" s="1038"/>
      <c r="N183" s="1038"/>
      <c r="O183" s="1038"/>
      <c r="Q183" t="s">
        <v>882</v>
      </c>
      <c r="R183" s="697" t="s">
        <v>76</v>
      </c>
      <c r="T183" s="1038">
        <f>SUMIFS('01工程产值对比表'!$M:$M,'01工程产值对比表'!$D:$D,Q183,'01工程产值对比表'!$C:$C,Q$2)</f>
        <v>0</v>
      </c>
      <c r="U183" s="1038"/>
      <c r="V183" s="1038"/>
      <c r="W183" s="1038"/>
    </row>
    <row r="184" spans="1:23">
      <c r="A184" t="s">
        <v>883</v>
      </c>
      <c r="B184" s="697" t="s">
        <v>69</v>
      </c>
      <c r="C184">
        <v>15</v>
      </c>
      <c r="D184" s="1038">
        <f>SUMIFS('01工程产值对比表'!$M:$M,'01工程产值对比表'!$D:$D,A184,'01工程产值对比表'!$C:$C,A$2)</f>
        <v>611</v>
      </c>
      <c r="F184" s="1039"/>
      <c r="H184" s="1038"/>
      <c r="I184" s="1049" t="s">
        <v>884</v>
      </c>
      <c r="J184" s="1046" t="s">
        <v>76</v>
      </c>
      <c r="K184" s="1050">
        <v>4.79</v>
      </c>
      <c r="L184" s="1047">
        <f>SUMIFS('01工程产值对比表'!$M:$M,'01工程产值对比表'!$D:$D,I184,'01工程产值对比表'!$C:$C,I$2)</f>
        <v>0</v>
      </c>
      <c r="M184" s="1038"/>
      <c r="N184" s="1038"/>
      <c r="O184" s="1038"/>
      <c r="Q184" t="s">
        <v>885</v>
      </c>
      <c r="R184" s="697" t="s">
        <v>72</v>
      </c>
      <c r="T184" s="1038">
        <f>SUMIFS('01工程产值对比表'!$M:$M,'01工程产值对比表'!$D:$D,Q184,'01工程产值对比表'!$C:$C,Q$2)</f>
        <v>0</v>
      </c>
      <c r="U184" s="1038"/>
      <c r="V184" s="1038"/>
      <c r="W184" s="1038"/>
    </row>
    <row r="185" spans="1:23">
      <c r="A185" t="s">
        <v>886</v>
      </c>
      <c r="B185" s="697" t="s">
        <v>69</v>
      </c>
      <c r="C185">
        <v>180</v>
      </c>
      <c r="D185" s="1038">
        <f>SUMIFS('01工程产值对比表'!$M:$M,'01工程产值对比表'!$D:$D,A185,'01工程产值对比表'!$C:$C,A$2)</f>
        <v>0</v>
      </c>
      <c r="F185" s="1039"/>
      <c r="H185" s="1038"/>
      <c r="I185" s="1049" t="s">
        <v>887</v>
      </c>
      <c r="J185" s="1046" t="s">
        <v>76</v>
      </c>
      <c r="K185" s="1050">
        <v>1</v>
      </c>
      <c r="L185" s="1047">
        <f>SUMIFS('01工程产值对比表'!$M:$M,'01工程产值对比表'!$D:$D,I185,'01工程产值对比表'!$C:$C,I$2)</f>
        <v>0</v>
      </c>
      <c r="M185" s="1038"/>
      <c r="N185" s="1038"/>
      <c r="O185" s="1038"/>
      <c r="Q185" t="s">
        <v>888</v>
      </c>
      <c r="R185" s="697" t="s">
        <v>72</v>
      </c>
      <c r="T185" s="1038">
        <f>SUMIFS('01工程产值对比表'!$M:$M,'01工程产值对比表'!$D:$D,Q185,'01工程产值对比表'!$C:$C,Q$2)</f>
        <v>0</v>
      </c>
      <c r="U185" s="1038"/>
      <c r="V185" s="1038"/>
      <c r="W185" s="1038"/>
    </row>
    <row r="186" spans="1:23">
      <c r="A186" t="s">
        <v>889</v>
      </c>
      <c r="B186" s="697" t="s">
        <v>72</v>
      </c>
      <c r="C186">
        <v>30</v>
      </c>
      <c r="D186" s="1038">
        <f>SUMIFS('01工程产值对比表'!$M:$M,'01工程产值对比表'!$D:$D,A186,'01工程产值对比表'!$C:$C,A$2)</f>
        <v>0</v>
      </c>
      <c r="F186" s="1039"/>
      <c r="H186" s="1038"/>
      <c r="I186" s="1049" t="s">
        <v>890</v>
      </c>
      <c r="J186" s="1046" t="s">
        <v>76</v>
      </c>
      <c r="K186" s="1050">
        <v>4.8</v>
      </c>
      <c r="L186" s="1047">
        <f>SUMIFS('01工程产值对比表'!$M:$M,'01工程产值对比表'!$D:$D,I186,'01工程产值对比表'!$C:$C,I$2)</f>
        <v>0</v>
      </c>
      <c r="M186" s="1038"/>
      <c r="N186" s="1038"/>
      <c r="O186" s="1038"/>
      <c r="Q186" t="s">
        <v>891</v>
      </c>
      <c r="R186" s="697" t="s">
        <v>76</v>
      </c>
      <c r="T186" s="1038">
        <f>SUMIFS('01工程产值对比表'!$M:$M,'01工程产值对比表'!$D:$D,Q186,'01工程产值对比表'!$C:$C,Q$2)</f>
        <v>0</v>
      </c>
      <c r="U186" s="1038"/>
      <c r="V186" s="1038"/>
      <c r="W186" s="1038"/>
    </row>
    <row r="187" spans="1:23">
      <c r="A187" t="s">
        <v>892</v>
      </c>
      <c r="B187" s="697" t="s">
        <v>185</v>
      </c>
      <c r="D187" s="1038">
        <f>SUMIFS('01工程产值对比表'!$M:$M,'01工程产值对比表'!$D:$D,A187,'01工程产值对比表'!$C:$C,A$2)</f>
        <v>0</v>
      </c>
      <c r="F187" s="1039"/>
      <c r="H187" s="1038"/>
      <c r="I187" s="1049" t="s">
        <v>893</v>
      </c>
      <c r="J187" s="1046" t="s">
        <v>76</v>
      </c>
      <c r="K187" s="1050">
        <v>4.65</v>
      </c>
      <c r="L187" s="1047">
        <f>SUMIFS('01工程产值对比表'!$M:$M,'01工程产值对比表'!$D:$D,I187,'01工程产值对比表'!$C:$C,I$2)</f>
        <v>0</v>
      </c>
      <c r="M187" s="1038"/>
      <c r="N187" s="1038"/>
      <c r="O187" s="1038"/>
      <c r="Q187" t="s">
        <v>894</v>
      </c>
      <c r="R187" s="697" t="s">
        <v>76</v>
      </c>
      <c r="T187" s="1038">
        <f>SUMIFS('01工程产值对比表'!$M:$M,'01工程产值对比表'!$D:$D,Q187,'01工程产值对比表'!$C:$C,Q$2)</f>
        <v>0</v>
      </c>
      <c r="U187" s="1038"/>
      <c r="V187" s="1038"/>
      <c r="W187" s="1038"/>
    </row>
    <row r="188" spans="1:23">
      <c r="A188" t="s">
        <v>895</v>
      </c>
      <c r="B188" s="697" t="s">
        <v>185</v>
      </c>
      <c r="D188" s="1038">
        <f>SUMIFS('01工程产值对比表'!$M:$M,'01工程产值对比表'!$D:$D,A188,'01工程产值对比表'!$C:$C,A$2)</f>
        <v>0</v>
      </c>
      <c r="F188" s="1039"/>
      <c r="H188" s="1038"/>
      <c r="I188" s="1049" t="s">
        <v>896</v>
      </c>
      <c r="J188" s="1046" t="s">
        <v>76</v>
      </c>
      <c r="K188" s="1050"/>
      <c r="L188" s="1047">
        <f>SUMIFS('01工程产值对比表'!$M:$M,'01工程产值对比表'!$D:$D,I188,'01工程产值对比表'!$C:$C,I$2)</f>
        <v>0</v>
      </c>
      <c r="M188" s="1038"/>
      <c r="N188" s="1038"/>
      <c r="O188" s="1038"/>
      <c r="Q188" t="s">
        <v>897</v>
      </c>
      <c r="R188" s="697" t="s">
        <v>76</v>
      </c>
      <c r="T188" s="1038">
        <f>SUMIFS('01工程产值对比表'!$M:$M,'01工程产值对比表'!$D:$D,Q188,'01工程产值对比表'!$C:$C,Q$2)</f>
        <v>0</v>
      </c>
      <c r="U188" s="1038"/>
      <c r="V188" s="1038"/>
      <c r="W188" s="1038"/>
    </row>
    <row r="189" spans="1:23">
      <c r="A189" t="s">
        <v>898</v>
      </c>
      <c r="B189" s="697" t="s">
        <v>72</v>
      </c>
      <c r="D189" s="1038">
        <f>SUMIFS('01工程产值对比表'!$M:$M,'01工程产值对比表'!$D:$D,A189,'01工程产值对比表'!$C:$C,A$2)</f>
        <v>0</v>
      </c>
      <c r="F189" s="1039"/>
      <c r="H189" s="1038"/>
      <c r="I189" s="1049" t="s">
        <v>899</v>
      </c>
      <c r="J189" s="1046" t="s">
        <v>76</v>
      </c>
      <c r="K189" s="1050">
        <v>39266.67</v>
      </c>
      <c r="L189" s="1047">
        <f>SUMIFS('01工程产值对比表'!$M:$M,'01工程产值对比表'!$D:$D,I189,'01工程产值对比表'!$C:$C,I$2)</f>
        <v>0</v>
      </c>
      <c r="M189" s="1038"/>
      <c r="N189" s="1038"/>
      <c r="O189" s="1038"/>
      <c r="Q189" t="s">
        <v>900</v>
      </c>
      <c r="R189" s="697" t="s">
        <v>190</v>
      </c>
      <c r="T189" s="1038">
        <f>SUMIFS('01工程产值对比表'!$M:$M,'01工程产值对比表'!$D:$D,Q189,'01工程产值对比表'!$C:$C,Q$2)</f>
        <v>0</v>
      </c>
      <c r="U189" s="1038"/>
      <c r="V189" s="1038"/>
      <c r="W189" s="1038"/>
    </row>
    <row r="190" spans="1:23">
      <c r="A190" t="s">
        <v>901</v>
      </c>
      <c r="B190" s="697" t="s">
        <v>72</v>
      </c>
      <c r="D190" s="1038">
        <f>SUMIFS('01工程产值对比表'!$M:$M,'01工程产值对比表'!$D:$D,A190,'01工程产值对比表'!$C:$C,A$2)</f>
        <v>0</v>
      </c>
      <c r="F190" s="1039"/>
      <c r="H190" s="1038"/>
      <c r="I190" s="1049" t="s">
        <v>45</v>
      </c>
      <c r="J190" s="1046" t="s">
        <v>72</v>
      </c>
      <c r="K190" s="1050"/>
      <c r="L190" s="1047">
        <f>SUMIFS('01工程产值对比表'!$M:$M,'01工程产值对比表'!$D:$D,I190,'01工程产值对比表'!$C:$C,I$2)</f>
        <v>0</v>
      </c>
      <c r="M190" s="1038"/>
      <c r="N190" s="1038"/>
      <c r="O190" s="1038"/>
      <c r="Q190" t="s">
        <v>902</v>
      </c>
      <c r="R190" s="697" t="s">
        <v>903</v>
      </c>
      <c r="T190" s="1038">
        <f>SUMIFS('01工程产值对比表'!$M:$M,'01工程产值对比表'!$D:$D,Q190,'01工程产值对比表'!$C:$C,Q$2)</f>
        <v>0</v>
      </c>
      <c r="U190" s="1038"/>
      <c r="V190" s="1038"/>
      <c r="W190" s="1038"/>
    </row>
    <row r="191" spans="1:23">
      <c r="A191" t="s">
        <v>904</v>
      </c>
      <c r="B191" s="697" t="s">
        <v>82</v>
      </c>
      <c r="D191" s="1038">
        <f>SUMIFS('01工程产值对比表'!$M:$M,'01工程产值对比表'!$D:$D,A191,'01工程产值对比表'!$C:$C,A$2)</f>
        <v>0</v>
      </c>
      <c r="F191" s="1039"/>
      <c r="H191" s="1038"/>
      <c r="I191" s="1049" t="s">
        <v>905</v>
      </c>
      <c r="J191" s="1046" t="s">
        <v>72</v>
      </c>
      <c r="K191" s="1050">
        <v>5.28</v>
      </c>
      <c r="L191" s="1047">
        <f>SUMIFS('01工程产值对比表'!$M:$M,'01工程产值对比表'!$D:$D,I191,'01工程产值对比表'!$C:$C,I$2)</f>
        <v>0</v>
      </c>
      <c r="M191" s="1038"/>
      <c r="N191" s="1038"/>
      <c r="O191" s="1038"/>
      <c r="Q191" t="s">
        <v>906</v>
      </c>
      <c r="R191" s="697" t="s">
        <v>903</v>
      </c>
      <c r="T191" s="1038">
        <f>SUMIFS('01工程产值对比表'!$M:$M,'01工程产值对比表'!$D:$D,Q191,'01工程产值对比表'!$C:$C,Q$2)</f>
        <v>0</v>
      </c>
      <c r="U191" s="1038"/>
      <c r="V191" s="1038"/>
      <c r="W191" s="1038"/>
    </row>
    <row r="192" spans="1:23">
      <c r="A192" t="s">
        <v>907</v>
      </c>
      <c r="B192" s="697" t="s">
        <v>185</v>
      </c>
      <c r="D192" s="1038">
        <f>SUMIFS('01工程产值对比表'!$M:$M,'01工程产值对比表'!$D:$D,A192,'01工程产值对比表'!$C:$C,A$2)</f>
        <v>0</v>
      </c>
      <c r="F192" s="1039"/>
      <c r="H192" s="1038"/>
      <c r="I192" s="1049" t="s">
        <v>908</v>
      </c>
      <c r="J192" s="1046" t="s">
        <v>72</v>
      </c>
      <c r="K192" s="1050">
        <v>4.52</v>
      </c>
      <c r="L192" s="1047">
        <f>SUMIFS('01工程产值对比表'!$M:$M,'01工程产值对比表'!$D:$D,I192,'01工程产值对比表'!$C:$C,I$2)</f>
        <v>0</v>
      </c>
      <c r="M192" s="1038"/>
      <c r="N192" s="1038"/>
      <c r="O192" s="1038"/>
      <c r="Q192" t="s">
        <v>909</v>
      </c>
      <c r="R192" s="697" t="s">
        <v>903</v>
      </c>
      <c r="T192" s="1038">
        <f>SUMIFS('01工程产值对比表'!$M:$M,'01工程产值对比表'!$D:$D,Q192,'01工程产值对比表'!$C:$C,Q$2)</f>
        <v>0</v>
      </c>
      <c r="U192" s="1038"/>
      <c r="V192" s="1038"/>
      <c r="W192" s="1038"/>
    </row>
    <row r="193" spans="1:23">
      <c r="A193" t="s">
        <v>910</v>
      </c>
      <c r="B193" s="697" t="s">
        <v>185</v>
      </c>
      <c r="D193" s="1038">
        <f>SUMIFS('01工程产值对比表'!$M:$M,'01工程产值对比表'!$D:$D,A193,'01工程产值对比表'!$C:$C,A$2)</f>
        <v>0</v>
      </c>
      <c r="F193" s="1039"/>
      <c r="H193" s="1038"/>
      <c r="I193" s="1049" t="s">
        <v>911</v>
      </c>
      <c r="J193" s="1046" t="s">
        <v>72</v>
      </c>
      <c r="K193" s="1050">
        <v>0.94</v>
      </c>
      <c r="L193" s="1047">
        <f>SUMIFS('01工程产值对比表'!$M:$M,'01工程产值对比表'!$D:$D,I193,'01工程产值对比表'!$C:$C,I$2)</f>
        <v>0</v>
      </c>
      <c r="M193" s="1038"/>
      <c r="N193" s="1038"/>
      <c r="O193" s="1038"/>
      <c r="Q193" t="s">
        <v>912</v>
      </c>
      <c r="R193" s="697" t="s">
        <v>903</v>
      </c>
      <c r="T193" s="1038">
        <f>SUMIFS('01工程产值对比表'!$M:$M,'01工程产值对比表'!$D:$D,Q193,'01工程产值对比表'!$C:$C,Q$2)</f>
        <v>0</v>
      </c>
      <c r="U193" s="1038"/>
      <c r="V193" s="1038"/>
      <c r="W193" s="1038"/>
    </row>
    <row r="194" spans="1:23">
      <c r="A194" t="s">
        <v>913</v>
      </c>
      <c r="B194" s="697" t="s">
        <v>72</v>
      </c>
      <c r="D194" s="1038">
        <f>SUMIFS('01工程产值对比表'!$M:$M,'01工程产值对比表'!$D:$D,A194,'01工程产值对比表'!$C:$C,A$2)</f>
        <v>0</v>
      </c>
      <c r="F194" s="1039"/>
      <c r="H194" s="1038"/>
      <c r="I194" s="1049" t="s">
        <v>914</v>
      </c>
      <c r="J194" s="1046" t="s">
        <v>72</v>
      </c>
      <c r="K194" s="1050"/>
      <c r="L194" s="1047">
        <f>SUMIFS('01工程产值对比表'!$M:$M,'01工程产值对比表'!$D:$D,I194,'01工程产值对比表'!$C:$C,I$2)</f>
        <v>0</v>
      </c>
      <c r="M194" s="1038"/>
      <c r="N194" s="1038"/>
      <c r="O194" s="1038"/>
      <c r="Q194" t="s">
        <v>915</v>
      </c>
      <c r="R194" s="697" t="s">
        <v>689</v>
      </c>
      <c r="T194" s="1038">
        <f>SUMIFS('01工程产值对比表'!$M:$M,'01工程产值对比表'!$D:$D,Q194,'01工程产值对比表'!$C:$C,Q$2)</f>
        <v>0</v>
      </c>
      <c r="U194" s="1038"/>
      <c r="V194" s="1038"/>
      <c r="W194" s="1038"/>
    </row>
    <row r="195" spans="1:23">
      <c r="A195" t="s">
        <v>916</v>
      </c>
      <c r="B195" s="697" t="s">
        <v>69</v>
      </c>
      <c r="C195">
        <v>150</v>
      </c>
      <c r="D195" s="1038">
        <f>SUMIFS('01工程产值对比表'!$M:$M,'01工程产值对比表'!$D:$D,A195,'01工程产值对比表'!$C:$C,A$2)</f>
        <v>0</v>
      </c>
      <c r="F195" s="1039"/>
      <c r="H195" s="1038"/>
      <c r="I195" s="1049" t="s">
        <v>917</v>
      </c>
      <c r="J195" s="1046" t="s">
        <v>72</v>
      </c>
      <c r="K195" s="1050">
        <v>5.82</v>
      </c>
      <c r="L195" s="1047">
        <f>SUMIFS('01工程产值对比表'!$M:$M,'01工程产值对比表'!$D:$D,I195,'01工程产值对比表'!$C:$C,I$2)</f>
        <v>0</v>
      </c>
      <c r="M195" s="1038"/>
      <c r="N195" s="1038"/>
      <c r="O195" s="1038"/>
      <c r="Q195" t="s">
        <v>918</v>
      </c>
      <c r="R195" s="697" t="s">
        <v>689</v>
      </c>
      <c r="T195" s="1038">
        <f>SUMIFS('01工程产值对比表'!$M:$M,'01工程产值对比表'!$D:$D,Q195,'01工程产值对比表'!$C:$C,Q$2)</f>
        <v>0</v>
      </c>
      <c r="U195" s="1038"/>
      <c r="V195" s="1038"/>
      <c r="W195" s="1038"/>
    </row>
    <row r="196" spans="1:23">
      <c r="A196" t="s">
        <v>919</v>
      </c>
      <c r="B196" s="697" t="s">
        <v>641</v>
      </c>
      <c r="D196" s="1038">
        <f>SUMIFS('01工程产值对比表'!$M:$M,'01工程产值对比表'!$D:$D,A196,'01工程产值对比表'!$C:$C,A$2)</f>
        <v>0</v>
      </c>
      <c r="F196" s="1039"/>
      <c r="H196" s="1038"/>
      <c r="I196" s="1049" t="s">
        <v>920</v>
      </c>
      <c r="J196" s="1046" t="s">
        <v>72</v>
      </c>
      <c r="K196" s="1050"/>
      <c r="L196" s="1047">
        <f>SUMIFS('01工程产值对比表'!$M:$M,'01工程产值对比表'!$D:$D,I196,'01工程产值对比表'!$C:$C,I$2)</f>
        <v>0</v>
      </c>
      <c r="M196" s="1038"/>
      <c r="N196" s="1038"/>
      <c r="O196" s="1038"/>
      <c r="Q196" t="s">
        <v>921</v>
      </c>
      <c r="R196" s="697" t="s">
        <v>772</v>
      </c>
      <c r="T196" s="1038">
        <f>SUMIFS('01工程产值对比表'!$M:$M,'01工程产值对比表'!$D:$D,Q196,'01工程产值对比表'!$C:$C,Q$2)</f>
        <v>0</v>
      </c>
      <c r="U196" s="1038"/>
      <c r="V196" s="1038"/>
      <c r="W196" s="1038"/>
    </row>
    <row r="197" ht="31.5" spans="1:23">
      <c r="A197" s="889" t="s">
        <v>922</v>
      </c>
      <c r="B197" s="697" t="s">
        <v>185</v>
      </c>
      <c r="D197" s="1038">
        <f>SUMIFS('01工程产值对比表'!$M:$M,'01工程产值对比表'!$D:$D,A197,'01工程产值对比表'!$C:$C,A$2)</f>
        <v>0</v>
      </c>
      <c r="F197" s="1039"/>
      <c r="H197" s="1038"/>
      <c r="I197" s="1049" t="s">
        <v>923</v>
      </c>
      <c r="J197" s="1046" t="s">
        <v>72</v>
      </c>
      <c r="K197" s="1050"/>
      <c r="L197" s="1047">
        <f>SUMIFS('01工程产值对比表'!$M:$M,'01工程产值对比表'!$D:$D,I197,'01工程产值对比表'!$C:$C,I$2)</f>
        <v>0</v>
      </c>
      <c r="M197" s="1038"/>
      <c r="N197" s="1038"/>
      <c r="O197" s="1038"/>
      <c r="Q197" t="s">
        <v>924</v>
      </c>
      <c r="R197" s="697" t="s">
        <v>195</v>
      </c>
      <c r="T197" s="1038">
        <f>SUMIFS('01工程产值对比表'!$M:$M,'01工程产值对比表'!$D:$D,Q197,'01工程产值对比表'!$C:$C,Q$2)</f>
        <v>0</v>
      </c>
      <c r="U197" s="1038"/>
      <c r="V197" s="1038"/>
      <c r="W197" s="1038"/>
    </row>
    <row r="198" spans="1:23">
      <c r="A198" t="s">
        <v>925</v>
      </c>
      <c r="B198" s="697" t="s">
        <v>185</v>
      </c>
      <c r="D198" s="1038">
        <f>SUMIFS('01工程产值对比表'!$M:$M,'01工程产值对比表'!$D:$D,A198,'01工程产值对比表'!$C:$C,A$2)</f>
        <v>0</v>
      </c>
      <c r="F198" s="1039"/>
      <c r="H198" s="1038"/>
      <c r="I198" s="1049" t="s">
        <v>926</v>
      </c>
      <c r="J198" s="1046" t="s">
        <v>72</v>
      </c>
      <c r="K198" s="1050"/>
      <c r="L198" s="1047">
        <f>SUMIFS('01工程产值对比表'!$M:$M,'01工程产值对比表'!$D:$D,I198,'01工程产值对比表'!$C:$C,I$2)</f>
        <v>0</v>
      </c>
      <c r="M198" s="1038"/>
      <c r="N198" s="1038"/>
      <c r="O198" s="1038"/>
      <c r="Q198" t="s">
        <v>927</v>
      </c>
      <c r="R198" s="697" t="s">
        <v>928</v>
      </c>
      <c r="T198" s="1038">
        <f>SUMIFS('01工程产值对比表'!$M:$M,'01工程产值对比表'!$D:$D,Q198,'01工程产值对比表'!$C:$C,Q$2)</f>
        <v>0</v>
      </c>
      <c r="U198" s="1038"/>
      <c r="V198" s="1038"/>
      <c r="W198" s="1038"/>
    </row>
    <row r="199" spans="1:23">
      <c r="A199" t="s">
        <v>929</v>
      </c>
      <c r="B199" s="697" t="s">
        <v>185</v>
      </c>
      <c r="D199" s="1038">
        <f>SUMIFS('01工程产值对比表'!$M:$M,'01工程产值对比表'!$D:$D,A199,'01工程产值对比表'!$C:$C,A$2)</f>
        <v>0</v>
      </c>
      <c r="F199" s="1039"/>
      <c r="H199" s="1038"/>
      <c r="I199" s="1049" t="s">
        <v>930</v>
      </c>
      <c r="J199" s="1046" t="s">
        <v>72</v>
      </c>
      <c r="K199" s="1050">
        <v>5.93</v>
      </c>
      <c r="L199" s="1047">
        <f>SUMIFS('01工程产值对比表'!$M:$M,'01工程产值对比表'!$D:$D,I199,'01工程产值对比表'!$C:$C,I$2)</f>
        <v>0</v>
      </c>
      <c r="M199" s="1038"/>
      <c r="N199" s="1038"/>
      <c r="O199" s="1038"/>
      <c r="Q199" t="s">
        <v>931</v>
      </c>
      <c r="R199" s="697" t="s">
        <v>76</v>
      </c>
      <c r="T199" s="1038">
        <f>SUMIFS('01工程产值对比表'!$M:$M,'01工程产值对比表'!$D:$D,Q199,'01工程产值对比表'!$C:$C,Q$2)</f>
        <v>0</v>
      </c>
      <c r="U199" s="1038"/>
      <c r="V199" s="1038"/>
      <c r="W199" s="1038"/>
    </row>
    <row r="200" spans="1:23">
      <c r="A200" t="s">
        <v>932</v>
      </c>
      <c r="B200" s="697" t="s">
        <v>185</v>
      </c>
      <c r="D200" s="1038">
        <f>SUMIFS('01工程产值对比表'!$M:$M,'01工程产值对比表'!$D:$D,A200,'01工程产值对比表'!$C:$C,A$2)</f>
        <v>0</v>
      </c>
      <c r="F200" s="1039"/>
      <c r="H200" s="1038"/>
      <c r="I200" s="1049" t="s">
        <v>933</v>
      </c>
      <c r="J200" s="1046" t="s">
        <v>72</v>
      </c>
      <c r="K200" s="1050">
        <v>7.05</v>
      </c>
      <c r="L200" s="1047">
        <f>SUMIFS('01工程产值对比表'!$M:$M,'01工程产值对比表'!$D:$D,I200,'01工程产值对比表'!$C:$C,I$2)</f>
        <v>0</v>
      </c>
      <c r="M200" s="1038"/>
      <c r="N200" s="1038"/>
      <c r="O200" s="1038"/>
      <c r="Q200" t="s">
        <v>934</v>
      </c>
      <c r="R200" s="697" t="s">
        <v>689</v>
      </c>
      <c r="T200" s="1038">
        <f>SUMIFS('01工程产值对比表'!$M:$M,'01工程产值对比表'!$D:$D,Q200,'01工程产值对比表'!$C:$C,Q$2)</f>
        <v>0</v>
      </c>
      <c r="U200" s="1038"/>
      <c r="V200" s="1038"/>
      <c r="W200" s="1038"/>
    </row>
    <row r="201" spans="1:23">
      <c r="A201" t="s">
        <v>935</v>
      </c>
      <c r="B201" s="697" t="s">
        <v>72</v>
      </c>
      <c r="D201" s="1038">
        <f>SUMIFS('01工程产值对比表'!$M:$M,'01工程产值对比表'!$D:$D,A201,'01工程产值对比表'!$C:$C,A$2)</f>
        <v>0</v>
      </c>
      <c r="F201" s="1039"/>
      <c r="H201" s="1038"/>
      <c r="I201" s="1049" t="s">
        <v>936</v>
      </c>
      <c r="J201" s="1046" t="s">
        <v>72</v>
      </c>
      <c r="K201" s="1050"/>
      <c r="L201" s="1047">
        <f>SUMIFS('01工程产值对比表'!$M:$M,'01工程产值对比表'!$D:$D,I201,'01工程产值对比表'!$C:$C,I$2)</f>
        <v>0</v>
      </c>
      <c r="M201" s="1038"/>
      <c r="N201" s="1038"/>
      <c r="O201" s="1038"/>
      <c r="Q201" t="s">
        <v>937</v>
      </c>
      <c r="R201" s="697" t="s">
        <v>76</v>
      </c>
      <c r="T201" s="1038">
        <f>SUMIFS('01工程产值对比表'!$M:$M,'01工程产值对比表'!$D:$D,Q201,'01工程产值对比表'!$C:$C,Q$2)</f>
        <v>0</v>
      </c>
      <c r="U201" s="1038"/>
      <c r="V201" s="1038"/>
      <c r="W201" s="1038"/>
    </row>
    <row r="202" spans="1:23">
      <c r="A202" t="s">
        <v>938</v>
      </c>
      <c r="B202" s="697" t="s">
        <v>216</v>
      </c>
      <c r="D202" s="1038">
        <f>SUMIFS('01工程产值对比表'!$M:$M,'01工程产值对比表'!$D:$D,A202,'01工程产值对比表'!$C:$C,A$2)</f>
        <v>0</v>
      </c>
      <c r="F202" s="1039"/>
      <c r="H202" s="1038"/>
      <c r="I202" s="1049" t="s">
        <v>939</v>
      </c>
      <c r="J202" s="1046" t="s">
        <v>72</v>
      </c>
      <c r="K202" s="1050">
        <v>19.32</v>
      </c>
      <c r="L202" s="1047">
        <f>SUMIFS('01工程产值对比表'!$M:$M,'01工程产值对比表'!$D:$D,I202,'01工程产值对比表'!$C:$C,I$2)</f>
        <v>0</v>
      </c>
      <c r="M202" s="1038"/>
      <c r="N202" s="1038"/>
      <c r="O202" s="1038"/>
      <c r="Q202" t="s">
        <v>940</v>
      </c>
      <c r="R202" s="697" t="s">
        <v>76</v>
      </c>
      <c r="T202" s="1038">
        <f>SUMIFS('01工程产值对比表'!$M:$M,'01工程产值对比表'!$D:$D,Q202,'01工程产值对比表'!$C:$C,Q$2)</f>
        <v>0</v>
      </c>
      <c r="U202" s="1038"/>
      <c r="V202" s="1038"/>
      <c r="W202" s="1038"/>
    </row>
    <row r="203" spans="1:23">
      <c r="A203" t="s">
        <v>941</v>
      </c>
      <c r="B203" s="697" t="s">
        <v>216</v>
      </c>
      <c r="D203" s="1038">
        <f>SUMIFS('01工程产值对比表'!$M:$M,'01工程产值对比表'!$D:$D,A203,'01工程产值对比表'!$C:$C,A$2)</f>
        <v>0</v>
      </c>
      <c r="F203" s="1039"/>
      <c r="H203" s="1038"/>
      <c r="I203" s="1049" t="s">
        <v>942</v>
      </c>
      <c r="J203" s="1046" t="s">
        <v>72</v>
      </c>
      <c r="K203" s="1050">
        <v>3.04</v>
      </c>
      <c r="L203" s="1047">
        <f>SUMIFS('01工程产值对比表'!$M:$M,'01工程产值对比表'!$D:$D,I203,'01工程产值对比表'!$C:$C,I$2)</f>
        <v>0</v>
      </c>
      <c r="M203" s="1038"/>
      <c r="N203" s="1038"/>
      <c r="O203" s="1038"/>
      <c r="Q203" t="s">
        <v>943</v>
      </c>
      <c r="R203" s="697" t="s">
        <v>76</v>
      </c>
      <c r="T203" s="1038">
        <f>SUMIFS('01工程产值对比表'!$M:$M,'01工程产值对比表'!$D:$D,Q203,'01工程产值对比表'!$C:$C,Q$2)</f>
        <v>0</v>
      </c>
      <c r="U203" s="1038"/>
      <c r="V203" s="1038"/>
      <c r="W203" s="1038"/>
    </row>
    <row r="204" spans="1:23">
      <c r="A204" t="s">
        <v>944</v>
      </c>
      <c r="B204" s="697" t="s">
        <v>216</v>
      </c>
      <c r="D204" s="1038">
        <f>SUMIFS('01工程产值对比表'!$M:$M,'01工程产值对比表'!$D:$D,A204,'01工程产值对比表'!$C:$C,A$2)</f>
        <v>0</v>
      </c>
      <c r="F204" s="1039"/>
      <c r="H204" s="1038"/>
      <c r="I204" s="1049" t="s">
        <v>945</v>
      </c>
      <c r="J204" s="1046" t="s">
        <v>72</v>
      </c>
      <c r="K204" s="1050">
        <v>1.84</v>
      </c>
      <c r="L204" s="1047">
        <f>SUMIFS('01工程产值对比表'!$M:$M,'01工程产值对比表'!$D:$D,I204,'01工程产值对比表'!$C:$C,I$2)</f>
        <v>0</v>
      </c>
      <c r="M204" s="1038"/>
      <c r="N204" s="1038"/>
      <c r="O204" s="1038"/>
      <c r="Q204" t="s">
        <v>946</v>
      </c>
      <c r="R204" s="697" t="s">
        <v>76</v>
      </c>
      <c r="T204" s="1038">
        <f>SUMIFS('01工程产值对比表'!$M:$M,'01工程产值对比表'!$D:$D,Q204,'01工程产值对比表'!$C:$C,Q$2)</f>
        <v>0</v>
      </c>
      <c r="U204" s="1038"/>
      <c r="V204" s="1038"/>
      <c r="W204" s="1038"/>
    </row>
    <row r="205" spans="1:23">
      <c r="A205" t="s">
        <v>947</v>
      </c>
      <c r="B205" s="697" t="s">
        <v>72</v>
      </c>
      <c r="D205" s="1038">
        <f>SUMIFS('01工程产值对比表'!$M:$M,'01工程产值对比表'!$D:$D,A205,'01工程产值对比表'!$C:$C,A$2)</f>
        <v>0</v>
      </c>
      <c r="F205" s="1039"/>
      <c r="H205" s="1038"/>
      <c r="I205" s="1049" t="s">
        <v>948</v>
      </c>
      <c r="J205" s="1046" t="s">
        <v>72</v>
      </c>
      <c r="K205" s="1050"/>
      <c r="L205" s="1047">
        <f>SUMIFS('01工程产值对比表'!$M:$M,'01工程产值对比表'!$D:$D,I205,'01工程产值对比表'!$C:$C,I$2)</f>
        <v>0</v>
      </c>
      <c r="M205" s="1038"/>
      <c r="N205" s="1038"/>
      <c r="O205" s="1038"/>
      <c r="Q205" t="s">
        <v>949</v>
      </c>
      <c r="R205" s="697" t="s">
        <v>76</v>
      </c>
      <c r="T205" s="1038">
        <f>SUMIFS('01工程产值对比表'!$M:$M,'01工程产值对比表'!$D:$D,Q205,'01工程产值对比表'!$C:$C,Q$2)</f>
        <v>0</v>
      </c>
      <c r="U205" s="1038"/>
      <c r="V205" s="1038"/>
      <c r="W205" s="1038"/>
    </row>
    <row r="206" spans="1:23">
      <c r="A206" t="s">
        <v>950</v>
      </c>
      <c r="B206" s="697" t="s">
        <v>216</v>
      </c>
      <c r="D206" s="1038">
        <f>SUMIFS('01工程产值对比表'!$M:$M,'01工程产值对比表'!$D:$D,A206,'01工程产值对比表'!$C:$C,A$2)</f>
        <v>0</v>
      </c>
      <c r="F206" s="1039"/>
      <c r="H206" s="1038"/>
      <c r="I206" s="1049" t="s">
        <v>951</v>
      </c>
      <c r="J206" s="1046" t="s">
        <v>72</v>
      </c>
      <c r="K206" s="1050">
        <v>3.88</v>
      </c>
      <c r="L206" s="1047">
        <f>SUMIFS('01工程产值对比表'!$M:$M,'01工程产值对比表'!$D:$D,I206,'01工程产值对比表'!$C:$C,I$2)</f>
        <v>0</v>
      </c>
      <c r="M206" s="1038"/>
      <c r="N206" s="1038"/>
      <c r="O206" s="1038"/>
      <c r="Q206" t="s">
        <v>952</v>
      </c>
      <c r="R206" s="697" t="s">
        <v>195</v>
      </c>
      <c r="T206" s="1038">
        <f>SUMIFS('01工程产值对比表'!$M:$M,'01工程产值对比表'!$D:$D,Q206,'01工程产值对比表'!$C:$C,Q$2)</f>
        <v>0</v>
      </c>
      <c r="U206" s="1038"/>
      <c r="V206" s="1038"/>
      <c r="W206" s="1038"/>
    </row>
    <row r="207" spans="1:23">
      <c r="A207" t="s">
        <v>953</v>
      </c>
      <c r="B207" s="697" t="s">
        <v>216</v>
      </c>
      <c r="D207" s="1038">
        <f>SUMIFS('01工程产值对比表'!$M:$M,'01工程产值对比表'!$D:$D,A207,'01工程产值对比表'!$C:$C,A$2)</f>
        <v>0</v>
      </c>
      <c r="F207" s="1039"/>
      <c r="H207" s="1038"/>
      <c r="I207" s="1049" t="s">
        <v>954</v>
      </c>
      <c r="J207" s="1046" t="s">
        <v>72</v>
      </c>
      <c r="K207" s="1050"/>
      <c r="L207" s="1047">
        <f>SUMIFS('01工程产值对比表'!$M:$M,'01工程产值对比表'!$D:$D,I207,'01工程产值对比表'!$C:$C,I$2)</f>
        <v>0</v>
      </c>
      <c r="M207" s="1038"/>
      <c r="N207" s="1038"/>
      <c r="O207" s="1038"/>
      <c r="Q207" t="s">
        <v>955</v>
      </c>
      <c r="R207" s="697" t="s">
        <v>185</v>
      </c>
      <c r="T207" s="1038">
        <f>SUMIFS('01工程产值对比表'!$M:$M,'01工程产值对比表'!$D:$D,Q207,'01工程产值对比表'!$C:$C,Q$2)</f>
        <v>0</v>
      </c>
      <c r="U207" s="1038"/>
      <c r="V207" s="1038"/>
      <c r="W207" s="1038"/>
    </row>
    <row r="208" spans="1:23">
      <c r="A208" t="s">
        <v>956</v>
      </c>
      <c r="B208" s="697" t="s">
        <v>76</v>
      </c>
      <c r="D208" s="1038">
        <f>SUMIFS('01工程产值对比表'!$M:$M,'01工程产值对比表'!$D:$D,A208,'01工程产值对比表'!$C:$C,A$2)</f>
        <v>0</v>
      </c>
      <c r="F208" s="1039"/>
      <c r="H208" s="1038"/>
      <c r="I208" s="1049" t="s">
        <v>957</v>
      </c>
      <c r="J208" s="1046" t="s">
        <v>72</v>
      </c>
      <c r="K208" s="1050">
        <v>35</v>
      </c>
      <c r="L208" s="1047">
        <f>SUMIFS('01工程产值对比表'!$M:$M,'01工程产值对比表'!$D:$D,I208,'01工程产值对比表'!$C:$C,I$2)</f>
        <v>0</v>
      </c>
      <c r="M208" s="1038"/>
      <c r="N208" s="1038"/>
      <c r="O208" s="1038"/>
      <c r="Q208" t="s">
        <v>958</v>
      </c>
      <c r="R208" s="697" t="s">
        <v>76</v>
      </c>
      <c r="T208" s="1038">
        <f>SUMIFS('01工程产值对比表'!$M:$M,'01工程产值对比表'!$D:$D,Q208,'01工程产值对比表'!$C:$C,Q$2)</f>
        <v>0</v>
      </c>
      <c r="U208" s="1038"/>
      <c r="V208" s="1038"/>
      <c r="W208" s="1038"/>
    </row>
    <row r="209" spans="1:23">
      <c r="A209" t="s">
        <v>959</v>
      </c>
      <c r="B209" s="697" t="s">
        <v>72</v>
      </c>
      <c r="D209" s="1038">
        <f>SUMIFS('01工程产值对比表'!$M:$M,'01工程产值对比表'!$D:$D,A209,'01工程产值对比表'!$C:$C,A$2)</f>
        <v>0</v>
      </c>
      <c r="F209" s="1039"/>
      <c r="H209" s="1038"/>
      <c r="I209" s="1049" t="s">
        <v>960</v>
      </c>
      <c r="J209" s="1046" t="s">
        <v>72</v>
      </c>
      <c r="K209" s="1050">
        <v>5</v>
      </c>
      <c r="L209" s="1047">
        <f>SUMIFS('01工程产值对比表'!$M:$M,'01工程产值对比表'!$D:$D,I209,'01工程产值对比表'!$C:$C,I$2)</f>
        <v>0</v>
      </c>
      <c r="M209" s="1038"/>
      <c r="N209" s="1038"/>
      <c r="O209" s="1038"/>
      <c r="Q209" t="s">
        <v>961</v>
      </c>
      <c r="R209" s="697" t="s">
        <v>772</v>
      </c>
      <c r="T209" s="1038">
        <f>SUMIFS('01工程产值对比表'!$M:$M,'01工程产值对比表'!$D:$D,Q209,'01工程产值对比表'!$C:$C,Q$2)</f>
        <v>0</v>
      </c>
      <c r="U209" s="1038"/>
      <c r="V209" s="1038"/>
      <c r="W209" s="1038"/>
    </row>
    <row r="210" spans="1:23">
      <c r="A210" t="s">
        <v>962</v>
      </c>
      <c r="B210" s="697" t="s">
        <v>76</v>
      </c>
      <c r="D210" s="1038">
        <f>SUMIFS('01工程产值对比表'!$M:$M,'01工程产值对比表'!$D:$D,A210,'01工程产值对比表'!$C:$C,A$2)</f>
        <v>0</v>
      </c>
      <c r="F210" s="1039"/>
      <c r="H210" s="1038"/>
      <c r="I210" s="1049" t="s">
        <v>963</v>
      </c>
      <c r="J210" s="1046" t="s">
        <v>735</v>
      </c>
      <c r="K210" s="1050">
        <v>3.6</v>
      </c>
      <c r="L210" s="1047">
        <f>SUMIFS('01工程产值对比表'!$M:$M,'01工程产值对比表'!$D:$D,I210,'01工程产值对比表'!$C:$C,I$2)</f>
        <v>0</v>
      </c>
      <c r="M210" s="1038"/>
      <c r="N210" s="1038"/>
      <c r="O210" s="1038"/>
      <c r="Q210" t="s">
        <v>373</v>
      </c>
      <c r="R210" s="697" t="s">
        <v>211</v>
      </c>
      <c r="T210" s="1038">
        <f>SUMIFS('01工程产值对比表'!$M:$M,'01工程产值对比表'!$D:$D,Q210,'01工程产值对比表'!$C:$C,Q$2)</f>
        <v>0</v>
      </c>
      <c r="U210" s="1038"/>
      <c r="V210" s="1038"/>
      <c r="W210" s="1038"/>
    </row>
    <row r="211" ht="47.25" spans="1:23">
      <c r="A211" t="s">
        <v>964</v>
      </c>
      <c r="B211" s="697" t="s">
        <v>76</v>
      </c>
      <c r="D211" s="1038">
        <f>SUMIFS('01工程产值对比表'!$M:$M,'01工程产值对比表'!$D:$D,A211,'01工程产值对比表'!$C:$C,A$2)</f>
        <v>0</v>
      </c>
      <c r="F211" s="1039"/>
      <c r="H211" s="1038"/>
      <c r="I211" s="1066" t="s">
        <v>965</v>
      </c>
      <c r="J211" s="1046" t="s">
        <v>735</v>
      </c>
      <c r="K211" s="1050">
        <v>3.32</v>
      </c>
      <c r="L211" s="1047">
        <f>SUMIFS('01工程产值对比表'!$M:$M,'01工程产值对比表'!$D:$D,I211,'01工程产值对比表'!$C:$C,I$2)</f>
        <v>0</v>
      </c>
      <c r="M211" s="1038"/>
      <c r="N211" s="1038"/>
      <c r="O211" s="1038"/>
      <c r="Q211" t="s">
        <v>966</v>
      </c>
      <c r="R211" s="697" t="s">
        <v>211</v>
      </c>
      <c r="T211" s="1038">
        <f>SUMIFS('01工程产值对比表'!$M:$M,'01工程产值对比表'!$D:$D,Q211,'01工程产值对比表'!$C:$C,Q$2)</f>
        <v>0</v>
      </c>
      <c r="U211" s="1038"/>
      <c r="V211" s="1038"/>
      <c r="W211" s="1038"/>
    </row>
    <row r="212" spans="1:23">
      <c r="A212" t="s">
        <v>967</v>
      </c>
      <c r="B212" s="697" t="s">
        <v>82</v>
      </c>
      <c r="D212" s="1038">
        <f>SUMIFS('01工程产值对比表'!$M:$M,'01工程产值对比表'!$D:$D,A212,'01工程产值对比表'!$C:$C,A$2)</f>
        <v>0</v>
      </c>
      <c r="H212" s="1038"/>
      <c r="I212" s="1049" t="s">
        <v>968</v>
      </c>
      <c r="J212" s="1046" t="s">
        <v>735</v>
      </c>
      <c r="K212" s="1050">
        <v>3.32</v>
      </c>
      <c r="L212" s="1047">
        <f>SUMIFS('01工程产值对比表'!$M:$M,'01工程产值对比表'!$D:$D,I212,'01工程产值对比表'!$C:$C,I$2)</f>
        <v>0</v>
      </c>
      <c r="M212" s="1038"/>
      <c r="N212" s="1038"/>
      <c r="O212" s="1038"/>
      <c r="Q212" t="s">
        <v>969</v>
      </c>
      <c r="R212" s="697" t="s">
        <v>211</v>
      </c>
      <c r="T212" s="1038">
        <f>SUMIFS('01工程产值对比表'!$M:$M,'01工程产值对比表'!$D:$D,Q212,'01工程产值对比表'!$C:$C,Q$2)</f>
        <v>0</v>
      </c>
      <c r="U212" s="1038"/>
      <c r="V212" s="1038"/>
      <c r="W212" s="1038"/>
    </row>
    <row r="213" ht="31.5" spans="1:23">
      <c r="A213" t="s">
        <v>970</v>
      </c>
      <c r="B213" s="697" t="s">
        <v>82</v>
      </c>
      <c r="D213" s="1038">
        <f>SUMIFS('01工程产值对比表'!$M:$M,'01工程产值对比表'!$D:$D,A213,'01工程产值对比表'!$C:$C,A$2)</f>
        <v>0</v>
      </c>
      <c r="H213" s="1038"/>
      <c r="I213" s="1049" t="s">
        <v>971</v>
      </c>
      <c r="J213" s="1046" t="s">
        <v>735</v>
      </c>
      <c r="K213" s="1050">
        <v>3.64</v>
      </c>
      <c r="L213" s="1047">
        <f>SUMIFS('01工程产值对比表'!$M:$M,'01工程产值对比表'!$D:$D,I213,'01工程产值对比表'!$C:$C,I$2)</f>
        <v>0</v>
      </c>
      <c r="M213" s="1038"/>
      <c r="N213" s="1038"/>
      <c r="O213" s="1038"/>
      <c r="Q213" t="s">
        <v>972</v>
      </c>
      <c r="R213" s="1057" t="s">
        <v>973</v>
      </c>
      <c r="T213" s="1038">
        <f>SUMIFS('01工程产值对比表'!$M:$M,'01工程产值对比表'!$D:$D,Q213,'01工程产值对比表'!$C:$C,Q$2)</f>
        <v>0</v>
      </c>
      <c r="U213" s="1038"/>
      <c r="V213" s="1038"/>
      <c r="W213" s="1038"/>
    </row>
    <row r="214" ht="31.5" spans="1:21">
      <c r="A214" t="s">
        <v>402</v>
      </c>
      <c r="B214" s="697" t="s">
        <v>82</v>
      </c>
      <c r="C214">
        <v>90</v>
      </c>
      <c r="D214" s="1038">
        <f>SUMIFS('01工程产值对比表'!$M:$M,'01工程产值对比表'!$D:$D,A214,'01工程产值对比表'!$C:$C,A$2)</f>
        <v>0</v>
      </c>
      <c r="H214" s="1038"/>
      <c r="I214" s="1049" t="s">
        <v>974</v>
      </c>
      <c r="J214" s="1046" t="s">
        <v>735</v>
      </c>
      <c r="K214" s="1050">
        <v>2.25</v>
      </c>
      <c r="L214" s="1047">
        <f>SUMIFS('01工程产值对比表'!$M:$M,'01工程产值对比表'!$D:$D,I214,'01工程产值对比表'!$C:$C,I$2)</f>
        <v>0</v>
      </c>
      <c r="M214" s="1038"/>
      <c r="N214" s="1038"/>
      <c r="O214" s="1038"/>
      <c r="Q214" t="s">
        <v>975</v>
      </c>
      <c r="R214" s="1057" t="s">
        <v>973</v>
      </c>
      <c r="T214" s="1038">
        <f>SUMIFS('01工程产值对比表'!$M:$M,'01工程产值对比表'!$D:$D,Q214,'01工程产值对比表'!$C:$C,Q$2)</f>
        <v>0</v>
      </c>
      <c r="U214" s="1038"/>
    </row>
    <row r="215" ht="31.5" spans="1:21">
      <c r="A215" t="s">
        <v>976</v>
      </c>
      <c r="B215" s="697" t="s">
        <v>72</v>
      </c>
      <c r="D215">
        <f>SUMIFS('分项对比表(02表)'!$M:$M,'分项对比表(02表)'!$D:$D,A215,'分项对比表(02表)'!$C:$C,A$2)</f>
        <v>0</v>
      </c>
      <c r="H215" s="1038"/>
      <c r="I215" s="1049" t="s">
        <v>977</v>
      </c>
      <c r="J215" s="1046" t="s">
        <v>735</v>
      </c>
      <c r="K215" s="1050">
        <v>2</v>
      </c>
      <c r="L215" s="1047">
        <f>SUMIFS('01工程产值对比表'!$M:$M,'01工程产值对比表'!$D:$D,I215,'01工程产值对比表'!$C:$C,I$2)</f>
        <v>0</v>
      </c>
      <c r="M215" s="1038"/>
      <c r="N215" s="1038"/>
      <c r="O215" s="1038"/>
      <c r="Q215" t="s">
        <v>978</v>
      </c>
      <c r="R215" s="1057" t="s">
        <v>973</v>
      </c>
      <c r="T215" s="1038">
        <f>SUMIFS('01工程产值对比表'!$M:$M,'01工程产值对比表'!$D:$D,Q215,'01工程产值对比表'!$C:$C,Q$2)</f>
        <v>0</v>
      </c>
      <c r="U215" s="1038"/>
    </row>
    <row r="216" ht="31.5" spans="1:21">
      <c r="A216" t="s">
        <v>979</v>
      </c>
      <c r="B216" s="697" t="s">
        <v>82</v>
      </c>
      <c r="D216">
        <f>SUMIFS('分项对比表(02表)'!$M:$M,'分项对比表(02表)'!$D:$D,A216,'分项对比表(02表)'!$C:$C,A$2)</f>
        <v>0</v>
      </c>
      <c r="H216" s="1038"/>
      <c r="I216" s="1049" t="s">
        <v>980</v>
      </c>
      <c r="J216" s="1046" t="s">
        <v>735</v>
      </c>
      <c r="K216" s="1050">
        <v>2.5</v>
      </c>
      <c r="L216" s="1047">
        <f>SUMIFS('01工程产值对比表'!$M:$M,'01工程产值对比表'!$D:$D,I216,'01工程产值对比表'!$C:$C,I$2)</f>
        <v>0</v>
      </c>
      <c r="M216" s="1038"/>
      <c r="N216" s="1038"/>
      <c r="O216" s="1038"/>
      <c r="Q216" t="s">
        <v>981</v>
      </c>
      <c r="R216" s="1057" t="s">
        <v>973</v>
      </c>
      <c r="T216" s="1038">
        <f>SUMIFS('01工程产值对比表'!$M:$M,'01工程产值对比表'!$D:$D,Q216,'01工程产值对比表'!$C:$C,Q$2)</f>
        <v>0</v>
      </c>
      <c r="U216" s="1038"/>
    </row>
    <row r="217" ht="31.5" spans="1:21">
      <c r="A217" t="s">
        <v>982</v>
      </c>
      <c r="B217" s="697" t="s">
        <v>72</v>
      </c>
      <c r="D217">
        <f>SUMIFS('分项对比表(02表)'!$M:$M,'分项对比表(02表)'!$D:$D,A217,'分项对比表(02表)'!$C:$C,A$2)</f>
        <v>0</v>
      </c>
      <c r="H217" s="1038"/>
      <c r="I217" s="1049" t="s">
        <v>983</v>
      </c>
      <c r="J217" s="1046" t="s">
        <v>735</v>
      </c>
      <c r="K217" s="1050">
        <v>1</v>
      </c>
      <c r="L217" s="1047">
        <f>SUMIFS('01工程产值对比表'!$M:$M,'01工程产值对比表'!$D:$D,I217,'01工程产值对比表'!$C:$C,I$2)</f>
        <v>0</v>
      </c>
      <c r="M217" s="1038"/>
      <c r="N217" s="1038"/>
      <c r="O217" s="1038"/>
      <c r="Q217" t="s">
        <v>984</v>
      </c>
      <c r="R217" s="1057" t="s">
        <v>973</v>
      </c>
      <c r="T217" s="1038">
        <f>SUMIFS('01工程产值对比表'!$M:$M,'01工程产值对比表'!$D:$D,Q217,'01工程产值对比表'!$C:$C,Q$2)</f>
        <v>0</v>
      </c>
      <c r="U217" s="1038"/>
    </row>
    <row r="218" ht="31.5" spans="1:21">
      <c r="A218" t="s">
        <v>985</v>
      </c>
      <c r="B218" s="697" t="s">
        <v>82</v>
      </c>
      <c r="D218">
        <f>SUMIFS('分项对比表(02表)'!$M:$M,'分项对比表(02表)'!$D:$D,A218,'分项对比表(02表)'!$C:$C,A$2)</f>
        <v>0</v>
      </c>
      <c r="H218" s="1038"/>
      <c r="I218" s="1049" t="s">
        <v>986</v>
      </c>
      <c r="J218" s="1046" t="s">
        <v>735</v>
      </c>
      <c r="K218" s="1050">
        <v>1.5</v>
      </c>
      <c r="L218" s="1047">
        <f>SUMIFS('01工程产值对比表'!$M:$M,'01工程产值对比表'!$D:$D,I218,'01工程产值对比表'!$C:$C,I$2)</f>
        <v>0</v>
      </c>
      <c r="M218" s="1038"/>
      <c r="N218" s="1038"/>
      <c r="O218" s="1038"/>
      <c r="Q218" t="s">
        <v>987</v>
      </c>
      <c r="R218" s="1057" t="s">
        <v>973</v>
      </c>
      <c r="T218" s="1038">
        <f>SUMIFS('01工程产值对比表'!$M:$M,'01工程产值对比表'!$D:$D,Q218,'01工程产值对比表'!$C:$C,Q$2)</f>
        <v>0</v>
      </c>
      <c r="U218" s="1038"/>
    </row>
    <row r="219" ht="31.5" spans="1:21">
      <c r="A219" t="s">
        <v>988</v>
      </c>
      <c r="B219" s="697" t="s">
        <v>169</v>
      </c>
      <c r="D219">
        <f>SUMIFS('分项对比表(02表)'!$M:$M,'分项对比表(02表)'!$D:$D,A219,'分项对比表(02表)'!$C:$C,A$2)</f>
        <v>0</v>
      </c>
      <c r="H219" s="1038"/>
      <c r="I219" s="1049" t="s">
        <v>989</v>
      </c>
      <c r="J219" s="1046" t="s">
        <v>735</v>
      </c>
      <c r="K219" s="1050">
        <v>1.27</v>
      </c>
      <c r="L219" s="1047">
        <f>SUMIFS('01工程产值对比表'!$M:$M,'01工程产值对比表'!$D:$D,I219,'01工程产值对比表'!$C:$C,I$2)</f>
        <v>0</v>
      </c>
      <c r="M219" s="1038"/>
      <c r="N219" s="1038"/>
      <c r="O219" s="1038"/>
      <c r="Q219" t="s">
        <v>990</v>
      </c>
      <c r="R219" s="1057" t="s">
        <v>973</v>
      </c>
      <c r="T219" s="1038">
        <f>SUMIFS('01工程产值对比表'!$M:$M,'01工程产值对比表'!$D:$D,Q219,'01工程产值对比表'!$C:$C,Q$2)</f>
        <v>0</v>
      </c>
      <c r="U219" s="1038"/>
    </row>
    <row r="220" spans="1:21">
      <c r="A220" t="s">
        <v>991</v>
      </c>
      <c r="B220" s="697" t="s">
        <v>169</v>
      </c>
      <c r="D220">
        <f>SUMIFS('分项对比表(02表)'!$M:$M,'分项对比表(02表)'!$D:$D,A220,'分项对比表(02表)'!$C:$C,A$2)</f>
        <v>0</v>
      </c>
      <c r="H220" s="1038"/>
      <c r="I220" s="1049" t="s">
        <v>992</v>
      </c>
      <c r="J220" s="1046" t="s">
        <v>735</v>
      </c>
      <c r="K220" s="1050"/>
      <c r="L220" s="1047">
        <f>SUMIFS('01工程产值对比表'!$M:$M,'01工程产值对比表'!$D:$D,I220,'01工程产值对比表'!$C:$C,I$2)</f>
        <v>0</v>
      </c>
      <c r="M220" s="1038"/>
      <c r="N220" s="1038"/>
      <c r="O220" s="1038"/>
      <c r="Q220" t="s">
        <v>993</v>
      </c>
      <c r="R220" s="697" t="s">
        <v>689</v>
      </c>
      <c r="T220" s="1038">
        <f>SUMIFS('01工程产值对比表'!$M:$M,'01工程产值对比表'!$D:$D,Q220,'01工程产值对比表'!$C:$C,Q$2)</f>
        <v>0</v>
      </c>
      <c r="U220" s="1038"/>
    </row>
    <row r="221" spans="1:21">
      <c r="A221" t="s">
        <v>994</v>
      </c>
      <c r="B221" s="697" t="s">
        <v>169</v>
      </c>
      <c r="D221">
        <f>SUMIFS('分项对比表(02表)'!$M:$M,'分项对比表(02表)'!$D:$D,A221,'分项对比表(02表)'!$C:$C,A$2)</f>
        <v>0</v>
      </c>
      <c r="H221" s="1038"/>
      <c r="I221" s="1049" t="s">
        <v>995</v>
      </c>
      <c r="J221" s="1046" t="s">
        <v>735</v>
      </c>
      <c r="K221" s="1050"/>
      <c r="L221" s="1047">
        <f>SUMIFS('01工程产值对比表'!$M:$M,'01工程产值对比表'!$D:$D,I221,'01工程产值对比表'!$C:$C,I$2)</f>
        <v>0</v>
      </c>
      <c r="M221" s="1038"/>
      <c r="N221" s="1038"/>
      <c r="O221" s="1038"/>
      <c r="Q221" t="s">
        <v>996</v>
      </c>
      <c r="R221" s="697" t="s">
        <v>689</v>
      </c>
      <c r="T221" s="1038">
        <f>SUMIFS('01工程产值对比表'!$M:$M,'01工程产值对比表'!$D:$D,Q221,'01工程产值对比表'!$C:$C,Q$2)</f>
        <v>0</v>
      </c>
      <c r="U221" s="1038"/>
    </row>
    <row r="222" spans="1:21">
      <c r="A222" t="s">
        <v>997</v>
      </c>
      <c r="B222" s="697" t="s">
        <v>169</v>
      </c>
      <c r="D222">
        <f>SUMIFS('分项对比表(02表)'!$M:$M,'分项对比表(02表)'!$D:$D,A222,'分项对比表(02表)'!$C:$C,A$2)</f>
        <v>0</v>
      </c>
      <c r="H222" s="1038"/>
      <c r="I222" s="1049" t="s">
        <v>998</v>
      </c>
      <c r="J222" s="1046" t="s">
        <v>735</v>
      </c>
      <c r="K222" s="1050">
        <v>4.2</v>
      </c>
      <c r="L222" s="1047">
        <f>SUMIFS('01工程产值对比表'!$M:$M,'01工程产值对比表'!$D:$D,I222,'01工程产值对比表'!$C:$C,I$2)</f>
        <v>0</v>
      </c>
      <c r="M222" s="1038"/>
      <c r="N222" s="1038"/>
      <c r="O222" s="1038"/>
      <c r="Q222" t="s">
        <v>999</v>
      </c>
      <c r="R222" s="697" t="s">
        <v>76</v>
      </c>
      <c r="T222" s="1038">
        <f>SUMIFS('01工程产值对比表'!$M:$M,'01工程产值对比表'!$D:$D,Q222,'01工程产值对比表'!$C:$C,Q$2)</f>
        <v>0</v>
      </c>
      <c r="U222" s="1038"/>
    </row>
    <row r="223" spans="1:21">
      <c r="A223" t="s">
        <v>1000</v>
      </c>
      <c r="B223" s="697" t="s">
        <v>169</v>
      </c>
      <c r="D223">
        <f>SUMIFS('分项对比表(02表)'!$M:$M,'分项对比表(02表)'!$D:$D,A223,'分项对比表(02表)'!$C:$C,A$2)</f>
        <v>0</v>
      </c>
      <c r="H223" s="1038"/>
      <c r="I223" s="1049" t="s">
        <v>1001</v>
      </c>
      <c r="J223" s="1046" t="s">
        <v>735</v>
      </c>
      <c r="K223" s="1050">
        <v>10</v>
      </c>
      <c r="L223" s="1047">
        <f>SUMIFS('01工程产值对比表'!$M:$M,'01工程产值对比表'!$D:$D,I223,'01工程产值对比表'!$C:$C,I$2)</f>
        <v>0</v>
      </c>
      <c r="M223" s="1038"/>
      <c r="N223" s="1038"/>
      <c r="O223" s="1038"/>
      <c r="Q223" t="s">
        <v>1002</v>
      </c>
      <c r="R223" s="697" t="s">
        <v>82</v>
      </c>
      <c r="T223" s="1038">
        <f>SUMIFS('01工程产值对比表'!$M:$M,'01工程产值对比表'!$D:$D,Q223,'01工程产值对比表'!$C:$C,Q$2)</f>
        <v>0</v>
      </c>
      <c r="U223" s="1038"/>
    </row>
    <row r="224" spans="1:21">
      <c r="A224" t="s">
        <v>1003</v>
      </c>
      <c r="B224" s="697" t="s">
        <v>76</v>
      </c>
      <c r="D224">
        <f>SUMIFS('分项对比表(02表)'!$M:$M,'分项对比表(02表)'!$D:$D,A224,'分项对比表(02表)'!$C:$C,A$2)</f>
        <v>0</v>
      </c>
      <c r="H224" s="1038"/>
      <c r="I224" s="1049" t="s">
        <v>1004</v>
      </c>
      <c r="J224" s="1046" t="s">
        <v>735</v>
      </c>
      <c r="K224" s="1050"/>
      <c r="L224" s="1047">
        <f>SUMIFS('01工程产值对比表'!$M:$M,'01工程产值对比表'!$D:$D,I224,'01工程产值对比表'!$C:$C,I$2)</f>
        <v>0</v>
      </c>
      <c r="M224" s="1038"/>
      <c r="N224" s="1038"/>
      <c r="O224" s="1038"/>
      <c r="Q224" t="s">
        <v>1005</v>
      </c>
      <c r="R224" s="697" t="s">
        <v>689</v>
      </c>
      <c r="T224" s="1038">
        <f>SUMIFS('01工程产值对比表'!$M:$M,'01工程产值对比表'!$D:$D,Q224,'01工程产值对比表'!$C:$C,Q$2)</f>
        <v>0</v>
      </c>
      <c r="U224" s="1038"/>
    </row>
    <row r="225" spans="1:21">
      <c r="A225" t="s">
        <v>1006</v>
      </c>
      <c r="B225" s="697" t="s">
        <v>76</v>
      </c>
      <c r="D225">
        <f>SUMIFS('分项对比表(02表)'!$M:$M,'分项对比表(02表)'!$D:$D,A225,'分项对比表(02表)'!$C:$C,A$2)</f>
        <v>0</v>
      </c>
      <c r="H225" s="1038"/>
      <c r="I225" s="1049" t="s">
        <v>1007</v>
      </c>
      <c r="J225" s="1046" t="s">
        <v>735</v>
      </c>
      <c r="K225" s="1050"/>
      <c r="L225" s="1047">
        <f>SUMIFS('01工程产值对比表'!$M:$M,'01工程产值对比表'!$D:$D,I225,'01工程产值对比表'!$C:$C,I$2)</f>
        <v>0</v>
      </c>
      <c r="M225" s="1038"/>
      <c r="N225" s="1038"/>
      <c r="O225" s="1038"/>
      <c r="Q225" t="s">
        <v>1008</v>
      </c>
      <c r="R225" s="697" t="s">
        <v>76</v>
      </c>
      <c r="T225" s="1038">
        <f>SUMIFS('01工程产值对比表'!$M:$M,'01工程产值对比表'!$D:$D,Q225,'01工程产值对比表'!$C:$C,Q$2)</f>
        <v>0</v>
      </c>
      <c r="U225" s="1038"/>
    </row>
    <row r="226" spans="1:21">
      <c r="A226" t="s">
        <v>1009</v>
      </c>
      <c r="B226" s="697" t="s">
        <v>169</v>
      </c>
      <c r="D226">
        <f>SUMIFS('分项对比表(02表)'!$M:$M,'分项对比表(02表)'!$D:$D,A226,'分项对比表(02表)'!$C:$C,A$2)</f>
        <v>0</v>
      </c>
      <c r="H226" s="1038"/>
      <c r="I226" s="1049" t="s">
        <v>1010</v>
      </c>
      <c r="J226" s="1046" t="s">
        <v>735</v>
      </c>
      <c r="K226" s="1050"/>
      <c r="L226" s="1047">
        <f>SUMIFS('01工程产值对比表'!$M:$M,'01工程产值对比表'!$D:$D,I226,'01工程产值对比表'!$C:$C,I$2)</f>
        <v>0</v>
      </c>
      <c r="M226" s="1038"/>
      <c r="N226" s="1038"/>
      <c r="O226" s="1038"/>
      <c r="Q226" t="s">
        <v>1011</v>
      </c>
      <c r="R226" s="697" t="s">
        <v>772</v>
      </c>
      <c r="T226" s="1038">
        <f>SUMIFS('01工程产值对比表'!$M:$M,'01工程产值对比表'!$D:$D,Q226,'01工程产值对比表'!$C:$C,Q$2)</f>
        <v>0</v>
      </c>
      <c r="U226" s="1038"/>
    </row>
    <row r="227" spans="1:21">
      <c r="A227" t="s">
        <v>1012</v>
      </c>
      <c r="B227" s="697" t="s">
        <v>69</v>
      </c>
      <c r="D227">
        <f>SUMIFS('分项对比表(02表)'!$M:$M,'分项对比表(02表)'!$D:$D,A227,'分项对比表(02表)'!$C:$C,A$2)</f>
        <v>0</v>
      </c>
      <c r="H227" s="1038"/>
      <c r="I227" s="1049" t="s">
        <v>1013</v>
      </c>
      <c r="J227" s="1046" t="s">
        <v>735</v>
      </c>
      <c r="K227" s="1050">
        <v>15</v>
      </c>
      <c r="L227" s="1047">
        <f>SUMIFS('01工程产值对比表'!$M:$M,'01工程产值对比表'!$D:$D,I227,'01工程产值对比表'!$C:$C,I$2)</f>
        <v>0</v>
      </c>
      <c r="M227" s="1038"/>
      <c r="N227" s="1038"/>
      <c r="O227" s="1038"/>
      <c r="Q227" t="s">
        <v>1014</v>
      </c>
      <c r="R227" s="697" t="s">
        <v>772</v>
      </c>
      <c r="T227" s="1038">
        <f>SUMIFS('01工程产值对比表'!$M:$M,'01工程产值对比表'!$D:$D,Q227,'01工程产值对比表'!$C:$C,Q$2)</f>
        <v>0</v>
      </c>
      <c r="U227" s="1038"/>
    </row>
    <row r="228" spans="1:21">
      <c r="A228" t="s">
        <v>1015</v>
      </c>
      <c r="B228" s="697" t="s">
        <v>72</v>
      </c>
      <c r="D228">
        <f>SUMIFS('分项对比表(02表)'!$M:$M,'分项对比表(02表)'!$D:$D,A228,'分项对比表(02表)'!$C:$C,A$2)</f>
        <v>0</v>
      </c>
      <c r="H228" s="1038"/>
      <c r="I228" s="1049" t="s">
        <v>1016</v>
      </c>
      <c r="J228" s="1046" t="s">
        <v>735</v>
      </c>
      <c r="K228" s="1050">
        <v>4.69</v>
      </c>
      <c r="L228" s="1047">
        <f>SUMIFS('01工程产值对比表'!$M:$M,'01工程产值对比表'!$D:$D,I228,'01工程产值对比表'!$C:$C,I$2)</f>
        <v>0</v>
      </c>
      <c r="M228" s="1038"/>
      <c r="N228" s="1038"/>
      <c r="O228" s="1038"/>
      <c r="Q228" t="s">
        <v>1017</v>
      </c>
      <c r="R228" s="697" t="s">
        <v>82</v>
      </c>
      <c r="T228" s="1038">
        <f>SUMIFS('01工程产值对比表'!$M:$M,'01工程产值对比表'!$D:$D,Q228,'01工程产值对比表'!$C:$C,Q$2)</f>
        <v>0</v>
      </c>
      <c r="U228" s="1038"/>
    </row>
    <row r="229" spans="1:21">
      <c r="A229" t="s">
        <v>1018</v>
      </c>
      <c r="B229" s="697" t="s">
        <v>72</v>
      </c>
      <c r="D229">
        <f>SUMIFS('分项对比表(02表)'!$M:$M,'分项对比表(02表)'!$D:$D,A229,'分项对比表(02表)'!$C:$C,A$2)</f>
        <v>0</v>
      </c>
      <c r="H229" s="1038"/>
      <c r="I229" s="1049" t="s">
        <v>1019</v>
      </c>
      <c r="J229" s="1046" t="s">
        <v>72</v>
      </c>
      <c r="K229" s="1050">
        <v>9.05</v>
      </c>
      <c r="L229" s="1047">
        <f>SUMIFS('01工程产值对比表'!$M:$M,'01工程产值对比表'!$D:$D,I229,'01工程产值对比表'!$C:$C,I$2)</f>
        <v>0</v>
      </c>
      <c r="M229" s="1038"/>
      <c r="N229" s="1038"/>
      <c r="O229" s="1038"/>
      <c r="Q229" t="s">
        <v>1020</v>
      </c>
      <c r="R229" s="697" t="s">
        <v>772</v>
      </c>
      <c r="T229" s="1038">
        <f>SUMIFS('01工程产值对比表'!$M:$M,'01工程产值对比表'!$D:$D,Q229,'01工程产值对比表'!$C:$C,Q$2)</f>
        <v>0</v>
      </c>
      <c r="U229" s="1038"/>
    </row>
    <row r="230" spans="1:21">
      <c r="A230" t="s">
        <v>1021</v>
      </c>
      <c r="B230" s="697" t="s">
        <v>72</v>
      </c>
      <c r="D230">
        <f>SUMIFS('分项对比表(02表)'!$M:$M,'分项对比表(02表)'!$D:$D,A230,'分项对比表(02表)'!$C:$C,A$2)</f>
        <v>0</v>
      </c>
      <c r="H230" s="1038"/>
      <c r="I230" s="1049" t="s">
        <v>1022</v>
      </c>
      <c r="J230" s="1046" t="s">
        <v>72</v>
      </c>
      <c r="K230" s="1050">
        <v>5.51</v>
      </c>
      <c r="L230" s="1047">
        <f>SUMIFS('01工程产值对比表'!$M:$M,'01工程产值对比表'!$D:$D,I230,'01工程产值对比表'!$C:$C,I$2)</f>
        <v>0</v>
      </c>
      <c r="M230" s="1038"/>
      <c r="N230" s="1038"/>
      <c r="O230" s="1038"/>
      <c r="Q230" t="s">
        <v>1023</v>
      </c>
      <c r="R230" s="697" t="s">
        <v>76</v>
      </c>
      <c r="T230" s="1038">
        <f>SUMIFS('01工程产值对比表'!$M:$M,'01工程产值对比表'!$D:$D,Q230,'01工程产值对比表'!$C:$C,Q$2)</f>
        <v>0</v>
      </c>
      <c r="U230" s="1038"/>
    </row>
    <row r="231" spans="1:21">
      <c r="A231" t="s">
        <v>1024</v>
      </c>
      <c r="B231" s="697" t="s">
        <v>76</v>
      </c>
      <c r="D231">
        <f>SUMIFS('分项对比表(02表)'!$M:$M,'分项对比表(02表)'!$D:$D,A231,'分项对比表(02表)'!$C:$C,A$2)</f>
        <v>0</v>
      </c>
      <c r="H231" s="1038"/>
      <c r="I231" s="1049" t="s">
        <v>1025</v>
      </c>
      <c r="J231" s="1046" t="s">
        <v>72</v>
      </c>
      <c r="K231" s="1050">
        <v>17</v>
      </c>
      <c r="L231" s="1047">
        <f>SUMIFS('01工程产值对比表'!$M:$M,'01工程产值对比表'!$D:$D,I231,'01工程产值对比表'!$C:$C,I$2)</f>
        <v>0</v>
      </c>
      <c r="M231" s="1038"/>
      <c r="N231" s="1038"/>
      <c r="O231" s="1038"/>
      <c r="Q231" t="s">
        <v>1026</v>
      </c>
      <c r="R231" s="697" t="s">
        <v>72</v>
      </c>
      <c r="S231">
        <v>1.5</v>
      </c>
      <c r="T231" s="1038">
        <f>SUMIFS('01工程产值对比表'!$M:$M,'01工程产值对比表'!$D:$D,Q231,'01工程产值对比表'!$C:$C,Q$2)</f>
        <v>0</v>
      </c>
      <c r="U231" s="1038"/>
    </row>
    <row r="232" spans="1:21">
      <c r="A232" t="s">
        <v>1027</v>
      </c>
      <c r="B232" s="697" t="s">
        <v>169</v>
      </c>
      <c r="D232">
        <f>SUMIFS('分项对比表(02表)'!$M:$M,'分项对比表(02表)'!$D:$D,A232,'分项对比表(02表)'!$C:$C,A$2)</f>
        <v>0</v>
      </c>
      <c r="H232" s="1038"/>
      <c r="I232" s="1049" t="s">
        <v>1028</v>
      </c>
      <c r="J232" s="1046" t="s">
        <v>72</v>
      </c>
      <c r="K232" s="1050">
        <v>18</v>
      </c>
      <c r="L232" s="1047">
        <f>SUMIFS('01工程产值对比表'!$M:$M,'01工程产值对比表'!$D:$D,I232,'01工程产值对比表'!$C:$C,I$2)</f>
        <v>0</v>
      </c>
      <c r="M232" s="1038"/>
      <c r="N232" s="1038"/>
      <c r="O232" s="1038"/>
      <c r="Q232" t="s">
        <v>1029</v>
      </c>
      <c r="R232" s="697" t="s">
        <v>72</v>
      </c>
      <c r="S232">
        <v>60</v>
      </c>
      <c r="T232" s="1038">
        <f>SUMIFS('01工程产值对比表'!$M:$M,'01工程产值对比表'!$D:$D,Q232,'01工程产值对比表'!$C:$C,Q$2)</f>
        <v>0</v>
      </c>
      <c r="U232" s="1038"/>
    </row>
    <row r="233" spans="1:21">
      <c r="A233" t="s">
        <v>1030</v>
      </c>
      <c r="B233" s="697" t="s">
        <v>169</v>
      </c>
      <c r="D233">
        <f>SUMIFS('分项对比表(02表)'!$M:$M,'分项对比表(02表)'!$D:$D,A233,'分项对比表(02表)'!$C:$C,A$2)</f>
        <v>0</v>
      </c>
      <c r="H233" s="1038"/>
      <c r="I233" s="1049" t="s">
        <v>1031</v>
      </c>
      <c r="J233" s="1046" t="s">
        <v>72</v>
      </c>
      <c r="K233" s="1050"/>
      <c r="L233" s="1047">
        <f>SUMIFS('01工程产值对比表'!$M:$M,'01工程产值对比表'!$D:$D,I233,'01工程产值对比表'!$C:$C,I$2)</f>
        <v>0</v>
      </c>
      <c r="M233" s="1038"/>
      <c r="N233" s="1038"/>
      <c r="O233" s="1038"/>
      <c r="Q233" t="s">
        <v>1032</v>
      </c>
      <c r="R233" s="697" t="s">
        <v>76</v>
      </c>
      <c r="T233" s="1038">
        <f>SUMIFS('01工程产值对比表'!$M:$M,'01工程产值对比表'!$D:$D,Q233,'01工程产值对比表'!$C:$C,Q$2)</f>
        <v>0</v>
      </c>
      <c r="U233" s="1038"/>
    </row>
    <row r="234" spans="1:21">
      <c r="A234" t="s">
        <v>1033</v>
      </c>
      <c r="B234" s="697" t="s">
        <v>169</v>
      </c>
      <c r="D234">
        <f>SUMIFS('分项对比表(02表)'!$M:$M,'分项对比表(02表)'!$D:$D,A234,'分项对比表(02表)'!$C:$C,A$2)</f>
        <v>0</v>
      </c>
      <c r="H234" s="1038"/>
      <c r="I234" s="1049" t="s">
        <v>1034</v>
      </c>
      <c r="J234" s="1046" t="s">
        <v>72</v>
      </c>
      <c r="K234" s="1050"/>
      <c r="L234" s="1047">
        <f>SUMIFS('01工程产值对比表'!$M:$M,'01工程产值对比表'!$D:$D,I234,'01工程产值对比表'!$C:$C,I$2)</f>
        <v>0</v>
      </c>
      <c r="M234" s="1038"/>
      <c r="N234" s="1038"/>
      <c r="O234" s="1038"/>
      <c r="Q234" t="s">
        <v>1035</v>
      </c>
      <c r="R234" s="697" t="s">
        <v>169</v>
      </c>
      <c r="T234" s="1038">
        <f>SUMIFS('01工程产值对比表'!$M:$M,'01工程产值对比表'!$D:$D,Q234,'01工程产值对比表'!$C:$C,Q$2)</f>
        <v>0</v>
      </c>
      <c r="U234" s="1038"/>
    </row>
    <row r="235" spans="1:21">
      <c r="A235" t="s">
        <v>1036</v>
      </c>
      <c r="B235" s="697" t="s">
        <v>169</v>
      </c>
      <c r="D235">
        <f>SUMIFS('分项对比表(02表)'!$M:$M,'分项对比表(02表)'!$D:$D,A235,'分项对比表(02表)'!$C:$C,A$2)</f>
        <v>0</v>
      </c>
      <c r="H235" s="1038"/>
      <c r="I235" s="1049" t="s">
        <v>1037</v>
      </c>
      <c r="J235" s="1046" t="s">
        <v>72</v>
      </c>
      <c r="K235" s="1050"/>
      <c r="L235" s="1047">
        <f>SUMIFS('01工程产值对比表'!$M:$M,'01工程产值对比表'!$D:$D,I235,'01工程产值对比表'!$C:$C,I$2)</f>
        <v>0</v>
      </c>
      <c r="M235" s="1038"/>
      <c r="N235" s="1038"/>
      <c r="O235" s="1038"/>
      <c r="Q235" t="s">
        <v>1038</v>
      </c>
      <c r="R235" s="697" t="s">
        <v>76</v>
      </c>
      <c r="S235">
        <v>12</v>
      </c>
      <c r="T235" s="1038">
        <f>SUMIFS('01工程产值对比表'!$M:$M,'01工程产值对比表'!$D:$D,Q235,'01工程产值对比表'!$C:$C,Q$2)</f>
        <v>0</v>
      </c>
      <c r="U235" s="1038"/>
    </row>
    <row r="236" spans="1:21">
      <c r="A236" t="s">
        <v>1039</v>
      </c>
      <c r="B236" s="697" t="s">
        <v>169</v>
      </c>
      <c r="D236">
        <f>SUMIFS('分项对比表(02表)'!$M:$M,'分项对比表(02表)'!$D:$D,A236,'分项对比表(02表)'!$C:$C,A$2)</f>
        <v>0</v>
      </c>
      <c r="H236" s="1038"/>
      <c r="I236" s="1049" t="s">
        <v>1040</v>
      </c>
      <c r="J236" s="1046" t="s">
        <v>72</v>
      </c>
      <c r="K236" s="1050"/>
      <c r="L236" s="1047">
        <f>SUMIFS('01工程产值对比表'!$M:$M,'01工程产值对比表'!$D:$D,I236,'01工程产值对比表'!$C:$C,I$2)</f>
        <v>0</v>
      </c>
      <c r="M236" s="1038"/>
      <c r="N236" s="1038"/>
      <c r="O236" s="1038"/>
      <c r="Q236" t="s">
        <v>1041</v>
      </c>
      <c r="R236" s="697" t="s">
        <v>82</v>
      </c>
      <c r="S236">
        <v>650</v>
      </c>
      <c r="T236" s="1038">
        <f>SUMIFS('01工程产值对比表'!$M:$M,'01工程产值对比表'!$D:$D,Q236,'01工程产值对比表'!$C:$C,Q$2)</f>
        <v>258.35074</v>
      </c>
      <c r="U236" s="1038"/>
    </row>
    <row r="237" spans="1:21">
      <c r="A237" t="s">
        <v>1042</v>
      </c>
      <c r="B237" s="697" t="s">
        <v>76</v>
      </c>
      <c r="D237">
        <f>SUMIFS('分项对比表(02表)'!$M:$M,'分项对比表(02表)'!$D:$D,A237,'分项对比表(02表)'!$C:$C,A$2)</f>
        <v>0</v>
      </c>
      <c r="H237" s="1038"/>
      <c r="I237" s="1049" t="s">
        <v>1043</v>
      </c>
      <c r="J237" s="1046" t="s">
        <v>72</v>
      </c>
      <c r="K237" s="1050">
        <v>30</v>
      </c>
      <c r="L237" s="1047">
        <f>SUMIFS('01工程产值对比表'!$M:$M,'01工程产值对比表'!$D:$D,I237,'01工程产值对比表'!$C:$C,I$2)</f>
        <v>0</v>
      </c>
      <c r="M237" s="1038"/>
      <c r="N237" s="1038"/>
      <c r="O237" s="1038"/>
      <c r="Q237" t="s">
        <v>1044</v>
      </c>
      <c r="R237" s="697" t="s">
        <v>72</v>
      </c>
      <c r="S237">
        <v>890</v>
      </c>
      <c r="T237" s="1038">
        <f>SUMIFS('01工程产值对比表'!$M:$M,'01工程产值对比表'!$D:$D,Q237,'01工程产值对比表'!$C:$C,Q$2)</f>
        <v>0</v>
      </c>
      <c r="U237" s="1038"/>
    </row>
    <row r="238" spans="1:21">
      <c r="A238" t="s">
        <v>1045</v>
      </c>
      <c r="B238" s="697" t="s">
        <v>72</v>
      </c>
      <c r="D238">
        <f>SUMIFS('分项对比表(02表)'!$M:$M,'分项对比表(02表)'!$D:$D,A238,'分项对比表(02表)'!$C:$C,A$2)</f>
        <v>0</v>
      </c>
      <c r="H238" s="1038"/>
      <c r="I238" s="1049" t="s">
        <v>1046</v>
      </c>
      <c r="J238" s="1046" t="s">
        <v>72</v>
      </c>
      <c r="K238" s="1050"/>
      <c r="L238" s="1047">
        <f>SUMIFS('01工程产值对比表'!$M:$M,'01工程产值对比表'!$D:$D,I238,'01工程产值对比表'!$C:$C,I$2)</f>
        <v>0</v>
      </c>
      <c r="M238" s="1038"/>
      <c r="N238" s="1038"/>
      <c r="O238" s="1038"/>
      <c r="Q238" t="s">
        <v>1047</v>
      </c>
      <c r="R238" s="697" t="s">
        <v>76</v>
      </c>
      <c r="S238">
        <v>30</v>
      </c>
      <c r="T238" s="1038">
        <f>SUMIFS('01工程产值对比表'!$M:$M,'01工程产值对比表'!$D:$D,Q238,'01工程产值对比表'!$C:$C,Q$2)</f>
        <v>0</v>
      </c>
      <c r="U238" s="1038"/>
    </row>
    <row r="239" spans="1:21">
      <c r="A239" t="s">
        <v>1048</v>
      </c>
      <c r="B239" s="697" t="s">
        <v>72</v>
      </c>
      <c r="D239">
        <f>SUMIFS('分项对比表(02表)'!$M:$M,'分项对比表(02表)'!$D:$D,A239,'分项对比表(02表)'!$C:$C,A$2)</f>
        <v>0</v>
      </c>
      <c r="H239" s="1038"/>
      <c r="I239" s="1049" t="s">
        <v>1049</v>
      </c>
      <c r="J239" s="1046" t="s">
        <v>69</v>
      </c>
      <c r="K239" s="1050">
        <v>2.98</v>
      </c>
      <c r="L239" s="1047">
        <f>SUMIFS('01工程产值对比表'!$M:$M,'01工程产值对比表'!$D:$D,I239,'01工程产值对比表'!$C:$C,I$2)</f>
        <v>0</v>
      </c>
      <c r="M239" s="1038"/>
      <c r="N239" s="1038"/>
      <c r="O239" s="1038"/>
      <c r="Q239" t="s">
        <v>1050</v>
      </c>
      <c r="R239" s="697" t="s">
        <v>76</v>
      </c>
      <c r="S239">
        <v>30</v>
      </c>
      <c r="T239" s="1038">
        <f>SUMIFS('01工程产值对比表'!$M:$M,'01工程产值对比表'!$D:$D,Q239,'01工程产值对比表'!$C:$C,Q$2)</f>
        <v>0</v>
      </c>
      <c r="U239" s="1038"/>
    </row>
    <row r="240" spans="1:21">
      <c r="A240" t="s">
        <v>1051</v>
      </c>
      <c r="B240" s="697" t="s">
        <v>72</v>
      </c>
      <c r="D240">
        <f>SUMIFS('分项对比表(02表)'!$M:$M,'分项对比表(02表)'!$D:$D,A240,'分项对比表(02表)'!$C:$C,A$2)</f>
        <v>0</v>
      </c>
      <c r="H240" s="1038"/>
      <c r="I240" s="1049" t="s">
        <v>1052</v>
      </c>
      <c r="J240" s="1046" t="s">
        <v>69</v>
      </c>
      <c r="K240" s="1050">
        <v>4.56</v>
      </c>
      <c r="L240" s="1047">
        <f>SUMIFS('01工程产值对比表'!$M:$M,'01工程产值对比表'!$D:$D,I240,'01工程产值对比表'!$C:$C,I$2)</f>
        <v>0</v>
      </c>
      <c r="M240" s="1038"/>
      <c r="N240" s="1038"/>
      <c r="O240" s="1038"/>
      <c r="Q240" t="s">
        <v>1053</v>
      </c>
      <c r="R240" s="697" t="s">
        <v>82</v>
      </c>
      <c r="S240">
        <v>3000</v>
      </c>
      <c r="T240" s="1038">
        <f>SUMIFS('01工程产值对比表'!$M:$M,'01工程产值对比表'!$D:$D,Q240,'01工程产值对比表'!$C:$C,Q$2)</f>
        <v>0</v>
      </c>
      <c r="U240" s="1038"/>
    </row>
    <row r="241" spans="1:21">
      <c r="A241" t="s">
        <v>1054</v>
      </c>
      <c r="B241" s="697" t="s">
        <v>72</v>
      </c>
      <c r="D241">
        <f>SUMIFS('分项对比表(02表)'!$M:$M,'分项对比表(02表)'!$D:$D,A241,'分项对比表(02表)'!$C:$C,A$2)</f>
        <v>0</v>
      </c>
      <c r="H241" s="1038"/>
      <c r="I241" s="1049" t="s">
        <v>1055</v>
      </c>
      <c r="J241" s="1046" t="s">
        <v>76</v>
      </c>
      <c r="K241" s="1050"/>
      <c r="L241" s="1047">
        <f>SUMIFS('01工程产值对比表'!$M:$M,'01工程产值对比表'!$D:$D,I241,'01工程产值对比表'!$C:$C,I$2)</f>
        <v>0</v>
      </c>
      <c r="M241" s="1038"/>
      <c r="N241" s="1038"/>
      <c r="O241" s="1038"/>
      <c r="Q241" t="s">
        <v>1056</v>
      </c>
      <c r="R241" s="697" t="s">
        <v>190</v>
      </c>
      <c r="S241">
        <v>180</v>
      </c>
      <c r="T241" s="1038">
        <f>SUMIFS('01工程产值对比表'!$M:$M,'01工程产值对比表'!$D:$D,Q241,'01工程产值对比表'!$C:$C,Q$2)</f>
        <v>61</v>
      </c>
      <c r="U241" s="1038"/>
    </row>
    <row r="242" spans="1:21">
      <c r="A242" t="s">
        <v>1057</v>
      </c>
      <c r="B242" s="697" t="s">
        <v>72</v>
      </c>
      <c r="D242">
        <f>SUMIFS('分项对比表(02表)'!$M:$M,'分项对比表(02表)'!$D:$D,A242,'分项对比表(02表)'!$C:$C,A$2)</f>
        <v>0</v>
      </c>
      <c r="H242" s="1038"/>
      <c r="I242" s="1049" t="s">
        <v>1058</v>
      </c>
      <c r="J242" s="1046" t="s">
        <v>76</v>
      </c>
      <c r="K242" s="1050"/>
      <c r="L242" s="1047">
        <f>SUMIFS('01工程产值对比表'!$M:$M,'01工程产值对比表'!$D:$D,I242,'01工程产值对比表'!$C:$C,I$2)</f>
        <v>0</v>
      </c>
      <c r="M242" s="1038"/>
      <c r="N242" s="1038"/>
      <c r="O242" s="1038"/>
      <c r="Q242" t="s">
        <v>1059</v>
      </c>
      <c r="R242" s="697" t="s">
        <v>284</v>
      </c>
      <c r="S242">
        <v>1576</v>
      </c>
      <c r="T242" s="1038">
        <f>SUMIFS('01工程产值对比表'!$M:$M,'01工程产值对比表'!$D:$D,Q242,'01工程产值对比表'!$C:$C,Q$2)</f>
        <v>0</v>
      </c>
      <c r="U242" s="1038"/>
    </row>
    <row r="243" spans="1:21">
      <c r="A243" t="s">
        <v>1060</v>
      </c>
      <c r="B243" s="697" t="s">
        <v>72</v>
      </c>
      <c r="D243">
        <f>SUMIFS('分项对比表(02表)'!$M:$M,'分项对比表(02表)'!$D:$D,A243,'分项对比表(02表)'!$C:$C,A$2)</f>
        <v>0</v>
      </c>
      <c r="H243" s="1038"/>
      <c r="I243" s="1049" t="s">
        <v>1061</v>
      </c>
      <c r="J243" s="1046" t="s">
        <v>76</v>
      </c>
      <c r="K243" s="1050"/>
      <c r="L243" s="1047">
        <f>SUMIFS('01工程产值对比表'!$M:$M,'01工程产值对比表'!$D:$D,I243,'01工程产值对比表'!$C:$C,I$2)</f>
        <v>0</v>
      </c>
      <c r="M243" s="1038"/>
      <c r="N243" s="1038"/>
      <c r="O243" s="1038"/>
      <c r="Q243" t="s">
        <v>1062</v>
      </c>
      <c r="R243" s="697" t="s">
        <v>190</v>
      </c>
      <c r="S243">
        <v>200</v>
      </c>
      <c r="T243" s="1038">
        <f>SUMIFS('01工程产值对比表'!$M:$M,'01工程产值对比表'!$D:$D,Q243,'01工程产值对比表'!$C:$C,Q$2)</f>
        <v>130</v>
      </c>
      <c r="U243" s="1038"/>
    </row>
    <row r="244" spans="1:21">
      <c r="A244" t="s">
        <v>1063</v>
      </c>
      <c r="B244" s="697" t="s">
        <v>72</v>
      </c>
      <c r="D244">
        <f>SUMIFS('分项对比表(02表)'!$M:$M,'分项对比表(02表)'!$D:$D,A244,'分项对比表(02表)'!$C:$C,A$2)</f>
        <v>0</v>
      </c>
      <c r="I244" s="1049" t="s">
        <v>1064</v>
      </c>
      <c r="J244" s="1046" t="s">
        <v>76</v>
      </c>
      <c r="K244" s="1050"/>
      <c r="L244" s="1047">
        <f>SUMIFS('01工程产值对比表'!$M:$M,'01工程产值对比表'!$D:$D,I244,'01工程产值对比表'!$C:$C,I$2)</f>
        <v>0</v>
      </c>
      <c r="M244" s="1038"/>
      <c r="N244" s="1038"/>
      <c r="O244" s="1038"/>
      <c r="Q244" t="s">
        <v>1065</v>
      </c>
      <c r="R244" s="697" t="s">
        <v>69</v>
      </c>
      <c r="S244">
        <v>10</v>
      </c>
      <c r="T244" s="1038">
        <f>SUMIFS('01工程产值对比表'!$M:$M,'01工程产值对比表'!$D:$D,Q244,'01工程产值对比表'!$C:$C,Q$2)</f>
        <v>0</v>
      </c>
      <c r="U244" s="1038"/>
    </row>
    <row r="245" spans="1:21">
      <c r="A245" t="s">
        <v>1066</v>
      </c>
      <c r="B245" s="697" t="s">
        <v>82</v>
      </c>
      <c r="D245">
        <f>SUMIFS('分项对比表(02表)'!$M:$M,'分项对比表(02表)'!$D:$D,A245,'分项对比表(02表)'!$C:$C,A$2)</f>
        <v>0</v>
      </c>
      <c r="I245" s="1049" t="s">
        <v>1067</v>
      </c>
      <c r="J245" s="1046" t="s">
        <v>76</v>
      </c>
      <c r="K245" s="1050"/>
      <c r="L245" s="1047">
        <f>SUMIFS('01工程产值对比表'!$M:$M,'01工程产值对比表'!$D:$D,I245,'01工程产值对比表'!$C:$C,I$2)</f>
        <v>0</v>
      </c>
      <c r="M245" s="1038"/>
      <c r="N245" s="1038"/>
      <c r="O245" s="1038"/>
      <c r="Q245" t="s">
        <v>1068</v>
      </c>
      <c r="R245" s="697" t="s">
        <v>69</v>
      </c>
      <c r="S245">
        <v>25</v>
      </c>
      <c r="T245" s="1038">
        <f>SUMIFS('01工程产值对比表'!$M:$M,'01工程产值对比表'!$D:$D,Q245,'01工程产值对比表'!$C:$C,Q$2)</f>
        <v>0</v>
      </c>
      <c r="U245" s="1038"/>
    </row>
    <row r="246" spans="1:21">
      <c r="A246" t="s">
        <v>1069</v>
      </c>
      <c r="B246" s="697" t="s">
        <v>82</v>
      </c>
      <c r="D246">
        <f>SUMIFS('分项对比表(02表)'!$M:$M,'分项对比表(02表)'!$D:$D,A246,'分项对比表(02表)'!$C:$C,A$2)</f>
        <v>0</v>
      </c>
      <c r="I246" s="1049" t="s">
        <v>1070</v>
      </c>
      <c r="J246" s="1046" t="s">
        <v>76</v>
      </c>
      <c r="K246" s="1050"/>
      <c r="L246" s="1047">
        <f>SUMIFS('01工程产值对比表'!$M:$M,'01工程产值对比表'!$D:$D,I246,'01工程产值对比表'!$C:$C,I$2)</f>
        <v>0</v>
      </c>
      <c r="M246" s="1038"/>
      <c r="N246" s="1038"/>
      <c r="O246" s="1038"/>
      <c r="Q246" t="s">
        <v>1071</v>
      </c>
      <c r="R246" s="697" t="s">
        <v>175</v>
      </c>
      <c r="S246">
        <v>1000</v>
      </c>
      <c r="T246" s="1038">
        <f>SUMIFS('01工程产值对比表'!$M:$M,'01工程产值对比表'!$D:$D,Q246,'01工程产值对比表'!$C:$C,Q$2)</f>
        <v>0</v>
      </c>
      <c r="U246" s="1038"/>
    </row>
    <row r="247" spans="1:21">
      <c r="A247" t="s">
        <v>1072</v>
      </c>
      <c r="B247" s="697" t="s">
        <v>69</v>
      </c>
      <c r="D247">
        <f>SUMIFS('分项对比表(02表)'!$M:$M,'分项对比表(02表)'!$D:$D,A247,'分项对比表(02表)'!$C:$C,A$2)</f>
        <v>0</v>
      </c>
      <c r="I247" s="1049" t="s">
        <v>1073</v>
      </c>
      <c r="J247" s="1046" t="s">
        <v>76</v>
      </c>
      <c r="K247" s="1050"/>
      <c r="L247" s="1047">
        <f>SUMIFS('01工程产值对比表'!$M:$M,'01工程产值对比表'!$D:$D,I247,'01工程产值对比表'!$C:$C,I$2)</f>
        <v>0</v>
      </c>
      <c r="M247" s="1038"/>
      <c r="N247" s="1038"/>
      <c r="O247" s="1038"/>
      <c r="Q247" t="s">
        <v>1074</v>
      </c>
      <c r="R247" s="697" t="s">
        <v>175</v>
      </c>
      <c r="S247">
        <v>1000</v>
      </c>
      <c r="T247" s="1038">
        <f>SUMIFS('01工程产值对比表'!$M:$M,'01工程产值对比表'!$D:$D,Q247,'01工程产值对比表'!$C:$C,Q$2)</f>
        <v>0</v>
      </c>
      <c r="U247" s="1038"/>
    </row>
    <row r="248" spans="1:21">
      <c r="A248" t="s">
        <v>1075</v>
      </c>
      <c r="B248" s="697" t="s">
        <v>69</v>
      </c>
      <c r="D248">
        <f>SUMIFS('分项对比表(02表)'!$M:$M,'分项对比表(02表)'!$D:$D,A248,'分项对比表(02表)'!$C:$C,A$2)</f>
        <v>0</v>
      </c>
      <c r="I248" s="1049" t="s">
        <v>1076</v>
      </c>
      <c r="J248" s="1046" t="s">
        <v>76</v>
      </c>
      <c r="K248" s="1050"/>
      <c r="L248" s="1047">
        <f>SUMIFS('01工程产值对比表'!$M:$M,'01工程产值对比表'!$D:$D,I248,'01工程产值对比表'!$C:$C,I$2)</f>
        <v>0</v>
      </c>
      <c r="M248" s="1038"/>
      <c r="N248" s="1038"/>
      <c r="O248" s="1038"/>
      <c r="Q248" t="s">
        <v>1077</v>
      </c>
      <c r="R248" s="697" t="s">
        <v>175</v>
      </c>
      <c r="S248">
        <v>1000</v>
      </c>
      <c r="T248" s="1038">
        <f>SUMIFS('01工程产值对比表'!$M:$M,'01工程产值对比表'!$D:$D,Q248,'01工程产值对比表'!$C:$C,Q$2)</f>
        <v>0</v>
      </c>
      <c r="U248" s="1038"/>
    </row>
    <row r="249" spans="1:21">
      <c r="A249" t="s">
        <v>1078</v>
      </c>
      <c r="B249" s="697" t="s">
        <v>72</v>
      </c>
      <c r="D249">
        <f>SUMIFS('分项对比表(02表)'!$M:$M,'分项对比表(02表)'!$D:$D,A249,'分项对比表(02表)'!$C:$C,A$2)</f>
        <v>0</v>
      </c>
      <c r="I249" s="1049" t="s">
        <v>1079</v>
      </c>
      <c r="J249" s="1046" t="s">
        <v>76</v>
      </c>
      <c r="K249" s="1050"/>
      <c r="L249" s="1047">
        <f>SUMIFS('01工程产值对比表'!$M:$M,'01工程产值对比表'!$D:$D,I249,'01工程产值对比表'!$C:$C,I$2)</f>
        <v>0</v>
      </c>
      <c r="M249" s="1038"/>
      <c r="N249" s="1038"/>
      <c r="O249" s="1038"/>
      <c r="Q249" t="s">
        <v>1080</v>
      </c>
      <c r="R249" s="697" t="s">
        <v>175</v>
      </c>
      <c r="S249">
        <v>250</v>
      </c>
      <c r="T249" s="1038">
        <f>SUMIFS('01工程产值对比表'!$M:$M,'01工程产值对比表'!$D:$D,Q249,'01工程产值对比表'!$C:$C,Q$2)</f>
        <v>8</v>
      </c>
      <c r="U249" s="1038"/>
    </row>
    <row r="250" spans="1:21">
      <c r="A250" t="s">
        <v>1081</v>
      </c>
      <c r="B250" s="697" t="s">
        <v>72</v>
      </c>
      <c r="D250">
        <f>SUMIFS('分项对比表(02表)'!$M:$M,'分项对比表(02表)'!$D:$D,A250,'分项对比表(02表)'!$C:$C,A$2)</f>
        <v>0</v>
      </c>
      <c r="I250" s="1049" t="s">
        <v>1082</v>
      </c>
      <c r="J250" s="1046" t="s">
        <v>76</v>
      </c>
      <c r="K250" s="1050"/>
      <c r="L250" s="1047">
        <f>SUMIFS('01工程产值对比表'!$M:$M,'01工程产值对比表'!$D:$D,I250,'01工程产值对比表'!$C:$C,I$2)</f>
        <v>0</v>
      </c>
      <c r="M250" s="1038"/>
      <c r="N250" s="1038"/>
      <c r="O250" s="1038"/>
      <c r="Q250" t="s">
        <v>1083</v>
      </c>
      <c r="R250" s="697" t="s">
        <v>76</v>
      </c>
      <c r="S250">
        <v>40</v>
      </c>
      <c r="T250" s="1038">
        <f>SUMIFS('01工程产值对比表'!$M:$M,'01工程产值对比表'!$D:$D,Q250,'01工程产值对比表'!$C:$C,Q$2)</f>
        <v>0</v>
      </c>
      <c r="U250" s="1038"/>
    </row>
    <row r="251" spans="1:21">
      <c r="A251" t="s">
        <v>1084</v>
      </c>
      <c r="B251" s="697" t="s">
        <v>69</v>
      </c>
      <c r="D251">
        <f>SUMIFS('分项对比表(02表)'!$M:$M,'分项对比表(02表)'!$D:$D,A251,'分项对比表(02表)'!$C:$C,A$2)</f>
        <v>0</v>
      </c>
      <c r="I251" s="1049" t="s">
        <v>1085</v>
      </c>
      <c r="J251" s="1046" t="s">
        <v>76</v>
      </c>
      <c r="K251" s="1050"/>
      <c r="L251" s="1047">
        <f>SUMIFS('01工程产值对比表'!$M:$M,'01工程产值对比表'!$D:$D,I251,'01工程产值对比表'!$C:$C,I$2)</f>
        <v>0</v>
      </c>
      <c r="M251" s="1038"/>
      <c r="N251" s="1038"/>
      <c r="O251" s="1038"/>
      <c r="Q251" t="s">
        <v>1086</v>
      </c>
      <c r="R251" s="697" t="s">
        <v>76</v>
      </c>
      <c r="S251">
        <v>40</v>
      </c>
      <c r="T251" s="1038">
        <f>SUMIFS('01工程产值对比表'!$M:$M,'01工程产值对比表'!$D:$D,Q251,'01工程产值对比表'!$C:$C,Q$2)</f>
        <v>0</v>
      </c>
      <c r="U251" s="1038"/>
    </row>
    <row r="252" spans="1:21">
      <c r="A252" t="s">
        <v>1087</v>
      </c>
      <c r="B252" s="697" t="s">
        <v>72</v>
      </c>
      <c r="D252">
        <f>SUMIFS('分项对比表(02表)'!$M:$M,'分项对比表(02表)'!$D:$D,A252,'分项对比表(02表)'!$C:$C,A$2)</f>
        <v>0</v>
      </c>
      <c r="I252" s="1049" t="s">
        <v>1088</v>
      </c>
      <c r="J252" s="1046" t="s">
        <v>76</v>
      </c>
      <c r="K252" s="1050"/>
      <c r="L252" s="1047">
        <f>SUMIFS('01工程产值对比表'!$M:$M,'01工程产值对比表'!$D:$D,I252,'01工程产值对比表'!$C:$C,I$2)</f>
        <v>0</v>
      </c>
      <c r="M252" s="1038"/>
      <c r="N252" s="1038"/>
      <c r="O252" s="1038"/>
      <c r="Q252" t="s">
        <v>1089</v>
      </c>
      <c r="R252" s="697" t="s">
        <v>76</v>
      </c>
      <c r="S252">
        <v>40</v>
      </c>
      <c r="T252" s="1038">
        <f>SUMIFS('01工程产值对比表'!$M:$M,'01工程产值对比表'!$D:$D,Q252,'01工程产值对比表'!$C:$C,Q$2)</f>
        <v>0</v>
      </c>
      <c r="U252" s="1038"/>
    </row>
    <row r="253" spans="1:21">
      <c r="A253" t="s">
        <v>1090</v>
      </c>
      <c r="B253" s="697" t="s">
        <v>69</v>
      </c>
      <c r="D253">
        <f>SUMIFS('分项对比表(02表)'!$M:$M,'分项对比表(02表)'!$D:$D,A253,'分项对比表(02表)'!$C:$C,A$2)</f>
        <v>0</v>
      </c>
      <c r="I253" s="1049" t="s">
        <v>1091</v>
      </c>
      <c r="J253" s="1046" t="s">
        <v>76</v>
      </c>
      <c r="K253" s="1050"/>
      <c r="L253" s="1047">
        <f>SUMIFS('01工程产值对比表'!$M:$M,'01工程产值对比表'!$D:$D,I253,'01工程产值对比表'!$C:$C,I$2)</f>
        <v>0</v>
      </c>
      <c r="M253" s="1038"/>
      <c r="N253" s="1038"/>
      <c r="O253" s="1038"/>
      <c r="Q253" t="s">
        <v>1092</v>
      </c>
      <c r="R253" s="697" t="s">
        <v>175</v>
      </c>
      <c r="S253">
        <v>400</v>
      </c>
      <c r="T253" s="1038">
        <f>SUMIFS('01工程产值对比表'!$M:$M,'01工程产值对比表'!$D:$D,Q253,'01工程产值对比表'!$C:$C,Q$2)</f>
        <v>0</v>
      </c>
      <c r="U253" s="1038"/>
    </row>
    <row r="254" spans="1:21">
      <c r="A254" t="s">
        <v>1093</v>
      </c>
      <c r="B254" s="697" t="s">
        <v>69</v>
      </c>
      <c r="D254">
        <f>SUMIFS('分项对比表(02表)'!$M:$M,'分项对比表(02表)'!$D:$D,A254,'分项对比表(02表)'!$C:$C,A$2)</f>
        <v>0</v>
      </c>
      <c r="I254" s="1049" t="s">
        <v>1094</v>
      </c>
      <c r="J254" s="1046" t="s">
        <v>76</v>
      </c>
      <c r="K254" s="1050"/>
      <c r="L254" s="1047">
        <f>SUMIFS('01工程产值对比表'!$M:$M,'01工程产值对比表'!$D:$D,I254,'01工程产值对比表'!$C:$C,I$2)</f>
        <v>0</v>
      </c>
      <c r="M254" s="1038"/>
      <c r="N254" s="1038"/>
      <c r="O254" s="1038"/>
      <c r="Q254" t="s">
        <v>1095</v>
      </c>
      <c r="R254" s="697" t="s">
        <v>72</v>
      </c>
      <c r="S254">
        <v>266.6</v>
      </c>
      <c r="T254" s="1038">
        <f>SUMIFS('01工程产值对比表'!$M:$M,'01工程产值对比表'!$D:$D,Q254,'01工程产值对比表'!$C:$C,Q$2)</f>
        <v>0</v>
      </c>
      <c r="U254" s="1038"/>
    </row>
    <row r="255" spans="1:21">
      <c r="A255" t="s">
        <v>1096</v>
      </c>
      <c r="B255" s="697" t="s">
        <v>76</v>
      </c>
      <c r="D255">
        <f>SUMIFS('分项对比表(02表)'!$M:$M,'分项对比表(02表)'!$D:$D,A255,'分项对比表(02表)'!$C:$C,A$2)</f>
        <v>0</v>
      </c>
      <c r="I255" s="1049" t="s">
        <v>1097</v>
      </c>
      <c r="J255" s="1046" t="s">
        <v>76</v>
      </c>
      <c r="K255" s="1050"/>
      <c r="L255" s="1047">
        <f>SUMIFS('01工程产值对比表'!$M:$M,'01工程产值对比表'!$D:$D,I255,'01工程产值对比表'!$C:$C,I$2)</f>
        <v>0</v>
      </c>
      <c r="M255" s="1038"/>
      <c r="N255" s="1038"/>
      <c r="O255" s="1038"/>
      <c r="Q255" t="s">
        <v>1098</v>
      </c>
      <c r="R255" s="697" t="s">
        <v>69</v>
      </c>
      <c r="S255">
        <v>18</v>
      </c>
      <c r="T255" s="1038">
        <f>SUMIFS('01工程产值对比表'!$M:$M,'01工程产值对比表'!$D:$D,Q255,'01工程产值对比表'!$C:$C,Q$2)</f>
        <v>0</v>
      </c>
      <c r="U255" s="1038"/>
    </row>
    <row r="256" spans="1:21">
      <c r="A256" t="s">
        <v>1099</v>
      </c>
      <c r="B256" s="697" t="s">
        <v>76</v>
      </c>
      <c r="D256">
        <f>SUMIFS('分项对比表(02表)'!$M:$M,'分项对比表(02表)'!$D:$D,A256,'分项对比表(02表)'!$C:$C,A$2)</f>
        <v>0</v>
      </c>
      <c r="I256" s="1049" t="s">
        <v>1100</v>
      </c>
      <c r="J256" s="1046" t="s">
        <v>76</v>
      </c>
      <c r="K256" s="1050"/>
      <c r="L256" s="1047">
        <f>SUMIFS('01工程产值对比表'!$M:$M,'01工程产值对比表'!$D:$D,I256,'01工程产值对比表'!$C:$C,I$2)</f>
        <v>0</v>
      </c>
      <c r="M256" s="1038"/>
      <c r="N256" s="1038"/>
      <c r="O256" s="1038"/>
      <c r="Q256" t="s">
        <v>1101</v>
      </c>
      <c r="R256" s="697" t="s">
        <v>69</v>
      </c>
      <c r="S256">
        <v>43</v>
      </c>
      <c r="T256" s="1038">
        <f>SUMIFS('01工程产值对比表'!$M:$M,'01工程产值对比表'!$D:$D,Q256,'01工程产值对比表'!$C:$C,Q$2)</f>
        <v>48.09</v>
      </c>
      <c r="U256" s="1038"/>
    </row>
    <row r="257" spans="1:21">
      <c r="A257" t="s">
        <v>1102</v>
      </c>
      <c r="B257" s="697" t="s">
        <v>72</v>
      </c>
      <c r="D257">
        <f>SUMIFS('分项对比表(02表)'!$M:$M,'分项对比表(02表)'!$D:$D,A257,'分项对比表(02表)'!$C:$C,A$2)</f>
        <v>0</v>
      </c>
      <c r="I257" s="1049" t="s">
        <v>1103</v>
      </c>
      <c r="J257" s="1046" t="s">
        <v>76</v>
      </c>
      <c r="K257" s="1050"/>
      <c r="L257" s="1047">
        <f>SUMIFS('01工程产值对比表'!$M:$M,'01工程产值对比表'!$D:$D,I257,'01工程产值对比表'!$C:$C,I$2)</f>
        <v>0</v>
      </c>
      <c r="M257" s="1038"/>
      <c r="N257" s="1038"/>
      <c r="O257" s="1038"/>
      <c r="Q257" t="s">
        <v>1104</v>
      </c>
      <c r="R257" s="697" t="s">
        <v>69</v>
      </c>
      <c r="S257">
        <v>15</v>
      </c>
      <c r="T257" s="1038">
        <f>SUMIFS('01工程产值对比表'!$M:$M,'01工程产值对比表'!$D:$D,Q257,'01工程产值对比表'!$C:$C,Q$2)</f>
        <v>114</v>
      </c>
      <c r="U257" s="1038"/>
    </row>
    <row r="258" spans="1:21">
      <c r="A258" t="s">
        <v>1105</v>
      </c>
      <c r="B258" s="697" t="s">
        <v>82</v>
      </c>
      <c r="D258">
        <f>SUMIFS('分项对比表(02表)'!$M:$M,'分项对比表(02表)'!$D:$D,A258,'分项对比表(02表)'!$C:$C,A$2)</f>
        <v>0</v>
      </c>
      <c r="I258" s="1049" t="s">
        <v>1106</v>
      </c>
      <c r="J258" s="1046" t="s">
        <v>76</v>
      </c>
      <c r="K258" s="1050"/>
      <c r="L258" s="1047">
        <f>SUMIFS('01工程产值对比表'!$M:$M,'01工程产值对比表'!$D:$D,I258,'01工程产值对比表'!$C:$C,I$2)</f>
        <v>0</v>
      </c>
      <c r="M258" s="1038"/>
      <c r="N258" s="1038"/>
      <c r="O258" s="1038"/>
      <c r="Q258" t="s">
        <v>1107</v>
      </c>
      <c r="R258" s="697" t="s">
        <v>175</v>
      </c>
      <c r="S258">
        <v>600</v>
      </c>
      <c r="T258" s="1038">
        <f>SUMIFS('01工程产值对比表'!$M:$M,'01工程产值对比表'!$D:$D,Q258,'01工程产值对比表'!$C:$C,Q$2)</f>
        <v>0</v>
      </c>
      <c r="U258" s="1038"/>
    </row>
    <row r="259" spans="1:21">
      <c r="A259" t="s">
        <v>1108</v>
      </c>
      <c r="B259" s="697" t="s">
        <v>76</v>
      </c>
      <c r="D259">
        <f>SUMIFS('分项对比表(02表)'!$M:$M,'分项对比表(02表)'!$D:$D,A259,'分项对比表(02表)'!$C:$C,A$2)</f>
        <v>0</v>
      </c>
      <c r="I259" s="1049" t="s">
        <v>1109</v>
      </c>
      <c r="J259" s="1046" t="s">
        <v>76</v>
      </c>
      <c r="K259" s="1050"/>
      <c r="L259" s="1047">
        <f>SUMIFS('01工程产值对比表'!$M:$M,'01工程产值对比表'!$D:$D,I259,'01工程产值对比表'!$C:$C,I$2)</f>
        <v>0</v>
      </c>
      <c r="M259" s="1038"/>
      <c r="N259" s="1038"/>
      <c r="O259" s="1038"/>
      <c r="Q259" t="s">
        <v>1110</v>
      </c>
      <c r="R259" s="697" t="s">
        <v>69</v>
      </c>
      <c r="S259">
        <v>60</v>
      </c>
      <c r="T259" s="1038">
        <f>SUMIFS('01工程产值对比表'!$M:$M,'01工程产值对比表'!$D:$D,Q259,'01工程产值对比表'!$C:$C,Q$2)</f>
        <v>0</v>
      </c>
      <c r="U259" s="1038"/>
    </row>
    <row r="260" spans="1:21">
      <c r="A260" t="s">
        <v>1111</v>
      </c>
      <c r="B260" s="697" t="s">
        <v>169</v>
      </c>
      <c r="D260">
        <f>SUMIFS('分项对比表(02表)'!$M:$M,'分项对比表(02表)'!$D:$D,A260,'分项对比表(02表)'!$C:$C,A$2)</f>
        <v>0</v>
      </c>
      <c r="I260" s="1049" t="s">
        <v>1112</v>
      </c>
      <c r="J260" s="1046" t="s">
        <v>76</v>
      </c>
      <c r="K260" s="1050"/>
      <c r="L260" s="1047">
        <f>SUMIFS('01工程产值对比表'!$M:$M,'01工程产值对比表'!$D:$D,I260,'01工程产值对比表'!$C:$C,I$2)</f>
        <v>0</v>
      </c>
      <c r="M260" s="1038"/>
      <c r="N260" s="1038"/>
      <c r="O260" s="1038"/>
      <c r="Q260" t="s">
        <v>1113</v>
      </c>
      <c r="R260" s="697" t="s">
        <v>689</v>
      </c>
      <c r="S260">
        <v>185</v>
      </c>
      <c r="T260" s="1038">
        <f>SUMIFS('01工程产值对比表'!$M:$M,'01工程产值对比表'!$D:$D,Q260,'01工程产值对比表'!$C:$C,Q$2)</f>
        <v>0</v>
      </c>
      <c r="U260" s="1038"/>
    </row>
    <row r="261" spans="1:21">
      <c r="A261" t="s">
        <v>1114</v>
      </c>
      <c r="B261" s="697" t="s">
        <v>72</v>
      </c>
      <c r="D261">
        <f>SUMIFS('分项对比表(02表)'!$M:$M,'分项对比表(02表)'!$D:$D,A261,'分项对比表(02表)'!$C:$C,A$2)</f>
        <v>0</v>
      </c>
      <c r="I261" s="1049" t="s">
        <v>1115</v>
      </c>
      <c r="J261" s="1046" t="s">
        <v>76</v>
      </c>
      <c r="K261" s="1050"/>
      <c r="L261" s="1047">
        <f>SUMIFS('01工程产值对比表'!$M:$M,'01工程产值对比表'!$D:$D,I261,'01工程产值对比表'!$C:$C,I$2)</f>
        <v>0</v>
      </c>
      <c r="M261" s="1038"/>
      <c r="N261" s="1038"/>
      <c r="O261" s="1038"/>
      <c r="Q261" t="s">
        <v>1116</v>
      </c>
      <c r="R261" s="697" t="s">
        <v>689</v>
      </c>
      <c r="S261">
        <v>90</v>
      </c>
      <c r="T261" s="1038">
        <f>SUMIFS('01工程产值对比表'!$M:$M,'01工程产值对比表'!$D:$D,Q261,'01工程产值对比表'!$C:$C,Q$2)</f>
        <v>0</v>
      </c>
      <c r="U261" s="1038"/>
    </row>
    <row r="262" spans="1:20">
      <c r="A262" t="s">
        <v>1117</v>
      </c>
      <c r="B262" s="697" t="s">
        <v>72</v>
      </c>
      <c r="D262">
        <f>SUMIFS('分项对比表(02表)'!$M:$M,'分项对比表(02表)'!$D:$D,A262,'分项对比表(02表)'!$C:$C,A$2)</f>
        <v>0</v>
      </c>
      <c r="I262" s="1049" t="s">
        <v>1118</v>
      </c>
      <c r="J262" s="1046" t="s">
        <v>76</v>
      </c>
      <c r="K262" s="1050">
        <v>16150</v>
      </c>
      <c r="L262" s="1047">
        <f>SUMIFS('01工程产值对比表'!$M:$M,'01工程产值对比表'!$D:$D,I262,'01工程产值对比表'!$C:$C,I$2)</f>
        <v>0</v>
      </c>
      <c r="M262" s="1038"/>
      <c r="N262" s="1038"/>
      <c r="O262" s="1038"/>
      <c r="Q262" t="s">
        <v>1119</v>
      </c>
      <c r="R262" s="697" t="s">
        <v>72</v>
      </c>
      <c r="S262">
        <v>270</v>
      </c>
      <c r="T262" s="1038">
        <f>SUMIFS('01工程产值对比表'!$M:$M,'01工程产值对比表'!$D:$D,Q262,'01工程产值对比表'!$C:$C,Q$2)</f>
        <v>0</v>
      </c>
    </row>
    <row r="263" spans="1:20">
      <c r="A263" t="s">
        <v>1120</v>
      </c>
      <c r="B263" s="697" t="s">
        <v>169</v>
      </c>
      <c r="D263">
        <f>SUMIFS('分项对比表(02表)'!$M:$M,'分项对比表(02表)'!$D:$D,A263,'分项对比表(02表)'!$C:$C,A$2)</f>
        <v>0</v>
      </c>
      <c r="I263" s="1049" t="s">
        <v>1121</v>
      </c>
      <c r="J263" s="1046" t="s">
        <v>76</v>
      </c>
      <c r="K263" s="1050">
        <v>31333.33</v>
      </c>
      <c r="L263" s="1047">
        <f>SUMIFS('01工程产值对比表'!$M:$M,'01工程产值对比表'!$D:$D,I263,'01工程产值对比表'!$C:$C,I$2)</f>
        <v>0</v>
      </c>
      <c r="M263" s="1038"/>
      <c r="N263" s="1038"/>
      <c r="O263" s="1038"/>
      <c r="Q263" t="s">
        <v>1122</v>
      </c>
      <c r="R263" s="697" t="s">
        <v>185</v>
      </c>
      <c r="S263">
        <v>10</v>
      </c>
      <c r="T263" s="1038">
        <f>SUMIFS('01工程产值对比表'!$M:$M,'01工程产值对比表'!$D:$D,Q263,'01工程产值对比表'!$C:$C,Q$2)</f>
        <v>0</v>
      </c>
    </row>
    <row r="264" spans="1:20">
      <c r="A264" t="s">
        <v>1123</v>
      </c>
      <c r="B264" s="697" t="s">
        <v>76</v>
      </c>
      <c r="D264">
        <f>SUMIFS('分项对比表(02表)'!$M:$M,'分项对比表(02表)'!$D:$D,A264,'分项对比表(02表)'!$C:$C,A$2)</f>
        <v>0</v>
      </c>
      <c r="I264" s="1049" t="s">
        <v>1124</v>
      </c>
      <c r="J264" s="1046" t="s">
        <v>76</v>
      </c>
      <c r="K264" s="1050"/>
      <c r="L264" s="1047">
        <f>SUMIFS('01工程产值对比表'!$M:$M,'01工程产值对比表'!$D:$D,I264,'01工程产值对比表'!$C:$C,I$2)</f>
        <v>0</v>
      </c>
      <c r="M264" s="1038"/>
      <c r="N264" s="1038"/>
      <c r="O264" s="1038"/>
      <c r="Q264" t="s">
        <v>1125</v>
      </c>
      <c r="R264" s="697" t="s">
        <v>72</v>
      </c>
      <c r="S264">
        <v>180</v>
      </c>
      <c r="T264" s="1038">
        <f>SUMIFS('01工程产值对比表'!$M:$M,'01工程产值对比表'!$D:$D,Q264,'01工程产值对比表'!$C:$C,Q$2)</f>
        <v>0</v>
      </c>
    </row>
    <row r="265" spans="1:20">
      <c r="A265" t="s">
        <v>1126</v>
      </c>
      <c r="B265" s="697" t="s">
        <v>72</v>
      </c>
      <c r="D265">
        <f>SUMIFS('分项对比表(02表)'!$M:$M,'分项对比表(02表)'!$D:$D,A265,'分项对比表(02表)'!$C:$C,A$2)</f>
        <v>0</v>
      </c>
      <c r="I265" s="1049" t="s">
        <v>1127</v>
      </c>
      <c r="J265" s="1046" t="s">
        <v>76</v>
      </c>
      <c r="K265" s="1050">
        <v>16000</v>
      </c>
      <c r="L265" s="1047">
        <f>SUMIFS('01工程产值对比表'!$M:$M,'01工程产值对比表'!$D:$D,I265,'01工程产值对比表'!$C:$C,I$2)</f>
        <v>0</v>
      </c>
      <c r="M265" s="1038"/>
      <c r="N265" s="1038"/>
      <c r="O265" s="1038"/>
      <c r="Q265" t="s">
        <v>1128</v>
      </c>
      <c r="R265" s="697" t="s">
        <v>72</v>
      </c>
      <c r="S265">
        <v>160</v>
      </c>
      <c r="T265" s="1038">
        <f>SUMIFS('01工程产值对比表'!$M:$M,'01工程产值对比表'!$D:$D,Q265,'01工程产值对比表'!$C:$C,Q$2)</f>
        <v>0</v>
      </c>
    </row>
    <row r="266" spans="1:20">
      <c r="A266" t="s">
        <v>1129</v>
      </c>
      <c r="B266" s="697" t="s">
        <v>72</v>
      </c>
      <c r="D266">
        <f>SUMIFS('分项对比表(02表)'!$M:$M,'分项对比表(02表)'!$D:$D,A266,'分项对比表(02表)'!$C:$C,A$2)</f>
        <v>0</v>
      </c>
      <c r="I266" s="1049" t="s">
        <v>1130</v>
      </c>
      <c r="J266" s="1046" t="s">
        <v>76</v>
      </c>
      <c r="K266" s="1050">
        <v>27900</v>
      </c>
      <c r="L266" s="1047">
        <f>SUMIFS('01工程产值对比表'!$M:$M,'01工程产值对比表'!$D:$D,I266,'01工程产值对比表'!$C:$C,I$2)</f>
        <v>0</v>
      </c>
      <c r="M266" s="1038"/>
      <c r="N266" s="1038"/>
      <c r="O266" s="1038"/>
      <c r="Q266" t="s">
        <v>1131</v>
      </c>
      <c r="R266" s="697" t="s">
        <v>76</v>
      </c>
      <c r="S266">
        <v>5</v>
      </c>
      <c r="T266" s="1038">
        <f>SUMIFS('01工程产值对比表'!$M:$M,'01工程产值对比表'!$D:$D,Q266,'01工程产值对比表'!$C:$C,Q$2)</f>
        <v>0</v>
      </c>
    </row>
    <row r="267" spans="1:35">
      <c r="A267" t="s">
        <v>1132</v>
      </c>
      <c r="B267" s="697" t="s">
        <v>76</v>
      </c>
      <c r="D267">
        <f>SUMIFS('分项对比表(02表)'!$M:$M,'分项对比表(02表)'!$D:$D,A267,'分项对比表(02表)'!$C:$C,A$2)</f>
        <v>0</v>
      </c>
      <c r="I267" s="1049" t="s">
        <v>1133</v>
      </c>
      <c r="J267" s="1046" t="s">
        <v>76</v>
      </c>
      <c r="K267" s="1050">
        <v>14750</v>
      </c>
      <c r="L267" s="1047">
        <f>SUMIFS('01工程产值对比表'!$M:$M,'01工程产值对比表'!$D:$D,I267,'01工程产值对比表'!$C:$C,I$2)</f>
        <v>0</v>
      </c>
      <c r="M267" s="1038"/>
      <c r="N267" s="1038"/>
      <c r="O267" s="1038"/>
      <c r="Q267" t="s">
        <v>1134</v>
      </c>
      <c r="R267" s="697" t="s">
        <v>76</v>
      </c>
      <c r="S267">
        <v>6</v>
      </c>
      <c r="T267" s="1038">
        <f>SUMIFS('01工程产值对比表'!$M:$M,'01工程产值对比表'!$D:$D,Q267,'01工程产值对比表'!$C:$C,Q$2)</f>
        <v>0</v>
      </c>
      <c r="AI267" s="764"/>
    </row>
    <row r="268" spans="1:35">
      <c r="A268" t="s">
        <v>1135</v>
      </c>
      <c r="B268" s="697" t="s">
        <v>169</v>
      </c>
      <c r="D268">
        <f>SUMIFS('分项对比表(02表)'!$M:$M,'分项对比表(02表)'!$D:$D,A268,'分项对比表(02表)'!$C:$C,A$2)</f>
        <v>0</v>
      </c>
      <c r="I268" s="1049" t="s">
        <v>1136</v>
      </c>
      <c r="J268" s="1046" t="s">
        <v>76</v>
      </c>
      <c r="K268" s="1050"/>
      <c r="L268" s="1047">
        <f>SUMIFS('01工程产值对比表'!$M:$M,'01工程产值对比表'!$D:$D,I268,'01工程产值对比表'!$C:$C,I$2)</f>
        <v>0</v>
      </c>
      <c r="M268" s="1038"/>
      <c r="N268" s="1038"/>
      <c r="O268" s="1038"/>
      <c r="Q268" t="s">
        <v>1137</v>
      </c>
      <c r="R268" s="697" t="s">
        <v>72</v>
      </c>
      <c r="S268">
        <v>300</v>
      </c>
      <c r="T268" s="1038">
        <f>SUMIFS('01工程产值对比表'!$M:$M,'01工程产值对比表'!$D:$D,Q268,'01工程产值对比表'!$C:$C,Q$2)</f>
        <v>0</v>
      </c>
      <c r="AI268" s="764"/>
    </row>
    <row r="269" spans="1:35">
      <c r="A269" t="s">
        <v>1138</v>
      </c>
      <c r="B269" s="697" t="s">
        <v>169</v>
      </c>
      <c r="D269">
        <f>SUMIFS('分项对比表(02表)'!$M:$M,'分项对比表(02表)'!$D:$D,A269,'分项对比表(02表)'!$C:$C,A$2)</f>
        <v>0</v>
      </c>
      <c r="I269" s="1049" t="s">
        <v>1139</v>
      </c>
      <c r="J269" s="1046" t="s">
        <v>76</v>
      </c>
      <c r="K269" s="1050"/>
      <c r="L269" s="1047">
        <f>SUMIFS('01工程产值对比表'!$M:$M,'01工程产值对比表'!$D:$D,I269,'01工程产值对比表'!$C:$C,I$2)</f>
        <v>0</v>
      </c>
      <c r="M269" s="1038"/>
      <c r="N269" s="1038"/>
      <c r="O269" s="1038"/>
      <c r="Q269" t="s">
        <v>1140</v>
      </c>
      <c r="R269" s="697" t="s">
        <v>72</v>
      </c>
      <c r="T269" s="1038">
        <f>SUMIFS('01工程产值对比表'!$M:$M,'01工程产值对比表'!$D:$D,Q269,'01工程产值对比表'!$C:$C,Q$2)</f>
        <v>0</v>
      </c>
      <c r="AI269" s="764"/>
    </row>
    <row r="270" spans="1:35">
      <c r="A270" t="s">
        <v>1141</v>
      </c>
      <c r="B270" s="697" t="s">
        <v>76</v>
      </c>
      <c r="D270">
        <f>SUMIFS('分项对比表(02表)'!$M:$M,'分项对比表(02表)'!$D:$D,A270,'分项对比表(02表)'!$C:$C,A$2)</f>
        <v>0</v>
      </c>
      <c r="I270" s="1049" t="s">
        <v>1142</v>
      </c>
      <c r="J270" s="1046" t="s">
        <v>76</v>
      </c>
      <c r="K270" s="1050">
        <v>475</v>
      </c>
      <c r="L270" s="1047">
        <f>SUMIFS('01工程产值对比表'!$M:$M,'01工程产值对比表'!$D:$D,I270,'01工程产值对比表'!$C:$C,I$2)</f>
        <v>0</v>
      </c>
      <c r="M270" s="1038"/>
      <c r="N270" s="1038"/>
      <c r="O270" s="1038"/>
      <c r="Q270" t="s">
        <v>1143</v>
      </c>
      <c r="R270" s="697" t="s">
        <v>69</v>
      </c>
      <c r="T270" s="1038">
        <f>SUMIFS('01工程产值对比表'!$M:$M,'01工程产值对比表'!$D:$D,Q270,'01工程产值对比表'!$C:$C,Q$2)</f>
        <v>0</v>
      </c>
      <c r="AI270" s="764"/>
    </row>
    <row r="271" spans="1:35">
      <c r="A271" t="s">
        <v>1144</v>
      </c>
      <c r="B271" s="697" t="s">
        <v>169</v>
      </c>
      <c r="D271">
        <f>SUMIFS('分项对比表(02表)'!$M:$M,'分项对比表(02表)'!$D:$D,A271,'分项对比表(02表)'!$C:$C,A$2)</f>
        <v>0</v>
      </c>
      <c r="I271" s="1049" t="s">
        <v>1145</v>
      </c>
      <c r="J271" s="1046" t="s">
        <v>76</v>
      </c>
      <c r="K271" s="1050"/>
      <c r="L271" s="1047">
        <f>SUMIFS('01工程产值对比表'!$M:$M,'01工程产值对比表'!$D:$D,I271,'01工程产值对比表'!$C:$C,I$2)</f>
        <v>0</v>
      </c>
      <c r="M271" s="1038"/>
      <c r="N271" s="1038"/>
      <c r="O271" s="1038"/>
      <c r="Q271" t="s">
        <v>1146</v>
      </c>
      <c r="R271" s="697" t="s">
        <v>82</v>
      </c>
      <c r="T271" s="1038">
        <f>SUMIFS('01工程产值对比表'!$M:$M,'01工程产值对比表'!$D:$D,Q271,'01工程产值对比表'!$C:$C,Q$2)</f>
        <v>0</v>
      </c>
      <c r="AI271" s="764"/>
    </row>
    <row r="272" spans="1:35">
      <c r="A272" t="s">
        <v>1147</v>
      </c>
      <c r="B272" s="697" t="s">
        <v>76</v>
      </c>
      <c r="D272">
        <f>SUMIFS('分项对比表(02表)'!$M:$M,'分项对比表(02表)'!$D:$D,A272,'分项对比表(02表)'!$C:$C,A$2)</f>
        <v>0</v>
      </c>
      <c r="I272" s="1049" t="s">
        <v>1148</v>
      </c>
      <c r="J272" s="1046" t="s">
        <v>76</v>
      </c>
      <c r="K272" s="1050"/>
      <c r="L272" s="1047">
        <f>SUMIFS('01工程产值对比表'!$M:$M,'01工程产值对比表'!$D:$D,I272,'01工程产值对比表'!$C:$C,I$2)</f>
        <v>0</v>
      </c>
      <c r="M272" s="1038"/>
      <c r="N272" s="1038"/>
      <c r="O272" s="1038"/>
      <c r="Q272" t="s">
        <v>1149</v>
      </c>
      <c r="R272" s="697" t="s">
        <v>69</v>
      </c>
      <c r="S272">
        <v>35</v>
      </c>
      <c r="T272" s="1038">
        <f>SUMIFS('01工程产值对比表'!$M:$M,'01工程产值对比表'!$D:$D,Q272,'01工程产值对比表'!$C:$C,Q$2)</f>
        <v>0</v>
      </c>
      <c r="AI272" s="764"/>
    </row>
    <row r="273" spans="1:35">
      <c r="A273" t="s">
        <v>1150</v>
      </c>
      <c r="B273" s="697" t="s">
        <v>169</v>
      </c>
      <c r="D273">
        <f>SUMIFS('分项对比表(02表)'!$M:$M,'分项对比表(02表)'!$D:$D,A273,'分项对比表(02表)'!$C:$C,A$2)</f>
        <v>0</v>
      </c>
      <c r="I273" s="1049" t="s">
        <v>1151</v>
      </c>
      <c r="J273" s="1046" t="s">
        <v>76</v>
      </c>
      <c r="K273" s="1050"/>
      <c r="L273" s="1047">
        <f>SUMIFS('01工程产值对比表'!$M:$M,'01工程产值对比表'!$D:$D,I273,'01工程产值对比表'!$C:$C,I$2)</f>
        <v>0</v>
      </c>
      <c r="M273" s="1038"/>
      <c r="N273" s="1038"/>
      <c r="O273" s="1038"/>
      <c r="Q273" t="s">
        <v>1152</v>
      </c>
      <c r="R273" s="697" t="s">
        <v>69</v>
      </c>
      <c r="T273" s="1038">
        <f>SUMIFS('01工程产值对比表'!$M:$M,'01工程产值对比表'!$D:$D,Q273,'01工程产值对比表'!$C:$C,Q$2)</f>
        <v>0</v>
      </c>
      <c r="AI273" s="764"/>
    </row>
    <row r="274" spans="1:35">
      <c r="A274" t="s">
        <v>1153</v>
      </c>
      <c r="B274" s="697" t="s">
        <v>169</v>
      </c>
      <c r="D274">
        <f>SUMIFS('分项对比表(02表)'!$M:$M,'分项对比表(02表)'!$D:$D,A274,'分项对比表(02表)'!$C:$C,A$2)</f>
        <v>0</v>
      </c>
      <c r="I274" s="1049" t="s">
        <v>1154</v>
      </c>
      <c r="J274" s="1046" t="s">
        <v>72</v>
      </c>
      <c r="K274" s="1050"/>
      <c r="L274" s="1047">
        <f>SUMIFS('01工程产值对比表'!$M:$M,'01工程产值对比表'!$D:$D,I274,'01工程产值对比表'!$C:$C,I$2)</f>
        <v>0</v>
      </c>
      <c r="M274" s="1038"/>
      <c r="N274" s="1038"/>
      <c r="O274" s="1038"/>
      <c r="Q274" t="s">
        <v>1155</v>
      </c>
      <c r="R274" s="697" t="s">
        <v>72</v>
      </c>
      <c r="T274" s="1038">
        <f>SUMIFS('01工程产值对比表'!$M:$M,'01工程产值对比表'!$D:$D,Q274,'01工程产值对比表'!$C:$C,Q$2)</f>
        <v>0</v>
      </c>
      <c r="AI274" s="764"/>
    </row>
    <row r="275" spans="1:35">
      <c r="A275" t="s">
        <v>1156</v>
      </c>
      <c r="B275" s="697" t="s">
        <v>76</v>
      </c>
      <c r="D275">
        <f>SUMIFS('分项对比表(02表)'!$M:$M,'分项对比表(02表)'!$D:$D,A275,'分项对比表(02表)'!$C:$C,A$2)</f>
        <v>0</v>
      </c>
      <c r="I275" s="1049" t="s">
        <v>1157</v>
      </c>
      <c r="J275" s="1046" t="s">
        <v>72</v>
      </c>
      <c r="K275" s="1050">
        <v>154</v>
      </c>
      <c r="L275" s="1047">
        <f>SUMIFS('01工程产值对比表'!$M:$M,'01工程产值对比表'!$D:$D,I275,'01工程产值对比表'!$C:$C,I$2)</f>
        <v>0</v>
      </c>
      <c r="M275" s="1038"/>
      <c r="N275" s="1038"/>
      <c r="O275" s="1038"/>
      <c r="Q275" t="s">
        <v>676</v>
      </c>
      <c r="R275" s="697" t="s">
        <v>689</v>
      </c>
      <c r="T275" s="1038">
        <f>SUMIFS('01工程产值对比表'!$M:$M,'01工程产值对比表'!$D:$D,Q275,'01工程产值对比表'!$C:$C,Q$2)</f>
        <v>0</v>
      </c>
      <c r="AI275" s="764"/>
    </row>
    <row r="276" spans="1:35">
      <c r="A276" t="s">
        <v>1158</v>
      </c>
      <c r="B276" s="697" t="s">
        <v>72</v>
      </c>
      <c r="D276">
        <f>SUMIFS('分项对比表(02表)'!$M:$M,'分项对比表(02表)'!$D:$D,A276,'分项对比表(02表)'!$C:$C,A$2)</f>
        <v>0</v>
      </c>
      <c r="I276" s="1049" t="s">
        <v>1159</v>
      </c>
      <c r="J276" s="1046" t="s">
        <v>72</v>
      </c>
      <c r="K276" s="1050"/>
      <c r="L276" s="1047">
        <f>SUMIFS('01工程产值对比表'!$M:$M,'01工程产值对比表'!$D:$D,I276,'01工程产值对比表'!$C:$C,I$2)</f>
        <v>0</v>
      </c>
      <c r="M276" s="1038"/>
      <c r="N276" s="1038"/>
      <c r="O276" s="1038"/>
      <c r="Q276" t="s">
        <v>1160</v>
      </c>
      <c r="R276" s="697" t="s">
        <v>169</v>
      </c>
      <c r="T276" s="1038">
        <f>SUMIFS('01工程产值对比表'!$M:$M,'01工程产值对比表'!$D:$D,Q276,'01工程产值对比表'!$C:$C,Q$2)</f>
        <v>0</v>
      </c>
      <c r="AI276" s="764"/>
    </row>
    <row r="277" spans="1:35">
      <c r="A277" t="s">
        <v>1161</v>
      </c>
      <c r="B277" s="697" t="s">
        <v>72</v>
      </c>
      <c r="D277">
        <f>SUMIFS('分项对比表(02表)'!$M:$M,'分项对比表(02表)'!$D:$D,A277,'分项对比表(02表)'!$C:$C,A$2)</f>
        <v>0</v>
      </c>
      <c r="I277" s="1049" t="s">
        <v>1162</v>
      </c>
      <c r="J277" s="1046" t="s">
        <v>72</v>
      </c>
      <c r="K277" s="1050">
        <v>270</v>
      </c>
      <c r="L277" s="1047">
        <f>SUMIFS('01工程产值对比表'!$M:$M,'01工程产值对比表'!$D:$D,I277,'01工程产值对比表'!$C:$C,I$2)</f>
        <v>0</v>
      </c>
      <c r="M277" s="1038"/>
      <c r="N277" s="1038"/>
      <c r="O277" s="1038"/>
      <c r="Q277" t="s">
        <v>1163</v>
      </c>
      <c r="R277" s="697" t="s">
        <v>689</v>
      </c>
      <c r="T277" s="1038">
        <f>SUMIFS('01工程产值对比表'!$M:$M,'01工程产值对比表'!$D:$D,Q277,'01工程产值对比表'!$C:$C,Q$2)</f>
        <v>0</v>
      </c>
      <c r="AI277" s="764"/>
    </row>
    <row r="278" spans="1:35">
      <c r="A278" t="s">
        <v>1164</v>
      </c>
      <c r="B278" s="697" t="s">
        <v>190</v>
      </c>
      <c r="D278">
        <f>SUMIFS('分项对比表(02表)'!$M:$M,'分项对比表(02表)'!$D:$D,A278,'分项对比表(02表)'!$C:$C,A$2)</f>
        <v>0</v>
      </c>
      <c r="I278" s="1049" t="s">
        <v>1165</v>
      </c>
      <c r="J278" s="1046" t="s">
        <v>72</v>
      </c>
      <c r="K278" s="1050"/>
      <c r="L278" s="1047">
        <f>SUMIFS('01工程产值对比表'!$M:$M,'01工程产值对比表'!$D:$D,I278,'01工程产值对比表'!$C:$C,I$2)</f>
        <v>0</v>
      </c>
      <c r="M278" s="1038"/>
      <c r="N278" s="1038"/>
      <c r="O278" s="1038"/>
      <c r="Q278" t="s">
        <v>1166</v>
      </c>
      <c r="R278" s="697" t="s">
        <v>76</v>
      </c>
      <c r="T278" s="1038">
        <f>SUMIFS('01工程产值对比表'!$M:$M,'01工程产值对比表'!$D:$D,Q278,'01工程产值对比表'!$C:$C,Q$2)</f>
        <v>0</v>
      </c>
      <c r="AI278" s="764"/>
    </row>
    <row r="279" spans="1:35">
      <c r="A279" t="s">
        <v>1167</v>
      </c>
      <c r="B279" s="697" t="s">
        <v>82</v>
      </c>
      <c r="D279">
        <f>SUMIFS('分项对比表(02表)'!$M:$M,'分项对比表(02表)'!$D:$D,A279,'分项对比表(02表)'!$C:$C,A$2)</f>
        <v>0</v>
      </c>
      <c r="I279" s="1049" t="s">
        <v>1168</v>
      </c>
      <c r="J279" s="1046" t="s">
        <v>72</v>
      </c>
      <c r="K279" s="1050">
        <v>275</v>
      </c>
      <c r="L279" s="1047">
        <f>SUMIFS('01工程产值对比表'!$M:$M,'01工程产值对比表'!$D:$D,I279,'01工程产值对比表'!$C:$C,I$2)</f>
        <v>0</v>
      </c>
      <c r="M279" s="1038"/>
      <c r="N279" s="1038"/>
      <c r="O279" s="1038"/>
      <c r="Q279" t="s">
        <v>1169</v>
      </c>
      <c r="R279" s="697" t="s">
        <v>689</v>
      </c>
      <c r="T279" s="1038">
        <f>SUMIFS('01工程产值对比表'!$M:$M,'01工程产值对比表'!$D:$D,Q279,'01工程产值对比表'!$C:$C,Q$2)</f>
        <v>0</v>
      </c>
      <c r="AI279" s="764"/>
    </row>
    <row r="280" spans="1:35">
      <c r="A280" t="s">
        <v>1170</v>
      </c>
      <c r="B280" s="697" t="s">
        <v>82</v>
      </c>
      <c r="D280">
        <f>SUMIFS('分项对比表(02表)'!$M:$M,'分项对比表(02表)'!$D:$D,A280,'分项对比表(02表)'!$C:$C,A$2)</f>
        <v>0</v>
      </c>
      <c r="I280" s="1049" t="s">
        <v>1171</v>
      </c>
      <c r="J280" s="1046" t="s">
        <v>72</v>
      </c>
      <c r="K280" s="1050">
        <v>280</v>
      </c>
      <c r="L280" s="1047">
        <f>SUMIFS('01工程产值对比表'!$M:$M,'01工程产值对比表'!$D:$D,I280,'01工程产值对比表'!$C:$C,I$2)</f>
        <v>0</v>
      </c>
      <c r="M280" s="1038"/>
      <c r="N280" s="1038"/>
      <c r="O280" s="1038"/>
      <c r="Q280" t="s">
        <v>1172</v>
      </c>
      <c r="R280" s="697" t="s">
        <v>69</v>
      </c>
      <c r="S280">
        <v>6</v>
      </c>
      <c r="T280" s="1038">
        <f>SUMIFS('01工程产值对比表'!$M:$M,'01工程产值对比表'!$D:$D,Q280,'01工程产值对比表'!$C:$C,Q$2)</f>
        <v>0</v>
      </c>
      <c r="AI280" s="764"/>
    </row>
    <row r="281" spans="1:35">
      <c r="A281" t="s">
        <v>1173</v>
      </c>
      <c r="B281" s="697" t="s">
        <v>82</v>
      </c>
      <c r="D281">
        <f>SUMIFS('分项对比表(02表)'!$M:$M,'分项对比表(02表)'!$D:$D,A281,'分项对比表(02表)'!$C:$C,A$2)</f>
        <v>0</v>
      </c>
      <c r="I281" s="1049" t="s">
        <v>1174</v>
      </c>
      <c r="J281" s="1046" t="s">
        <v>72</v>
      </c>
      <c r="K281" s="1050"/>
      <c r="L281" s="1047">
        <f>SUMIFS('01工程产值对比表'!$M:$M,'01工程产值对比表'!$D:$D,I281,'01工程产值对比表'!$C:$C,I$2)</f>
        <v>0</v>
      </c>
      <c r="M281" s="1038"/>
      <c r="N281" s="1038"/>
      <c r="O281" s="1038"/>
      <c r="AI281" s="764"/>
    </row>
    <row r="282" spans="1:35">
      <c r="A282" t="s">
        <v>1175</v>
      </c>
      <c r="B282" s="697" t="s">
        <v>82</v>
      </c>
      <c r="D282">
        <f>SUMIFS('分项对比表(02表)'!$M:$M,'分项对比表(02表)'!$D:$D,A282,'分项对比表(02表)'!$C:$C,A$2)</f>
        <v>0</v>
      </c>
      <c r="I282" s="1049" t="s">
        <v>1176</v>
      </c>
      <c r="J282" s="1046" t="s">
        <v>72</v>
      </c>
      <c r="K282" s="1050"/>
      <c r="L282" s="1047">
        <f>SUMIFS('01工程产值对比表'!$M:$M,'01工程产值对比表'!$D:$D,I282,'01工程产值对比表'!$C:$C,I$2)</f>
        <v>0</v>
      </c>
      <c r="M282" s="1038"/>
      <c r="N282" s="1038"/>
      <c r="O282" s="1038"/>
      <c r="AI282" s="764"/>
    </row>
    <row r="283" spans="9:35">
      <c r="I283" s="1049" t="s">
        <v>1177</v>
      </c>
      <c r="J283" s="1046" t="s">
        <v>69</v>
      </c>
      <c r="K283" s="1050"/>
      <c r="L283" s="1047">
        <f>SUMIFS('01工程产值对比表'!$M:$M,'01工程产值对比表'!$D:$D,I283,'01工程产值对比表'!$C:$C,I$2)</f>
        <v>0</v>
      </c>
      <c r="M283" s="1038"/>
      <c r="N283" s="1038"/>
      <c r="O283" s="1038"/>
      <c r="AI283" s="764"/>
    </row>
    <row r="284" spans="9:15">
      <c r="I284" s="1049" t="s">
        <v>1178</v>
      </c>
      <c r="J284" s="1046" t="s">
        <v>82</v>
      </c>
      <c r="K284" s="1050"/>
      <c r="L284" s="1047">
        <f>SUMIFS('01工程产值对比表'!$M:$M,'01工程产值对比表'!$D:$D,I284,'01工程产值对比表'!$C:$C,I$2)</f>
        <v>0</v>
      </c>
      <c r="M284" s="1038"/>
      <c r="N284" s="1038"/>
      <c r="O284" s="1038"/>
    </row>
    <row r="285" spans="9:15">
      <c r="I285" s="1049" t="s">
        <v>1179</v>
      </c>
      <c r="J285" s="1046" t="s">
        <v>82</v>
      </c>
      <c r="K285" s="1050"/>
      <c r="L285" s="1047">
        <f>SUMIFS('01工程产值对比表'!$M:$M,'01工程产值对比表'!$D:$D,I285,'01工程产值对比表'!$C:$C,I$2)</f>
        <v>0</v>
      </c>
      <c r="M285" s="1038"/>
      <c r="N285" s="1038"/>
      <c r="O285" s="1038"/>
    </row>
    <row r="286" spans="9:15">
      <c r="I286" s="1049" t="s">
        <v>1180</v>
      </c>
      <c r="J286" s="1046" t="s">
        <v>82</v>
      </c>
      <c r="K286" s="1050"/>
      <c r="L286" s="1047">
        <f>SUMIFS('01工程产值对比表'!$M:$M,'01工程产值对比表'!$D:$D,I286,'01工程产值对比表'!$C:$C,I$2)</f>
        <v>0</v>
      </c>
      <c r="M286" s="1038"/>
      <c r="N286" s="1038"/>
      <c r="O286" s="1038"/>
    </row>
    <row r="287" spans="9:15">
      <c r="I287" s="1049" t="s">
        <v>1181</v>
      </c>
      <c r="J287" s="1046" t="s">
        <v>69</v>
      </c>
      <c r="K287" s="1050"/>
      <c r="L287" s="1047">
        <f>SUMIFS('01工程产值对比表'!$M:$M,'01工程产值对比表'!$D:$D,I287,'01工程产值对比表'!$C:$C,I$2)</f>
        <v>0</v>
      </c>
      <c r="M287" s="1038"/>
      <c r="N287" s="1038"/>
      <c r="O287" s="1038"/>
    </row>
    <row r="288" spans="9:15">
      <c r="I288" s="1049" t="s">
        <v>1182</v>
      </c>
      <c r="J288" s="1046" t="s">
        <v>69</v>
      </c>
      <c r="K288" s="1050"/>
      <c r="L288" s="1047">
        <f>SUMIFS('01工程产值对比表'!$M:$M,'01工程产值对比表'!$D:$D,I288,'01工程产值对比表'!$C:$C,I$2)</f>
        <v>0</v>
      </c>
      <c r="M288" s="1038"/>
      <c r="N288" s="1038"/>
      <c r="O288" s="1038"/>
    </row>
    <row r="289" spans="9:15">
      <c r="I289" s="1049" t="s">
        <v>1183</v>
      </c>
      <c r="J289" s="1046" t="s">
        <v>69</v>
      </c>
      <c r="K289" s="1050">
        <v>8</v>
      </c>
      <c r="L289" s="1047">
        <f>SUMIFS('01工程产值对比表'!$M:$M,'01工程产值对比表'!$D:$D,I289,'01工程产值对比表'!$C:$C,I$2)</f>
        <v>0</v>
      </c>
      <c r="M289" s="1038"/>
      <c r="N289" s="1038"/>
      <c r="O289" s="1038"/>
    </row>
    <row r="290" spans="9:15">
      <c r="I290" s="1049" t="s">
        <v>1184</v>
      </c>
      <c r="J290" s="1046" t="s">
        <v>69</v>
      </c>
      <c r="K290" s="1050"/>
      <c r="L290" s="1047">
        <f>SUMIFS('01工程产值对比表'!$M:$M,'01工程产值对比表'!$D:$D,I290,'01工程产值对比表'!$C:$C,I$2)</f>
        <v>0</v>
      </c>
      <c r="M290" s="1038"/>
      <c r="N290" s="1038"/>
      <c r="O290" s="1038"/>
    </row>
    <row r="291" spans="9:15">
      <c r="I291" s="1049" t="s">
        <v>1185</v>
      </c>
      <c r="J291" s="1046" t="s">
        <v>69</v>
      </c>
      <c r="K291" s="1050"/>
      <c r="L291" s="1047">
        <f>SUMIFS('01工程产值对比表'!$M:$M,'01工程产值对比表'!$D:$D,I291,'01工程产值对比表'!$C:$C,I$2)</f>
        <v>0</v>
      </c>
      <c r="M291" s="1038"/>
      <c r="N291" s="1038"/>
      <c r="O291" s="1038"/>
    </row>
    <row r="292" spans="9:15">
      <c r="I292" s="1049" t="s">
        <v>1186</v>
      </c>
      <c r="J292" s="1046" t="s">
        <v>69</v>
      </c>
      <c r="K292" s="1050"/>
      <c r="L292" s="1047">
        <f>SUMIFS('01工程产值对比表'!$M:$M,'01工程产值对比表'!$D:$D,I292,'01工程产值对比表'!$C:$C,I$2)</f>
        <v>0</v>
      </c>
      <c r="M292" s="1038"/>
      <c r="N292" s="1038"/>
      <c r="O292" s="1038"/>
    </row>
    <row r="293" spans="9:15">
      <c r="I293" s="1049" t="s">
        <v>1187</v>
      </c>
      <c r="J293" s="1046" t="s">
        <v>69</v>
      </c>
      <c r="K293" s="1050">
        <v>2</v>
      </c>
      <c r="L293" s="1047">
        <f>SUMIFS('01工程产值对比表'!$M:$M,'01工程产值对比表'!$D:$D,I293,'01工程产值对比表'!$C:$C,I$2)</f>
        <v>0</v>
      </c>
      <c r="M293" s="1038"/>
      <c r="N293" s="1038"/>
      <c r="O293" s="1038"/>
    </row>
    <row r="294" spans="9:15">
      <c r="I294" s="1049" t="s">
        <v>1188</v>
      </c>
      <c r="J294" s="1046" t="s">
        <v>69</v>
      </c>
      <c r="K294" s="1050"/>
      <c r="L294" s="1047">
        <f>SUMIFS('01工程产值对比表'!$M:$M,'01工程产值对比表'!$D:$D,I294,'01工程产值对比表'!$C:$C,I$2)</f>
        <v>0</v>
      </c>
      <c r="M294" s="1038"/>
      <c r="N294" s="1038"/>
      <c r="O294" s="1038"/>
    </row>
    <row r="295" spans="9:15">
      <c r="I295" s="1049" t="s">
        <v>1189</v>
      </c>
      <c r="J295" s="1046" t="s">
        <v>180</v>
      </c>
      <c r="K295" s="1050"/>
      <c r="L295" s="1047">
        <f>SUMIFS('01工程产值对比表'!$M:$M,'01工程产值对比表'!$D:$D,I295,'01工程产值对比表'!$C:$C,I$2)</f>
        <v>0</v>
      </c>
      <c r="M295" s="1038"/>
      <c r="N295" s="1038"/>
      <c r="O295" s="1038"/>
    </row>
    <row r="296" spans="9:15">
      <c r="I296" s="1049" t="s">
        <v>688</v>
      </c>
      <c r="J296" s="1046" t="s">
        <v>72</v>
      </c>
      <c r="K296" s="1050">
        <v>265.35</v>
      </c>
      <c r="L296" s="1047">
        <f>SUMIFS('01工程产值对比表'!$M:$M,'01工程产值对比表'!$D:$D,I296,'01工程产值对比表'!$C:$C,I$2)</f>
        <v>0</v>
      </c>
      <c r="M296" s="1038"/>
      <c r="N296" s="1038"/>
      <c r="O296" s="1038"/>
    </row>
    <row r="297" spans="9:15">
      <c r="I297" s="1049" t="s">
        <v>1190</v>
      </c>
      <c r="J297" s="1046" t="s">
        <v>72</v>
      </c>
      <c r="K297" s="1050">
        <v>170</v>
      </c>
      <c r="L297" s="1047">
        <f>SUMIFS('01工程产值对比表'!$M:$M,'01工程产值对比表'!$D:$D,I297,'01工程产值对比表'!$C:$C,I$2)</f>
        <v>0</v>
      </c>
      <c r="M297" s="1038"/>
      <c r="N297" s="1038"/>
      <c r="O297" s="1038"/>
    </row>
    <row r="298" spans="9:15">
      <c r="I298" s="1049" t="s">
        <v>1191</v>
      </c>
      <c r="J298" s="1046" t="s">
        <v>72</v>
      </c>
      <c r="K298" s="1050"/>
      <c r="L298" s="1047">
        <f>SUMIFS('01工程产值对比表'!$M:$M,'01工程产值对比表'!$D:$D,I298,'01工程产值对比表'!$C:$C,I$2)</f>
        <v>0</v>
      </c>
      <c r="M298" s="1038"/>
      <c r="N298" s="1038"/>
      <c r="O298" s="1038"/>
    </row>
    <row r="299" spans="9:15">
      <c r="I299" t="s">
        <v>1192</v>
      </c>
      <c r="J299" s="697" t="s">
        <v>72</v>
      </c>
      <c r="L299" s="1047">
        <f>SUMIFS('01工程产值对比表'!$M:$M,'01工程产值对比表'!$D:$D,I299,'01工程产值对比表'!$C:$C,I$2)</f>
        <v>0</v>
      </c>
      <c r="M299" s="1038"/>
      <c r="N299" s="1038"/>
      <c r="O299" s="1038"/>
    </row>
    <row r="300" spans="9:15">
      <c r="I300" t="s">
        <v>1193</v>
      </c>
      <c r="J300" s="697" t="s">
        <v>72</v>
      </c>
      <c r="K300">
        <v>36.61</v>
      </c>
      <c r="L300" s="1047">
        <f>SUMIFS('01工程产值对比表'!$M:$M,'01工程产值对比表'!$D:$D,I300,'01工程产值对比表'!$C:$C,I$2)</f>
        <v>0</v>
      </c>
      <c r="M300" s="1038"/>
      <c r="N300" s="1038"/>
      <c r="O300" s="1038"/>
    </row>
    <row r="301" spans="9:15">
      <c r="I301" t="s">
        <v>1194</v>
      </c>
      <c r="J301" s="697" t="s">
        <v>180</v>
      </c>
      <c r="L301" s="1047">
        <f>SUMIFS('01工程产值对比表'!$M:$M,'01工程产值对比表'!$D:$D,I301,'01工程产值对比表'!$C:$C,I$2)</f>
        <v>0</v>
      </c>
      <c r="M301" s="1038"/>
      <c r="N301" s="1038"/>
      <c r="O301" s="1038"/>
    </row>
    <row r="302" ht="31.5" spans="9:15">
      <c r="I302" s="889" t="s">
        <v>1195</v>
      </c>
      <c r="J302" s="697" t="s">
        <v>1196</v>
      </c>
      <c r="L302" s="1047">
        <f>SUMIFS('01工程产值对比表'!$M:$M,'01工程产值对比表'!$D:$D,I302,'01工程产值对比表'!$C:$C,I$2)</f>
        <v>0</v>
      </c>
      <c r="M302" s="1038"/>
      <c r="N302" s="1038"/>
      <c r="O302" s="1038"/>
    </row>
    <row r="303" spans="9:15">
      <c r="I303" t="s">
        <v>1197</v>
      </c>
      <c r="J303" s="697" t="s">
        <v>180</v>
      </c>
      <c r="L303" s="1047">
        <f>SUMIFS('01工程产值对比表'!$M:$M,'01工程产值对比表'!$D:$D,I303,'01工程产值对比表'!$C:$C,I$2)</f>
        <v>0</v>
      </c>
      <c r="M303" s="1038"/>
      <c r="N303" s="1038"/>
      <c r="O303" s="1038"/>
    </row>
    <row r="304" spans="9:15">
      <c r="I304" t="s">
        <v>1198</v>
      </c>
      <c r="J304" s="697" t="s">
        <v>180</v>
      </c>
      <c r="L304" s="1047">
        <f>SUMIFS('01工程产值对比表'!$M:$M,'01工程产值对比表'!$D:$D,I304,'01工程产值对比表'!$C:$C,I$2)</f>
        <v>0</v>
      </c>
      <c r="M304" s="1038"/>
      <c r="N304" s="1038"/>
      <c r="O304" s="1038"/>
    </row>
    <row r="305" spans="9:15">
      <c r="I305" t="s">
        <v>1199</v>
      </c>
      <c r="J305" s="697" t="s">
        <v>180</v>
      </c>
      <c r="L305" s="1047">
        <f>SUMIFS('01工程产值对比表'!$M:$M,'01工程产值对比表'!$D:$D,I305,'01工程产值对比表'!$C:$C,I$2)</f>
        <v>0</v>
      </c>
      <c r="M305" s="1038"/>
      <c r="N305" s="1038"/>
      <c r="O305" s="1038"/>
    </row>
    <row r="306" spans="9:15">
      <c r="I306" t="s">
        <v>1200</v>
      </c>
      <c r="J306" s="697" t="s">
        <v>72</v>
      </c>
      <c r="K306">
        <v>18</v>
      </c>
      <c r="L306" s="1047">
        <f>SUMIFS('01工程产值对比表'!$M:$M,'01工程产值对比表'!$D:$D,I306,'01工程产值对比表'!$C:$C,I$2)</f>
        <v>1048.7</v>
      </c>
      <c r="M306" s="1038"/>
      <c r="N306" s="1038"/>
      <c r="O306" s="1038"/>
    </row>
    <row r="307" spans="9:15">
      <c r="I307" t="s">
        <v>1201</v>
      </c>
      <c r="J307" s="697" t="s">
        <v>76</v>
      </c>
      <c r="K307">
        <v>35</v>
      </c>
      <c r="L307" s="1047">
        <f>SUMIFS('01工程产值对比表'!$M:$M,'01工程产值对比表'!$D:$D,I307,'01工程产值对比表'!$C:$C,I$2)</f>
        <v>3257.5</v>
      </c>
      <c r="M307" s="1038"/>
      <c r="N307" s="1038"/>
      <c r="O307" s="1038"/>
    </row>
    <row r="308" spans="9:15">
      <c r="I308" t="s">
        <v>1202</v>
      </c>
      <c r="J308" s="697" t="s">
        <v>69</v>
      </c>
      <c r="K308">
        <v>65</v>
      </c>
      <c r="L308" s="1047">
        <f>SUMIFS('01工程产值对比表'!$M:$M,'01工程产值对比表'!$D:$D,I308,'01工程产值对比表'!$C:$C,I$2)</f>
        <v>4000</v>
      </c>
      <c r="M308" s="1038"/>
      <c r="N308" s="1038"/>
      <c r="O308" s="1038"/>
    </row>
    <row r="309" spans="9:15">
      <c r="I309" t="s">
        <v>1203</v>
      </c>
      <c r="J309" s="697" t="s">
        <v>72</v>
      </c>
      <c r="K309">
        <v>7.5</v>
      </c>
      <c r="L309" s="1047">
        <f>SUMIFS('01工程产值对比表'!$M:$M,'01工程产值对比表'!$D:$D,I309,'01工程产值对比表'!$C:$C,I$2)</f>
        <v>35012</v>
      </c>
      <c r="M309" s="1038"/>
      <c r="N309" s="1038"/>
      <c r="O309" s="1038"/>
    </row>
    <row r="310" spans="9:15">
      <c r="I310" t="s">
        <v>1204</v>
      </c>
      <c r="J310" s="697" t="s">
        <v>72</v>
      </c>
      <c r="K310">
        <v>32.3</v>
      </c>
      <c r="L310" s="1047">
        <f>SUMIFS('01工程产值对比表'!$M:$M,'01工程产值对比表'!$D:$D,I310,'01工程产值对比表'!$C:$C,I$2)</f>
        <v>912.8</v>
      </c>
      <c r="M310" s="1038"/>
      <c r="N310" s="1038"/>
      <c r="O310" s="1038"/>
    </row>
    <row r="311" spans="9:15">
      <c r="I311" t="s">
        <v>1205</v>
      </c>
      <c r="J311" s="697" t="s">
        <v>76</v>
      </c>
      <c r="K311">
        <v>3</v>
      </c>
      <c r="L311" s="1047">
        <f>SUMIFS('01工程产值对比表'!$M:$M,'01工程产值对比表'!$D:$D,I311,'01工程产值对比表'!$C:$C,I$2)</f>
        <v>0</v>
      </c>
      <c r="M311" s="1038"/>
      <c r="N311" s="1038"/>
      <c r="O311" s="1038"/>
    </row>
    <row r="312" spans="9:15">
      <c r="I312" t="s">
        <v>1206</v>
      </c>
      <c r="J312" s="697" t="s">
        <v>69</v>
      </c>
      <c r="K312">
        <v>10</v>
      </c>
      <c r="L312" s="1047">
        <f>SUMIFS('01工程产值对比表'!$M:$M,'01工程产值对比表'!$D:$D,I312,'01工程产值对比表'!$C:$C,I$2)</f>
        <v>0</v>
      </c>
      <c r="M312" s="1038"/>
      <c r="N312" s="1038"/>
      <c r="O312" s="1038"/>
    </row>
    <row r="313" spans="9:15">
      <c r="I313" t="s">
        <v>1207</v>
      </c>
      <c r="J313" s="697" t="s">
        <v>72</v>
      </c>
      <c r="K313">
        <v>28</v>
      </c>
      <c r="L313" s="1047">
        <f>SUMIFS('01工程产值对比表'!$M:$M,'01工程产值对比表'!$D:$D,I313,'01工程产值对比表'!$C:$C,I$2)</f>
        <v>335.2204</v>
      </c>
      <c r="M313" s="1038"/>
      <c r="N313" s="1038"/>
      <c r="O313" s="1038"/>
    </row>
    <row r="314" spans="9:15">
      <c r="I314" t="s">
        <v>1208</v>
      </c>
      <c r="J314" s="697" t="s">
        <v>69</v>
      </c>
      <c r="K314">
        <v>2</v>
      </c>
      <c r="L314" s="1047">
        <f>SUMIFS('01工程产值对比表'!$M:$M,'01工程产值对比表'!$D:$D,I314,'01工程产值对比表'!$C:$C,I$2)</f>
        <v>0</v>
      </c>
      <c r="M314" s="1038"/>
      <c r="N314" s="1038"/>
      <c r="O314" s="1038"/>
    </row>
    <row r="315" spans="9:15">
      <c r="I315" t="s">
        <v>1209</v>
      </c>
      <c r="J315" s="697" t="s">
        <v>69</v>
      </c>
      <c r="K315">
        <v>3.5</v>
      </c>
      <c r="L315" s="1047">
        <f>SUMIFS('01工程产值对比表'!$M:$M,'01工程产值对比表'!$D:$D,I315,'01工程产值对比表'!$C:$C,I$2)</f>
        <v>0</v>
      </c>
      <c r="M315" s="1038"/>
      <c r="N315" s="1038"/>
      <c r="O315" s="1038"/>
    </row>
    <row r="316" spans="9:15">
      <c r="I316" t="s">
        <v>1210</v>
      </c>
      <c r="J316" s="697" t="s">
        <v>69</v>
      </c>
      <c r="K316">
        <v>4.5</v>
      </c>
      <c r="L316" s="1047">
        <f>SUMIFS('01工程产值对比表'!$M:$M,'01工程产值对比表'!$D:$D,I316,'01工程产值对比表'!$C:$C,I$2)</f>
        <v>0</v>
      </c>
      <c r="M316" s="1038"/>
      <c r="N316" s="1038"/>
      <c r="O316" s="1038"/>
    </row>
    <row r="317" spans="9:15">
      <c r="I317" t="s">
        <v>1211</v>
      </c>
      <c r="J317" s="697" t="s">
        <v>72</v>
      </c>
      <c r="K317">
        <v>24.3</v>
      </c>
      <c r="L317" s="1047">
        <f>SUMIFS('01工程产值对比表'!$M:$M,'01工程产值对比表'!$D:$D,I317,'01工程产值对比表'!$C:$C,I$2)</f>
        <v>68.6596</v>
      </c>
      <c r="M317" s="1038"/>
      <c r="N317" s="1038"/>
      <c r="O317" s="1038"/>
    </row>
    <row r="318" spans="9:15">
      <c r="I318" t="s">
        <v>1212</v>
      </c>
      <c r="J318" s="697" t="s">
        <v>72</v>
      </c>
      <c r="K318">
        <v>24.3</v>
      </c>
      <c r="L318" s="1047">
        <f>SUMIFS('01工程产值对比表'!$M:$M,'01工程产值对比表'!$D:$D,I318,'01工程产值对比表'!$C:$C,I$2)</f>
        <v>0</v>
      </c>
      <c r="M318" s="1038"/>
      <c r="N318" s="1038"/>
      <c r="O318" s="1038"/>
    </row>
    <row r="319" spans="9:15">
      <c r="I319" t="s">
        <v>1213</v>
      </c>
      <c r="J319" s="697" t="s">
        <v>72</v>
      </c>
      <c r="K319">
        <v>24.3</v>
      </c>
      <c r="L319" s="1047">
        <f>SUMIFS('01工程产值对比表'!$M:$M,'01工程产值对比表'!$D:$D,I319,'01工程产值对比表'!$C:$C,I$2)</f>
        <v>181.78</v>
      </c>
      <c r="M319" s="1038"/>
      <c r="N319" s="1038"/>
      <c r="O319" s="1038"/>
    </row>
    <row r="320" spans="9:15">
      <c r="I320" t="s">
        <v>1214</v>
      </c>
      <c r="J320" s="697" t="s">
        <v>72</v>
      </c>
      <c r="K320">
        <v>3</v>
      </c>
      <c r="L320" s="1047">
        <f>SUMIFS('01工程产值对比表'!$M:$M,'01工程产值对比表'!$D:$D,I320,'01工程产值对比表'!$C:$C,I$2)</f>
        <v>181.78</v>
      </c>
      <c r="M320" s="1038"/>
      <c r="N320" s="1038"/>
      <c r="O320" s="1038"/>
    </row>
    <row r="321" spans="9:15">
      <c r="I321" t="s">
        <v>1215</v>
      </c>
      <c r="J321" s="697" t="s">
        <v>82</v>
      </c>
      <c r="K321">
        <v>2378</v>
      </c>
      <c r="L321" s="1047">
        <f>SUMIFS('01工程产值对比表'!$M:$M,'01工程产值对比表'!$D:$D,I321,'01工程产值对比表'!$C:$C,I$2)</f>
        <v>0</v>
      </c>
      <c r="M321" s="1038"/>
      <c r="N321" s="1038"/>
      <c r="O321" s="1038"/>
    </row>
    <row r="322" spans="9:15">
      <c r="I322" t="s">
        <v>1216</v>
      </c>
      <c r="J322" s="697" t="s">
        <v>76</v>
      </c>
      <c r="K322">
        <v>2.184</v>
      </c>
      <c r="L322" s="1047">
        <f>SUMIFS('01工程产值对比表'!$M:$M,'01工程产值对比表'!$D:$D,I322,'01工程产值对比表'!$C:$C,I$2)</f>
        <v>0</v>
      </c>
      <c r="M322" s="1038"/>
      <c r="N322" s="1038"/>
      <c r="O322" s="1038"/>
    </row>
    <row r="323" spans="9:15">
      <c r="I323" t="s">
        <v>1217</v>
      </c>
      <c r="J323" s="697" t="s">
        <v>72</v>
      </c>
      <c r="K323">
        <v>13.5</v>
      </c>
      <c r="L323" s="1047">
        <f>SUMIFS('01工程产值对比表'!$M:$M,'01工程产值对比表'!$D:$D,I323,'01工程产值对比表'!$C:$C,I$2)</f>
        <v>0</v>
      </c>
      <c r="M323" s="1038"/>
      <c r="N323" s="1038"/>
      <c r="O323" s="1038"/>
    </row>
    <row r="324" spans="9:15">
      <c r="I324" t="s">
        <v>1218</v>
      </c>
      <c r="J324" s="697" t="s">
        <v>76</v>
      </c>
      <c r="K324">
        <v>17.63</v>
      </c>
      <c r="L324" s="1047">
        <f>SUMIFS('01工程产值对比表'!$M:$M,'01工程产值对比表'!$D:$D,I324,'01工程产值对比表'!$C:$C,I$2)</f>
        <v>0</v>
      </c>
      <c r="M324" s="1038"/>
      <c r="N324" s="1038"/>
      <c r="O324" s="1038"/>
    </row>
    <row r="325" spans="9:15">
      <c r="I325" t="s">
        <v>1219</v>
      </c>
      <c r="J325" s="697" t="s">
        <v>76</v>
      </c>
      <c r="K325">
        <v>1.72</v>
      </c>
      <c r="L325" s="1047">
        <f>SUMIFS('01工程产值对比表'!$M:$M,'01工程产值对比表'!$D:$D,I325,'01工程产值对比表'!$C:$C,I$2)</f>
        <v>0</v>
      </c>
      <c r="M325" s="1038"/>
      <c r="N325" s="1038"/>
      <c r="O325" s="1038"/>
    </row>
    <row r="326" spans="9:15">
      <c r="I326" t="s">
        <v>1220</v>
      </c>
      <c r="J326" s="697" t="s">
        <v>76</v>
      </c>
      <c r="K326">
        <v>17.5</v>
      </c>
      <c r="L326" s="1047">
        <f>SUMIFS('01工程产值对比表'!$M:$M,'01工程产值对比表'!$D:$D,I326,'01工程产值对比表'!$C:$C,I$2)</f>
        <v>0</v>
      </c>
      <c r="M326" s="1038"/>
      <c r="N326" s="1038"/>
      <c r="O326" s="1038"/>
    </row>
    <row r="327" spans="9:15">
      <c r="I327" t="s">
        <v>1221</v>
      </c>
      <c r="J327" s="697" t="s">
        <v>76</v>
      </c>
      <c r="K327">
        <v>10.89</v>
      </c>
      <c r="L327" s="1047">
        <f>SUMIFS('01工程产值对比表'!$M:$M,'01工程产值对比表'!$D:$D,I327,'01工程产值对比表'!$C:$C,I$2)</f>
        <v>0</v>
      </c>
      <c r="M327" s="1038"/>
      <c r="N327" s="1038"/>
      <c r="O327" s="1038"/>
    </row>
    <row r="328" spans="9:15">
      <c r="I328" t="s">
        <v>1222</v>
      </c>
      <c r="J328" s="697" t="s">
        <v>76</v>
      </c>
      <c r="L328" s="1047">
        <f>SUMIFS('01工程产值对比表'!$M:$M,'01工程产值对比表'!$D:$D,I328,'01工程产值对比表'!$C:$C,I$2)</f>
        <v>0</v>
      </c>
      <c r="M328" s="1038"/>
      <c r="N328" s="1038"/>
      <c r="O328" s="1038"/>
    </row>
    <row r="329" spans="9:15">
      <c r="I329" t="s">
        <v>1223</v>
      </c>
      <c r="J329" s="697" t="s">
        <v>76</v>
      </c>
      <c r="L329" s="1047">
        <f>SUMIFS('01工程产值对比表'!$M:$M,'01工程产值对比表'!$D:$D,I329,'01工程产值对比表'!$C:$C,I$2)</f>
        <v>0</v>
      </c>
      <c r="M329" s="1038"/>
      <c r="N329" s="1038"/>
      <c r="O329" s="1038"/>
    </row>
    <row r="330" spans="9:13">
      <c r="I330" t="s">
        <v>1224</v>
      </c>
      <c r="J330" s="697" t="s">
        <v>76</v>
      </c>
      <c r="L330" s="1047">
        <f>SUMIFS('01工程产值对比表'!$M:$M,'01工程产值对比表'!$D:$D,I330,'01工程产值对比表'!$C:$C,I$2)</f>
        <v>0</v>
      </c>
      <c r="M330" s="1038"/>
    </row>
    <row r="331" spans="9:13">
      <c r="I331" t="s">
        <v>1225</v>
      </c>
      <c r="J331" s="697" t="s">
        <v>76</v>
      </c>
      <c r="L331" s="1047">
        <f>SUMIFS('01工程产值对比表'!$M:$M,'01工程产值对比表'!$D:$D,I331,'01工程产值对比表'!$C:$C,I$2)</f>
        <v>0</v>
      </c>
      <c r="M331" s="1038"/>
    </row>
    <row r="332" spans="9:13">
      <c r="I332" t="s">
        <v>1226</v>
      </c>
      <c r="J332" s="697" t="s">
        <v>76</v>
      </c>
      <c r="K332">
        <v>16150</v>
      </c>
      <c r="L332" s="1047">
        <f>SUMIFS('01工程产值对比表'!$M:$M,'01工程产值对比表'!$D:$D,I332,'01工程产值对比表'!$C:$C,I$2)</f>
        <v>0</v>
      </c>
      <c r="M332" s="1038"/>
    </row>
    <row r="333" spans="9:13">
      <c r="I333" t="s">
        <v>1227</v>
      </c>
      <c r="J333" s="697" t="s">
        <v>76</v>
      </c>
      <c r="K333">
        <v>31333.33</v>
      </c>
      <c r="L333" s="1047">
        <f>SUMIFS('01工程产值对比表'!$M:$M,'01工程产值对比表'!$D:$D,I333,'01工程产值对比表'!$C:$C,I$2)</f>
        <v>0</v>
      </c>
      <c r="M333" s="1038"/>
    </row>
    <row r="334" spans="9:13">
      <c r="I334" t="s">
        <v>1228</v>
      </c>
      <c r="J334" s="697" t="s">
        <v>76</v>
      </c>
      <c r="L334" s="1047">
        <f>SUMIFS('01工程产值对比表'!$M:$M,'01工程产值对比表'!$D:$D,I334,'01工程产值对比表'!$C:$C,I$2)</f>
        <v>0</v>
      </c>
      <c r="M334" s="1038"/>
    </row>
    <row r="335" spans="9:13">
      <c r="I335" t="s">
        <v>1229</v>
      </c>
      <c r="J335" s="697" t="s">
        <v>76</v>
      </c>
      <c r="K335">
        <v>16000</v>
      </c>
      <c r="L335" s="1047">
        <f>SUMIFS('01工程产值对比表'!$M:$M,'01工程产值对比表'!$D:$D,I335,'01工程产值对比表'!$C:$C,I$2)</f>
        <v>0</v>
      </c>
      <c r="M335" s="1038"/>
    </row>
    <row r="336" spans="9:13">
      <c r="I336" t="s">
        <v>1230</v>
      </c>
      <c r="J336" s="697" t="s">
        <v>76</v>
      </c>
      <c r="K336">
        <v>27900</v>
      </c>
      <c r="L336" s="1047">
        <f>SUMIFS('01工程产值对比表'!$M:$M,'01工程产值对比表'!$D:$D,I336,'01工程产值对比表'!$C:$C,I$2)</f>
        <v>0</v>
      </c>
      <c r="M336" s="1038"/>
    </row>
    <row r="337" spans="9:13">
      <c r="I337" t="s">
        <v>1231</v>
      </c>
      <c r="J337" s="697" t="s">
        <v>76</v>
      </c>
      <c r="K337">
        <v>14750</v>
      </c>
      <c r="L337" s="1047">
        <f>SUMIFS('01工程产值对比表'!$M:$M,'01工程产值对比表'!$D:$D,I337,'01工程产值对比表'!$C:$C,I$2)</f>
        <v>0</v>
      </c>
      <c r="M337" s="1038"/>
    </row>
    <row r="338" spans="9:12">
      <c r="I338" t="s">
        <v>1232</v>
      </c>
      <c r="J338" s="697" t="s">
        <v>76</v>
      </c>
      <c r="L338" s="1047">
        <f>SUMIFS('01工程产值对比表'!$M:$M,'01工程产值对比表'!$D:$D,I338,'01工程产值对比表'!$C:$C,I$2)</f>
        <v>0</v>
      </c>
    </row>
    <row r="339" spans="9:12">
      <c r="I339" t="s">
        <v>1233</v>
      </c>
      <c r="J339" s="697" t="s">
        <v>76</v>
      </c>
      <c r="L339" s="1047">
        <f>SUMIFS('01工程产值对比表'!$M:$M,'01工程产值对比表'!$D:$D,I339,'01工程产值对比表'!$C:$C,I$2)</f>
        <v>0</v>
      </c>
    </row>
    <row r="340" spans="9:12">
      <c r="I340" t="s">
        <v>1234</v>
      </c>
      <c r="J340" s="697" t="s">
        <v>76</v>
      </c>
      <c r="K340">
        <v>475</v>
      </c>
      <c r="L340" s="1047">
        <f>SUMIFS('01工程产值对比表'!$M:$M,'01工程产值对比表'!$D:$D,I340,'01工程产值对比表'!$C:$C,I$2)</f>
        <v>0</v>
      </c>
    </row>
    <row r="341" spans="9:12">
      <c r="I341" t="s">
        <v>1235</v>
      </c>
      <c r="J341" s="697" t="s">
        <v>76</v>
      </c>
      <c r="L341" s="1047">
        <f>SUMIFS('01工程产值对比表'!$M:$M,'01工程产值对比表'!$D:$D,I341,'01工程产值对比表'!$C:$C,I$2)</f>
        <v>0</v>
      </c>
    </row>
    <row r="342" spans="9:12">
      <c r="I342" t="s">
        <v>1236</v>
      </c>
      <c r="J342" s="697" t="s">
        <v>76</v>
      </c>
      <c r="L342" s="1047">
        <f>SUMIFS('01工程产值对比表'!$M:$M,'01工程产值对比表'!$D:$D,I342,'01工程产值对比表'!$C:$C,I$2)</f>
        <v>0</v>
      </c>
    </row>
    <row r="343" spans="9:12">
      <c r="I343" t="s">
        <v>1237</v>
      </c>
      <c r="J343" s="697" t="s">
        <v>76</v>
      </c>
      <c r="L343" s="1047">
        <f>SUMIFS('01工程产值对比表'!$M:$M,'01工程产值对比表'!$D:$D,I343,'01工程产值对比表'!$C:$C,I$2)</f>
        <v>0</v>
      </c>
    </row>
    <row r="344" spans="9:12">
      <c r="I344" t="s">
        <v>1238</v>
      </c>
      <c r="J344" s="697" t="s">
        <v>72</v>
      </c>
      <c r="L344" s="1047">
        <f>SUMIFS('01工程产值对比表'!$M:$M,'01工程产值对比表'!$D:$D,I344,'01工程产值对比表'!$C:$C,I$2)</f>
        <v>0</v>
      </c>
    </row>
    <row r="345" spans="9:12">
      <c r="I345" t="s">
        <v>1239</v>
      </c>
      <c r="J345" s="697" t="s">
        <v>72</v>
      </c>
      <c r="K345">
        <v>154</v>
      </c>
      <c r="L345" s="1047">
        <f>SUMIFS('01工程产值对比表'!$M:$M,'01工程产值对比表'!$D:$D,I345,'01工程产值对比表'!$C:$C,I$2)</f>
        <v>0</v>
      </c>
    </row>
    <row r="346" spans="9:12">
      <c r="I346" t="s">
        <v>1240</v>
      </c>
      <c r="J346" s="697" t="s">
        <v>72</v>
      </c>
      <c r="L346" s="1047">
        <f>SUMIFS('01工程产值对比表'!$M:$M,'01工程产值对比表'!$D:$D,I346,'01工程产值对比表'!$C:$C,I$2)</f>
        <v>0</v>
      </c>
    </row>
    <row r="347" spans="9:12">
      <c r="I347" t="s">
        <v>1241</v>
      </c>
      <c r="J347" s="697" t="s">
        <v>72</v>
      </c>
      <c r="K347">
        <v>270</v>
      </c>
      <c r="L347" s="1047">
        <f>SUMIFS('01工程产值对比表'!$M:$M,'01工程产值对比表'!$D:$D,I347,'01工程产值对比表'!$C:$C,I$2)</f>
        <v>0</v>
      </c>
    </row>
    <row r="348" spans="9:12">
      <c r="I348" t="s">
        <v>1242</v>
      </c>
      <c r="J348" s="697" t="s">
        <v>72</v>
      </c>
      <c r="L348" s="1047">
        <f>SUMIFS('01工程产值对比表'!$M:$M,'01工程产值对比表'!$D:$D,I348,'01工程产值对比表'!$C:$C,I$2)</f>
        <v>0</v>
      </c>
    </row>
    <row r="349" spans="9:12">
      <c r="I349" t="s">
        <v>1243</v>
      </c>
      <c r="J349" s="697" t="s">
        <v>72</v>
      </c>
      <c r="K349">
        <v>275</v>
      </c>
      <c r="L349" s="1047">
        <f>SUMIFS('01工程产值对比表'!$M:$M,'01工程产值对比表'!$D:$D,I349,'01工程产值对比表'!$C:$C,I$2)</f>
        <v>0</v>
      </c>
    </row>
    <row r="350" spans="9:12">
      <c r="I350" t="s">
        <v>1244</v>
      </c>
      <c r="J350" s="697" t="s">
        <v>72</v>
      </c>
      <c r="K350">
        <v>280</v>
      </c>
      <c r="L350" s="1047">
        <f>SUMIFS('01工程产值对比表'!$M:$M,'01工程产值对比表'!$D:$D,I350,'01工程产值对比表'!$C:$C,I$2)</f>
        <v>0</v>
      </c>
    </row>
    <row r="351" spans="9:12">
      <c r="I351" t="s">
        <v>1245</v>
      </c>
      <c r="J351" s="697" t="s">
        <v>72</v>
      </c>
      <c r="L351" s="1047">
        <f>SUMIFS('01工程产值对比表'!$M:$M,'01工程产值对比表'!$D:$D,I351,'01工程产值对比表'!$C:$C,I$2)</f>
        <v>0</v>
      </c>
    </row>
    <row r="352" spans="9:12">
      <c r="I352" t="s">
        <v>1246</v>
      </c>
      <c r="J352" s="697" t="s">
        <v>72</v>
      </c>
      <c r="L352" s="1047">
        <f>SUMIFS('01工程产值对比表'!$M:$M,'01工程产值对比表'!$D:$D,I352,'01工程产值对比表'!$C:$C,I$2)</f>
        <v>0</v>
      </c>
    </row>
    <row r="353" spans="9:12">
      <c r="I353" t="s">
        <v>1247</v>
      </c>
      <c r="J353" s="697" t="s">
        <v>69</v>
      </c>
      <c r="L353" s="1047">
        <f>SUMIFS('01工程产值对比表'!$M:$M,'01工程产值对比表'!$D:$D,I353,'01工程产值对比表'!$C:$C,I$2)</f>
        <v>0</v>
      </c>
    </row>
    <row r="354" spans="9:12">
      <c r="I354" t="s">
        <v>1248</v>
      </c>
      <c r="J354" s="697" t="s">
        <v>69</v>
      </c>
      <c r="L354" s="1047">
        <f>SUMIFS('01工程产值对比表'!$M:$M,'01工程产值对比表'!$D:$D,I354,'01工程产值对比表'!$C:$C,I$2)</f>
        <v>0</v>
      </c>
    </row>
    <row r="355" spans="9:12">
      <c r="I355" t="s">
        <v>1249</v>
      </c>
      <c r="J355" s="697" t="s">
        <v>1250</v>
      </c>
      <c r="L355" s="1047">
        <f>SUMIFS('01工程产值对比表'!$M:$M,'01工程产值对比表'!$D:$D,I355,'01工程产值对比表'!$C:$C,I$2)</f>
        <v>0</v>
      </c>
    </row>
    <row r="356" spans="12:12">
      <c r="L356" s="1047">
        <f>SUMIFS('01工程产值对比表'!$M:$M,'01工程产值对比表'!$D:$D,I356,'01工程产值对比表'!$C:$C,I$2)</f>
        <v>0</v>
      </c>
    </row>
    <row r="357" spans="12:12">
      <c r="L357" s="1047">
        <f>SUMIFS('01工程产值对比表'!$M:$M,'01工程产值对比表'!$D:$D,I357,'01工程产值对比表'!$C:$C,I$2)</f>
        <v>0</v>
      </c>
    </row>
    <row r="358" spans="12:12">
      <c r="L358" s="1047">
        <f>SUMIFS('01工程产值对比表'!$M:$M,'01工程产值对比表'!$D:$D,I358,'01工程产值对比表'!$C:$C,I$2)</f>
        <v>0</v>
      </c>
    </row>
    <row r="359" spans="12:12">
      <c r="L359" s="1047">
        <f>SUMIFS('01工程产值对比表'!$M:$M,'01工程产值对比表'!$D:$D,I359,'01工程产值对比表'!$C:$C,I$2)</f>
        <v>0</v>
      </c>
    </row>
  </sheetData>
  <sheetProtection formatCells="0" insertHyperlinks="0" autoFilter="0"/>
  <conditionalFormatting sqref="I2">
    <cfRule type="duplicateValues" dxfId="51" priority="12"/>
  </conditionalFormatting>
  <conditionalFormatting sqref="A181">
    <cfRule type="expression" dxfId="52" priority="3">
      <formula>$C181="分项"</formula>
    </cfRule>
    <cfRule type="expression" dxfId="53" priority="4">
      <formula>$C181="单位"</formula>
    </cfRule>
  </conditionalFormatting>
  <conditionalFormatting sqref="A182">
    <cfRule type="expression" dxfId="52" priority="1">
      <formula>$C182="分项"</formula>
    </cfRule>
    <cfRule type="expression" dxfId="53" priority="2">
      <formula>$C182="单位"</formula>
    </cfRule>
  </conditionalFormatting>
  <conditionalFormatting sqref="Q$1:Q$1048576">
    <cfRule type="duplicateValues" dxfId="51" priority="9"/>
  </conditionalFormatting>
  <conditionalFormatting sqref="Y$1:Y$1048576">
    <cfRule type="duplicateValues" dxfId="51" priority="8"/>
  </conditionalFormatting>
  <conditionalFormatting sqref="A1:A180 A183:A198 A393:A1048576 A215:A282">
    <cfRule type="duplicateValues" dxfId="51" priority="10"/>
  </conditionalFormatting>
  <conditionalFormatting sqref="I1 I7:I1048576">
    <cfRule type="duplicateValues" dxfId="51" priority="11"/>
  </conditionalFormatting>
  <conditionalFormatting sqref="I3:I6 K3:K6">
    <cfRule type="duplicateValues" dxfId="51" priority="5"/>
    <cfRule type="duplicateValues" dxfId="51" priority="6"/>
  </conditionalFormatting>
  <conditionalFormatting sqref="AF252:AF264 AF267:AF283">
    <cfRule type="duplicateValues" dxfId="51" priority="7"/>
  </conditionalFormatting>
  <dataValidations count="2">
    <dataValidation type="list" allowBlank="1" showInputMessage="1" showErrorMessage="1" sqref="R3 B3:B24 B215:B282">
      <formula1>INDIRECT("单位")</formula1>
    </dataValidation>
    <dataValidation type="list" allowBlank="1" showInputMessage="1" showErrorMessage="1" sqref="A181:A182">
      <formula1>INDIRECT(XAU194&amp;"下拉")</formula1>
    </dataValidation>
  </dataValidations>
  <pageMargins left="0.75" right="0.75" top="1" bottom="1" header="0.5" footer="0.5"/>
  <pageSetup paperSize="9" orientation="portrait"/>
  <headerFooter/>
  <drawing r:id="rId2"/>
  <legacyDrawing r:id="rId3"/>
  <controls>
    <mc:AlternateContent xmlns:mc="http://schemas.openxmlformats.org/markup-compatibility/2006">
      <mc:Choice Requires="x14">
        <control shapeId="31747" r:id="rId4" name="更新材料表2">
          <controlPr defaultSize="0" r:id="rId5">
            <anchor moveWithCells="1">
              <from>
                <xdr:col>39</xdr:col>
                <xdr:colOff>0</xdr:colOff>
                <xdr:row>0</xdr:row>
                <xdr:rowOff>38100</xdr:rowOff>
              </from>
              <to>
                <xdr:col>40</xdr:col>
                <xdr:colOff>295275</xdr:colOff>
                <xdr:row>0</xdr:row>
                <xdr:rowOff>323850</xdr:rowOff>
              </to>
            </anchor>
          </controlPr>
        </control>
      </mc:Choice>
      <mc:Fallback>
        <control shapeId="31747" r:id="rId4" name="更新材料表2"/>
      </mc:Fallback>
    </mc:AlternateContent>
  </controls>
  <tableParts count="7">
    <tablePart r:id="rId6"/>
    <tablePart r:id="rId7"/>
    <tablePart r:id="rId8"/>
    <tablePart r:id="rId9"/>
    <tablePart r:id="rId10"/>
    <tablePart r:id="rId1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0000"/>
    <outlinePr summaryBelow="0"/>
  </sheetPr>
  <dimension ref="A1:L23"/>
  <sheetViews>
    <sheetView workbookViewId="0">
      <pane ySplit="5" topLeftCell="A6" activePane="bottomLeft" state="frozen"/>
      <selection/>
      <selection pane="bottomLeft" activeCell="A189" sqref="A189"/>
    </sheetView>
  </sheetViews>
  <sheetFormatPr defaultColWidth="8.875" defaultRowHeight="15.75"/>
  <cols>
    <col min="1" max="1" width="6.125" style="697" customWidth="1"/>
    <col min="2" max="2" width="22.125" customWidth="1"/>
    <col min="3" max="3" width="17.625" customWidth="1"/>
    <col min="4" max="4" width="14.625" customWidth="1"/>
    <col min="5" max="5" width="16.5" customWidth="1"/>
    <col min="6" max="6" width="15.375" customWidth="1"/>
    <col min="7" max="7" width="11.125" style="638" customWidth="1"/>
    <col min="8" max="8" width="13.625" customWidth="1"/>
    <col min="9" max="9" width="15.75" customWidth="1"/>
    <col min="10" max="10" width="6.125" customWidth="1"/>
    <col min="11" max="11" width="12.625" customWidth="1"/>
    <col min="12" max="12" width="10.625" customWidth="1"/>
    <col min="15" max="15" width="11.125"/>
  </cols>
  <sheetData>
    <row r="1" ht="25.5" spans="1:9">
      <c r="A1" s="920" t="s">
        <v>1251</v>
      </c>
      <c r="B1" s="920"/>
      <c r="C1" s="920"/>
      <c r="D1" s="920"/>
      <c r="E1" s="920"/>
      <c r="F1" s="920"/>
      <c r="G1" s="920"/>
      <c r="H1" s="920"/>
      <c r="I1" s="920"/>
    </row>
    <row r="2" s="639" customFormat="1" ht="14.25" customHeight="1" spans="1:9">
      <c r="A2" s="960" t="s">
        <v>1252</v>
      </c>
      <c r="B2" s="960"/>
      <c r="C2" s="960"/>
      <c r="D2" s="960"/>
      <c r="E2" s="960"/>
      <c r="F2" s="960"/>
      <c r="G2" s="960"/>
      <c r="H2" s="960"/>
      <c r="I2" s="960"/>
    </row>
    <row r="3" s="639" customFormat="1" ht="18" customHeight="1" spans="1:9">
      <c r="A3" s="961" t="str" cm="1">
        <f t="array" ref="A3">"工程名称："&amp;工程名称&amp;"  "&amp;工区</f>
        <v>工程名称：az  2</v>
      </c>
      <c r="B3" s="962"/>
      <c r="C3" s="962"/>
      <c r="D3" s="962"/>
      <c r="E3" s="963"/>
      <c r="F3" s="963"/>
      <c r="G3" s="964"/>
      <c r="H3" s="963"/>
      <c r="I3" s="960" t="s">
        <v>1253</v>
      </c>
    </row>
    <row r="4" s="101" customFormat="1" ht="30" customHeight="1" spans="1:9">
      <c r="A4" s="965" t="s">
        <v>1254</v>
      </c>
      <c r="B4" s="966" t="s">
        <v>1255</v>
      </c>
      <c r="C4" s="966" t="s">
        <v>1256</v>
      </c>
      <c r="D4" s="966" t="s">
        <v>1257</v>
      </c>
      <c r="E4" s="966" t="s">
        <v>1258</v>
      </c>
      <c r="F4" s="966" t="s">
        <v>1259</v>
      </c>
      <c r="G4" s="967" t="s">
        <v>1260</v>
      </c>
      <c r="H4" s="966" t="s">
        <v>1261</v>
      </c>
      <c r="I4" s="1019" t="s">
        <v>1262</v>
      </c>
    </row>
    <row r="5" s="101" customFormat="1" ht="21.95" customHeight="1" spans="1:9">
      <c r="A5" s="968" t="s">
        <v>1263</v>
      </c>
      <c r="B5" s="969"/>
      <c r="C5" s="969"/>
      <c r="D5" s="969"/>
      <c r="E5" s="969"/>
      <c r="F5" s="969"/>
      <c r="G5" s="970"/>
      <c r="H5" s="969"/>
      <c r="I5" s="1020"/>
    </row>
    <row r="6" s="918" customFormat="1" ht="28.15" customHeight="1" spans="1:12">
      <c r="A6" s="971" t="s">
        <v>1264</v>
      </c>
      <c r="B6" s="972" t="s">
        <v>1265</v>
      </c>
      <c r="C6" s="973">
        <f ca="1">SUMPRODUCT((LEFT($A7:$A$14,1)=$A6)*1,C7:C$14)</f>
        <v>5219653.345</v>
      </c>
      <c r="D6" s="973">
        <f ca="1">SUMPRODUCT((LEFT($A7:$A$14,1)=$A6)*1,D7:D$14)</f>
        <v>5219653.345</v>
      </c>
      <c r="E6" s="973">
        <f ca="1">SUMPRODUCT((LEFT($A7:$A$14,1)=$A6)*1,E7:E$14)</f>
        <v>12023325.7166336</v>
      </c>
      <c r="F6" s="974">
        <f ca="1">+D6-E6</f>
        <v>-6803672.37163363</v>
      </c>
      <c r="G6" s="975">
        <f ca="1">IFERROR(F6/C6,"")</f>
        <v>-1.30347207408917</v>
      </c>
      <c r="H6" s="973"/>
      <c r="I6" s="1021" t="s">
        <v>1266</v>
      </c>
      <c r="J6" s="1022"/>
      <c r="K6" s="1022"/>
      <c r="L6" s="1023"/>
    </row>
    <row r="7" s="918" customFormat="1" ht="28.15" customHeight="1" spans="1:12">
      <c r="A7" s="976" t="s">
        <v>1267</v>
      </c>
      <c r="B7" s="977" t="s">
        <v>1265</v>
      </c>
      <c r="C7" s="978">
        <f ca="1">_xlfn.IFNA(VLOOKUP($B7,'分项对比表(02表)'!$D:$O,6,FALSE),"")</f>
        <v>5219653.345</v>
      </c>
      <c r="D7" s="978">
        <f ca="1">_xlfn.IFNA(VLOOKUP($B7,'分项对比表(02表)'!$D:$O,6,FALSE),"")</f>
        <v>5219653.345</v>
      </c>
      <c r="E7" s="978">
        <f ca="1">_xlfn.IFNA(VLOOKUP($B7,'分项对比表(02表)'!$D:$O,12,FALSE),"")</f>
        <v>12023325.7166336</v>
      </c>
      <c r="F7" s="979"/>
      <c r="G7" s="980"/>
      <c r="H7" s="978"/>
      <c r="I7" s="1024"/>
      <c r="J7" s="1022"/>
      <c r="K7" s="1022"/>
      <c r="L7" s="1023"/>
    </row>
    <row r="8" s="918" customFormat="1" ht="28.15" customHeight="1" spans="1:12">
      <c r="A8" s="981" t="s">
        <v>1268</v>
      </c>
      <c r="B8" s="982" t="s">
        <v>1269</v>
      </c>
      <c r="C8" s="983">
        <f ca="1">SUMPRODUCT((LEFT($A9:$A$14,1)=$A8)*1,C9:C$14)</f>
        <v>0</v>
      </c>
      <c r="D8" s="983">
        <f ca="1">SUMPRODUCT((LEFT($A9:$A$14,1)=$A8)*1,D9:D$14)</f>
        <v>0</v>
      </c>
      <c r="E8" s="983">
        <f>'措施费预算表(07表)'!L97</f>
        <v>5967070.168681</v>
      </c>
      <c r="F8" s="983">
        <f ca="1">D8-E8</f>
        <v>-5967070.168681</v>
      </c>
      <c r="G8" s="984" t="str">
        <f ca="1">IFERROR(F8/C8,"")</f>
        <v/>
      </c>
      <c r="H8" s="985"/>
      <c r="I8" s="1025" t="s">
        <v>1270</v>
      </c>
      <c r="J8" s="1026"/>
      <c r="K8" s="1022"/>
      <c r="L8" s="1023"/>
    </row>
    <row r="9" s="918" customFormat="1" ht="28.15" customHeight="1" outlineLevel="1" spans="1:12">
      <c r="A9" s="976" t="s">
        <v>1271</v>
      </c>
      <c r="B9" s="986" t="s">
        <v>1272</v>
      </c>
      <c r="C9" s="978" t="str">
        <f ca="1">_xlfn.IFNA(VLOOKUP($B9,'分项对比表(02表)'!$D:$O,6,FALSE),"")</f>
        <v/>
      </c>
      <c r="D9" s="978" t="str">
        <f ca="1">_xlfn.IFNA(VLOOKUP($B9,'分项对比表(02表)'!$D:$O,6,FALSE),"")</f>
        <v/>
      </c>
      <c r="E9" s="978" t="str">
        <f ca="1">_xlfn.IFNA(VLOOKUP($B9,'分项对比表(02表)'!$D:$O,12,FALSE),"")</f>
        <v/>
      </c>
      <c r="F9" s="987"/>
      <c r="G9" s="988"/>
      <c r="H9" s="989"/>
      <c r="I9" s="1027"/>
      <c r="J9" s="1026"/>
      <c r="K9" s="1022"/>
      <c r="L9" s="1023"/>
    </row>
    <row r="10" s="918" customFormat="1" ht="28.15" customHeight="1" outlineLevel="1" spans="1:12">
      <c r="A10" s="976" t="s">
        <v>1273</v>
      </c>
      <c r="B10" s="986" t="s">
        <v>1274</v>
      </c>
      <c r="C10" s="978" t="str">
        <f ca="1">_xlfn.IFNA(VLOOKUP($B10,'分项对比表(02表)'!$D:$O,6,FALSE),"")</f>
        <v/>
      </c>
      <c r="D10" s="978" t="str">
        <f ca="1">_xlfn.IFNA(VLOOKUP($B10,'分项对比表(02表)'!$D:$O,6,FALSE),"")</f>
        <v/>
      </c>
      <c r="E10" s="978" t="str">
        <f ca="1">_xlfn.IFNA(VLOOKUP($B10,'分项对比表(02表)'!$D:$O,12,FALSE),"")</f>
        <v/>
      </c>
      <c r="F10" s="987"/>
      <c r="G10" s="988" t="str">
        <f ca="1">IFERROR(F10/C10,"")</f>
        <v/>
      </c>
      <c r="H10" s="989"/>
      <c r="I10" s="1027"/>
      <c r="K10" s="1022"/>
      <c r="L10" s="1023"/>
    </row>
    <row r="11" s="918" customFormat="1" ht="28.15" customHeight="1" outlineLevel="1" spans="1:12">
      <c r="A11" s="976" t="s">
        <v>1275</v>
      </c>
      <c r="B11" s="986" t="s">
        <v>1276</v>
      </c>
      <c r="C11" s="978" t="str">
        <f ca="1">_xlfn.IFNA(VLOOKUP($B11,'分项对比表(02表)'!$D:$O,6,FALSE),"")</f>
        <v/>
      </c>
      <c r="D11" s="978" t="str">
        <f ca="1">_xlfn.IFNA(VLOOKUP($B11,'分项对比表(02表)'!$D:$O,6,FALSE),"")</f>
        <v/>
      </c>
      <c r="E11" s="978" t="str">
        <f ca="1">_xlfn.IFNA(VLOOKUP($B11,'分项对比表(02表)'!$D:$O,12,FALSE),"")</f>
        <v/>
      </c>
      <c r="F11" s="987"/>
      <c r="G11" s="988"/>
      <c r="H11" s="989"/>
      <c r="I11" s="1027"/>
      <c r="K11" s="1022"/>
      <c r="L11" s="1023"/>
    </row>
    <row r="12" s="918" customFormat="1" ht="28.15" customHeight="1" spans="1:12">
      <c r="A12" s="981" t="s">
        <v>1277</v>
      </c>
      <c r="B12" s="982" t="s">
        <v>1278</v>
      </c>
      <c r="C12" s="985">
        <f ca="1">SUMPRODUCT((LEFT($A13:$A$14,1)=$A12)*1,C13:C$14)</f>
        <v>0</v>
      </c>
      <c r="D12" s="985">
        <f ca="1">SUMPRODUCT((LEFT($A13:$A$14,1)=$A12)*1,D13:D$14)</f>
        <v>0</v>
      </c>
      <c r="E12" s="985">
        <f>'期间费用预算表(08表)'!L5</f>
        <v>10324079.4720245</v>
      </c>
      <c r="F12" s="990">
        <f ca="1">D12-E12</f>
        <v>-10324079.4720245</v>
      </c>
      <c r="G12" s="984" t="str">
        <f ca="1">IFERROR(F12/C12,"")</f>
        <v/>
      </c>
      <c r="H12" s="985"/>
      <c r="I12" s="1025" t="s">
        <v>1279</v>
      </c>
      <c r="J12" s="1026"/>
      <c r="K12" s="1028"/>
      <c r="L12" s="1023"/>
    </row>
    <row r="13" s="918" customFormat="1" ht="28.15" customHeight="1" spans="1:12">
      <c r="A13" s="976" t="s">
        <v>1280</v>
      </c>
      <c r="B13" s="986" t="s">
        <v>1281</v>
      </c>
      <c r="C13" s="978" t="str">
        <f ca="1">_xlfn.IFNA(VLOOKUP($B13,'分项对比表(02表)'!$D:$O,6,FALSE),"")</f>
        <v/>
      </c>
      <c r="D13" s="978" t="str">
        <f ca="1">_xlfn.IFNA(VLOOKUP($B13,'分项对比表(02表)'!$D:$O,6,FALSE),"")</f>
        <v/>
      </c>
      <c r="E13" s="978" t="str">
        <f ca="1">_xlfn.IFNA(VLOOKUP($B13,'分项对比表(02表)'!$D:$O,12,FALSE),"")</f>
        <v/>
      </c>
      <c r="F13" s="987"/>
      <c r="G13" s="988"/>
      <c r="H13" s="989"/>
      <c r="I13" s="1027"/>
      <c r="J13" s="1026"/>
      <c r="K13" s="1022"/>
      <c r="L13" s="1023"/>
    </row>
    <row r="14" s="918" customFormat="1" ht="23.1" customHeight="1" spans="1:11">
      <c r="A14" s="968" t="s">
        <v>1282</v>
      </c>
      <c r="B14" s="991"/>
      <c r="C14" s="992"/>
      <c r="D14" s="992"/>
      <c r="E14" s="992"/>
      <c r="F14" s="993"/>
      <c r="G14" s="994"/>
      <c r="H14" s="992"/>
      <c r="I14" s="1029"/>
      <c r="J14" s="1026"/>
      <c r="K14" s="1022"/>
    </row>
    <row r="15" s="959" customFormat="1" ht="18" customHeight="1" spans="1:11">
      <c r="A15" s="995" t="s">
        <v>1283</v>
      </c>
      <c r="B15" s="982" t="s">
        <v>1284</v>
      </c>
      <c r="C15" s="996">
        <f ca="1">SUMPRODUCT((LEN($A$6:$A$13)=1)*1,C6:C13)</f>
        <v>5219653.345</v>
      </c>
      <c r="D15" s="996">
        <f ca="1">SUMPRODUCT((LEN($A$6:$A$13)=1)*1,D6:D13)</f>
        <v>5219653.345</v>
      </c>
      <c r="E15" s="996">
        <f ca="1">SUMPRODUCT((LEN($A$6:$A$13)=1)*1,E6:E13)</f>
        <v>28314475.3573391</v>
      </c>
      <c r="F15" s="997">
        <f ca="1">SUMPRODUCT((LEN($A$6:$A$13)=1)*1,F6:F13)</f>
        <v>-23094822.0123391</v>
      </c>
      <c r="G15" s="998">
        <f ca="1">IFERROR(F15/C15,"")</f>
        <v>-4.42458923722628</v>
      </c>
      <c r="H15" s="997"/>
      <c r="I15" s="1025"/>
      <c r="J15" s="1030"/>
      <c r="K15" s="1031"/>
    </row>
    <row r="16" s="918" customFormat="1" ht="18" customHeight="1" spans="1:11">
      <c r="A16" s="995" t="s">
        <v>1283</v>
      </c>
      <c r="B16" s="999" t="s">
        <v>1285</v>
      </c>
      <c r="C16" s="1000">
        <f>SUMIF('分项对比表(02表)'!$D:$D,"*暂列金*",'分项对比表(02表)'!$I:$I)</f>
        <v>0</v>
      </c>
      <c r="D16" s="1000">
        <f>SUMIF('分项对比表(02表)'!$D:$D,"*暂列金*",'分项对比表(02表)'!$I:$I)</f>
        <v>0</v>
      </c>
      <c r="E16" s="1000"/>
      <c r="F16" s="1001"/>
      <c r="G16" s="1002"/>
      <c r="H16" s="1003"/>
      <c r="I16" s="1032"/>
      <c r="K16" s="1022"/>
    </row>
    <row r="17" s="918" customFormat="1" ht="18" customHeight="1" spans="1:10">
      <c r="A17" s="995" t="s">
        <v>1283</v>
      </c>
      <c r="B17" s="1004" t="s">
        <v>1286</v>
      </c>
      <c r="C17" s="1000">
        <f>SUMIF('分项对比表(02表)'!$D:$D,"*增值税*",'分项对比表(02表)'!$I:$I)</f>
        <v>0</v>
      </c>
      <c r="D17" s="1000">
        <f>SUMIF('分项对比表(02表)'!$D:$D,"*增值税*",'分项对比表(02表)'!$I:$I)</f>
        <v>0</v>
      </c>
      <c r="E17" s="1000"/>
      <c r="F17" s="1005">
        <f>D17-H15</f>
        <v>0</v>
      </c>
      <c r="G17" s="1006"/>
      <c r="H17" s="1000"/>
      <c r="I17" s="1027" t="s">
        <v>1287</v>
      </c>
      <c r="J17" s="1026"/>
    </row>
    <row r="18" s="918" customFormat="1" ht="21" customHeight="1" spans="1:9">
      <c r="A18" s="1007" t="s">
        <v>1283</v>
      </c>
      <c r="B18" s="1008" t="s">
        <v>1288</v>
      </c>
      <c r="C18" s="1009">
        <f ca="1">+C15+C16+C17</f>
        <v>5219653.345</v>
      </c>
      <c r="D18" s="1009">
        <f ca="1">+D15+D16+D17</f>
        <v>5219653.345</v>
      </c>
      <c r="E18" s="1010"/>
      <c r="F18" s="1011"/>
      <c r="G18" s="1010"/>
      <c r="H18" s="1012"/>
      <c r="I18" s="1033"/>
    </row>
    <row r="19" s="639" customFormat="1" ht="16.5" spans="1:9">
      <c r="A19" s="1013"/>
      <c r="B19" s="1014"/>
      <c r="C19" s="1015"/>
      <c r="D19" s="1015"/>
      <c r="E19" s="1016"/>
      <c r="F19" s="1015"/>
      <c r="G19" s="964"/>
      <c r="H19" s="963"/>
      <c r="I19" s="963"/>
    </row>
    <row r="20" s="639" customFormat="1" ht="37.15" customHeight="1" spans="1:9">
      <c r="A20" s="709"/>
      <c r="B20" s="709"/>
      <c r="C20" s="709"/>
      <c r="D20" s="709"/>
      <c r="E20" s="709"/>
      <c r="F20" s="709"/>
      <c r="G20" s="709"/>
      <c r="H20" s="709"/>
      <c r="I20" s="709"/>
    </row>
    <row r="21" ht="30" customHeight="1" spans="1:9">
      <c r="A21" s="709"/>
      <c r="B21" s="709"/>
      <c r="C21" s="709"/>
      <c r="D21" s="709"/>
      <c r="E21" s="709"/>
      <c r="F21" s="709"/>
      <c r="G21" s="709"/>
      <c r="H21" s="709"/>
      <c r="I21" s="709"/>
    </row>
    <row r="22" ht="30" customHeight="1" spans="1:9">
      <c r="A22" s="1017"/>
      <c r="B22" s="1017"/>
      <c r="C22" s="1017"/>
      <c r="D22" s="1017"/>
      <c r="E22" s="1017"/>
      <c r="F22" s="1017"/>
      <c r="G22" s="1017"/>
      <c r="H22" s="1017"/>
      <c r="I22" s="1017"/>
    </row>
    <row r="23" ht="30.95" customHeight="1" spans="1:9">
      <c r="A23" s="1018"/>
      <c r="B23" s="1018"/>
      <c r="C23" s="1018"/>
      <c r="D23" s="1018"/>
      <c r="E23" s="1018"/>
      <c r="F23" s="1018"/>
      <c r="G23" s="1018"/>
      <c r="H23" s="1018"/>
      <c r="I23" s="1018"/>
    </row>
  </sheetData>
  <sheetProtection formatCells="0" insertHyperlinks="0" autoFilter="0"/>
  <mergeCells count="3">
    <mergeCell ref="A1:I1"/>
    <mergeCell ref="A2:I2"/>
    <mergeCell ref="A3:D3"/>
  </mergeCells>
  <conditionalFormatting sqref="A4:I18">
    <cfRule type="expression" dxfId="53" priority="1">
      <formula>LEN($A4)=1</formula>
    </cfRule>
    <cfRule type="expression" dxfId="54" priority="2">
      <formula>LEN($A4)&gt;5</formula>
    </cfRule>
    <cfRule type="expression" dxfId="55" priority="3">
      <formula>LEN($A4)=2</formula>
    </cfRule>
  </conditionalFormatting>
  <printOptions horizontalCentered="1" verticalCentered="1"/>
  <pageMargins left="0.354330708661417" right="0.354330708661417" top="0.590551181102362" bottom="0.393700787401575" header="0.31496062992126" footer="0.31496062992126"/>
  <pageSetup paperSize="9" scale="90" orientation="landscape" verticalDpi="180"/>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6">
    <outlinePr summaryBelow="0"/>
  </sheetPr>
  <dimension ref="A1:P70"/>
  <sheetViews>
    <sheetView showGridLines="0" zoomScale="85" zoomScaleNormal="85" workbookViewId="0">
      <pane ySplit="5" topLeftCell="A58" activePane="bottomLeft" state="frozen"/>
      <selection/>
      <selection pane="bottomLeft" activeCell="E21" sqref="E21"/>
    </sheetView>
  </sheetViews>
  <sheetFormatPr defaultColWidth="8.875" defaultRowHeight="26.1" customHeight="1"/>
  <cols>
    <col min="1" max="1" width="23.375" customWidth="1"/>
    <col min="2" max="2" width="9.875" customWidth="1"/>
    <col min="3" max="3" width="9.25" style="697" customWidth="1"/>
    <col min="4" max="4" width="27.75" style="889" customWidth="1"/>
    <col min="5" max="5" width="46.75" customWidth="1"/>
    <col min="6" max="6" width="7.5" style="697" customWidth="1"/>
    <col min="7" max="7" width="13.75" customWidth="1"/>
    <col min="8" max="8" width="16.25" customWidth="1"/>
    <col min="9" max="9" width="17.125" style="764" customWidth="1"/>
    <col min="10" max="11" width="11.875" customWidth="1"/>
    <col min="12" max="12" width="14.125" style="764" customWidth="1"/>
    <col min="13" max="13" width="13.875" style="917" customWidth="1"/>
    <col min="14" max="14" width="12.125" style="764" customWidth="1"/>
    <col min="15" max="15" width="17.75" style="764" customWidth="1"/>
    <col min="16" max="16" width="11" style="918" customWidth="1"/>
    <col min="17" max="17" width="13.5" customWidth="1"/>
    <col min="18" max="18" width="23.125" customWidth="1"/>
    <col min="19" max="19" width="13.75"/>
    <col min="20" max="20" width="12.625"/>
  </cols>
  <sheetData>
    <row r="1" s="916" customFormat="1" customHeight="1" spans="1:16">
      <c r="A1" s="919" t="s">
        <v>1289</v>
      </c>
      <c r="B1" s="919"/>
      <c r="C1" s="920"/>
      <c r="D1" s="919"/>
      <c r="E1" s="921"/>
      <c r="F1" s="922" t="e">
        <f ca="1">VLOOKUP($D1,INDIRECT($C1),2,0)</f>
        <v>#REF!</v>
      </c>
      <c r="G1" s="921"/>
      <c r="H1" s="921"/>
      <c r="I1" s="921"/>
      <c r="J1" s="935"/>
      <c r="K1" s="935"/>
      <c r="L1" s="936"/>
      <c r="M1" s="937"/>
      <c r="N1" s="938" t="e">
        <f>O1/G1</f>
        <v>#DIV/0!</v>
      </c>
      <c r="O1" s="939"/>
      <c r="P1" s="940" t="str">
        <f>+IFERROR((I1-O1)/I1,"")</f>
        <v/>
      </c>
    </row>
    <row r="2" s="639" customFormat="1" customHeight="1" spans="3:16">
      <c r="C2" s="101"/>
      <c r="D2" s="709"/>
      <c r="E2" s="894"/>
      <c r="F2" s="892"/>
      <c r="G2" s="894"/>
      <c r="H2" s="894"/>
      <c r="I2" s="941">
        <f>G2*H2</f>
        <v>0</v>
      </c>
      <c r="J2" s="894"/>
      <c r="K2" s="894"/>
      <c r="L2" s="941"/>
      <c r="M2" s="942"/>
      <c r="N2" s="938" t="e">
        <f ca="1">VLOOKUP($D2,INDIRECT($C2),3,0)</f>
        <v>#REF!</v>
      </c>
      <c r="O2" s="941" t="e">
        <f ca="1">M2*N2</f>
        <v>#REF!</v>
      </c>
      <c r="P2" s="940"/>
    </row>
    <row r="3" s="639" customFormat="1" customHeight="1" spans="1:16">
      <c r="A3" s="639" t="str" cm="1">
        <f t="array" ref="A3">"工程名称："&amp;工程名称&amp;"  "&amp;工区</f>
        <v>工程名称：az  2</v>
      </c>
      <c r="B3" s="709"/>
      <c r="C3" s="923"/>
      <c r="D3" s="709"/>
      <c r="E3" s="924"/>
      <c r="F3" s="925"/>
      <c r="G3" s="894"/>
      <c r="H3" s="894"/>
      <c r="I3" s="941"/>
      <c r="J3" s="894"/>
      <c r="K3" s="894"/>
      <c r="L3" s="941"/>
      <c r="M3" s="942"/>
      <c r="N3" s="941">
        <f>H2</f>
        <v>0</v>
      </c>
      <c r="O3" s="941"/>
      <c r="P3" s="940"/>
    </row>
    <row r="4" s="639" customFormat="1" customHeight="1" spans="1:16">
      <c r="A4" s="926" t="s">
        <v>1290</v>
      </c>
      <c r="B4" s="926" t="s">
        <v>1291</v>
      </c>
      <c r="C4" s="927" t="s">
        <v>1292</v>
      </c>
      <c r="D4" s="926" t="s">
        <v>1293</v>
      </c>
      <c r="E4" s="926" t="s">
        <v>1294</v>
      </c>
      <c r="F4" s="927" t="s">
        <v>60</v>
      </c>
      <c r="G4" s="926" t="s">
        <v>1295</v>
      </c>
      <c r="H4" s="926" t="s">
        <v>1296</v>
      </c>
      <c r="I4" s="943" t="s">
        <v>1297</v>
      </c>
      <c r="J4" s="926" t="s">
        <v>1298</v>
      </c>
      <c r="K4" s="926" t="s">
        <v>1299</v>
      </c>
      <c r="L4" s="943" t="s">
        <v>1300</v>
      </c>
      <c r="M4" s="944" t="s">
        <v>1301</v>
      </c>
      <c r="N4" s="945" t="s">
        <v>1302</v>
      </c>
      <c r="O4" s="945" t="s">
        <v>1303</v>
      </c>
      <c r="P4" s="946" t="s">
        <v>1262</v>
      </c>
    </row>
    <row r="5" customHeight="1" spans="1:16">
      <c r="A5" s="928" t="s">
        <v>1304</v>
      </c>
      <c r="B5" s="928"/>
      <c r="C5" s="929"/>
      <c r="D5" s="928"/>
      <c r="E5" s="928"/>
      <c r="F5" s="929"/>
      <c r="G5" s="928"/>
      <c r="H5" s="928"/>
      <c r="I5" s="947">
        <f>SUMPRODUCT((LEN($A6:$A70)=LEN($A$6))*1,I6:I70)</f>
        <v>5219653.345</v>
      </c>
      <c r="J5" s="948"/>
      <c r="K5" s="948"/>
      <c r="L5" s="949">
        <f>SUMPRODUCT((LEN($A6:$A70)=LEN($A$6))*1,L6:L70)</f>
        <v>0</v>
      </c>
      <c r="M5" s="950"/>
      <c r="N5" s="951"/>
      <c r="O5" s="947">
        <f ca="1">SUMPRODUCT((LEN($A6:$A70)=LEN($A$6))*1,O6:O70)</f>
        <v>12023325.7166336</v>
      </c>
      <c r="P5" s="948"/>
    </row>
    <row r="6" customHeight="1" spans="1:16">
      <c r="A6" s="930" t="s">
        <v>1305</v>
      </c>
      <c r="B6" s="931"/>
      <c r="C6" s="932" t="s">
        <v>1306</v>
      </c>
      <c r="D6" s="931" t="s">
        <v>1265</v>
      </c>
      <c r="E6" s="931"/>
      <c r="F6" s="932"/>
      <c r="G6" s="931"/>
      <c r="H6" s="931"/>
      <c r="I6" s="952">
        <f>(+I7+I26)</f>
        <v>5219653.345</v>
      </c>
      <c r="J6" s="953"/>
      <c r="K6" s="953"/>
      <c r="L6" s="952">
        <f>(+L7+L26)</f>
        <v>0</v>
      </c>
      <c r="M6" s="954"/>
      <c r="N6" s="955"/>
      <c r="O6" s="955">
        <f ca="1">(+O7+O26)</f>
        <v>12023325.7166336</v>
      </c>
      <c r="P6" s="953"/>
    </row>
    <row r="7" customHeight="1" outlineLevel="1" spans="1:16">
      <c r="A7" s="509" t="s">
        <v>1307</v>
      </c>
      <c r="B7" s="508"/>
      <c r="C7" s="933" t="s">
        <v>60</v>
      </c>
      <c r="D7" s="934" t="s">
        <v>1308</v>
      </c>
      <c r="E7" s="508"/>
      <c r="F7" s="933"/>
      <c r="G7" s="508"/>
      <c r="H7" s="508"/>
      <c r="I7" s="956">
        <f>(+I8+I14+I20)</f>
        <v>2650000</v>
      </c>
      <c r="J7" s="508"/>
      <c r="K7" s="508"/>
      <c r="L7" s="956">
        <f>(+L8+L14+L20)</f>
        <v>0</v>
      </c>
      <c r="M7" s="957"/>
      <c r="N7" s="956"/>
      <c r="O7" s="956">
        <f ca="1">(+O8+O14+O20)</f>
        <v>10335811.2389381</v>
      </c>
      <c r="P7" s="508"/>
    </row>
    <row r="8" customHeight="1" outlineLevel="2" spans="1:16">
      <c r="A8" s="510" t="s">
        <v>1309</v>
      </c>
      <c r="B8" s="508"/>
      <c r="C8" s="933" t="s">
        <v>1310</v>
      </c>
      <c r="D8" s="934" t="s">
        <v>1311</v>
      </c>
      <c r="E8" s="508"/>
      <c r="F8" s="933" t="s">
        <v>72</v>
      </c>
      <c r="G8" s="508">
        <v>1000</v>
      </c>
      <c r="H8" s="508">
        <v>450</v>
      </c>
      <c r="I8" s="956">
        <f>G8*H8</f>
        <v>450000</v>
      </c>
      <c r="J8" s="508"/>
      <c r="K8" s="508"/>
      <c r="L8" s="956"/>
      <c r="M8" s="957"/>
      <c r="N8" s="956"/>
      <c r="O8" s="956">
        <f ca="1">(+O9+O10+O11+O12+O13)</f>
        <v>987250</v>
      </c>
      <c r="P8" s="508"/>
    </row>
    <row r="9" customHeight="1" outlineLevel="3" spans="1:16">
      <c r="A9" s="511" t="s">
        <v>1312</v>
      </c>
      <c r="B9" s="508"/>
      <c r="C9" s="933" t="s">
        <v>64</v>
      </c>
      <c r="D9" s="934" t="s">
        <v>753</v>
      </c>
      <c r="E9" s="508"/>
      <c r="F9" s="933" t="str">
        <f ca="1" t="shared" ref="F9:F13" si="0">VLOOKUP($D9,INDIRECT($C9),2,0)</f>
        <v>m3</v>
      </c>
      <c r="G9" s="508"/>
      <c r="H9" s="508"/>
      <c r="I9" s="956"/>
      <c r="J9" s="508"/>
      <c r="K9" s="508"/>
      <c r="L9" s="956"/>
      <c r="M9" s="957">
        <f>+G8</f>
        <v>1000</v>
      </c>
      <c r="N9" s="956">
        <f ca="1" t="shared" ref="N9:N13" si="1">VLOOKUP($D9,INDIRECT($C9),3,0)</f>
        <v>30</v>
      </c>
      <c r="O9" s="956">
        <f ca="1" t="shared" ref="O9:O13" si="2">M9*N9</f>
        <v>30000</v>
      </c>
      <c r="P9" s="958"/>
    </row>
    <row r="10" customHeight="1" outlineLevel="3" spans="1:16">
      <c r="A10" s="511" t="s">
        <v>1313</v>
      </c>
      <c r="B10" s="508"/>
      <c r="C10" s="933" t="s">
        <v>64</v>
      </c>
      <c r="D10" s="934" t="s">
        <v>597</v>
      </c>
      <c r="E10" s="508"/>
      <c r="F10" s="933" t="str">
        <f ca="1" t="shared" si="0"/>
        <v>m2</v>
      </c>
      <c r="G10" s="508"/>
      <c r="H10" s="508"/>
      <c r="I10" s="956"/>
      <c r="J10" s="508"/>
      <c r="K10" s="508"/>
      <c r="L10" s="956"/>
      <c r="M10" s="957">
        <f>+M9*0.5</f>
        <v>500</v>
      </c>
      <c r="N10" s="956">
        <f ca="1" t="shared" si="1"/>
        <v>34.5</v>
      </c>
      <c r="O10" s="956">
        <f ca="1" t="shared" si="2"/>
        <v>17250</v>
      </c>
      <c r="P10" s="958"/>
    </row>
    <row r="11" customHeight="1" outlineLevel="3" spans="1:16">
      <c r="A11" s="511" t="s">
        <v>1314</v>
      </c>
      <c r="B11" s="508"/>
      <c r="C11" s="933" t="s">
        <v>64</v>
      </c>
      <c r="D11" s="934" t="s">
        <v>296</v>
      </c>
      <c r="E11" s="508"/>
      <c r="F11" s="933" t="str">
        <f ca="1" t="shared" si="0"/>
        <v>t</v>
      </c>
      <c r="G11" s="508"/>
      <c r="H11" s="508"/>
      <c r="I11" s="956"/>
      <c r="J11" s="508"/>
      <c r="K11" s="508"/>
      <c r="L11" s="956"/>
      <c r="M11" s="957">
        <f>+M9*0.1</f>
        <v>100</v>
      </c>
      <c r="N11" s="956">
        <f ca="1" t="shared" si="1"/>
        <v>700</v>
      </c>
      <c r="O11" s="956">
        <f ca="1" t="shared" si="2"/>
        <v>70000</v>
      </c>
      <c r="P11" s="958"/>
    </row>
    <row r="12" customHeight="1" outlineLevel="3" spans="1:16">
      <c r="A12" s="511" t="s">
        <v>1315</v>
      </c>
      <c r="B12" s="508"/>
      <c r="C12" s="933" t="s">
        <v>59</v>
      </c>
      <c r="D12" s="934" t="s">
        <v>793</v>
      </c>
      <c r="E12" s="508"/>
      <c r="F12" s="933" t="str">
        <f ca="1" t="shared" si="0"/>
        <v>m³</v>
      </c>
      <c r="G12" s="508"/>
      <c r="H12" s="508"/>
      <c r="I12" s="956"/>
      <c r="J12" s="508"/>
      <c r="K12" s="508"/>
      <c r="L12" s="956"/>
      <c r="M12" s="957">
        <f>+M9</f>
        <v>1000</v>
      </c>
      <c r="N12" s="956">
        <f ca="1" t="shared" si="1"/>
        <v>450</v>
      </c>
      <c r="O12" s="956">
        <f ca="1" t="shared" si="2"/>
        <v>450000</v>
      </c>
      <c r="P12" s="958"/>
    </row>
    <row r="13" customHeight="1" outlineLevel="3" spans="1:16">
      <c r="A13" s="511" t="s">
        <v>1316</v>
      </c>
      <c r="B13" s="508"/>
      <c r="C13" s="933" t="s">
        <v>59</v>
      </c>
      <c r="D13" s="934" t="s">
        <v>481</v>
      </c>
      <c r="E13" s="508" t="str">
        <f ca="1">"含钢量："&amp;ROUND(M13/G8,3)&amp;F13&amp;"/"&amp;F8</f>
        <v>含钢量：0.1t/m3</v>
      </c>
      <c r="F13" s="933" t="str">
        <f ca="1" t="shared" si="0"/>
        <v>t</v>
      </c>
      <c r="G13" s="508"/>
      <c r="H13" s="508"/>
      <c r="I13" s="956"/>
      <c r="J13" s="508"/>
      <c r="K13" s="508"/>
      <c r="L13" s="956"/>
      <c r="M13" s="957">
        <f>+M9*0.1</f>
        <v>100</v>
      </c>
      <c r="N13" s="956">
        <f ca="1" t="shared" si="1"/>
        <v>4200</v>
      </c>
      <c r="O13" s="956">
        <f ca="1" t="shared" si="2"/>
        <v>420000</v>
      </c>
      <c r="P13" s="958"/>
    </row>
    <row r="14" customHeight="1" outlineLevel="2" spans="1:16">
      <c r="A14" s="510" t="s">
        <v>1317</v>
      </c>
      <c r="B14" s="508"/>
      <c r="C14" s="933" t="s">
        <v>1310</v>
      </c>
      <c r="D14" s="934" t="s">
        <v>1318</v>
      </c>
      <c r="E14" s="508"/>
      <c r="F14" s="933" t="s">
        <v>72</v>
      </c>
      <c r="G14" s="508">
        <v>2000</v>
      </c>
      <c r="H14" s="508">
        <v>550</v>
      </c>
      <c r="I14" s="956">
        <f>G14*H14</f>
        <v>1100000</v>
      </c>
      <c r="J14" s="508"/>
      <c r="K14" s="508"/>
      <c r="L14" s="956"/>
      <c r="M14" s="957"/>
      <c r="N14" s="956"/>
      <c r="O14" s="956">
        <f ca="1">(+O15+O16+O17+O18+O19)</f>
        <v>1974500</v>
      </c>
      <c r="P14" s="958"/>
    </row>
    <row r="15" customHeight="1" outlineLevel="3" spans="1:16">
      <c r="A15" s="511" t="s">
        <v>1319</v>
      </c>
      <c r="B15" s="508"/>
      <c r="C15" s="933" t="s">
        <v>64</v>
      </c>
      <c r="D15" s="934" t="s">
        <v>753</v>
      </c>
      <c r="E15" s="508"/>
      <c r="F15" s="933" t="str">
        <f ca="1" t="shared" ref="F15:F19" si="3">VLOOKUP($D15,INDIRECT($C15),2,0)</f>
        <v>m3</v>
      </c>
      <c r="G15" s="508"/>
      <c r="H15" s="508"/>
      <c r="I15" s="956"/>
      <c r="J15" s="508"/>
      <c r="K15" s="508"/>
      <c r="L15" s="956"/>
      <c r="M15" s="957">
        <f>+G14</f>
        <v>2000</v>
      </c>
      <c r="N15" s="956">
        <f ca="1" t="shared" ref="N15:N19" si="4">VLOOKUP($D15,INDIRECT($C15),3,0)</f>
        <v>30</v>
      </c>
      <c r="O15" s="956">
        <f ca="1" t="shared" ref="O15:O19" si="5">M15*N15</f>
        <v>60000</v>
      </c>
      <c r="P15" s="958"/>
    </row>
    <row r="16" customHeight="1" outlineLevel="3" spans="1:16">
      <c r="A16" s="511" t="s">
        <v>1320</v>
      </c>
      <c r="B16" s="508"/>
      <c r="C16" s="933" t="s">
        <v>64</v>
      </c>
      <c r="D16" s="934" t="s">
        <v>597</v>
      </c>
      <c r="E16" s="508" t="s">
        <v>1321</v>
      </c>
      <c r="F16" s="933" t="str">
        <f ca="1" t="shared" si="3"/>
        <v>m2</v>
      </c>
      <c r="G16" s="508"/>
      <c r="H16" s="508"/>
      <c r="I16" s="956"/>
      <c r="J16" s="508"/>
      <c r="K16" s="508"/>
      <c r="L16" s="956"/>
      <c r="M16" s="957">
        <f>+M15*0.5</f>
        <v>1000</v>
      </c>
      <c r="N16" s="956">
        <f ca="1" t="shared" si="4"/>
        <v>34.5</v>
      </c>
      <c r="O16" s="956">
        <f ca="1" t="shared" si="5"/>
        <v>34500</v>
      </c>
      <c r="P16" s="958"/>
    </row>
    <row r="17" customHeight="1" outlineLevel="3" spans="1:16">
      <c r="A17" s="511" t="s">
        <v>1322</v>
      </c>
      <c r="B17" s="508"/>
      <c r="C17" s="933" t="s">
        <v>64</v>
      </c>
      <c r="D17" s="934" t="s">
        <v>296</v>
      </c>
      <c r="E17" s="508"/>
      <c r="F17" s="933" t="str">
        <f ca="1" t="shared" si="3"/>
        <v>t</v>
      </c>
      <c r="G17" s="508"/>
      <c r="H17" s="508"/>
      <c r="I17" s="956"/>
      <c r="J17" s="508"/>
      <c r="K17" s="508"/>
      <c r="L17" s="956"/>
      <c r="M17" s="957">
        <f>+M15*0.1</f>
        <v>200</v>
      </c>
      <c r="N17" s="956">
        <f ca="1" t="shared" si="4"/>
        <v>700</v>
      </c>
      <c r="O17" s="956">
        <f ca="1" t="shared" si="5"/>
        <v>140000</v>
      </c>
      <c r="P17" s="958"/>
    </row>
    <row r="18" customHeight="1" outlineLevel="3" spans="1:16">
      <c r="A18" s="511" t="s">
        <v>1323</v>
      </c>
      <c r="B18" s="508"/>
      <c r="C18" s="933" t="s">
        <v>59</v>
      </c>
      <c r="D18" s="934" t="s">
        <v>793</v>
      </c>
      <c r="E18" s="508"/>
      <c r="F18" s="933" t="str">
        <f ca="1" t="shared" si="3"/>
        <v>m³</v>
      </c>
      <c r="G18" s="508"/>
      <c r="H18" s="508"/>
      <c r="I18" s="956"/>
      <c r="J18" s="508"/>
      <c r="K18" s="508"/>
      <c r="L18" s="956"/>
      <c r="M18" s="957">
        <f>+M15</f>
        <v>2000</v>
      </c>
      <c r="N18" s="956">
        <f ca="1" t="shared" si="4"/>
        <v>450</v>
      </c>
      <c r="O18" s="956">
        <f ca="1" t="shared" si="5"/>
        <v>900000</v>
      </c>
      <c r="P18" s="958"/>
    </row>
    <row r="19" customHeight="1" outlineLevel="3" spans="1:16">
      <c r="A19" s="511" t="s">
        <v>1324</v>
      </c>
      <c r="B19" s="508"/>
      <c r="C19" s="933" t="s">
        <v>59</v>
      </c>
      <c r="D19" s="934" t="s">
        <v>481</v>
      </c>
      <c r="E19" s="508" t="str">
        <f ca="1">"含钢量："&amp;ROUND(M19/G14,3)&amp;F19&amp;"/"&amp;F14</f>
        <v>含钢量：0.1t/m3</v>
      </c>
      <c r="F19" s="933" t="str">
        <f ca="1" t="shared" si="3"/>
        <v>t</v>
      </c>
      <c r="G19" s="508"/>
      <c r="H19" s="508"/>
      <c r="I19" s="956"/>
      <c r="J19" s="508"/>
      <c r="K19" s="508"/>
      <c r="L19" s="956"/>
      <c r="M19" s="957">
        <f>+M15*0.1</f>
        <v>200</v>
      </c>
      <c r="N19" s="956">
        <f ca="1" t="shared" si="4"/>
        <v>4200</v>
      </c>
      <c r="O19" s="956">
        <f ca="1" t="shared" si="5"/>
        <v>840000</v>
      </c>
      <c r="P19" s="958"/>
    </row>
    <row r="20" customHeight="1" outlineLevel="2" spans="1:16">
      <c r="A20" s="510" t="s">
        <v>1325</v>
      </c>
      <c r="B20" s="508"/>
      <c r="C20" s="933" t="s">
        <v>1310</v>
      </c>
      <c r="D20" s="934" t="s">
        <v>1326</v>
      </c>
      <c r="E20" s="508"/>
      <c r="F20" s="933" t="s">
        <v>72</v>
      </c>
      <c r="G20" s="508">
        <v>2000</v>
      </c>
      <c r="H20" s="508">
        <v>550</v>
      </c>
      <c r="I20" s="956">
        <f>G20*H20</f>
        <v>1100000</v>
      </c>
      <c r="J20" s="508"/>
      <c r="K20" s="508"/>
      <c r="L20" s="956"/>
      <c r="M20" s="957"/>
      <c r="N20" s="956"/>
      <c r="O20" s="956">
        <f ca="1">(+O21+O22+O23+O24+O25)</f>
        <v>7374061.23893806</v>
      </c>
      <c r="P20" s="958"/>
    </row>
    <row r="21" customHeight="1" outlineLevel="3" spans="1:16">
      <c r="A21" s="511" t="s">
        <v>1327</v>
      </c>
      <c r="B21" s="508"/>
      <c r="C21" s="933" t="s">
        <v>64</v>
      </c>
      <c r="D21" s="934" t="s">
        <v>753</v>
      </c>
      <c r="E21" s="508"/>
      <c r="F21" s="933" t="str">
        <f ca="1" t="shared" ref="F21:F25" si="6">VLOOKUP($D21,INDIRECT($C21),2,0)</f>
        <v>m3</v>
      </c>
      <c r="G21" s="508"/>
      <c r="H21" s="508"/>
      <c r="I21" s="956"/>
      <c r="J21" s="508"/>
      <c r="K21" s="508"/>
      <c r="L21" s="956"/>
      <c r="M21" s="957">
        <f>+G20</f>
        <v>2000</v>
      </c>
      <c r="N21" s="956">
        <f ca="1" t="shared" ref="N21:N25" si="7">VLOOKUP($D21,INDIRECT($C21),3,0)</f>
        <v>30</v>
      </c>
      <c r="O21" s="956">
        <f ca="1" t="shared" ref="O21:O25" si="8">M21*N21</f>
        <v>60000</v>
      </c>
      <c r="P21" s="958"/>
    </row>
    <row r="22" customHeight="1" outlineLevel="3" spans="1:16">
      <c r="A22" s="511" t="s">
        <v>1328</v>
      </c>
      <c r="B22" s="508"/>
      <c r="C22" s="933" t="s">
        <v>64</v>
      </c>
      <c r="D22" s="934" t="s">
        <v>597</v>
      </c>
      <c r="E22" s="508" t="s">
        <v>1329</v>
      </c>
      <c r="F22" s="933" t="str">
        <f ca="1" t="shared" si="6"/>
        <v>m2</v>
      </c>
      <c r="G22" s="508"/>
      <c r="H22" s="508"/>
      <c r="I22" s="956"/>
      <c r="J22" s="508"/>
      <c r="K22" s="508"/>
      <c r="L22" s="956"/>
      <c r="M22" s="957">
        <f>+M21*0.5</f>
        <v>1000</v>
      </c>
      <c r="N22" s="956">
        <f ca="1" t="shared" si="7"/>
        <v>34.5</v>
      </c>
      <c r="O22" s="956">
        <f ca="1" t="shared" si="8"/>
        <v>34500</v>
      </c>
      <c r="P22" s="958"/>
    </row>
    <row r="23" customHeight="1" outlineLevel="3" spans="1:16">
      <c r="A23" s="511" t="s">
        <v>1330</v>
      </c>
      <c r="B23" s="508"/>
      <c r="C23" s="933" t="s">
        <v>64</v>
      </c>
      <c r="D23" s="934" t="s">
        <v>296</v>
      </c>
      <c r="E23" s="508"/>
      <c r="F23" s="933" t="str">
        <f ca="1" t="shared" si="6"/>
        <v>t</v>
      </c>
      <c r="G23" s="508"/>
      <c r="H23" s="508"/>
      <c r="I23" s="956"/>
      <c r="J23" s="508"/>
      <c r="K23" s="508"/>
      <c r="L23" s="956"/>
      <c r="M23" s="957">
        <f>+M21*0.1</f>
        <v>200</v>
      </c>
      <c r="N23" s="956">
        <f ca="1" t="shared" si="7"/>
        <v>700</v>
      </c>
      <c r="O23" s="956">
        <f ca="1" t="shared" si="8"/>
        <v>140000</v>
      </c>
      <c r="P23" s="958"/>
    </row>
    <row r="24" customHeight="1" outlineLevel="3" spans="1:16">
      <c r="A24" s="511" t="s">
        <v>1331</v>
      </c>
      <c r="B24" s="508"/>
      <c r="C24" s="933" t="s">
        <v>59</v>
      </c>
      <c r="D24" s="934" t="s">
        <v>235</v>
      </c>
      <c r="E24" s="508"/>
      <c r="F24" s="933" t="str">
        <f ca="1" t="shared" si="6"/>
        <v>m3</v>
      </c>
      <c r="G24" s="508"/>
      <c r="H24" s="508"/>
      <c r="I24" s="956"/>
      <c r="J24" s="508"/>
      <c r="K24" s="508"/>
      <c r="L24" s="956"/>
      <c r="M24" s="957">
        <f>+M21</f>
        <v>2000</v>
      </c>
      <c r="N24" s="956">
        <f ca="1" t="shared" si="7"/>
        <v>3149.78061946903</v>
      </c>
      <c r="O24" s="956">
        <f ca="1" t="shared" si="8"/>
        <v>6299561.23893806</v>
      </c>
      <c r="P24" s="958"/>
    </row>
    <row r="25" customHeight="1" outlineLevel="3" spans="1:16">
      <c r="A25" s="511" t="s">
        <v>1332</v>
      </c>
      <c r="B25" s="508"/>
      <c r="C25" s="933" t="s">
        <v>59</v>
      </c>
      <c r="D25" s="934" t="s">
        <v>481</v>
      </c>
      <c r="E25" s="508" t="str">
        <f ca="1">"含钢量："&amp;ROUND(M25/G20,3)&amp;F25&amp;"/"&amp;F20</f>
        <v>含钢量：0.1t/m3</v>
      </c>
      <c r="F25" s="933" t="str">
        <f ca="1" t="shared" si="6"/>
        <v>t</v>
      </c>
      <c r="G25" s="508"/>
      <c r="H25" s="508"/>
      <c r="I25" s="956"/>
      <c r="J25" s="508"/>
      <c r="K25" s="508"/>
      <c r="L25" s="956"/>
      <c r="M25" s="957">
        <f>+M21*0.1</f>
        <v>200</v>
      </c>
      <c r="N25" s="956">
        <f ca="1" t="shared" si="7"/>
        <v>4200</v>
      </c>
      <c r="O25" s="956">
        <f ca="1" t="shared" si="8"/>
        <v>840000</v>
      </c>
      <c r="P25" s="958"/>
    </row>
    <row r="26" customHeight="1" outlineLevel="1" spans="1:16">
      <c r="A26" s="509" t="s">
        <v>1333</v>
      </c>
      <c r="B26" s="508"/>
      <c r="C26" s="933" t="s">
        <v>60</v>
      </c>
      <c r="D26" s="934" t="s">
        <v>1334</v>
      </c>
      <c r="E26" s="508"/>
      <c r="F26" s="933"/>
      <c r="G26" s="508"/>
      <c r="H26" s="508"/>
      <c r="I26" s="956">
        <f>(+I27+I33+I39+I45+I51)</f>
        <v>2569653.345</v>
      </c>
      <c r="J26" s="508"/>
      <c r="K26" s="508"/>
      <c r="L26" s="956">
        <f>(+L27+L33+L39+L45+L51)</f>
        <v>0</v>
      </c>
      <c r="M26" s="957"/>
      <c r="N26" s="956"/>
      <c r="O26" s="956">
        <f ca="1">(+O27+O33+O39+O45+O51)</f>
        <v>1687514.47769558</v>
      </c>
      <c r="P26" s="958"/>
    </row>
    <row r="27" customHeight="1" outlineLevel="2" spans="1:16">
      <c r="A27" s="510" t="s">
        <v>1335</v>
      </c>
      <c r="B27" s="508"/>
      <c r="C27" s="933" t="s">
        <v>1310</v>
      </c>
      <c r="D27" s="934" t="s">
        <v>1336</v>
      </c>
      <c r="E27" s="508"/>
      <c r="F27" s="933" t="s">
        <v>72</v>
      </c>
      <c r="G27" s="508">
        <v>1000</v>
      </c>
      <c r="H27" s="508">
        <v>470</v>
      </c>
      <c r="I27" s="956">
        <f>G27*H27</f>
        <v>470000</v>
      </c>
      <c r="J27" s="508"/>
      <c r="K27" s="508"/>
      <c r="L27" s="956"/>
      <c r="M27" s="957"/>
      <c r="N27" s="956"/>
      <c r="O27" s="956">
        <f ca="1">(+O28+O29+O30+O31+O32)</f>
        <v>13812.52</v>
      </c>
      <c r="P27" s="958"/>
    </row>
    <row r="28" customHeight="1" outlineLevel="3" spans="1:16">
      <c r="A28" s="511" t="s">
        <v>1337</v>
      </c>
      <c r="B28" s="508"/>
      <c r="C28" s="933" t="s">
        <v>64</v>
      </c>
      <c r="D28" s="934" t="s">
        <v>753</v>
      </c>
      <c r="E28" s="508"/>
      <c r="F28" s="933" t="str">
        <f ca="1" t="shared" ref="F28:F32" si="9">VLOOKUP($D28,INDIRECT($C28),2,0)</f>
        <v>m3</v>
      </c>
      <c r="G28" s="508"/>
      <c r="H28" s="508"/>
      <c r="I28" s="956"/>
      <c r="J28" s="508"/>
      <c r="K28" s="508"/>
      <c r="L28" s="956"/>
      <c r="M28" s="957">
        <v>12.52</v>
      </c>
      <c r="N28" s="956">
        <f ca="1" t="shared" ref="N28:N32" si="10">VLOOKUP($D28,INDIRECT($C28),3,0)</f>
        <v>30</v>
      </c>
      <c r="O28" s="956">
        <f ca="1" t="shared" ref="O28:O32" si="11">M28*N28</f>
        <v>375.6</v>
      </c>
      <c r="P28" s="958"/>
    </row>
    <row r="29" customHeight="1" outlineLevel="3" spans="1:16">
      <c r="A29" s="511" t="s">
        <v>1338</v>
      </c>
      <c r="B29" s="508"/>
      <c r="C29" s="933" t="s">
        <v>64</v>
      </c>
      <c r="D29" s="934" t="s">
        <v>597</v>
      </c>
      <c r="E29" s="508"/>
      <c r="F29" s="933" t="str">
        <f ca="1" t="shared" si="9"/>
        <v>m2</v>
      </c>
      <c r="G29" s="508"/>
      <c r="H29" s="508"/>
      <c r="I29" s="956"/>
      <c r="J29" s="508"/>
      <c r="K29" s="508"/>
      <c r="L29" s="956"/>
      <c r="M29" s="957">
        <v>25.86</v>
      </c>
      <c r="N29" s="956">
        <f ca="1" t="shared" si="10"/>
        <v>34.5</v>
      </c>
      <c r="O29" s="956">
        <f ca="1" t="shared" si="11"/>
        <v>892.17</v>
      </c>
      <c r="P29" s="958"/>
    </row>
    <row r="30" customHeight="1" outlineLevel="3" spans="1:16">
      <c r="A30" s="511" t="s">
        <v>1339</v>
      </c>
      <c r="B30" s="508"/>
      <c r="C30" s="933" t="s">
        <v>59</v>
      </c>
      <c r="D30" s="934" t="s">
        <v>793</v>
      </c>
      <c r="E30" s="508"/>
      <c r="F30" s="933" t="str">
        <f ca="1" t="shared" si="9"/>
        <v>m³</v>
      </c>
      <c r="G30" s="508"/>
      <c r="H30" s="508"/>
      <c r="I30" s="956"/>
      <c r="J30" s="508"/>
      <c r="K30" s="508"/>
      <c r="L30" s="956"/>
      <c r="M30" s="957">
        <v>12.52</v>
      </c>
      <c r="N30" s="956">
        <f ca="1" t="shared" si="10"/>
        <v>450</v>
      </c>
      <c r="O30" s="956">
        <f ca="1" t="shared" si="11"/>
        <v>5634</v>
      </c>
      <c r="P30" s="958"/>
    </row>
    <row r="31" customHeight="1" outlineLevel="3" spans="1:16">
      <c r="A31" s="511" t="s">
        <v>1340</v>
      </c>
      <c r="B31" s="508"/>
      <c r="C31" s="933" t="s">
        <v>59</v>
      </c>
      <c r="D31" s="934" t="s">
        <v>481</v>
      </c>
      <c r="E31" s="508" t="str">
        <f ca="1">"含钢量："&amp;ROUND(M31/G27,3)&amp;F31&amp;"/"&amp;F27</f>
        <v>含钢量：0.001t/m3</v>
      </c>
      <c r="F31" s="933" t="str">
        <f ca="1" t="shared" si="9"/>
        <v>t</v>
      </c>
      <c r="G31" s="508"/>
      <c r="H31" s="508"/>
      <c r="I31" s="956"/>
      <c r="J31" s="508"/>
      <c r="K31" s="508"/>
      <c r="L31" s="956"/>
      <c r="M31" s="957">
        <v>1.41625</v>
      </c>
      <c r="N31" s="956">
        <f ca="1" t="shared" si="10"/>
        <v>4200</v>
      </c>
      <c r="O31" s="956">
        <f ca="1" t="shared" si="11"/>
        <v>5948.25</v>
      </c>
      <c r="P31" s="958"/>
    </row>
    <row r="32" customHeight="1" outlineLevel="3" spans="1:16">
      <c r="A32" s="511" t="s">
        <v>1341</v>
      </c>
      <c r="B32" s="508"/>
      <c r="C32" s="933" t="s">
        <v>64</v>
      </c>
      <c r="D32" s="934" t="s">
        <v>296</v>
      </c>
      <c r="E32" s="508"/>
      <c r="F32" s="933" t="str">
        <f ca="1" t="shared" si="9"/>
        <v>t</v>
      </c>
      <c r="G32" s="508"/>
      <c r="H32" s="508"/>
      <c r="I32" s="956"/>
      <c r="J32" s="508"/>
      <c r="K32" s="508"/>
      <c r="L32" s="956"/>
      <c r="M32" s="957">
        <v>1.375</v>
      </c>
      <c r="N32" s="956">
        <f ca="1" t="shared" si="10"/>
        <v>700</v>
      </c>
      <c r="O32" s="956">
        <f ca="1" t="shared" si="11"/>
        <v>962.5</v>
      </c>
      <c r="P32" s="958"/>
    </row>
    <row r="33" customHeight="1" outlineLevel="2" spans="1:16">
      <c r="A33" s="510" t="s">
        <v>1342</v>
      </c>
      <c r="B33" s="508"/>
      <c r="C33" s="933" t="s">
        <v>1310</v>
      </c>
      <c r="D33" s="934" t="s">
        <v>1343</v>
      </c>
      <c r="E33" s="508"/>
      <c r="F33" s="933" t="s">
        <v>72</v>
      </c>
      <c r="G33" s="508">
        <v>200</v>
      </c>
      <c r="H33" s="508">
        <v>850</v>
      </c>
      <c r="I33" s="956">
        <f>G33*H33</f>
        <v>170000</v>
      </c>
      <c r="J33" s="508"/>
      <c r="K33" s="508"/>
      <c r="L33" s="956"/>
      <c r="M33" s="957"/>
      <c r="N33" s="956"/>
      <c r="O33" s="956">
        <f ca="1">(+O34+O35+O36+O37+O38)</f>
        <v>204350</v>
      </c>
      <c r="P33" s="958"/>
    </row>
    <row r="34" customHeight="1" outlineLevel="3" spans="1:16">
      <c r="A34" s="511" t="s">
        <v>1344</v>
      </c>
      <c r="B34" s="508"/>
      <c r="C34" s="933" t="s">
        <v>64</v>
      </c>
      <c r="D34" s="934" t="s">
        <v>753</v>
      </c>
      <c r="E34" s="508"/>
      <c r="F34" s="933" t="str">
        <f ca="1" t="shared" ref="F34:F38" si="12">VLOOKUP($D34,INDIRECT($C34),2,0)</f>
        <v>m3</v>
      </c>
      <c r="G34" s="508"/>
      <c r="H34" s="508"/>
      <c r="I34" s="956"/>
      <c r="J34" s="508"/>
      <c r="K34" s="508"/>
      <c r="L34" s="956"/>
      <c r="M34" s="957">
        <f>+G33</f>
        <v>200</v>
      </c>
      <c r="N34" s="956">
        <f ca="1" t="shared" ref="N34:N38" si="13">VLOOKUP($D34,INDIRECT($C34),3,0)</f>
        <v>30</v>
      </c>
      <c r="O34" s="956">
        <f ca="1" t="shared" ref="O34:O38" si="14">M34*N34</f>
        <v>6000</v>
      </c>
      <c r="P34" s="958"/>
    </row>
    <row r="35" customHeight="1" outlineLevel="3" spans="1:16">
      <c r="A35" s="511" t="s">
        <v>1345</v>
      </c>
      <c r="B35" s="508"/>
      <c r="C35" s="933" t="s">
        <v>64</v>
      </c>
      <c r="D35" s="934" t="s">
        <v>597</v>
      </c>
      <c r="E35" s="508"/>
      <c r="F35" s="933" t="str">
        <f ca="1" t="shared" si="12"/>
        <v>m2</v>
      </c>
      <c r="G35" s="508"/>
      <c r="H35" s="508"/>
      <c r="I35" s="956"/>
      <c r="J35" s="508"/>
      <c r="K35" s="508"/>
      <c r="L35" s="956"/>
      <c r="M35" s="957">
        <f>+G33*1.5</f>
        <v>300</v>
      </c>
      <c r="N35" s="956">
        <f ca="1" t="shared" si="13"/>
        <v>34.5</v>
      </c>
      <c r="O35" s="956">
        <f ca="1" t="shared" si="14"/>
        <v>10350</v>
      </c>
      <c r="P35" s="958"/>
    </row>
    <row r="36" customHeight="1" outlineLevel="3" spans="1:16">
      <c r="A36" s="511" t="s">
        <v>1346</v>
      </c>
      <c r="B36" s="508"/>
      <c r="C36" s="933" t="s">
        <v>64</v>
      </c>
      <c r="D36" s="934" t="s">
        <v>296</v>
      </c>
      <c r="E36" s="508"/>
      <c r="F36" s="933" t="str">
        <f ca="1" t="shared" si="12"/>
        <v>t</v>
      </c>
      <c r="G36" s="508"/>
      <c r="H36" s="508"/>
      <c r="I36" s="956"/>
      <c r="J36" s="508"/>
      <c r="K36" s="508"/>
      <c r="L36" s="956"/>
      <c r="M36" s="957">
        <f>+G33*0.1</f>
        <v>20</v>
      </c>
      <c r="N36" s="956">
        <f ca="1" t="shared" si="13"/>
        <v>700</v>
      </c>
      <c r="O36" s="956">
        <f ca="1" t="shared" si="14"/>
        <v>14000</v>
      </c>
      <c r="P36" s="958"/>
    </row>
    <row r="37" customHeight="1" outlineLevel="3" spans="1:16">
      <c r="A37" s="511" t="s">
        <v>1347</v>
      </c>
      <c r="B37" s="508"/>
      <c r="C37" s="933" t="s">
        <v>59</v>
      </c>
      <c r="D37" s="934" t="s">
        <v>793</v>
      </c>
      <c r="E37" s="508"/>
      <c r="F37" s="933" t="str">
        <f ca="1" t="shared" si="12"/>
        <v>m³</v>
      </c>
      <c r="G37" s="508"/>
      <c r="H37" s="508"/>
      <c r="I37" s="956"/>
      <c r="J37" s="508"/>
      <c r="K37" s="508"/>
      <c r="L37" s="956"/>
      <c r="M37" s="957">
        <f>+G33</f>
        <v>200</v>
      </c>
      <c r="N37" s="956">
        <f ca="1" t="shared" si="13"/>
        <v>450</v>
      </c>
      <c r="O37" s="956">
        <f ca="1" t="shared" si="14"/>
        <v>90000</v>
      </c>
      <c r="P37" s="958"/>
    </row>
    <row r="38" customHeight="1" outlineLevel="3" spans="1:16">
      <c r="A38" s="511" t="s">
        <v>1348</v>
      </c>
      <c r="B38" s="508"/>
      <c r="C38" s="933" t="s">
        <v>59</v>
      </c>
      <c r="D38" s="934" t="s">
        <v>481</v>
      </c>
      <c r="E38" s="508" t="str">
        <f ca="1">"含钢量："&amp;ROUND(M38/G33,3)&amp;F38&amp;"/"&amp;F33</f>
        <v>含钢量：0.1t/m3</v>
      </c>
      <c r="F38" s="933" t="str">
        <f ca="1" t="shared" si="12"/>
        <v>t</v>
      </c>
      <c r="G38" s="508"/>
      <c r="H38" s="508"/>
      <c r="I38" s="956"/>
      <c r="J38" s="508"/>
      <c r="K38" s="508"/>
      <c r="L38" s="956"/>
      <c r="M38" s="957">
        <f>+M36</f>
        <v>20</v>
      </c>
      <c r="N38" s="956">
        <f ca="1" t="shared" si="13"/>
        <v>4200</v>
      </c>
      <c r="O38" s="956">
        <f ca="1" t="shared" si="14"/>
        <v>84000</v>
      </c>
      <c r="P38" s="958"/>
    </row>
    <row r="39" customHeight="1" outlineLevel="2" spans="1:16">
      <c r="A39" s="510" t="s">
        <v>1349</v>
      </c>
      <c r="B39" s="508"/>
      <c r="C39" s="933" t="s">
        <v>1310</v>
      </c>
      <c r="D39" s="934" t="s">
        <v>1350</v>
      </c>
      <c r="E39" s="508"/>
      <c r="F39" s="933" t="s">
        <v>72</v>
      </c>
      <c r="G39" s="508">
        <v>217</v>
      </c>
      <c r="H39" s="508">
        <v>650</v>
      </c>
      <c r="I39" s="956">
        <f>G39*H39</f>
        <v>141050</v>
      </c>
      <c r="J39" s="508"/>
      <c r="K39" s="508"/>
      <c r="L39" s="956"/>
      <c r="M39" s="957"/>
      <c r="N39" s="956"/>
      <c r="O39" s="956">
        <f ca="1">(+O40+O41+O42+O43+O44)</f>
        <v>460803.44</v>
      </c>
      <c r="P39" s="958"/>
    </row>
    <row r="40" customHeight="1" outlineLevel="3" spans="1:16">
      <c r="A40" s="511" t="s">
        <v>1351</v>
      </c>
      <c r="B40" s="508"/>
      <c r="C40" s="933" t="s">
        <v>64</v>
      </c>
      <c r="D40" s="934" t="s">
        <v>753</v>
      </c>
      <c r="E40" s="508"/>
      <c r="F40" s="933" t="str">
        <f ca="1" t="shared" ref="F40:F44" si="15">VLOOKUP($D40,INDIRECT($C40),2,0)</f>
        <v>m3</v>
      </c>
      <c r="G40" s="508"/>
      <c r="H40" s="508"/>
      <c r="I40" s="956"/>
      <c r="J40" s="508"/>
      <c r="K40" s="508"/>
      <c r="L40" s="956"/>
      <c r="M40" s="957">
        <v>217.6</v>
      </c>
      <c r="N40" s="956">
        <f ca="1" t="shared" ref="N40:N44" si="16">VLOOKUP($D40,INDIRECT($C40),3,0)</f>
        <v>30</v>
      </c>
      <c r="O40" s="956">
        <f ca="1" t="shared" ref="O40:O44" si="17">M40*N40</f>
        <v>6528</v>
      </c>
      <c r="P40" s="958"/>
    </row>
    <row r="41" customHeight="1" outlineLevel="3" spans="1:16">
      <c r="A41" s="511" t="s">
        <v>1352</v>
      </c>
      <c r="B41" s="508"/>
      <c r="C41" s="933" t="s">
        <v>64</v>
      </c>
      <c r="D41" s="934" t="s">
        <v>597</v>
      </c>
      <c r="E41" s="508" t="s">
        <v>1353</v>
      </c>
      <c r="F41" s="933" t="str">
        <f ca="1" t="shared" si="15"/>
        <v>m2</v>
      </c>
      <c r="G41" s="508"/>
      <c r="H41" s="508"/>
      <c r="I41" s="956"/>
      <c r="J41" s="508"/>
      <c r="K41" s="508"/>
      <c r="L41" s="956"/>
      <c r="M41" s="957">
        <f>G39*3.6</f>
        <v>781.2</v>
      </c>
      <c r="N41" s="956">
        <f ca="1" t="shared" si="16"/>
        <v>34.5</v>
      </c>
      <c r="O41" s="956">
        <f ca="1" t="shared" si="17"/>
        <v>26951.4</v>
      </c>
      <c r="P41" s="958"/>
    </row>
    <row r="42" customHeight="1" outlineLevel="3" spans="1:16">
      <c r="A42" s="511" t="s">
        <v>1354</v>
      </c>
      <c r="B42" s="508"/>
      <c r="C42" s="933" t="s">
        <v>59</v>
      </c>
      <c r="D42" s="934" t="s">
        <v>793</v>
      </c>
      <c r="E42" s="508"/>
      <c r="F42" s="933" t="str">
        <f ca="1" t="shared" si="15"/>
        <v>m³</v>
      </c>
      <c r="G42" s="508"/>
      <c r="H42" s="508"/>
      <c r="I42" s="956"/>
      <c r="J42" s="508"/>
      <c r="K42" s="508"/>
      <c r="L42" s="956"/>
      <c r="M42" s="957">
        <v>217.6</v>
      </c>
      <c r="N42" s="956">
        <f ca="1" t="shared" si="16"/>
        <v>450</v>
      </c>
      <c r="O42" s="956">
        <f ca="1" t="shared" si="17"/>
        <v>97920</v>
      </c>
      <c r="P42" s="958"/>
    </row>
    <row r="43" customHeight="1" outlineLevel="3" spans="1:16">
      <c r="A43" s="511" t="s">
        <v>1355</v>
      </c>
      <c r="B43" s="508"/>
      <c r="C43" s="933" t="s">
        <v>59</v>
      </c>
      <c r="D43" s="934" t="s">
        <v>481</v>
      </c>
      <c r="E43" s="508" t="str">
        <f ca="1">"含钢量："&amp;ROUND(M43/G39,3)&amp;F43&amp;"/"&amp;F39</f>
        <v>含钢量：0.311t/m3</v>
      </c>
      <c r="F43" s="933" t="str">
        <f ca="1" t="shared" si="15"/>
        <v>t</v>
      </c>
      <c r="G43" s="508"/>
      <c r="H43" s="508"/>
      <c r="I43" s="956"/>
      <c r="J43" s="508"/>
      <c r="K43" s="508"/>
      <c r="L43" s="956"/>
      <c r="M43" s="957">
        <v>67.5062</v>
      </c>
      <c r="N43" s="956">
        <f ca="1" t="shared" si="16"/>
        <v>4200</v>
      </c>
      <c r="O43" s="956">
        <f ca="1" t="shared" si="17"/>
        <v>283526.04</v>
      </c>
      <c r="P43" s="958"/>
    </row>
    <row r="44" customHeight="1" outlineLevel="3" spans="1:16">
      <c r="A44" s="511" t="s">
        <v>1356</v>
      </c>
      <c r="B44" s="508"/>
      <c r="C44" s="933" t="s">
        <v>64</v>
      </c>
      <c r="D44" s="934" t="s">
        <v>296</v>
      </c>
      <c r="E44" s="508"/>
      <c r="F44" s="933" t="str">
        <f ca="1" t="shared" si="15"/>
        <v>t</v>
      </c>
      <c r="G44" s="508"/>
      <c r="H44" s="508"/>
      <c r="I44" s="956"/>
      <c r="J44" s="508"/>
      <c r="K44" s="508"/>
      <c r="L44" s="956"/>
      <c r="M44" s="957">
        <v>65.54</v>
      </c>
      <c r="N44" s="956">
        <f ca="1" t="shared" si="16"/>
        <v>700</v>
      </c>
      <c r="O44" s="956">
        <f ca="1" t="shared" si="17"/>
        <v>45878</v>
      </c>
      <c r="P44" s="958"/>
    </row>
    <row r="45" customHeight="1" outlineLevel="2" spans="1:16">
      <c r="A45" s="510" t="s">
        <v>1357</v>
      </c>
      <c r="B45" s="508"/>
      <c r="C45" s="933" t="s">
        <v>1310</v>
      </c>
      <c r="D45" s="934" t="s">
        <v>1358</v>
      </c>
      <c r="E45" s="508"/>
      <c r="F45" s="933" t="s">
        <v>72</v>
      </c>
      <c r="G45" s="508">
        <v>8.7</v>
      </c>
      <c r="H45" s="508">
        <v>350</v>
      </c>
      <c r="I45" s="956">
        <f>G45*H45</f>
        <v>3045</v>
      </c>
      <c r="J45" s="508"/>
      <c r="K45" s="508"/>
      <c r="L45" s="956"/>
      <c r="M45" s="957"/>
      <c r="N45" s="956"/>
      <c r="O45" s="956">
        <f ca="1">(+O46+O47+O48+O49+O50)</f>
        <v>70615.1091955752</v>
      </c>
      <c r="P45" s="958"/>
    </row>
    <row r="46" customHeight="1" outlineLevel="3" spans="1:16">
      <c r="A46" s="511" t="s">
        <v>1359</v>
      </c>
      <c r="B46" s="508"/>
      <c r="C46" s="933" t="s">
        <v>64</v>
      </c>
      <c r="D46" s="934" t="s">
        <v>753</v>
      </c>
      <c r="E46" s="508"/>
      <c r="F46" s="933" t="str">
        <f ca="1" t="shared" ref="F46:F50" si="18">VLOOKUP($D46,INDIRECT($C46),2,0)</f>
        <v>m3</v>
      </c>
      <c r="G46" s="508"/>
      <c r="H46" s="508"/>
      <c r="I46" s="956"/>
      <c r="J46" s="508"/>
      <c r="K46" s="508"/>
      <c r="L46" s="956"/>
      <c r="M46" s="957">
        <v>8.71</v>
      </c>
      <c r="N46" s="956">
        <f ca="1" t="shared" ref="N46:N50" si="19">VLOOKUP($D46,INDIRECT($C46),3,0)</f>
        <v>30</v>
      </c>
      <c r="O46" s="956">
        <f ca="1" t="shared" ref="O46:O50" si="20">M46*N46</f>
        <v>261.3</v>
      </c>
      <c r="P46" s="958"/>
    </row>
    <row r="47" customHeight="1" outlineLevel="3" spans="1:16">
      <c r="A47" s="511" t="s">
        <v>1360</v>
      </c>
      <c r="B47" s="508"/>
      <c r="C47" s="933" t="s">
        <v>64</v>
      </c>
      <c r="D47" s="934" t="s">
        <v>597</v>
      </c>
      <c r="E47" s="508" t="s">
        <v>1353</v>
      </c>
      <c r="F47" s="933" t="str">
        <f ca="1" t="shared" si="18"/>
        <v>m2</v>
      </c>
      <c r="G47" s="508"/>
      <c r="H47" s="508"/>
      <c r="I47" s="956"/>
      <c r="J47" s="508"/>
      <c r="K47" s="508"/>
      <c r="L47" s="956"/>
      <c r="M47" s="957">
        <f>G45*2</f>
        <v>17.4</v>
      </c>
      <c r="N47" s="956">
        <f ca="1" t="shared" si="19"/>
        <v>34.5</v>
      </c>
      <c r="O47" s="956">
        <f ca="1" t="shared" si="20"/>
        <v>600.3</v>
      </c>
      <c r="P47" s="958"/>
    </row>
    <row r="48" customHeight="1" outlineLevel="3" spans="1:16">
      <c r="A48" s="511" t="s">
        <v>1361</v>
      </c>
      <c r="B48" s="508"/>
      <c r="C48" s="933" t="s">
        <v>59</v>
      </c>
      <c r="D48" s="934" t="s">
        <v>235</v>
      </c>
      <c r="E48" s="508"/>
      <c r="F48" s="933" t="str">
        <f ca="1" t="shared" si="18"/>
        <v>m3</v>
      </c>
      <c r="G48" s="508"/>
      <c r="H48" s="508"/>
      <c r="I48" s="956"/>
      <c r="J48" s="508"/>
      <c r="K48" s="508"/>
      <c r="L48" s="956"/>
      <c r="M48" s="957">
        <v>8.71</v>
      </c>
      <c r="N48" s="956">
        <f ca="1" t="shared" si="19"/>
        <v>3149.78061946903</v>
      </c>
      <c r="O48" s="956">
        <f ca="1" t="shared" si="20"/>
        <v>27434.5891955753</v>
      </c>
      <c r="P48" s="958"/>
    </row>
    <row r="49" customHeight="1" outlineLevel="3" spans="1:16">
      <c r="A49" s="511" t="s">
        <v>1362</v>
      </c>
      <c r="B49" s="508"/>
      <c r="C49" s="933" t="s">
        <v>59</v>
      </c>
      <c r="D49" s="934" t="s">
        <v>481</v>
      </c>
      <c r="E49" s="508" t="str">
        <f ca="1">"含钢量："&amp;ROUND(M49/G45,3)&amp;F49&amp;"/"&amp;F45</f>
        <v>含钢量：0.997t/m3</v>
      </c>
      <c r="F49" s="933" t="str">
        <f ca="1" t="shared" si="18"/>
        <v>t</v>
      </c>
      <c r="G49" s="508"/>
      <c r="H49" s="508"/>
      <c r="I49" s="956"/>
      <c r="J49" s="508"/>
      <c r="K49" s="508"/>
      <c r="L49" s="956"/>
      <c r="M49" s="957">
        <v>8.6726</v>
      </c>
      <c r="N49" s="956">
        <f ca="1" t="shared" si="19"/>
        <v>4200</v>
      </c>
      <c r="O49" s="956">
        <f ca="1" t="shared" si="20"/>
        <v>36424.92</v>
      </c>
      <c r="P49" s="958"/>
    </row>
    <row r="50" customHeight="1" outlineLevel="3" spans="1:16">
      <c r="A50" s="511" t="s">
        <v>1363</v>
      </c>
      <c r="B50" s="508"/>
      <c r="C50" s="933" t="s">
        <v>64</v>
      </c>
      <c r="D50" s="934" t="s">
        <v>296</v>
      </c>
      <c r="E50" s="508"/>
      <c r="F50" s="933" t="str">
        <f ca="1" t="shared" si="18"/>
        <v>t</v>
      </c>
      <c r="G50" s="508"/>
      <c r="H50" s="508"/>
      <c r="I50" s="956"/>
      <c r="J50" s="508"/>
      <c r="K50" s="508"/>
      <c r="L50" s="956"/>
      <c r="M50" s="957">
        <v>8.42</v>
      </c>
      <c r="N50" s="956">
        <f ca="1" t="shared" si="19"/>
        <v>700</v>
      </c>
      <c r="O50" s="956">
        <f ca="1" t="shared" si="20"/>
        <v>5894</v>
      </c>
      <c r="P50" s="958"/>
    </row>
    <row r="51" customHeight="1" outlineLevel="2" spans="1:16">
      <c r="A51" s="510" t="s">
        <v>1364</v>
      </c>
      <c r="B51" s="508"/>
      <c r="C51" s="933" t="s">
        <v>1310</v>
      </c>
      <c r="D51" s="934" t="s">
        <v>1365</v>
      </c>
      <c r="E51" s="508" t="s">
        <v>1366</v>
      </c>
      <c r="F51" s="933" t="s">
        <v>72</v>
      </c>
      <c r="G51" s="508">
        <v>1134.3</v>
      </c>
      <c r="H51" s="508">
        <v>1574.15</v>
      </c>
      <c r="I51" s="956">
        <v>1785558.345</v>
      </c>
      <c r="J51" s="508"/>
      <c r="K51" s="508"/>
      <c r="L51" s="956"/>
      <c r="M51" s="957">
        <v>1134.3</v>
      </c>
      <c r="N51" s="956">
        <v>0</v>
      </c>
      <c r="O51" s="956">
        <f ca="1">(+O52+O53+O54+O55+O56+O57+O58+O59+O60+O61)</f>
        <v>937933.4085</v>
      </c>
      <c r="P51" s="958"/>
    </row>
    <row r="52" customHeight="1" outlineLevel="3" spans="1:16">
      <c r="A52" s="511" t="s">
        <v>1367</v>
      </c>
      <c r="B52" s="508"/>
      <c r="C52" s="933" t="s">
        <v>63</v>
      </c>
      <c r="D52" s="934" t="s">
        <v>688</v>
      </c>
      <c r="E52" s="508"/>
      <c r="F52" s="933" t="str">
        <f ca="1" t="shared" ref="F52:F61" si="21">VLOOKUP($D52,INDIRECT($C52),2,0)</f>
        <v>m3</v>
      </c>
      <c r="G52" s="508"/>
      <c r="H52" s="508"/>
      <c r="I52" s="956"/>
      <c r="J52" s="508"/>
      <c r="K52" s="508"/>
      <c r="L52" s="956"/>
      <c r="M52" s="957">
        <v>1181.51</v>
      </c>
      <c r="N52" s="956">
        <f ca="1" t="shared" ref="N52:N61" si="22">VLOOKUP($D52,INDIRECT($C52),3,0)</f>
        <v>265.35</v>
      </c>
      <c r="O52" s="956">
        <f ca="1" t="shared" ref="O52:O61" si="23">M52*N52</f>
        <v>313513.6785</v>
      </c>
      <c r="P52" s="958"/>
    </row>
    <row r="53" customHeight="1" outlineLevel="3" spans="1:16">
      <c r="A53" s="511" t="s">
        <v>1368</v>
      </c>
      <c r="B53" s="508"/>
      <c r="C53" s="933" t="s">
        <v>59</v>
      </c>
      <c r="D53" s="934" t="s">
        <v>793</v>
      </c>
      <c r="E53" s="508"/>
      <c r="F53" s="933" t="str">
        <f ca="1" t="shared" si="21"/>
        <v>m³</v>
      </c>
      <c r="G53" s="508"/>
      <c r="H53" s="508"/>
      <c r="I53" s="956"/>
      <c r="J53" s="508"/>
      <c r="K53" s="508"/>
      <c r="L53" s="956"/>
      <c r="M53" s="957">
        <v>1276.03</v>
      </c>
      <c r="N53" s="956">
        <f ca="1" t="shared" si="22"/>
        <v>450</v>
      </c>
      <c r="O53" s="956">
        <f ca="1" t="shared" si="23"/>
        <v>574213.5</v>
      </c>
      <c r="P53" s="958"/>
    </row>
    <row r="54" customHeight="1" outlineLevel="3" spans="1:16">
      <c r="A54" s="511" t="s">
        <v>1369</v>
      </c>
      <c r="B54" s="508"/>
      <c r="C54" s="933" t="s">
        <v>59</v>
      </c>
      <c r="D54" s="934" t="s">
        <v>714</v>
      </c>
      <c r="E54" s="508" t="str">
        <f ca="1">"含钢量："&amp;ROUND(M54/G51,3)&amp;F54&amp;"/"&amp;F51</f>
        <v>含钢量：0.137t/m3</v>
      </c>
      <c r="F54" s="933" t="str">
        <f ca="1" t="shared" si="21"/>
        <v>t</v>
      </c>
      <c r="G54" s="508"/>
      <c r="H54" s="508"/>
      <c r="I54" s="956"/>
      <c r="J54" s="508"/>
      <c r="K54" s="508"/>
      <c r="L54" s="956"/>
      <c r="M54" s="957">
        <v>155.427103</v>
      </c>
      <c r="N54" s="956">
        <f ca="1" t="shared" si="22"/>
        <v>0</v>
      </c>
      <c r="O54" s="956">
        <f ca="1" t="shared" si="23"/>
        <v>0</v>
      </c>
      <c r="P54" s="958"/>
    </row>
    <row r="55" customHeight="1" outlineLevel="3" spans="1:16">
      <c r="A55" s="511" t="s">
        <v>1370</v>
      </c>
      <c r="B55" s="508"/>
      <c r="C55" s="933" t="s">
        <v>64</v>
      </c>
      <c r="D55" s="934" t="s">
        <v>350</v>
      </c>
      <c r="E55" s="508">
        <v>1500</v>
      </c>
      <c r="F55" s="933" t="str">
        <f ca="1" t="shared" si="21"/>
        <v>根</v>
      </c>
      <c r="G55" s="508"/>
      <c r="H55" s="508"/>
      <c r="I55" s="956"/>
      <c r="J55" s="508"/>
      <c r="K55" s="508"/>
      <c r="L55" s="956"/>
      <c r="M55" s="957">
        <v>39</v>
      </c>
      <c r="N55" s="956">
        <f ca="1" t="shared" si="22"/>
        <v>200</v>
      </c>
      <c r="O55" s="956">
        <f ca="1" t="shared" si="23"/>
        <v>7800</v>
      </c>
      <c r="P55" s="958"/>
    </row>
    <row r="56" customHeight="1" outlineLevel="3" spans="1:16">
      <c r="A56" s="511" t="s">
        <v>1371</v>
      </c>
      <c r="B56" s="508"/>
      <c r="C56" s="933" t="s">
        <v>64</v>
      </c>
      <c r="D56" s="934" t="s">
        <v>350</v>
      </c>
      <c r="E56" s="508">
        <v>1800</v>
      </c>
      <c r="F56" s="933" t="str">
        <f ca="1" t="shared" si="21"/>
        <v>根</v>
      </c>
      <c r="G56" s="508"/>
      <c r="H56" s="508"/>
      <c r="I56" s="956"/>
      <c r="J56" s="508"/>
      <c r="K56" s="508"/>
      <c r="L56" s="956"/>
      <c r="M56" s="957">
        <v>4</v>
      </c>
      <c r="N56" s="956">
        <f ca="1" t="shared" si="22"/>
        <v>200</v>
      </c>
      <c r="O56" s="956">
        <f ca="1" t="shared" si="23"/>
        <v>800</v>
      </c>
      <c r="P56" s="958"/>
    </row>
    <row r="57" customHeight="1" outlineLevel="3" spans="1:16">
      <c r="A57" s="511" t="s">
        <v>1372</v>
      </c>
      <c r="B57" s="508"/>
      <c r="C57" s="933" t="s">
        <v>65</v>
      </c>
      <c r="D57" s="934" t="s">
        <v>652</v>
      </c>
      <c r="E57" s="508"/>
      <c r="F57" s="933" t="str">
        <f ca="1" t="shared" si="21"/>
        <v>根</v>
      </c>
      <c r="G57" s="508"/>
      <c r="H57" s="508"/>
      <c r="I57" s="956"/>
      <c r="J57" s="508"/>
      <c r="K57" s="508"/>
      <c r="L57" s="956"/>
      <c r="M57" s="957">
        <v>43</v>
      </c>
      <c r="N57" s="956">
        <f ca="1" t="shared" si="22"/>
        <v>65</v>
      </c>
      <c r="O57" s="956">
        <f ca="1" t="shared" si="23"/>
        <v>2795</v>
      </c>
      <c r="P57" s="958"/>
    </row>
    <row r="58" customHeight="1" outlineLevel="3" spans="1:16">
      <c r="A58" s="511" t="s">
        <v>1373</v>
      </c>
      <c r="B58" s="508"/>
      <c r="C58" s="933" t="s">
        <v>65</v>
      </c>
      <c r="D58" s="934" t="s">
        <v>656</v>
      </c>
      <c r="E58" s="508"/>
      <c r="F58" s="933" t="str">
        <f ca="1" t="shared" si="21"/>
        <v>根</v>
      </c>
      <c r="G58" s="508"/>
      <c r="H58" s="508"/>
      <c r="I58" s="956"/>
      <c r="J58" s="508"/>
      <c r="K58" s="508"/>
      <c r="L58" s="956"/>
      <c r="M58" s="957">
        <v>43</v>
      </c>
      <c r="N58" s="956">
        <f ca="1" t="shared" si="22"/>
        <v>750</v>
      </c>
      <c r="O58" s="956">
        <f ca="1" t="shared" si="23"/>
        <v>32250</v>
      </c>
      <c r="P58" s="958"/>
    </row>
    <row r="59" customHeight="1" outlineLevel="3" spans="1:16">
      <c r="A59" s="511" t="s">
        <v>1374</v>
      </c>
      <c r="B59" s="508"/>
      <c r="C59" s="933" t="s">
        <v>59</v>
      </c>
      <c r="D59" s="934" t="s">
        <v>755</v>
      </c>
      <c r="E59" s="508"/>
      <c r="F59" s="933" t="str">
        <f ca="1" t="shared" si="21"/>
        <v>t</v>
      </c>
      <c r="G59" s="508"/>
      <c r="H59" s="508"/>
      <c r="I59" s="956"/>
      <c r="J59" s="508"/>
      <c r="K59" s="508"/>
      <c r="L59" s="956"/>
      <c r="M59" s="957">
        <v>7.83</v>
      </c>
      <c r="N59" s="956">
        <f ca="1" t="shared" si="22"/>
        <v>0</v>
      </c>
      <c r="O59" s="956">
        <f ca="1" t="shared" si="23"/>
        <v>0</v>
      </c>
      <c r="P59" s="958"/>
    </row>
    <row r="60" customHeight="1" outlineLevel="3" spans="1:16">
      <c r="A60" s="511" t="s">
        <v>1375</v>
      </c>
      <c r="B60" s="508"/>
      <c r="C60" s="933" t="s">
        <v>63</v>
      </c>
      <c r="D60" s="934" t="s">
        <v>345</v>
      </c>
      <c r="E60" s="508" t="s">
        <v>1376</v>
      </c>
      <c r="F60" s="933" t="str">
        <f ca="1" t="shared" si="21"/>
        <v>m3</v>
      </c>
      <c r="G60" s="508"/>
      <c r="H60" s="508"/>
      <c r="I60" s="956"/>
      <c r="J60" s="508"/>
      <c r="K60" s="508"/>
      <c r="L60" s="956"/>
      <c r="M60" s="957">
        <v>1276.03</v>
      </c>
      <c r="N60" s="956">
        <f ca="1" t="shared" si="22"/>
        <v>5</v>
      </c>
      <c r="O60" s="956">
        <f ca="1" t="shared" si="23"/>
        <v>6380.15</v>
      </c>
      <c r="P60" s="958"/>
    </row>
    <row r="61" customHeight="1" outlineLevel="3" spans="1:16">
      <c r="A61" s="511" t="s">
        <v>1377</v>
      </c>
      <c r="B61" s="508"/>
      <c r="C61" s="933" t="s">
        <v>64</v>
      </c>
      <c r="D61" s="934" t="s">
        <v>799</v>
      </c>
      <c r="E61" s="508"/>
      <c r="F61" s="933" t="str">
        <f ca="1" t="shared" si="21"/>
        <v>t</v>
      </c>
      <c r="G61" s="508"/>
      <c r="H61" s="508"/>
      <c r="I61" s="956"/>
      <c r="J61" s="508"/>
      <c r="K61" s="508"/>
      <c r="L61" s="956"/>
      <c r="M61" s="957">
        <v>150.9</v>
      </c>
      <c r="N61" s="956">
        <f ca="1" t="shared" si="22"/>
        <v>1.2</v>
      </c>
      <c r="O61" s="956">
        <f ca="1" t="shared" si="23"/>
        <v>181.08</v>
      </c>
      <c r="P61" s="958"/>
    </row>
    <row r="62" customHeight="1" spans="1:16">
      <c r="A62" s="508" t="s">
        <v>1378</v>
      </c>
      <c r="B62" s="508"/>
      <c r="C62" s="933" t="s">
        <v>1306</v>
      </c>
      <c r="D62" s="934" t="s">
        <v>1379</v>
      </c>
      <c r="E62" s="508" t="s">
        <v>1380</v>
      </c>
      <c r="F62" s="933" t="s">
        <v>195</v>
      </c>
      <c r="G62" s="508"/>
      <c r="H62" s="508"/>
      <c r="I62" s="956">
        <f>(+I63+I65)</f>
        <v>0</v>
      </c>
      <c r="J62" s="508"/>
      <c r="K62" s="508"/>
      <c r="L62" s="956">
        <f>(+L63+L65)</f>
        <v>0</v>
      </c>
      <c r="M62" s="957"/>
      <c r="N62" s="956"/>
      <c r="O62" s="956">
        <f>(+O63+O65)</f>
        <v>0</v>
      </c>
      <c r="P62" s="958"/>
    </row>
    <row r="63" customHeight="1" outlineLevel="1" spans="1:16">
      <c r="A63" s="509" t="s">
        <v>1381</v>
      </c>
      <c r="B63" s="508"/>
      <c r="C63" s="933" t="s">
        <v>60</v>
      </c>
      <c r="D63" s="934" t="s">
        <v>1382</v>
      </c>
      <c r="E63" s="508"/>
      <c r="F63" s="933"/>
      <c r="G63" s="508"/>
      <c r="H63" s="508"/>
      <c r="I63" s="956">
        <f>(+I64)</f>
        <v>0</v>
      </c>
      <c r="J63" s="508"/>
      <c r="K63" s="508"/>
      <c r="L63" s="956">
        <f>(+L64)</f>
        <v>0</v>
      </c>
      <c r="M63" s="957"/>
      <c r="N63" s="956"/>
      <c r="O63" s="956">
        <f>(+O64)</f>
        <v>0</v>
      </c>
      <c r="P63" s="958"/>
    </row>
    <row r="64" customHeight="1" outlineLevel="2" spans="1:16">
      <c r="A64" s="510" t="s">
        <v>1383</v>
      </c>
      <c r="B64" s="508"/>
      <c r="C64" s="933" t="s">
        <v>1310</v>
      </c>
      <c r="D64" s="934" t="s">
        <v>1384</v>
      </c>
      <c r="E64" s="508"/>
      <c r="F64" s="933"/>
      <c r="G64" s="508"/>
      <c r="H64" s="508"/>
      <c r="I64" s="956"/>
      <c r="J64" s="508"/>
      <c r="K64" s="508"/>
      <c r="L64" s="956"/>
      <c r="M64" s="957"/>
      <c r="N64" s="956"/>
      <c r="O64" s="956"/>
      <c r="P64" s="958"/>
    </row>
    <row r="65" customHeight="1" outlineLevel="1" spans="1:16">
      <c r="A65" s="509" t="s">
        <v>1385</v>
      </c>
      <c r="B65" s="508"/>
      <c r="C65" s="933" t="s">
        <v>60</v>
      </c>
      <c r="D65" s="934" t="s">
        <v>1386</v>
      </c>
      <c r="E65" s="508" t="s">
        <v>1387</v>
      </c>
      <c r="F65" s="933" t="s">
        <v>195</v>
      </c>
      <c r="G65" s="508"/>
      <c r="H65" s="508"/>
      <c r="I65" s="956"/>
      <c r="J65" s="508"/>
      <c r="K65" s="508"/>
      <c r="L65" s="956"/>
      <c r="M65" s="957"/>
      <c r="N65" s="956"/>
      <c r="O65" s="956"/>
      <c r="P65" s="958"/>
    </row>
    <row r="66" customHeight="1" spans="1:16">
      <c r="A66" s="508" t="s">
        <v>1388</v>
      </c>
      <c r="B66" s="508"/>
      <c r="C66" s="933" t="s">
        <v>1306</v>
      </c>
      <c r="D66" s="934" t="s">
        <v>1389</v>
      </c>
      <c r="E66" s="508"/>
      <c r="F66" s="933"/>
      <c r="G66" s="508"/>
      <c r="H66" s="508"/>
      <c r="I66" s="956">
        <f>(+I67+I68)</f>
        <v>0</v>
      </c>
      <c r="J66" s="508"/>
      <c r="K66" s="508"/>
      <c r="L66" s="956">
        <f>(+L67+L68)</f>
        <v>0</v>
      </c>
      <c r="M66" s="957"/>
      <c r="N66" s="956"/>
      <c r="O66" s="956">
        <f>(+O67+O68)</f>
        <v>0</v>
      </c>
      <c r="P66" s="958"/>
    </row>
    <row r="67" customHeight="1" outlineLevel="1" spans="1:16">
      <c r="A67" s="509" t="s">
        <v>1390</v>
      </c>
      <c r="B67" s="508"/>
      <c r="C67" s="933" t="s">
        <v>60</v>
      </c>
      <c r="D67" s="934" t="s">
        <v>1285</v>
      </c>
      <c r="E67" s="508"/>
      <c r="F67" s="933"/>
      <c r="G67" s="508"/>
      <c r="H67" s="508"/>
      <c r="I67" s="956"/>
      <c r="J67" s="508"/>
      <c r="K67" s="508"/>
      <c r="L67" s="956"/>
      <c r="M67" s="957"/>
      <c r="N67" s="956"/>
      <c r="O67" s="956"/>
      <c r="P67" s="958"/>
    </row>
    <row r="68" customHeight="1" outlineLevel="1" spans="1:16">
      <c r="A68" s="509" t="s">
        <v>1391</v>
      </c>
      <c r="B68" s="508"/>
      <c r="C68" s="933" t="s">
        <v>60</v>
      </c>
      <c r="D68" s="934" t="s">
        <v>1392</v>
      </c>
      <c r="E68" s="508"/>
      <c r="F68" s="933"/>
      <c r="G68" s="508"/>
      <c r="H68" s="508"/>
      <c r="I68" s="956"/>
      <c r="J68" s="508"/>
      <c r="K68" s="508"/>
      <c r="L68" s="956"/>
      <c r="M68" s="957"/>
      <c r="N68" s="956"/>
      <c r="O68" s="956"/>
      <c r="P68" s="958"/>
    </row>
    <row r="69" customHeight="1" spans="1:16">
      <c r="A69" s="508" t="s">
        <v>1393</v>
      </c>
      <c r="B69" s="508"/>
      <c r="C69" s="933" t="s">
        <v>1306</v>
      </c>
      <c r="D69" s="934" t="s">
        <v>1394</v>
      </c>
      <c r="E69" s="508"/>
      <c r="F69" s="933"/>
      <c r="G69" s="508"/>
      <c r="H69" s="508"/>
      <c r="I69" s="956"/>
      <c r="J69" s="508"/>
      <c r="K69" s="508"/>
      <c r="L69" s="956"/>
      <c r="M69" s="957"/>
      <c r="N69" s="956"/>
      <c r="O69" s="956"/>
      <c r="P69" s="958"/>
    </row>
    <row r="70" customHeight="1" spans="1:16">
      <c r="A70" s="508" t="s">
        <v>1395</v>
      </c>
      <c r="B70" s="508"/>
      <c r="C70" s="933" t="s">
        <v>1306</v>
      </c>
      <c r="D70" s="934" t="s">
        <v>1286</v>
      </c>
      <c r="E70" s="508"/>
      <c r="F70" s="933"/>
      <c r="G70" s="508"/>
      <c r="H70" s="508"/>
      <c r="I70" s="956"/>
      <c r="J70" s="508"/>
      <c r="K70" s="508"/>
      <c r="L70" s="956"/>
      <c r="M70" s="957"/>
      <c r="N70" s="956"/>
      <c r="O70" s="956"/>
      <c r="P70" s="958"/>
    </row>
  </sheetData>
  <sheetProtection formatCells="0" insertHyperlinks="0" autoFilter="0"/>
  <autoFilter ref="A4:P70">
    <filterColumn colId="2">
      <filters blank="1">
        <filter val="机械"/>
        <filter val="其它"/>
        <filter val="人工"/>
        <filter val="分包"/>
        <filter val="分项"/>
        <filter val="单项"/>
        <filter val="材料"/>
        <filter val="单位"/>
      </filters>
    </filterColumn>
    <extLst/>
  </autoFilter>
  <conditionalFormatting sqref="A6:P70">
    <cfRule type="expression" dxfId="53" priority="2">
      <formula>$C6="单位"</formula>
    </cfRule>
    <cfRule type="expression" dxfId="52" priority="1">
      <formula>$C6="分项"</formula>
    </cfRule>
  </conditionalFormatting>
  <dataValidations count="3">
    <dataValidation type="list" allowBlank="1" showInputMessage="1" showErrorMessage="1" sqref="C4:C5">
      <formula1>"单项,单位,分项,人工,材料,机械,分包"</formula1>
    </dataValidation>
    <dataValidation type="list" allowBlank="1" showInputMessage="1" showErrorMessage="1" sqref="C6:C70">
      <formula1>"单项,单位,分项,人工,材料,机械,分包,其它"</formula1>
    </dataValidation>
    <dataValidation type="list" allowBlank="1" showInputMessage="1" showErrorMessage="1" sqref="D9:D13 D15:D19 D21:D26 D28:D32 D34:D38 D40:D44 D46:D50 D52:D61">
      <formula1>INDIRECT(C9&amp;"下拉")</formula1>
    </dataValidation>
  </dataValidations>
  <printOptions horizontalCentered="1" verticalCentered="1"/>
  <pageMargins left="0.15748031496063" right="0.236220472440945" top="0.511811023622047" bottom="0.433070866141732" header="0.511811023622047" footer="0.511811023622047"/>
  <pageSetup paperSize="9" scale="86" orientation="landscape"/>
  <headerFooter alignWithMargins="0"/>
  <drawing r:id="rId2"/>
  <legacyDrawing r:id="rId3"/>
  <controls>
    <mc:AlternateContent xmlns:mc="http://schemas.openxmlformats.org/markup-compatibility/2006">
      <mc:Choice Requires="x14">
        <control shapeId="6176" r:id="rId4" name="CommandButton2">
          <controlPr defaultSize="0" r:id="rId5">
            <anchor moveWithCells="1">
              <from>
                <xdr:col>0</xdr:col>
                <xdr:colOff>104775</xdr:colOff>
                <xdr:row>1</xdr:row>
                <xdr:rowOff>142875</xdr:rowOff>
              </from>
              <to>
                <xdr:col>0</xdr:col>
                <xdr:colOff>114300</xdr:colOff>
                <xdr:row>1</xdr:row>
                <xdr:rowOff>152400</xdr:rowOff>
              </to>
            </anchor>
          </controlPr>
        </control>
      </mc:Choice>
      <mc:Fallback>
        <control shapeId="6176" r:id="rId4" name="CommandButton2"/>
      </mc:Fallback>
    </mc:AlternateContent>
    <mc:AlternateContent xmlns:mc="http://schemas.openxmlformats.org/markup-compatibility/2006">
      <mc:Choice Requires="x14">
        <control shapeId="6177" r:id="rId6" name="CommandButton3">
          <controlPr defaultSize="0" r:id="rId5">
            <anchor moveWithCells="1">
              <from>
                <xdr:col>0</xdr:col>
                <xdr:colOff>1114425</xdr:colOff>
                <xdr:row>1</xdr:row>
                <xdr:rowOff>142875</xdr:rowOff>
              </from>
              <to>
                <xdr:col>0</xdr:col>
                <xdr:colOff>1123950</xdr:colOff>
                <xdr:row>1</xdr:row>
                <xdr:rowOff>152400</xdr:rowOff>
              </to>
            </anchor>
          </controlPr>
        </control>
      </mc:Choice>
      <mc:Fallback>
        <control shapeId="6177" r:id="rId6" name="CommandButton3"/>
      </mc:Fallback>
    </mc:AlternateContent>
    <mc:AlternateContent xmlns:mc="http://schemas.openxmlformats.org/markup-compatibility/2006">
      <mc:Choice Requires="x14">
        <control shapeId="6178" r:id="rId7" name="CommandButton4">
          <controlPr defaultSize="0" r:id="rId5">
            <anchor moveWithCells="1">
              <from>
                <xdr:col>2</xdr:col>
                <xdr:colOff>66675</xdr:colOff>
                <xdr:row>1</xdr:row>
                <xdr:rowOff>142875</xdr:rowOff>
              </from>
              <to>
                <xdr:col>2</xdr:col>
                <xdr:colOff>76200</xdr:colOff>
                <xdr:row>1</xdr:row>
                <xdr:rowOff>152400</xdr:rowOff>
              </to>
            </anchor>
          </controlPr>
        </control>
      </mc:Choice>
      <mc:Fallback>
        <control shapeId="6178" r:id="rId7" name="CommandButton4"/>
      </mc:Fallback>
    </mc:AlternateContent>
    <mc:AlternateContent xmlns:mc="http://schemas.openxmlformats.org/markup-compatibility/2006">
      <mc:Choice Requires="x14">
        <control shapeId="6179" r:id="rId8" name="CommandButton5">
          <controlPr defaultSize="0" r:id="rId5">
            <anchor moveWithCells="1">
              <from>
                <xdr:col>3</xdr:col>
                <xdr:colOff>371475</xdr:colOff>
                <xdr:row>1</xdr:row>
                <xdr:rowOff>142875</xdr:rowOff>
              </from>
              <to>
                <xdr:col>3</xdr:col>
                <xdr:colOff>381000</xdr:colOff>
                <xdr:row>1</xdr:row>
                <xdr:rowOff>152400</xdr:rowOff>
              </to>
            </anchor>
          </controlPr>
        </control>
      </mc:Choice>
      <mc:Fallback>
        <control shapeId="6179" r:id="rId8" name="CommandButton5"/>
      </mc:Fallback>
    </mc:AlternateContent>
    <mc:AlternateContent xmlns:mc="http://schemas.openxmlformats.org/markup-compatibility/2006">
      <mc:Choice Requires="x14">
        <control shapeId="6180" r:id="rId9" name="CommandButton1">
          <controlPr defaultSize="0" r:id="rId5">
            <anchor moveWithCells="1">
              <from>
                <xdr:col>3</xdr:col>
                <xdr:colOff>1371600</xdr:colOff>
                <xdr:row>1</xdr:row>
                <xdr:rowOff>142875</xdr:rowOff>
              </from>
              <to>
                <xdr:col>3</xdr:col>
                <xdr:colOff>1381125</xdr:colOff>
                <xdr:row>1</xdr:row>
                <xdr:rowOff>152400</xdr:rowOff>
              </to>
            </anchor>
          </controlPr>
        </control>
      </mc:Choice>
      <mc:Fallback>
        <control shapeId="6180" r:id="rId9"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outlinePr summaryBelow="0"/>
  </sheetPr>
  <dimension ref="A1:S611"/>
  <sheetViews>
    <sheetView workbookViewId="0">
      <pane xSplit="4" ySplit="5" topLeftCell="H6" activePane="bottomRight" state="frozen"/>
      <selection/>
      <selection pane="topRight"/>
      <selection pane="bottomLeft"/>
      <selection pane="bottomRight" activeCell="A189" sqref="A189"/>
    </sheetView>
  </sheetViews>
  <sheetFormatPr defaultColWidth="8.875" defaultRowHeight="15.75"/>
  <cols>
    <col min="1" max="1" width="13.5"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2.75" style="772" customWidth="1"/>
    <col min="11" max="11" width="8.25" style="772" customWidth="1"/>
    <col min="12" max="12" width="13.7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1396</v>
      </c>
      <c r="B1" s="640"/>
      <c r="C1" s="640"/>
      <c r="D1" s="640"/>
      <c r="E1" s="640"/>
      <c r="F1" s="640"/>
      <c r="G1" s="640"/>
      <c r="H1" s="640"/>
      <c r="I1" s="640"/>
      <c r="J1" s="640"/>
      <c r="K1" s="640"/>
      <c r="L1" s="640"/>
      <c r="M1" s="640"/>
      <c r="N1" s="640"/>
      <c r="O1" s="640"/>
      <c r="P1" s="640"/>
      <c r="Q1" s="640"/>
    </row>
    <row r="2" s="766" customFormat="1" ht="13.5" spans="1:17">
      <c r="A2" s="890" t="str">
        <f>$A$6&amp;TEXT(ROW()-6,"000")</f>
        <v>B01-004</v>
      </c>
      <c r="B2" s="778"/>
      <c r="C2" s="891" t="e">
        <f>IF(F2="","单位","分项")</f>
        <v>#REF!</v>
      </c>
      <c r="D2" s="779"/>
      <c r="E2" s="779"/>
      <c r="F2" s="892" t="e">
        <f>VLOOKUP($D2,#REF!,2,FALSE)</f>
        <v>#REF!</v>
      </c>
      <c r="G2" s="893"/>
      <c r="H2" s="893"/>
      <c r="I2" s="893"/>
      <c r="J2" s="893" t="e">
        <f>VLOOKUP($D2,#REF!,4,FALSE)</f>
        <v>#REF!</v>
      </c>
      <c r="K2" s="893" t="e">
        <f>VLOOKUP($D2,人工[],3,FALSE)</f>
        <v>#N/A</v>
      </c>
      <c r="L2" s="901" t="e">
        <f t="shared" ref="L2:L3" si="0">+J2*K2</f>
        <v>#REF!</v>
      </c>
      <c r="M2" s="800"/>
      <c r="N2" s="800"/>
      <c r="O2" s="800"/>
      <c r="P2" s="642"/>
      <c r="Q2" s="642" t="s">
        <v>1397</v>
      </c>
    </row>
    <row r="3" s="766" customFormat="1" ht="24" customHeight="1" spans="1:19">
      <c r="A3" s="639" t="str" cm="1">
        <f t="array" ref="A3">"工程名称："&amp;工程名称&amp;"  "&amp;工区</f>
        <v>工程名称：az  2</v>
      </c>
      <c r="B3" s="639"/>
      <c r="C3" s="639"/>
      <c r="D3" s="709"/>
      <c r="E3" s="709"/>
      <c r="F3" s="894" t="e">
        <f>VLOOKUP($D3,#REF!,2,FALSE)</f>
        <v>#REF!</v>
      </c>
      <c r="G3" s="894"/>
      <c r="H3" s="894"/>
      <c r="I3" s="894"/>
      <c r="J3" s="894"/>
      <c r="K3" s="894" t="e">
        <f>VLOOKUP($D3,人工[],3,FALSE)</f>
        <v>#N/A</v>
      </c>
      <c r="L3" s="894" t="e">
        <f t="shared" si="0"/>
        <v>#N/A</v>
      </c>
      <c r="M3" s="801"/>
      <c r="N3" s="801"/>
      <c r="O3" s="801"/>
      <c r="P3" s="642" t="e">
        <f>+L3*$R$3</f>
        <v>#N/A</v>
      </c>
      <c r="Q3" s="639" t="s">
        <v>1253</v>
      </c>
      <c r="R3" s="911">
        <v>0.03</v>
      </c>
      <c r="S3" s="766" t="s">
        <v>1398</v>
      </c>
    </row>
    <row r="4" s="767" customFormat="1" ht="34.15" customHeight="1"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766" customFormat="1" ht="24" customHeight="1" spans="1:17">
      <c r="A5" s="783" t="s">
        <v>1304</v>
      </c>
      <c r="B5" s="784"/>
      <c r="C5" s="784"/>
      <c r="D5" s="785"/>
      <c r="E5" s="784"/>
      <c r="F5" s="896"/>
      <c r="G5" s="786"/>
      <c r="H5" s="786"/>
      <c r="I5" s="805"/>
      <c r="J5" s="786"/>
      <c r="K5" s="786"/>
      <c r="L5" s="806"/>
      <c r="M5" s="807"/>
      <c r="N5" s="807"/>
      <c r="O5" s="807"/>
      <c r="P5" s="784"/>
      <c r="Q5" s="912"/>
    </row>
    <row r="6" s="768" customFormat="1" ht="21" customHeight="1" spans="1:17">
      <c r="A6" s="897" t="s">
        <v>1406</v>
      </c>
      <c r="B6" s="898"/>
      <c r="C6" s="898" t="s">
        <v>1306</v>
      </c>
      <c r="D6" s="898" t="s">
        <v>1407</v>
      </c>
      <c r="E6" s="898"/>
      <c r="F6" s="898"/>
      <c r="G6" s="898"/>
      <c r="H6" s="898"/>
      <c r="I6" s="898"/>
      <c r="J6" s="808"/>
      <c r="K6" s="808"/>
      <c r="L6" s="809">
        <f>SUM(L7:L2000)</f>
        <v>713724.35</v>
      </c>
      <c r="M6" s="907"/>
      <c r="N6" s="812"/>
      <c r="O6" s="812"/>
      <c r="P6" s="813">
        <f t="shared" ref="P6:P11" si="1">+L6*$R$3</f>
        <v>21411.7305</v>
      </c>
      <c r="Q6" s="808"/>
    </row>
    <row r="7" spans="1:17">
      <c r="A7" s="82" t="str">
        <f t="shared" ref="A7:A11" si="2">$A$6&amp;TEXT(ROW()-6,"000")</f>
        <v>B01001</v>
      </c>
      <c r="B7" s="899"/>
      <c r="C7" s="899"/>
      <c r="D7" s="900" t="s">
        <v>753</v>
      </c>
      <c r="E7" s="900"/>
      <c r="F7" s="82" t="str">
        <f>IFERROR(VLOOKUP($D7,人工[],2,FALSE),"")</f>
        <v>m3</v>
      </c>
      <c r="G7" s="899"/>
      <c r="H7" s="899"/>
      <c r="I7" s="899"/>
      <c r="J7" s="899">
        <v>5438.83</v>
      </c>
      <c r="K7" s="899">
        <f>IFERROR(VLOOKUP($D7,人工[],3,FALSE),"")</f>
        <v>30</v>
      </c>
      <c r="L7" s="119">
        <f t="shared" ref="L7:L11" si="3">+J7*K7</f>
        <v>163164.9</v>
      </c>
      <c r="M7" s="909"/>
      <c r="N7" s="909"/>
      <c r="O7" s="909"/>
      <c r="P7" s="910">
        <f t="shared" si="1"/>
        <v>4894.947</v>
      </c>
      <c r="Q7" s="899"/>
    </row>
    <row r="8" spans="1:17">
      <c r="A8" s="82" t="str">
        <f t="shared" si="2"/>
        <v>B01002</v>
      </c>
      <c r="B8" s="899"/>
      <c r="C8" s="899"/>
      <c r="D8" s="900" t="s">
        <v>597</v>
      </c>
      <c r="E8" s="900"/>
      <c r="F8" s="82" t="str">
        <f>IFERROR(VLOOKUP($D8,人工[],2,FALSE),"")</f>
        <v>m2</v>
      </c>
      <c r="G8" s="899"/>
      <c r="H8" s="899"/>
      <c r="I8" s="899"/>
      <c r="J8" s="899">
        <v>3624.46</v>
      </c>
      <c r="K8" s="899">
        <f>IFERROR(VLOOKUP($D8,人工[],3,FALSE),"")</f>
        <v>34.5</v>
      </c>
      <c r="L8" s="119">
        <f t="shared" si="3"/>
        <v>125043.87</v>
      </c>
      <c r="M8" s="909"/>
      <c r="N8" s="909"/>
      <c r="O8" s="909"/>
      <c r="P8" s="910">
        <f t="shared" si="1"/>
        <v>3751.3161</v>
      </c>
      <c r="Q8" s="899"/>
    </row>
    <row r="9" spans="1:17">
      <c r="A9" s="82" t="str">
        <f t="shared" si="2"/>
        <v>B01003</v>
      </c>
      <c r="B9" s="899"/>
      <c r="C9" s="899"/>
      <c r="D9" s="900" t="s">
        <v>296</v>
      </c>
      <c r="E9" s="900"/>
      <c r="F9" s="82" t="str">
        <f>IFERROR(VLOOKUP($D9,人工[],2,FALSE),"")</f>
        <v>t</v>
      </c>
      <c r="G9" s="899"/>
      <c r="H9" s="899"/>
      <c r="I9" s="899"/>
      <c r="J9" s="899">
        <v>595.335</v>
      </c>
      <c r="K9" s="899">
        <f>IFERROR(VLOOKUP($D9,人工[],3,FALSE),"")</f>
        <v>700</v>
      </c>
      <c r="L9" s="119">
        <f t="shared" si="3"/>
        <v>416734.5</v>
      </c>
      <c r="M9" s="909"/>
      <c r="N9" s="909"/>
      <c r="O9" s="909"/>
      <c r="P9" s="910">
        <f t="shared" si="1"/>
        <v>12502.035</v>
      </c>
      <c r="Q9" s="899"/>
    </row>
    <row r="10" spans="1:17">
      <c r="A10" s="82" t="str">
        <f t="shared" si="2"/>
        <v>B01004</v>
      </c>
      <c r="B10" s="899"/>
      <c r="C10" s="899"/>
      <c r="D10" s="900" t="s">
        <v>350</v>
      </c>
      <c r="E10" s="900"/>
      <c r="F10" s="82" t="str">
        <f>IFERROR(VLOOKUP($D10,人工[],2,FALSE),"")</f>
        <v>根</v>
      </c>
      <c r="G10" s="899"/>
      <c r="H10" s="899"/>
      <c r="I10" s="899"/>
      <c r="J10" s="899">
        <v>43</v>
      </c>
      <c r="K10" s="899">
        <f>IFERROR(VLOOKUP($D10,人工[],3,FALSE),"")</f>
        <v>200</v>
      </c>
      <c r="L10" s="119">
        <f t="shared" si="3"/>
        <v>8600</v>
      </c>
      <c r="M10" s="909"/>
      <c r="N10" s="909"/>
      <c r="O10" s="909"/>
      <c r="P10" s="910">
        <f t="shared" si="1"/>
        <v>258</v>
      </c>
      <c r="Q10" s="899"/>
    </row>
    <row r="11" spans="1:17">
      <c r="A11" s="82" t="str">
        <f t="shared" si="2"/>
        <v>B01005</v>
      </c>
      <c r="B11" s="899"/>
      <c r="C11" s="899"/>
      <c r="D11" s="900" t="s">
        <v>799</v>
      </c>
      <c r="E11" s="900"/>
      <c r="F11" s="82" t="str">
        <f>IFERROR(VLOOKUP($D11,人工[],2,FALSE),"")</f>
        <v>t</v>
      </c>
      <c r="G11" s="899"/>
      <c r="H11" s="899"/>
      <c r="I11" s="899"/>
      <c r="J11" s="899">
        <v>150.9</v>
      </c>
      <c r="K11" s="899">
        <f>IFERROR(VLOOKUP($D11,人工[],3,FALSE),"")</f>
        <v>1.2</v>
      </c>
      <c r="L11" s="119">
        <f t="shared" si="3"/>
        <v>181.08</v>
      </c>
      <c r="M11" s="909"/>
      <c r="N11" s="909"/>
      <c r="O11" s="909"/>
      <c r="P11" s="910">
        <f t="shared" si="1"/>
        <v>5.4324</v>
      </c>
      <c r="Q11" s="899"/>
    </row>
    <row r="525" outlineLevel="1" spans="1:1">
      <c r="A525" s="915" t="str">
        <f>$A$6&amp;TEXT(ROW()-6,"000")</f>
        <v>B01519</v>
      </c>
    </row>
    <row r="556" spans="1:1">
      <c r="A556" s="771" t="str">
        <f>$A$6&amp;TEXT(ROW()-6,"000")</f>
        <v>B01550</v>
      </c>
    </row>
    <row r="576" spans="1:1">
      <c r="A576" s="771" t="str">
        <f>$A$6&amp;TEXT(ROW()-6,"000")</f>
        <v>B01570</v>
      </c>
    </row>
    <row r="596" spans="1:1">
      <c r="A596" s="771" t="str">
        <f>$A$6&amp;TEXT(ROW()-6,"000")</f>
        <v>B01590</v>
      </c>
    </row>
    <row r="602" spans="1:1">
      <c r="A602" s="771" t="str">
        <f>$A$6&amp;TEXT(ROW()-6,"000")</f>
        <v>B01596</v>
      </c>
    </row>
    <row r="611" spans="1:1">
      <c r="A611" s="771" t="str">
        <f>$A$6&amp;TEXT(ROW()-6,"000")</f>
        <v>B01605</v>
      </c>
    </row>
  </sheetData>
  <sheetProtection formatCells="0" insertRows="0" insertHyperlinks="0" deleteRows="0" autoFilter="0"/>
  <autoFilter ref="A4:Q11">
    <extLst/>
  </autoFilter>
  <mergeCells count="1">
    <mergeCell ref="A1:Q1"/>
  </mergeCells>
  <conditionalFormatting sqref="A7:Q11">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536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5361" r:id="rId3"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outlinePr summaryBelow="0"/>
  </sheetPr>
  <dimension ref="A1:S558"/>
  <sheetViews>
    <sheetView workbookViewId="0">
      <pane xSplit="4" ySplit="1" topLeftCell="E2" activePane="bottomRight" state="frozen"/>
      <selection/>
      <selection pane="topRight"/>
      <selection pane="bottomLeft"/>
      <selection pane="bottomRight" activeCell="A189" sqref="A189"/>
    </sheetView>
  </sheetViews>
  <sheetFormatPr defaultColWidth="8.875" defaultRowHeight="15.75"/>
  <cols>
    <col min="1" max="1" width="14.875"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6.125" style="772" customWidth="1"/>
    <col min="11" max="11" width="9.75" style="772" customWidth="1"/>
    <col min="12" max="12" width="18.2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1408</v>
      </c>
      <c r="B1" s="640"/>
      <c r="C1" s="640"/>
      <c r="D1" s="640"/>
      <c r="E1" s="640"/>
      <c r="F1" s="640"/>
      <c r="G1" s="640"/>
      <c r="H1" s="640"/>
      <c r="I1" s="640"/>
      <c r="J1" s="640"/>
      <c r="K1" s="640"/>
      <c r="L1" s="640"/>
      <c r="M1" s="640"/>
      <c r="N1" s="640"/>
      <c r="O1" s="640"/>
      <c r="P1" s="640"/>
      <c r="Q1" s="640"/>
    </row>
    <row r="2" spans="1:17">
      <c r="A2" s="890" t="str">
        <f>$A$6&amp;TEXT(ROW()-6,"000")</f>
        <v>C01-004</v>
      </c>
      <c r="B2" s="778"/>
      <c r="C2" s="891" t="e">
        <f>IF(F2="","单位","分项")</f>
        <v>#REF!</v>
      </c>
      <c r="D2" s="779"/>
      <c r="E2" s="779"/>
      <c r="F2" s="892" t="e">
        <f>VLOOKUP($D2,#REF!,2,FALSE)</f>
        <v>#REF!</v>
      </c>
      <c r="G2" s="893"/>
      <c r="H2" s="893"/>
      <c r="I2" s="893"/>
      <c r="J2" s="893" t="e">
        <f>VLOOKUP($D2,#REF!,4,FALSE)</f>
        <v>#REF!</v>
      </c>
      <c r="K2" s="893" t="e">
        <f>VLOOKUP($D2,材料[],3,FALSE)</f>
        <v>#N/A</v>
      </c>
      <c r="L2" s="901" t="e">
        <f>+J2*K2</f>
        <v>#REF!</v>
      </c>
      <c r="M2" s="800"/>
      <c r="N2" s="800"/>
      <c r="O2" s="800"/>
      <c r="P2" s="642"/>
      <c r="Q2" s="642" t="s">
        <v>1397</v>
      </c>
    </row>
    <row r="3" ht="16.5" spans="1:19">
      <c r="A3" s="639" t="str" cm="1">
        <f t="array" ref="A3">"工程名称："&amp;工程名称&amp;"  "&amp;工区</f>
        <v>工程名称：az  2</v>
      </c>
      <c r="B3" s="639"/>
      <c r="C3" s="639"/>
      <c r="D3" s="709"/>
      <c r="E3" s="709"/>
      <c r="F3" s="894" t="str">
        <f>IFERROR(VLOOKUP($D3,#REF!,2,FALSE),"")</f>
        <v/>
      </c>
      <c r="G3" s="894"/>
      <c r="H3" s="894"/>
      <c r="I3" s="894"/>
      <c r="J3" s="894" t="e">
        <f>VLOOKUP($D3,#REF!,4,FALSE)</f>
        <v>#REF!</v>
      </c>
      <c r="K3" s="894" t="str">
        <f>IFERROR(VLOOKUP($D3,材料[],3,FALSE),"")</f>
        <v/>
      </c>
      <c r="L3" s="894" t="e">
        <f>+J3*K3</f>
        <v>#REF!</v>
      </c>
      <c r="M3" s="801"/>
      <c r="N3" s="801"/>
      <c r="O3" s="801"/>
      <c r="P3" s="891" t="e">
        <f>+L3*$R$3</f>
        <v>#REF!</v>
      </c>
      <c r="Q3" s="639" t="s">
        <v>1253</v>
      </c>
      <c r="R3" s="911">
        <v>0.03</v>
      </c>
      <c r="S3" s="766" t="s">
        <v>1398</v>
      </c>
    </row>
    <row r="4" ht="27"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pans="1:17">
      <c r="A5" s="783" t="s">
        <v>1304</v>
      </c>
      <c r="B5" s="784"/>
      <c r="C5" s="784"/>
      <c r="D5" s="785"/>
      <c r="E5" s="784"/>
      <c r="F5" s="896"/>
      <c r="G5" s="786"/>
      <c r="H5" s="786"/>
      <c r="I5" s="805"/>
      <c r="J5" s="786"/>
      <c r="K5" s="786"/>
      <c r="L5" s="806"/>
      <c r="M5" s="807"/>
      <c r="N5" s="807"/>
      <c r="O5" s="807"/>
      <c r="P5" s="784"/>
      <c r="Q5" s="912"/>
    </row>
    <row r="6" spans="1:17">
      <c r="A6" s="897" t="s">
        <v>1271</v>
      </c>
      <c r="B6" s="898"/>
      <c r="C6" s="898" t="s">
        <v>1306</v>
      </c>
      <c r="D6" s="898" t="s">
        <v>1409</v>
      </c>
      <c r="E6" s="898"/>
      <c r="F6" s="898"/>
      <c r="G6" s="898"/>
      <c r="H6" s="898"/>
      <c r="I6" s="898"/>
      <c r="J6" s="808"/>
      <c r="K6" s="808"/>
      <c r="L6" s="809">
        <f>+L7+L12</f>
        <v>4609395.18435</v>
      </c>
      <c r="M6" s="907"/>
      <c r="N6" s="812"/>
      <c r="O6" s="812"/>
      <c r="P6" s="813">
        <f t="shared" ref="P6:P18" si="0">+L6*$R$3</f>
        <v>138281.8555305</v>
      </c>
      <c r="Q6" s="808"/>
    </row>
    <row r="7" outlineLevel="1" spans="1:17">
      <c r="A7" s="913" t="s">
        <v>1410</v>
      </c>
      <c r="B7" s="899"/>
      <c r="C7" s="899" t="str">
        <f t="shared" ref="C7:C18" si="1">IF(F7="","单位","分项")</f>
        <v>单位</v>
      </c>
      <c r="D7" s="900" t="s">
        <v>1308</v>
      </c>
      <c r="E7" s="900"/>
      <c r="F7" s="82"/>
      <c r="G7" s="899"/>
      <c r="H7" s="899"/>
      <c r="I7" s="899"/>
      <c r="J7" s="899"/>
      <c r="K7" s="899"/>
      <c r="L7" s="119">
        <f>+L8+L9+L10+L11</f>
        <v>3580465</v>
      </c>
      <c r="M7" s="909"/>
      <c r="N7" s="909"/>
      <c r="O7" s="909"/>
      <c r="P7" s="910">
        <f t="shared" si="0"/>
        <v>107413.95</v>
      </c>
      <c r="Q7" s="899"/>
    </row>
    <row r="8" outlineLevel="2" spans="1:17">
      <c r="A8" s="914" t="s">
        <v>1411</v>
      </c>
      <c r="B8" s="899"/>
      <c r="C8" s="899" t="str">
        <f t="shared" si="1"/>
        <v>分项</v>
      </c>
      <c r="D8" s="900" t="s">
        <v>36</v>
      </c>
      <c r="E8" s="900"/>
      <c r="F8" s="82" t="s">
        <v>82</v>
      </c>
      <c r="G8" s="899"/>
      <c r="H8" s="899"/>
      <c r="I8" s="899"/>
      <c r="J8" s="899">
        <v>6175</v>
      </c>
      <c r="K8" s="899">
        <v>127</v>
      </c>
      <c r="L8" s="119">
        <f>+J8*K8</f>
        <v>784225</v>
      </c>
      <c r="M8" s="909"/>
      <c r="N8" s="909"/>
      <c r="O8" s="909"/>
      <c r="P8" s="910">
        <f t="shared" si="0"/>
        <v>23526.75</v>
      </c>
      <c r="Q8" s="899"/>
    </row>
    <row r="9" outlineLevel="2" spans="1:17">
      <c r="A9" s="914" t="s">
        <v>1412</v>
      </c>
      <c r="B9" s="899"/>
      <c r="C9" s="899" t="str">
        <f t="shared" si="1"/>
        <v>分项</v>
      </c>
      <c r="D9" s="900" t="s">
        <v>38</v>
      </c>
      <c r="E9" s="900"/>
      <c r="F9" s="82" t="s">
        <v>82</v>
      </c>
      <c r="G9" s="899"/>
      <c r="H9" s="899"/>
      <c r="I9" s="899"/>
      <c r="J9" s="899">
        <v>2941</v>
      </c>
      <c r="K9" s="899">
        <v>90</v>
      </c>
      <c r="L9" s="119">
        <f>+J9*K9</f>
        <v>264690</v>
      </c>
      <c r="M9" s="909"/>
      <c r="N9" s="909"/>
      <c r="O9" s="909"/>
      <c r="P9" s="910">
        <f t="shared" si="0"/>
        <v>7940.7</v>
      </c>
      <c r="Q9" s="899"/>
    </row>
    <row r="10" outlineLevel="2" spans="1:17">
      <c r="A10" s="914" t="s">
        <v>1413</v>
      </c>
      <c r="B10" s="899"/>
      <c r="C10" s="899" t="str">
        <f t="shared" si="1"/>
        <v>分项</v>
      </c>
      <c r="D10" s="900" t="s">
        <v>41</v>
      </c>
      <c r="E10" s="900"/>
      <c r="F10" s="82" t="s">
        <v>82</v>
      </c>
      <c r="G10" s="899"/>
      <c r="H10" s="899"/>
      <c r="I10" s="899"/>
      <c r="J10" s="899">
        <v>2055</v>
      </c>
      <c r="K10" s="899">
        <v>210</v>
      </c>
      <c r="L10" s="119">
        <f>+J10*K10</f>
        <v>431550</v>
      </c>
      <c r="M10" s="909"/>
      <c r="N10" s="909"/>
      <c r="O10" s="909"/>
      <c r="P10" s="910">
        <f t="shared" si="0"/>
        <v>12946.5</v>
      </c>
      <c r="Q10" s="899"/>
    </row>
    <row r="11" outlineLevel="2" spans="1:17">
      <c r="A11" s="914" t="s">
        <v>1414</v>
      </c>
      <c r="B11" s="899"/>
      <c r="C11" s="899" t="str">
        <f t="shared" si="1"/>
        <v>分项</v>
      </c>
      <c r="D11" s="900" t="s">
        <v>481</v>
      </c>
      <c r="E11" s="900"/>
      <c r="F11" s="82" t="str">
        <f>IFERROR(VLOOKUP($D11,材料[],2,FALSE),"")</f>
        <v>t</v>
      </c>
      <c r="G11" s="899"/>
      <c r="H11" s="899"/>
      <c r="I11" s="899"/>
      <c r="J11" s="899">
        <v>500</v>
      </c>
      <c r="K11" s="899">
        <f>IFERROR(VLOOKUP($D11,材料[],3,FALSE),"")</f>
        <v>4200</v>
      </c>
      <c r="L11" s="119">
        <f>+J11*K11</f>
        <v>2100000</v>
      </c>
      <c r="M11" s="909"/>
      <c r="N11" s="909"/>
      <c r="O11" s="909"/>
      <c r="P11" s="910">
        <f t="shared" si="0"/>
        <v>63000</v>
      </c>
      <c r="Q11" s="899"/>
    </row>
    <row r="12" outlineLevel="1" spans="1:17">
      <c r="A12" s="913" t="s">
        <v>1415</v>
      </c>
      <c r="B12" s="899"/>
      <c r="C12" s="899" t="str">
        <f t="shared" si="1"/>
        <v>单位</v>
      </c>
      <c r="D12" s="900" t="s">
        <v>1334</v>
      </c>
      <c r="E12" s="900"/>
      <c r="F12" s="82"/>
      <c r="G12" s="899"/>
      <c r="H12" s="899"/>
      <c r="I12" s="899"/>
      <c r="J12" s="899"/>
      <c r="K12" s="899"/>
      <c r="L12" s="119">
        <f>+L13+L14+L15+L16+L17+L18</f>
        <v>1028930.18435</v>
      </c>
      <c r="M12" s="909"/>
      <c r="N12" s="909"/>
      <c r="O12" s="909"/>
      <c r="P12" s="910">
        <f t="shared" si="0"/>
        <v>30867.9055305</v>
      </c>
      <c r="Q12" s="899"/>
    </row>
    <row r="13" outlineLevel="2" spans="1:17">
      <c r="A13" s="914" t="s">
        <v>1416</v>
      </c>
      <c r="B13" s="899"/>
      <c r="C13" s="899" t="str">
        <f t="shared" si="1"/>
        <v>分项</v>
      </c>
      <c r="D13" s="900" t="s">
        <v>36</v>
      </c>
      <c r="E13" s="900"/>
      <c r="F13" s="82" t="s">
        <v>82</v>
      </c>
      <c r="G13" s="899"/>
      <c r="H13" s="899"/>
      <c r="I13" s="899"/>
      <c r="J13" s="899">
        <v>2134.78295</v>
      </c>
      <c r="K13" s="899">
        <v>127</v>
      </c>
      <c r="L13" s="119">
        <f t="shared" ref="L13:L18" si="2">+J13*K13</f>
        <v>271117.43465</v>
      </c>
      <c r="M13" s="909"/>
      <c r="N13" s="909"/>
      <c r="O13" s="909"/>
      <c r="P13" s="910">
        <f t="shared" si="0"/>
        <v>8133.5230395</v>
      </c>
      <c r="Q13" s="899"/>
    </row>
    <row r="14" outlineLevel="2" spans="1:17">
      <c r="A14" s="914" t="s">
        <v>1417</v>
      </c>
      <c r="B14" s="899"/>
      <c r="C14" s="899" t="str">
        <f t="shared" si="1"/>
        <v>分项</v>
      </c>
      <c r="D14" s="900" t="s">
        <v>38</v>
      </c>
      <c r="E14" s="900"/>
      <c r="F14" s="82" t="s">
        <v>82</v>
      </c>
      <c r="G14" s="899"/>
      <c r="H14" s="899"/>
      <c r="I14" s="899"/>
      <c r="J14" s="899">
        <v>1138.70958</v>
      </c>
      <c r="K14" s="899">
        <v>90</v>
      </c>
      <c r="L14" s="119">
        <f t="shared" si="2"/>
        <v>102483.8622</v>
      </c>
      <c r="M14" s="909"/>
      <c r="N14" s="909"/>
      <c r="O14" s="909"/>
      <c r="P14" s="910">
        <f t="shared" si="0"/>
        <v>3074.515866</v>
      </c>
      <c r="Q14" s="899"/>
    </row>
    <row r="15" outlineLevel="2" spans="1:17">
      <c r="A15" s="914" t="s">
        <v>1418</v>
      </c>
      <c r="B15" s="899"/>
      <c r="C15" s="899" t="str">
        <f t="shared" si="1"/>
        <v>分项</v>
      </c>
      <c r="D15" s="900" t="s">
        <v>41</v>
      </c>
      <c r="E15" s="900"/>
      <c r="F15" s="82" t="s">
        <v>82</v>
      </c>
      <c r="G15" s="899"/>
      <c r="H15" s="899"/>
      <c r="I15" s="899"/>
      <c r="J15" s="899">
        <v>1168.71275</v>
      </c>
      <c r="K15" s="899">
        <v>210</v>
      </c>
      <c r="L15" s="119">
        <f t="shared" si="2"/>
        <v>245429.6775</v>
      </c>
      <c r="M15" s="909"/>
      <c r="N15" s="909"/>
      <c r="O15" s="909"/>
      <c r="P15" s="910">
        <f t="shared" si="0"/>
        <v>7362.890325</v>
      </c>
      <c r="Q15" s="899"/>
    </row>
    <row r="16" outlineLevel="2" spans="1:17">
      <c r="A16" s="914" t="s">
        <v>1419</v>
      </c>
      <c r="B16" s="899"/>
      <c r="C16" s="899" t="str">
        <f t="shared" si="1"/>
        <v>分项</v>
      </c>
      <c r="D16" s="900" t="s">
        <v>481</v>
      </c>
      <c r="E16" s="900"/>
      <c r="F16" s="82" t="str">
        <f>IFERROR(VLOOKUP($D16,材料[],2,FALSE),"")</f>
        <v>t</v>
      </c>
      <c r="G16" s="899"/>
      <c r="H16" s="899"/>
      <c r="I16" s="899"/>
      <c r="J16" s="899">
        <v>97.59505</v>
      </c>
      <c r="K16" s="899">
        <f>IFERROR(VLOOKUP($D16,材料[],3,FALSE),"")</f>
        <v>4200</v>
      </c>
      <c r="L16" s="119">
        <f t="shared" si="2"/>
        <v>409899.21</v>
      </c>
      <c r="M16" s="909"/>
      <c r="N16" s="909"/>
      <c r="O16" s="909"/>
      <c r="P16" s="910">
        <f t="shared" si="0"/>
        <v>12296.9763</v>
      </c>
      <c r="Q16" s="899"/>
    </row>
    <row r="17" outlineLevel="2" spans="1:17">
      <c r="A17" s="914" t="s">
        <v>1420</v>
      </c>
      <c r="B17" s="899"/>
      <c r="C17" s="899" t="str">
        <f t="shared" si="1"/>
        <v>分项</v>
      </c>
      <c r="D17" s="900" t="s">
        <v>714</v>
      </c>
      <c r="E17" s="900"/>
      <c r="F17" s="82" t="str">
        <f>IFERROR(VLOOKUP($D17,材料[],2,FALSE),"")</f>
        <v>t</v>
      </c>
      <c r="G17" s="899"/>
      <c r="H17" s="899"/>
      <c r="I17" s="899"/>
      <c r="J17" s="899">
        <v>155.427103</v>
      </c>
      <c r="K17" s="899">
        <f>IFERROR(VLOOKUP($D17,材料[],3,FALSE),"")</f>
        <v>0</v>
      </c>
      <c r="L17" s="119">
        <f t="shared" si="2"/>
        <v>0</v>
      </c>
      <c r="M17" s="909"/>
      <c r="N17" s="909"/>
      <c r="O17" s="909"/>
      <c r="P17" s="910">
        <f t="shared" si="0"/>
        <v>0</v>
      </c>
      <c r="Q17" s="899"/>
    </row>
    <row r="18" outlineLevel="2" spans="1:17">
      <c r="A18" s="914" t="s">
        <v>1421</v>
      </c>
      <c r="B18" s="899"/>
      <c r="C18" s="899" t="str">
        <f t="shared" si="1"/>
        <v>分项</v>
      </c>
      <c r="D18" s="900" t="s">
        <v>755</v>
      </c>
      <c r="E18" s="900"/>
      <c r="F18" s="82" t="str">
        <f>IFERROR(VLOOKUP($D18,材料[],2,FALSE),"")</f>
        <v>t</v>
      </c>
      <c r="G18" s="899"/>
      <c r="H18" s="899"/>
      <c r="I18" s="899"/>
      <c r="J18" s="899">
        <v>7.83</v>
      </c>
      <c r="K18" s="899">
        <f>IFERROR(VLOOKUP($D18,材料[],3,FALSE),"")</f>
        <v>0</v>
      </c>
      <c r="L18" s="119">
        <f t="shared" si="2"/>
        <v>0</v>
      </c>
      <c r="M18" s="909"/>
      <c r="N18" s="909"/>
      <c r="O18" s="909"/>
      <c r="P18" s="910">
        <f t="shared" si="0"/>
        <v>0</v>
      </c>
      <c r="Q18" s="899"/>
    </row>
    <row r="484" outlineLevel="1" spans="1:1">
      <c r="A484" s="915" t="str">
        <f>$A$6&amp;TEXT(ROW()-6,"000")</f>
        <v>C01478</v>
      </c>
    </row>
    <row r="492" outlineLevel="1" spans="1:1">
      <c r="A492" s="915" t="str">
        <f>$A$6&amp;TEXT(ROW()-6,"000")</f>
        <v>C01486</v>
      </c>
    </row>
    <row r="498" outlineLevel="1" spans="1:1">
      <c r="A498" s="915" t="str">
        <f>$A$6&amp;TEXT(ROW()-6,"000")</f>
        <v>C01492</v>
      </c>
    </row>
    <row r="558" outlineLevel="1" spans="1:1">
      <c r="A558" s="915" t="str">
        <f>$A$6&amp;TEXT(ROW()-6,"000")</f>
        <v>C01552</v>
      </c>
    </row>
  </sheetData>
  <sheetProtection formatCells="0" insertRows="0" insertHyperlinks="0" deleteRows="0" autoFilter="0"/>
  <autoFilter ref="A4:P18">
    <extLst/>
  </autoFilter>
  <mergeCells count="1">
    <mergeCell ref="A1:Q1"/>
  </mergeCells>
  <conditionalFormatting sqref="A7:Q18">
    <cfRule type="expression" dxfId="56" priority="11">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8433"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8433"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outlinePr summaryBelow="0"/>
  </sheetPr>
  <dimension ref="A1:S605"/>
  <sheetViews>
    <sheetView workbookViewId="0">
      <pane xSplit="4" ySplit="5" topLeftCell="F6" activePane="bottomRight" state="frozen"/>
      <selection/>
      <selection pane="topRight"/>
      <selection pane="bottomLeft"/>
      <selection pane="bottomRight" activeCell="A189" sqref="A189"/>
    </sheetView>
  </sheetViews>
  <sheetFormatPr defaultColWidth="8.875" defaultRowHeight="15.75"/>
  <cols>
    <col min="1" max="1" width="13.125"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7.625" style="772" customWidth="1"/>
    <col min="11" max="11" width="8.25" style="772" customWidth="1"/>
    <col min="12" max="12" width="13.7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1422</v>
      </c>
      <c r="B1" s="640"/>
      <c r="C1" s="640"/>
      <c r="D1" s="640"/>
      <c r="E1" s="640"/>
      <c r="F1" s="640"/>
      <c r="G1" s="640"/>
      <c r="H1" s="640"/>
      <c r="I1" s="640"/>
      <c r="J1" s="640"/>
      <c r="K1" s="640"/>
      <c r="L1" s="640"/>
      <c r="M1" s="640"/>
      <c r="N1" s="640"/>
      <c r="O1" s="640"/>
      <c r="P1" s="640"/>
      <c r="Q1" s="640"/>
    </row>
    <row r="2" s="766" customFormat="1" ht="13.5" spans="1:17">
      <c r="A2" s="890" t="str">
        <f>$A$6&amp;TEXT(ROW()-6,"000")</f>
        <v>D01-004</v>
      </c>
      <c r="B2" s="778"/>
      <c r="C2" s="891" t="e">
        <f>IF(F2="","单位","分项")</f>
        <v>#REF!</v>
      </c>
      <c r="D2" s="779"/>
      <c r="E2" s="779"/>
      <c r="F2" s="892" t="e">
        <f>VLOOKUP($D2,#REF!,2,FALSE)</f>
        <v>#REF!</v>
      </c>
      <c r="G2" s="893"/>
      <c r="H2" s="893"/>
      <c r="I2" s="893"/>
      <c r="J2" s="893" t="e">
        <f>VLOOKUP($D2,#REF!,4,FALSE)</f>
        <v>#REF!</v>
      </c>
      <c r="K2" s="893" t="e">
        <f>VLOOKUP($D2,机械[],3,FALSE)</f>
        <v>#N/A</v>
      </c>
      <c r="L2" s="901" t="e">
        <f>+J2*K2</f>
        <v>#REF!</v>
      </c>
      <c r="M2" s="800"/>
      <c r="N2" s="800"/>
      <c r="O2" s="800"/>
      <c r="P2" s="642"/>
      <c r="Q2" s="642" t="s">
        <v>1397</v>
      </c>
    </row>
    <row r="3" s="766" customFormat="1" ht="24" customHeight="1" spans="1:19">
      <c r="A3" s="639" t="str" cm="1">
        <f t="array" ref="A3">"工程名称："&amp;工程名称&amp;"  "&amp;工区</f>
        <v>工程名称：az  2</v>
      </c>
      <c r="B3" s="639"/>
      <c r="C3" s="639"/>
      <c r="D3" s="709"/>
      <c r="E3" s="709"/>
      <c r="F3" s="894" t="e">
        <f>VLOOKUP($D3,#REF!,2,FALSE)</f>
        <v>#REF!</v>
      </c>
      <c r="G3" s="894"/>
      <c r="H3" s="894"/>
      <c r="I3" s="894"/>
      <c r="J3" s="894" t="e">
        <f>VLOOKUP($D3,#REF!,4,FALSE)</f>
        <v>#REF!</v>
      </c>
      <c r="K3" s="894" t="e">
        <f>VLOOKUP($D3,机械[],3,FALSE)</f>
        <v>#N/A</v>
      </c>
      <c r="L3" s="894" t="e">
        <f>+J3*K3</f>
        <v>#REF!</v>
      </c>
      <c r="M3" s="801"/>
      <c r="N3" s="801"/>
      <c r="O3" s="801"/>
      <c r="P3" s="891" t="e">
        <f>+L3*$R$3</f>
        <v>#REF!</v>
      </c>
      <c r="Q3" s="639" t="s">
        <v>1253</v>
      </c>
      <c r="R3" s="911">
        <v>0.03</v>
      </c>
      <c r="S3" s="766" t="s">
        <v>1398</v>
      </c>
    </row>
    <row r="4" s="767" customFormat="1" ht="34.15" customHeight="1"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766" customFormat="1" ht="24" customHeight="1" spans="1:17">
      <c r="A5" s="783" t="s">
        <v>1304</v>
      </c>
      <c r="B5" s="784"/>
      <c r="C5" s="784"/>
      <c r="D5" s="785"/>
      <c r="E5" s="784"/>
      <c r="F5" s="896"/>
      <c r="G5" s="786"/>
      <c r="H5" s="786"/>
      <c r="I5" s="805"/>
      <c r="J5" s="786"/>
      <c r="K5" s="786"/>
      <c r="L5" s="806"/>
      <c r="M5" s="807"/>
      <c r="N5" s="807"/>
      <c r="O5" s="807"/>
      <c r="P5" s="784"/>
      <c r="Q5" s="912"/>
    </row>
    <row r="6" s="768" customFormat="1" ht="21" customHeight="1" spans="1:17">
      <c r="A6" s="897" t="s">
        <v>1423</v>
      </c>
      <c r="B6" s="898"/>
      <c r="C6" s="898" t="s">
        <v>1306</v>
      </c>
      <c r="D6" s="898" t="s">
        <v>1424</v>
      </c>
      <c r="E6" s="898"/>
      <c r="F6" s="898"/>
      <c r="G6" s="898"/>
      <c r="H6" s="898"/>
      <c r="I6" s="898"/>
      <c r="J6" s="808"/>
      <c r="K6" s="808"/>
      <c r="L6" s="908">
        <f>+L7+L8</f>
        <v>319893.8285</v>
      </c>
      <c r="M6" s="863"/>
      <c r="N6" s="863"/>
      <c r="O6" s="863"/>
      <c r="P6" s="809">
        <f>+L6*$R$3</f>
        <v>9596.814855</v>
      </c>
      <c r="Q6" s="808"/>
    </row>
    <row r="7" outlineLevel="1" spans="1:17">
      <c r="A7" s="913" t="s">
        <v>1425</v>
      </c>
      <c r="B7" s="899"/>
      <c r="C7" s="899" t="str">
        <f t="shared" ref="C7:C10" si="0">IF(F7="","单位","分项")</f>
        <v>单位</v>
      </c>
      <c r="D7" s="900" t="s">
        <v>1308</v>
      </c>
      <c r="E7" s="900"/>
      <c r="F7" s="82"/>
      <c r="G7" s="899"/>
      <c r="H7" s="899"/>
      <c r="I7" s="899"/>
      <c r="J7" s="899"/>
      <c r="K7" s="899"/>
      <c r="L7" s="119"/>
      <c r="M7" s="909"/>
      <c r="N7" s="909"/>
      <c r="O7" s="909"/>
      <c r="P7" s="910">
        <f>+L7*$R$3</f>
        <v>0</v>
      </c>
      <c r="Q7" s="899"/>
    </row>
    <row r="8" outlineLevel="1" spans="1:17">
      <c r="A8" s="913" t="s">
        <v>1426</v>
      </c>
      <c r="B8" s="899"/>
      <c r="C8" s="899" t="str">
        <f t="shared" si="0"/>
        <v>单位</v>
      </c>
      <c r="D8" s="900" t="s">
        <v>1334</v>
      </c>
      <c r="E8" s="900"/>
      <c r="F8" s="82"/>
      <c r="G8" s="899"/>
      <c r="H8" s="899"/>
      <c r="I8" s="899"/>
      <c r="J8" s="899"/>
      <c r="K8" s="899"/>
      <c r="L8" s="119">
        <f>+L9+L10</f>
        <v>319893.8285</v>
      </c>
      <c r="M8" s="909"/>
      <c r="N8" s="909"/>
      <c r="O8" s="909"/>
      <c r="P8" s="910">
        <f>+L8*$R$3</f>
        <v>9596.814855</v>
      </c>
      <c r="Q8" s="899"/>
    </row>
    <row r="9" outlineLevel="2" spans="1:17">
      <c r="A9" s="914" t="s">
        <v>1427</v>
      </c>
      <c r="B9" s="899"/>
      <c r="C9" s="899" t="str">
        <f t="shared" si="0"/>
        <v>分项</v>
      </c>
      <c r="D9" s="900" t="s">
        <v>688</v>
      </c>
      <c r="E9" s="900"/>
      <c r="F9" s="82" t="str">
        <f>IFERROR(VLOOKUP($D9,机械[],2,FALSE),"")</f>
        <v>m3</v>
      </c>
      <c r="G9" s="899"/>
      <c r="H9" s="899"/>
      <c r="I9" s="899"/>
      <c r="J9" s="899">
        <v>1181.51</v>
      </c>
      <c r="K9" s="899">
        <f>IFERROR(VLOOKUP($D9,机械[],3,FALSE),"")</f>
        <v>265.35</v>
      </c>
      <c r="L9" s="119">
        <f>+J9*K9</f>
        <v>313513.6785</v>
      </c>
      <c r="M9" s="909"/>
      <c r="N9" s="909"/>
      <c r="O9" s="909"/>
      <c r="P9" s="910">
        <f>+L9*$R$3</f>
        <v>9405.410355</v>
      </c>
      <c r="Q9" s="899"/>
    </row>
    <row r="10" outlineLevel="2" spans="1:17">
      <c r="A10" s="914" t="s">
        <v>1428</v>
      </c>
      <c r="B10" s="899"/>
      <c r="C10" s="899" t="str">
        <f t="shared" si="0"/>
        <v>分项</v>
      </c>
      <c r="D10" s="900" t="s">
        <v>345</v>
      </c>
      <c r="E10" s="900"/>
      <c r="F10" s="82" t="str">
        <f>IFERROR(VLOOKUP($D10,机械[],2,FALSE),"")</f>
        <v>m3</v>
      </c>
      <c r="G10" s="899"/>
      <c r="H10" s="899"/>
      <c r="I10" s="899"/>
      <c r="J10" s="899">
        <v>1276.03</v>
      </c>
      <c r="K10" s="899">
        <f>IFERROR(VLOOKUP($D10,机械[],3,FALSE),"")</f>
        <v>5</v>
      </c>
      <c r="L10" s="119">
        <f>+J10*K10</f>
        <v>6380.15</v>
      </c>
      <c r="M10" s="909"/>
      <c r="N10" s="909"/>
      <c r="O10" s="909"/>
      <c r="P10" s="910">
        <f>+L10*$R$3</f>
        <v>191.4045</v>
      </c>
      <c r="Q10" s="899"/>
    </row>
    <row r="605" outlineLevel="1" spans="1:1">
      <c r="A605" s="915" t="str">
        <f>$A$6&amp;TEXT(ROW()-6,"000")</f>
        <v>D01599</v>
      </c>
    </row>
  </sheetData>
  <sheetProtection formatCells="0" insertRows="0" insertHyperlinks="0" deleteRows="0" autoFilter="0"/>
  <autoFilter ref="A4:Q10">
    <extLst/>
  </autoFilter>
  <mergeCells count="1">
    <mergeCell ref="A1:Q1"/>
  </mergeCells>
  <conditionalFormatting sqref="A7:Q10">
    <cfRule type="expression" dxfId="56" priority="18">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9457"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9457"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outlinePr summaryBelow="0"/>
  </sheetPr>
  <dimension ref="A1:S605"/>
  <sheetViews>
    <sheetView workbookViewId="0">
      <pane xSplit="4" ySplit="5" topLeftCell="I6" activePane="bottomRight" state="frozen"/>
      <selection/>
      <selection pane="topRight"/>
      <selection pane="bottomLeft"/>
      <selection pane="bottomRight" activeCell="A189" sqref="A189"/>
    </sheetView>
  </sheetViews>
  <sheetFormatPr defaultColWidth="8.875" defaultRowHeight="15.75"/>
  <cols>
    <col min="1" max="1" width="13" style="771" customWidth="1"/>
    <col min="2" max="2" width="8.75" style="772" customWidth="1"/>
    <col min="3" max="3" width="11.75" style="772" customWidth="1"/>
    <col min="4" max="4" width="22.125" style="773" customWidth="1"/>
    <col min="5" max="5" width="12.75" style="773" customWidth="1"/>
    <col min="6" max="6" width="4.25" style="771" customWidth="1"/>
    <col min="7" max="7" width="9.125" style="772" customWidth="1"/>
    <col min="8" max="8" width="16.75" style="772" customWidth="1"/>
    <col min="9" max="9" width="10.25" style="772" customWidth="1"/>
    <col min="10" max="10" width="17.625" style="772" customWidth="1"/>
    <col min="11" max="11" width="10.75" style="772" customWidth="1"/>
    <col min="12" max="12" width="13.75" style="774" customWidth="1"/>
    <col min="13" max="14" width="8.75" style="775" customWidth="1"/>
    <col min="15" max="15" width="13.375" style="775" customWidth="1"/>
    <col min="16" max="16" width="11.375" style="772" customWidth="1"/>
    <col min="17" max="17" width="13.5" style="772" customWidth="1"/>
    <col min="18" max="18" width="12" style="772"/>
    <col min="19" max="16384" width="8.875" style="772"/>
  </cols>
  <sheetData>
    <row r="1" ht="23.25" spans="1:17">
      <c r="A1" s="640" t="s">
        <v>1429</v>
      </c>
      <c r="B1" s="640"/>
      <c r="C1" s="640"/>
      <c r="D1" s="640"/>
      <c r="E1" s="640"/>
      <c r="F1" s="640"/>
      <c r="G1" s="640"/>
      <c r="H1" s="640"/>
      <c r="I1" s="640"/>
      <c r="J1" s="640"/>
      <c r="K1" s="640"/>
      <c r="L1" s="640"/>
      <c r="M1" s="640"/>
      <c r="N1" s="640"/>
      <c r="O1" s="640"/>
      <c r="P1" s="640"/>
      <c r="Q1" s="640"/>
    </row>
    <row r="2" s="766" customFormat="1" ht="13.5" spans="1:17">
      <c r="A2" s="890" t="str">
        <f>$A$6&amp;TEXT(ROW()-6,"000")</f>
        <v>E01-004</v>
      </c>
      <c r="B2" s="778"/>
      <c r="C2" s="891" t="e">
        <f>IF(F2="","单位","分项")</f>
        <v>#REF!</v>
      </c>
      <c r="D2" s="779"/>
      <c r="E2" s="779"/>
      <c r="F2" s="892" t="e">
        <f>VLOOKUP($D2,#REF!,2,FALSE)</f>
        <v>#REF!</v>
      </c>
      <c r="G2" s="893"/>
      <c r="H2" s="893"/>
      <c r="I2" s="893"/>
      <c r="J2" s="893" t="e">
        <f>VLOOKUP($D2,#REF!,4,FALSE)</f>
        <v>#REF!</v>
      </c>
      <c r="K2" s="893" t="e">
        <f>VLOOKUP($D2,分包[],3,FALSE)</f>
        <v>#N/A</v>
      </c>
      <c r="L2" s="901" t="e">
        <f t="shared" ref="L2:L7" si="0">+J2*K2</f>
        <v>#REF!</v>
      </c>
      <c r="M2" s="800"/>
      <c r="N2" s="800"/>
      <c r="O2" s="800"/>
      <c r="P2" s="642"/>
      <c r="Q2" s="642" t="s">
        <v>1397</v>
      </c>
    </row>
    <row r="3" s="766" customFormat="1" ht="24" customHeight="1" spans="1:19">
      <c r="A3" s="639" t="str" cm="1">
        <f t="array" ref="A3">"工程名称："&amp;工程名称&amp;"  "&amp;工区</f>
        <v>工程名称：az  2</v>
      </c>
      <c r="B3" s="639"/>
      <c r="C3" s="639"/>
      <c r="D3" s="709"/>
      <c r="E3" s="709"/>
      <c r="F3" s="894" t="e">
        <f>VLOOKUP($D3,#REF!,2,FALSE)</f>
        <v>#REF!</v>
      </c>
      <c r="G3" s="894"/>
      <c r="H3" s="894"/>
      <c r="I3" s="894"/>
      <c r="J3" s="894" t="e">
        <f>VLOOKUP($D3,#REF!,4,FALSE)</f>
        <v>#REF!</v>
      </c>
      <c r="K3" s="894" t="e">
        <f>VLOOKUP($D3,分包[],3,FALSE)</f>
        <v>#N/A</v>
      </c>
      <c r="L3" s="894" t="e">
        <f t="shared" si="0"/>
        <v>#REF!</v>
      </c>
      <c r="M3" s="801"/>
      <c r="N3" s="801"/>
      <c r="O3" s="801"/>
      <c r="P3" s="891" t="e">
        <f>+L3*$R$3</f>
        <v>#REF!</v>
      </c>
      <c r="Q3" s="639" t="s">
        <v>1253</v>
      </c>
      <c r="R3" s="911">
        <v>0.03</v>
      </c>
      <c r="S3" s="766" t="s">
        <v>1398</v>
      </c>
    </row>
    <row r="4" s="767" customFormat="1" ht="34.15" customHeight="1" spans="1:17">
      <c r="A4" s="895" t="s">
        <v>1254</v>
      </c>
      <c r="B4" s="895" t="s">
        <v>1291</v>
      </c>
      <c r="C4" s="895" t="s">
        <v>1292</v>
      </c>
      <c r="D4" s="895" t="s">
        <v>1399</v>
      </c>
      <c r="E4" s="895" t="s">
        <v>1294</v>
      </c>
      <c r="F4" s="895" t="s">
        <v>60</v>
      </c>
      <c r="G4" s="895" t="s">
        <v>1400</v>
      </c>
      <c r="H4" s="895" t="s">
        <v>1401</v>
      </c>
      <c r="I4" s="902" t="s">
        <v>1257</v>
      </c>
      <c r="J4" s="903" t="s">
        <v>1402</v>
      </c>
      <c r="K4" s="904" t="s">
        <v>1403</v>
      </c>
      <c r="L4" s="905" t="s">
        <v>1258</v>
      </c>
      <c r="M4" s="904" t="s">
        <v>1404</v>
      </c>
      <c r="N4" s="904" t="s">
        <v>1405</v>
      </c>
      <c r="O4" s="904" t="s">
        <v>1259</v>
      </c>
      <c r="P4" s="895" t="s">
        <v>1261</v>
      </c>
      <c r="Q4" s="895" t="s">
        <v>1262</v>
      </c>
    </row>
    <row r="5" s="766" customFormat="1" ht="24" customHeight="1" spans="1:17">
      <c r="A5" s="783" t="s">
        <v>1304</v>
      </c>
      <c r="B5" s="784"/>
      <c r="C5" s="784"/>
      <c r="D5" s="785"/>
      <c r="E5" s="784"/>
      <c r="F5" s="896"/>
      <c r="G5" s="786"/>
      <c r="H5" s="786"/>
      <c r="I5" s="805"/>
      <c r="J5" s="786"/>
      <c r="K5" s="786"/>
      <c r="L5" s="806"/>
      <c r="M5" s="807"/>
      <c r="N5" s="807"/>
      <c r="O5" s="807"/>
      <c r="P5" s="784"/>
      <c r="Q5" s="912"/>
    </row>
    <row r="6" spans="1:17">
      <c r="A6" s="897" t="s">
        <v>1430</v>
      </c>
      <c r="B6" s="898"/>
      <c r="C6" s="898" t="s">
        <v>1306</v>
      </c>
      <c r="D6" s="898" t="s">
        <v>1431</v>
      </c>
      <c r="E6" s="898"/>
      <c r="F6" s="898"/>
      <c r="G6" s="898"/>
      <c r="H6" s="898"/>
      <c r="I6" s="898"/>
      <c r="J6" s="906"/>
      <c r="K6" s="907"/>
      <c r="L6" s="908">
        <f>SUM(L7:L1991)</f>
        <v>2795</v>
      </c>
      <c r="M6" s="863"/>
      <c r="N6" s="863"/>
      <c r="O6" s="863"/>
      <c r="P6" s="809">
        <f>+L6*$R$3</f>
        <v>83.85</v>
      </c>
      <c r="Q6" s="808"/>
    </row>
    <row r="7" spans="1:17">
      <c r="A7" s="82"/>
      <c r="B7" s="899"/>
      <c r="C7" s="899"/>
      <c r="D7" s="900" t="s">
        <v>652</v>
      </c>
      <c r="E7" s="900"/>
      <c r="F7" s="82" t="str">
        <f>IFERROR(VLOOKUP($D7,#REF!,2,FALSE),"")</f>
        <v/>
      </c>
      <c r="G7" s="899"/>
      <c r="H7" s="899"/>
      <c r="I7" s="899"/>
      <c r="J7" s="899">
        <v>43</v>
      </c>
      <c r="K7" s="899">
        <f>VLOOKUP($D7,分包[],3,FALSE)</f>
        <v>65</v>
      </c>
      <c r="L7" s="119">
        <f t="shared" si="0"/>
        <v>2795</v>
      </c>
      <c r="M7" s="909"/>
      <c r="N7" s="909"/>
      <c r="O7" s="909"/>
      <c r="P7" s="910">
        <f>+L7*$R$3</f>
        <v>83.85</v>
      </c>
      <c r="Q7" s="899"/>
    </row>
    <row r="589" spans="1:1">
      <c r="A589" s="771" t="str">
        <f>$A$6&amp;TEXT(ROW()-6,"000")</f>
        <v>E01583</v>
      </c>
    </row>
    <row r="597" spans="1:1">
      <c r="A597" s="771" t="str">
        <f>$A$6&amp;TEXT(ROW()-6,"000")</f>
        <v>E01591</v>
      </c>
    </row>
    <row r="605" spans="1:1">
      <c r="A605" s="771" t="str">
        <f>$A$6&amp;TEXT(ROW()-6,"000")</f>
        <v>E01599</v>
      </c>
    </row>
  </sheetData>
  <sheetProtection formatCells="0" insertRows="0" insertHyperlinks="0" deleteRows="0" autoFilter="0"/>
  <autoFilter ref="A4:Q7">
    <extLst/>
  </autoFilter>
  <mergeCells count="1">
    <mergeCell ref="A1:Q1"/>
  </mergeCells>
  <conditionalFormatting sqref="A7:Q7">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2048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20481" r:id="rId3" name="CommandButton1"/>
      </mc:Fallback>
    </mc:AlternateContent>
    <mc:AlternateContent xmlns:mc="http://schemas.openxmlformats.org/markup-compatibility/2006">
      <mc:Choice Requires="x14">
        <control shapeId="20482" r:id="rId5" name="CommandButton2">
          <controlPr defaultSize="0" r:id="rId4">
            <anchor moveWithCells="1">
              <from>
                <xdr:col>0</xdr:col>
                <xdr:colOff>0</xdr:colOff>
                <xdr:row>0</xdr:row>
                <xdr:rowOff>0</xdr:rowOff>
              </from>
              <to>
                <xdr:col>0</xdr:col>
                <xdr:colOff>9525</xdr:colOff>
                <xdr:row>0</xdr:row>
                <xdr:rowOff>9525</xdr:rowOff>
              </to>
            </anchor>
          </controlPr>
        </control>
      </mc:Choice>
      <mc:Fallback>
        <control shapeId="20482" r:id="rId5"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outlinePr summaryBelow="0"/>
  </sheetPr>
  <dimension ref="A1:AB111"/>
  <sheetViews>
    <sheetView workbookViewId="0">
      <pane xSplit="4" ySplit="5" topLeftCell="E35" activePane="bottomRight" state="frozen"/>
      <selection/>
      <selection pane="topRight"/>
      <selection pane="bottomLeft"/>
      <selection pane="bottomRight" activeCell="A189" sqref="A189"/>
    </sheetView>
  </sheetViews>
  <sheetFormatPr defaultColWidth="8.875" defaultRowHeight="15.75"/>
  <cols>
    <col min="1" max="1" width="9.625" style="771" customWidth="1"/>
    <col min="2" max="2" width="8.75" style="772" customWidth="1"/>
    <col min="3" max="3" width="11.75" style="772" customWidth="1"/>
    <col min="4" max="4" width="22.125" style="773" customWidth="1"/>
    <col min="5" max="5" width="12.75" style="773" customWidth="1"/>
    <col min="6" max="6" width="4.25" style="771" customWidth="1"/>
    <col min="7" max="7" width="7.25" style="772" customWidth="1"/>
    <col min="8" max="8" width="7.75" style="772" customWidth="1"/>
    <col min="9" max="9" width="10.25" style="772" customWidth="1"/>
    <col min="10" max="10" width="6.375" style="772" customWidth="1"/>
    <col min="11" max="11" width="8.25" style="772" customWidth="1"/>
    <col min="12" max="12" width="13.75" style="774" customWidth="1"/>
    <col min="13" max="14" width="8.75" style="775" customWidth="1"/>
    <col min="15" max="15" width="13.375" style="775" customWidth="1"/>
    <col min="16" max="16" width="11.375" style="772" customWidth="1"/>
    <col min="17" max="17" width="13.5" style="773" customWidth="1"/>
    <col min="18" max="18" width="12" style="772"/>
    <col min="19" max="16384" width="8.875" style="772"/>
  </cols>
  <sheetData>
    <row r="1" ht="23.25" spans="1:17">
      <c r="A1" s="776" t="s">
        <v>1432</v>
      </c>
      <c r="B1" s="715"/>
      <c r="C1" s="715"/>
      <c r="D1" s="777"/>
      <c r="E1" s="777"/>
      <c r="F1" s="715"/>
      <c r="G1" s="715"/>
      <c r="H1" s="715"/>
      <c r="I1" s="715"/>
      <c r="J1" s="715"/>
      <c r="K1" s="715"/>
      <c r="L1" s="798"/>
      <c r="M1" s="799"/>
      <c r="N1" s="799"/>
      <c r="O1" s="799"/>
      <c r="P1" s="715"/>
      <c r="Q1" s="777"/>
    </row>
    <row r="2" s="766" customFormat="1" ht="13.5" spans="1:17">
      <c r="A2" s="639"/>
      <c r="B2" s="778"/>
      <c r="C2" s="778"/>
      <c r="D2" s="779"/>
      <c r="E2" s="779"/>
      <c r="F2" s="101"/>
      <c r="G2" s="778"/>
      <c r="H2" s="778"/>
      <c r="I2" s="778"/>
      <c r="J2" s="778"/>
      <c r="K2" s="778"/>
      <c r="L2" s="102"/>
      <c r="M2" s="800"/>
      <c r="N2" s="800"/>
      <c r="O2" s="800"/>
      <c r="P2" s="642"/>
      <c r="Q2" s="818" t="s">
        <v>1397</v>
      </c>
    </row>
    <row r="3" s="766" customFormat="1" ht="24" customHeight="1" spans="1:17">
      <c r="A3" s="639" t="str">
        <f>+'工程项目成本预算表(01表)'!A3</f>
        <v>工程名称：az  2</v>
      </c>
      <c r="B3" s="639"/>
      <c r="C3" s="639"/>
      <c r="D3" s="709"/>
      <c r="E3" s="709"/>
      <c r="F3" s="101"/>
      <c r="G3" s="639"/>
      <c r="H3" s="639"/>
      <c r="I3" s="639"/>
      <c r="J3" s="639"/>
      <c r="K3" s="639"/>
      <c r="L3" s="102"/>
      <c r="M3" s="801"/>
      <c r="N3" s="801"/>
      <c r="O3" s="801"/>
      <c r="P3" s="642"/>
      <c r="Q3" s="709" t="s">
        <v>1253</v>
      </c>
    </row>
    <row r="4" s="767" customFormat="1" ht="34.15" customHeight="1" spans="1:17">
      <c r="A4" s="780" t="s">
        <v>1254</v>
      </c>
      <c r="B4" s="781" t="s">
        <v>1291</v>
      </c>
      <c r="C4" s="782" t="s">
        <v>1292</v>
      </c>
      <c r="D4" s="782" t="s">
        <v>1399</v>
      </c>
      <c r="E4" s="782" t="s">
        <v>1294</v>
      </c>
      <c r="F4" s="782" t="s">
        <v>60</v>
      </c>
      <c r="G4" s="782" t="s">
        <v>1400</v>
      </c>
      <c r="H4" s="782" t="s">
        <v>1401</v>
      </c>
      <c r="I4" s="802" t="s">
        <v>1257</v>
      </c>
      <c r="J4" s="782" t="s">
        <v>1402</v>
      </c>
      <c r="K4" s="782" t="s">
        <v>1403</v>
      </c>
      <c r="L4" s="803" t="s">
        <v>1258</v>
      </c>
      <c r="M4" s="804" t="s">
        <v>1404</v>
      </c>
      <c r="N4" s="804" t="s">
        <v>1405</v>
      </c>
      <c r="O4" s="804" t="s">
        <v>1259</v>
      </c>
      <c r="P4" s="782" t="s">
        <v>1261</v>
      </c>
      <c r="Q4" s="819" t="s">
        <v>1262</v>
      </c>
    </row>
    <row r="5" s="766" customFormat="1" ht="24" customHeight="1" spans="1:17">
      <c r="A5" s="783" t="s">
        <v>1304</v>
      </c>
      <c r="B5" s="784"/>
      <c r="C5" s="784"/>
      <c r="D5" s="785"/>
      <c r="E5" s="784"/>
      <c r="F5" s="784"/>
      <c r="G5" s="786"/>
      <c r="H5" s="786"/>
      <c r="I5" s="805"/>
      <c r="J5" s="786"/>
      <c r="K5" s="786"/>
      <c r="L5" s="806"/>
      <c r="M5" s="807"/>
      <c r="N5" s="807"/>
      <c r="O5" s="807"/>
      <c r="P5" s="784"/>
      <c r="Q5" s="820"/>
    </row>
    <row r="6" s="768" customFormat="1" ht="21" customHeight="1" spans="1:18">
      <c r="A6" s="787" t="s">
        <v>1433</v>
      </c>
      <c r="B6" s="788"/>
      <c r="C6" s="789" t="s">
        <v>60</v>
      </c>
      <c r="D6" s="789" t="s">
        <v>1434</v>
      </c>
      <c r="E6" s="789"/>
      <c r="F6" s="789"/>
      <c r="G6" s="789"/>
      <c r="H6" s="789"/>
      <c r="I6" s="789"/>
      <c r="J6" s="808"/>
      <c r="K6" s="808"/>
      <c r="L6" s="809" cm="1">
        <f t="array" ref="L6">SUMPRODUCT((LEFT($A7:$A$96,LEN($A6))=$A6)*1,(LEN($A7:$A$96)=LEN($A6)+3)*1,L7:L$96)</f>
        <v>365504.2726775</v>
      </c>
      <c r="M6" s="810"/>
      <c r="N6" s="811"/>
      <c r="O6" s="812">
        <f>SUMPRODUCT((LEFT($A7:$A$96,LEN($A6))=$A6)*1,(LEN($A7:$A$96)=LEN($A6)+3)*1,O7:O$96)</f>
        <v>0</v>
      </c>
      <c r="P6" s="813">
        <f>SUMPRODUCT((LEFT($A7:$A$96,LEN($A6))=$A6)*1,(LEN($A7:$A$96)=LEN($A6)+3)*1,P7:P$96)</f>
        <v>32895.384540975</v>
      </c>
      <c r="Q6" s="821"/>
      <c r="R6" s="768" t="e">
        <f>+'分项对比表(02表)'!#REF!/1.09*0.015</f>
        <v>#REF!</v>
      </c>
    </row>
    <row r="7" s="769" customFormat="1" ht="22.5" outlineLevel="1" spans="1:17">
      <c r="A7" s="790" t="s">
        <v>1435</v>
      </c>
      <c r="B7" s="791"/>
      <c r="C7" s="792" t="s">
        <v>1310</v>
      </c>
      <c r="D7" s="793" t="s">
        <v>1436</v>
      </c>
      <c r="E7" s="793" t="s">
        <v>1437</v>
      </c>
      <c r="F7" s="794"/>
      <c r="G7" s="792"/>
      <c r="H7" s="792"/>
      <c r="I7" s="792"/>
      <c r="J7" s="792"/>
      <c r="K7" s="792"/>
      <c r="L7" s="814">
        <v>0</v>
      </c>
      <c r="M7" s="815"/>
      <c r="N7" s="816"/>
      <c r="O7" s="815"/>
      <c r="P7" s="817">
        <f t="shared" ref="P7:P70" si="0">+L7*0.09</f>
        <v>0</v>
      </c>
      <c r="Q7" s="822"/>
    </row>
    <row r="8" s="766" customFormat="1" ht="22.5" outlineLevel="1" spans="1:17">
      <c r="A8" s="790" t="s">
        <v>1438</v>
      </c>
      <c r="B8" s="791"/>
      <c r="C8" s="792" t="s">
        <v>1310</v>
      </c>
      <c r="D8" s="793" t="s">
        <v>1439</v>
      </c>
      <c r="E8" s="793" t="s">
        <v>1437</v>
      </c>
      <c r="F8" s="795"/>
      <c r="G8" s="796"/>
      <c r="H8" s="796"/>
      <c r="I8" s="796"/>
      <c r="J8" s="796"/>
      <c r="K8" s="796"/>
      <c r="L8" s="814">
        <v>0</v>
      </c>
      <c r="M8" s="815"/>
      <c r="N8" s="816"/>
      <c r="O8" s="815"/>
      <c r="P8" s="817">
        <f t="shared" si="0"/>
        <v>0</v>
      </c>
      <c r="Q8" s="823"/>
    </row>
    <row r="9" s="766" customFormat="1" ht="22.5" outlineLevel="1" spans="1:17">
      <c r="A9" s="790" t="s">
        <v>1440</v>
      </c>
      <c r="B9" s="791"/>
      <c r="C9" s="792" t="s">
        <v>1310</v>
      </c>
      <c r="D9" s="793" t="s">
        <v>1441</v>
      </c>
      <c r="E9" s="793" t="s">
        <v>1437</v>
      </c>
      <c r="F9" s="795"/>
      <c r="G9" s="796"/>
      <c r="H9" s="796"/>
      <c r="I9" s="796"/>
      <c r="J9" s="796"/>
      <c r="K9" s="796"/>
      <c r="L9" s="814">
        <v>0</v>
      </c>
      <c r="M9" s="815"/>
      <c r="N9" s="816"/>
      <c r="O9" s="815"/>
      <c r="P9" s="817">
        <f t="shared" si="0"/>
        <v>0</v>
      </c>
      <c r="Q9" s="823"/>
    </row>
    <row r="10" s="766" customFormat="1" ht="22.5" outlineLevel="1" spans="1:17">
      <c r="A10" s="790" t="s">
        <v>1442</v>
      </c>
      <c r="B10" s="791"/>
      <c r="C10" s="792" t="s">
        <v>1310</v>
      </c>
      <c r="D10" s="793" t="s">
        <v>1443</v>
      </c>
      <c r="E10" s="793" t="s">
        <v>1437</v>
      </c>
      <c r="F10" s="795"/>
      <c r="G10" s="796"/>
      <c r="H10" s="796"/>
      <c r="I10" s="796"/>
      <c r="J10" s="796"/>
      <c r="K10" s="796"/>
      <c r="L10" s="814">
        <v>0</v>
      </c>
      <c r="M10" s="815"/>
      <c r="N10" s="816"/>
      <c r="O10" s="815"/>
      <c r="P10" s="817">
        <f t="shared" si="0"/>
        <v>0</v>
      </c>
      <c r="Q10" s="823"/>
    </row>
    <row r="11" s="766" customFormat="1" ht="22.5" outlineLevel="1" spans="1:17">
      <c r="A11" s="790" t="s">
        <v>1444</v>
      </c>
      <c r="B11" s="791"/>
      <c r="C11" s="792" t="s">
        <v>1310</v>
      </c>
      <c r="D11" s="793" t="s">
        <v>1445</v>
      </c>
      <c r="E11" s="793" t="s">
        <v>1446</v>
      </c>
      <c r="F11" s="795"/>
      <c r="G11" s="796"/>
      <c r="H11" s="796"/>
      <c r="I11" s="796"/>
      <c r="J11" s="796"/>
      <c r="K11" s="796"/>
      <c r="L11" s="814">
        <v>0</v>
      </c>
      <c r="M11" s="815"/>
      <c r="N11" s="816"/>
      <c r="O11" s="815"/>
      <c r="P11" s="817">
        <f t="shared" si="0"/>
        <v>0</v>
      </c>
      <c r="Q11" s="823"/>
    </row>
    <row r="12" s="766" customFormat="1" ht="78.75" outlineLevel="1" spans="1:17">
      <c r="A12" s="790" t="s">
        <v>1447</v>
      </c>
      <c r="B12" s="791"/>
      <c r="C12" s="792" t="s">
        <v>1310</v>
      </c>
      <c r="D12" s="793" t="s">
        <v>1448</v>
      </c>
      <c r="E12" s="793" t="s">
        <v>1446</v>
      </c>
      <c r="F12" s="795"/>
      <c r="G12" s="796"/>
      <c r="H12" s="796"/>
      <c r="I12" s="796"/>
      <c r="J12" s="796"/>
      <c r="K12" s="796"/>
      <c r="L12" s="814">
        <v>50000</v>
      </c>
      <c r="M12" s="815"/>
      <c r="N12" s="816"/>
      <c r="O12" s="815"/>
      <c r="P12" s="817">
        <f t="shared" si="0"/>
        <v>4500</v>
      </c>
      <c r="Q12" s="823"/>
    </row>
    <row r="13" s="766" customFormat="1" ht="33.75" outlineLevel="1" spans="1:17">
      <c r="A13" s="790" t="s">
        <v>1449</v>
      </c>
      <c r="B13" s="791"/>
      <c r="C13" s="792" t="s">
        <v>1310</v>
      </c>
      <c r="D13" s="793" t="s">
        <v>1450</v>
      </c>
      <c r="E13" s="793" t="s">
        <v>1451</v>
      </c>
      <c r="F13" s="795"/>
      <c r="G13" s="796"/>
      <c r="H13" s="796"/>
      <c r="I13" s="796"/>
      <c r="J13" s="796"/>
      <c r="K13" s="796"/>
      <c r="L13" s="814">
        <v>0</v>
      </c>
      <c r="M13" s="815"/>
      <c r="N13" s="816"/>
      <c r="O13" s="815"/>
      <c r="P13" s="817">
        <f t="shared" si="0"/>
        <v>0</v>
      </c>
      <c r="Q13" s="823"/>
    </row>
    <row r="14" s="766" customFormat="1" ht="22.5" outlineLevel="1" spans="1:17">
      <c r="A14" s="790" t="s">
        <v>1452</v>
      </c>
      <c r="B14" s="791"/>
      <c r="C14" s="792" t="s">
        <v>1310</v>
      </c>
      <c r="D14" s="793" t="s">
        <v>1453</v>
      </c>
      <c r="E14" s="793" t="s">
        <v>1454</v>
      </c>
      <c r="F14" s="795"/>
      <c r="G14" s="796"/>
      <c r="H14" s="796"/>
      <c r="I14" s="796"/>
      <c r="J14" s="796"/>
      <c r="K14" s="796"/>
      <c r="L14" s="814">
        <v>10000</v>
      </c>
      <c r="M14" s="815"/>
      <c r="N14" s="816"/>
      <c r="O14" s="815"/>
      <c r="P14" s="817">
        <f t="shared" si="0"/>
        <v>900</v>
      </c>
      <c r="Q14" s="823"/>
    </row>
    <row r="15" s="766" customFormat="1" ht="22.5" outlineLevel="1" spans="1:17">
      <c r="A15" s="790" t="s">
        <v>1455</v>
      </c>
      <c r="B15" s="791"/>
      <c r="C15" s="792" t="s">
        <v>1310</v>
      </c>
      <c r="D15" s="793" t="s">
        <v>1456</v>
      </c>
      <c r="E15" s="793" t="s">
        <v>1454</v>
      </c>
      <c r="F15" s="795"/>
      <c r="G15" s="796"/>
      <c r="H15" s="796"/>
      <c r="I15" s="796"/>
      <c r="J15" s="796"/>
      <c r="K15" s="796"/>
      <c r="L15" s="814">
        <v>0</v>
      </c>
      <c r="M15" s="815"/>
      <c r="N15" s="816"/>
      <c r="O15" s="815"/>
      <c r="P15" s="817">
        <f t="shared" si="0"/>
        <v>0</v>
      </c>
      <c r="Q15" s="823"/>
    </row>
    <row r="16" s="766" customFormat="1" ht="22.5" outlineLevel="1" spans="1:17">
      <c r="A16" s="790" t="s">
        <v>1457</v>
      </c>
      <c r="B16" s="791"/>
      <c r="C16" s="792" t="s">
        <v>1310</v>
      </c>
      <c r="D16" s="793" t="s">
        <v>1458</v>
      </c>
      <c r="E16" s="793" t="s">
        <v>1454</v>
      </c>
      <c r="F16" s="795"/>
      <c r="G16" s="796"/>
      <c r="H16" s="796"/>
      <c r="I16" s="796"/>
      <c r="J16" s="796"/>
      <c r="K16" s="796"/>
      <c r="L16" s="814">
        <v>0</v>
      </c>
      <c r="M16" s="815"/>
      <c r="N16" s="816"/>
      <c r="O16" s="815"/>
      <c r="P16" s="817">
        <f t="shared" si="0"/>
        <v>0</v>
      </c>
      <c r="Q16" s="823"/>
    </row>
    <row r="17" s="766" customFormat="1" ht="22.5" outlineLevel="1" spans="1:17">
      <c r="A17" s="790" t="s">
        <v>1459</v>
      </c>
      <c r="B17" s="791"/>
      <c r="C17" s="792" t="s">
        <v>1310</v>
      </c>
      <c r="D17" s="793" t="s">
        <v>1460</v>
      </c>
      <c r="E17" s="793" t="s">
        <v>1461</v>
      </c>
      <c r="F17" s="795"/>
      <c r="G17" s="796"/>
      <c r="H17" s="796"/>
      <c r="I17" s="796"/>
      <c r="J17" s="796"/>
      <c r="K17" s="796"/>
      <c r="L17" s="814">
        <v>0</v>
      </c>
      <c r="M17" s="815"/>
      <c r="N17" s="816"/>
      <c r="O17" s="815"/>
      <c r="P17" s="817">
        <f t="shared" si="0"/>
        <v>0</v>
      </c>
      <c r="Q17" s="823"/>
    </row>
    <row r="18" s="766" customFormat="1" ht="22.5" outlineLevel="1" spans="1:17">
      <c r="A18" s="790" t="s">
        <v>1462</v>
      </c>
      <c r="B18" s="791"/>
      <c r="C18" s="792" t="s">
        <v>1310</v>
      </c>
      <c r="D18" s="793" t="s">
        <v>1463</v>
      </c>
      <c r="E18" s="793" t="s">
        <v>1461</v>
      </c>
      <c r="F18" s="795"/>
      <c r="G18" s="796"/>
      <c r="H18" s="796"/>
      <c r="I18" s="796"/>
      <c r="J18" s="796"/>
      <c r="K18" s="796"/>
      <c r="L18" s="814">
        <v>0</v>
      </c>
      <c r="M18" s="815"/>
      <c r="N18" s="816"/>
      <c r="O18" s="815"/>
      <c r="P18" s="817">
        <f t="shared" si="0"/>
        <v>0</v>
      </c>
      <c r="Q18" s="823"/>
    </row>
    <row r="19" s="766" customFormat="1" ht="45" outlineLevel="1" spans="1:17">
      <c r="A19" s="790" t="s">
        <v>1464</v>
      </c>
      <c r="B19" s="791"/>
      <c r="C19" s="792" t="s">
        <v>1310</v>
      </c>
      <c r="D19" s="793" t="s">
        <v>1465</v>
      </c>
      <c r="E19" s="793" t="s">
        <v>1466</v>
      </c>
      <c r="F19" s="795"/>
      <c r="G19" s="796"/>
      <c r="H19" s="796"/>
      <c r="I19" s="796"/>
      <c r="J19" s="796"/>
      <c r="K19" s="796"/>
      <c r="L19" s="814">
        <v>0</v>
      </c>
      <c r="M19" s="815"/>
      <c r="N19" s="816"/>
      <c r="O19" s="815"/>
      <c r="P19" s="817">
        <f t="shared" si="0"/>
        <v>0</v>
      </c>
      <c r="Q19" s="823"/>
    </row>
    <row r="20" s="766" customFormat="1" ht="67.5" outlineLevel="1" spans="1:17">
      <c r="A20" s="790" t="s">
        <v>1467</v>
      </c>
      <c r="B20" s="791"/>
      <c r="C20" s="792" t="s">
        <v>1310</v>
      </c>
      <c r="D20" s="793" t="s">
        <v>1468</v>
      </c>
      <c r="E20" s="793" t="s">
        <v>1469</v>
      </c>
      <c r="F20" s="795"/>
      <c r="G20" s="796"/>
      <c r="H20" s="796"/>
      <c r="I20" s="796"/>
      <c r="J20" s="796"/>
      <c r="K20" s="796"/>
      <c r="L20" s="814">
        <v>0</v>
      </c>
      <c r="M20" s="815"/>
      <c r="N20" s="816"/>
      <c r="O20" s="815"/>
      <c r="P20" s="817">
        <f t="shared" si="0"/>
        <v>0</v>
      </c>
      <c r="Q20" s="823"/>
    </row>
    <row r="21" s="766" customFormat="1" ht="45" outlineLevel="1" spans="1:17">
      <c r="A21" s="790" t="s">
        <v>1470</v>
      </c>
      <c r="B21" s="791"/>
      <c r="C21" s="792" t="s">
        <v>1310</v>
      </c>
      <c r="D21" s="793" t="s">
        <v>1471</v>
      </c>
      <c r="E21" s="793" t="s">
        <v>1472</v>
      </c>
      <c r="F21" s="795"/>
      <c r="G21" s="796"/>
      <c r="H21" s="796"/>
      <c r="I21" s="796"/>
      <c r="J21" s="796"/>
      <c r="K21" s="796"/>
      <c r="L21" s="814">
        <v>0</v>
      </c>
      <c r="M21" s="815"/>
      <c r="N21" s="816"/>
      <c r="O21" s="815"/>
      <c r="P21" s="817">
        <f t="shared" si="0"/>
        <v>0</v>
      </c>
      <c r="Q21" s="823"/>
    </row>
    <row r="22" s="766" customFormat="1" ht="33.75" outlineLevel="1" spans="1:17">
      <c r="A22" s="790" t="s">
        <v>1473</v>
      </c>
      <c r="B22" s="791"/>
      <c r="C22" s="792" t="s">
        <v>1310</v>
      </c>
      <c r="D22" s="793" t="s">
        <v>1474</v>
      </c>
      <c r="E22" s="793" t="s">
        <v>1475</v>
      </c>
      <c r="F22" s="795"/>
      <c r="G22" s="796"/>
      <c r="H22" s="796"/>
      <c r="I22" s="796"/>
      <c r="J22" s="796"/>
      <c r="K22" s="796"/>
      <c r="L22" s="814">
        <v>0</v>
      </c>
      <c r="M22" s="815"/>
      <c r="N22" s="816"/>
      <c r="O22" s="815"/>
      <c r="P22" s="817">
        <f t="shared" si="0"/>
        <v>0</v>
      </c>
      <c r="Q22" s="823"/>
    </row>
    <row r="23" s="766" customFormat="1" ht="33.75" outlineLevel="1" spans="1:17">
      <c r="A23" s="790" t="s">
        <v>1476</v>
      </c>
      <c r="B23" s="791"/>
      <c r="C23" s="792" t="s">
        <v>1310</v>
      </c>
      <c r="D23" s="793" t="s">
        <v>1477</v>
      </c>
      <c r="E23" s="793" t="s">
        <v>1478</v>
      </c>
      <c r="F23" s="795"/>
      <c r="G23" s="796"/>
      <c r="H23" s="796"/>
      <c r="I23" s="796"/>
      <c r="J23" s="796"/>
      <c r="K23" s="796"/>
      <c r="L23" s="814">
        <v>0</v>
      </c>
      <c r="M23" s="815"/>
      <c r="N23" s="816"/>
      <c r="O23" s="815"/>
      <c r="P23" s="817">
        <f t="shared" si="0"/>
        <v>0</v>
      </c>
      <c r="Q23" s="823"/>
    </row>
    <row r="24" s="766" customFormat="1" ht="22.5" outlineLevel="1" spans="1:17">
      <c r="A24" s="790" t="s">
        <v>1479</v>
      </c>
      <c r="B24" s="791"/>
      <c r="C24" s="792" t="s">
        <v>1310</v>
      </c>
      <c r="D24" s="793" t="s">
        <v>1480</v>
      </c>
      <c r="E24" s="793" t="s">
        <v>1481</v>
      </c>
      <c r="F24" s="795"/>
      <c r="G24" s="796"/>
      <c r="H24" s="796"/>
      <c r="I24" s="796"/>
      <c r="J24" s="796"/>
      <c r="K24" s="796"/>
      <c r="L24" s="814">
        <v>0</v>
      </c>
      <c r="M24" s="815"/>
      <c r="N24" s="816"/>
      <c r="O24" s="815"/>
      <c r="P24" s="817">
        <f t="shared" si="0"/>
        <v>0</v>
      </c>
      <c r="Q24" s="823"/>
    </row>
    <row r="25" s="766" customFormat="1" ht="22.5" outlineLevel="1" spans="1:17">
      <c r="A25" s="790" t="s">
        <v>1482</v>
      </c>
      <c r="B25" s="791"/>
      <c r="C25" s="792" t="s">
        <v>1310</v>
      </c>
      <c r="D25" s="793" t="s">
        <v>1483</v>
      </c>
      <c r="E25" s="793" t="s">
        <v>1481</v>
      </c>
      <c r="F25" s="795"/>
      <c r="G25" s="796"/>
      <c r="H25" s="796"/>
      <c r="I25" s="796"/>
      <c r="J25" s="796"/>
      <c r="K25" s="796"/>
      <c r="L25" s="814">
        <v>0</v>
      </c>
      <c r="M25" s="815"/>
      <c r="N25" s="816"/>
      <c r="O25" s="815"/>
      <c r="P25" s="817">
        <f t="shared" si="0"/>
        <v>0</v>
      </c>
      <c r="Q25" s="823"/>
    </row>
    <row r="26" s="766" customFormat="1" ht="56.25" outlineLevel="1" spans="1:17">
      <c r="A26" s="790" t="s">
        <v>1484</v>
      </c>
      <c r="B26" s="791"/>
      <c r="C26" s="792" t="s">
        <v>1310</v>
      </c>
      <c r="D26" s="793" t="s">
        <v>1485</v>
      </c>
      <c r="E26" s="793" t="s">
        <v>1486</v>
      </c>
      <c r="F26" s="795"/>
      <c r="G26" s="796"/>
      <c r="H26" s="796"/>
      <c r="I26" s="796"/>
      <c r="J26" s="796"/>
      <c r="K26" s="796"/>
      <c r="L26" s="814">
        <v>100000</v>
      </c>
      <c r="M26" s="815"/>
      <c r="N26" s="816"/>
      <c r="O26" s="815"/>
      <c r="P26" s="817">
        <f t="shared" si="0"/>
        <v>9000</v>
      </c>
      <c r="Q26" s="823"/>
    </row>
    <row r="27" s="766" customFormat="1" ht="22.5" outlineLevel="1" spans="1:17">
      <c r="A27" s="790" t="s">
        <v>1487</v>
      </c>
      <c r="B27" s="791"/>
      <c r="C27" s="792" t="s">
        <v>1310</v>
      </c>
      <c r="D27" s="793" t="s">
        <v>1488</v>
      </c>
      <c r="E27" s="793" t="s">
        <v>1489</v>
      </c>
      <c r="F27" s="795"/>
      <c r="G27" s="796"/>
      <c r="H27" s="796"/>
      <c r="I27" s="796"/>
      <c r="J27" s="796"/>
      <c r="K27" s="796"/>
      <c r="L27" s="814">
        <v>0</v>
      </c>
      <c r="M27" s="815"/>
      <c r="N27" s="816"/>
      <c r="O27" s="815"/>
      <c r="P27" s="817">
        <f t="shared" si="0"/>
        <v>0</v>
      </c>
      <c r="Q27" s="823"/>
    </row>
    <row r="28" s="766" customFormat="1" ht="33.75" outlineLevel="1" spans="1:17">
      <c r="A28" s="790" t="s">
        <v>1490</v>
      </c>
      <c r="B28" s="791"/>
      <c r="C28" s="792" t="s">
        <v>1310</v>
      </c>
      <c r="D28" s="793" t="s">
        <v>1491</v>
      </c>
      <c r="E28" s="793" t="s">
        <v>1489</v>
      </c>
      <c r="F28" s="795"/>
      <c r="G28" s="796"/>
      <c r="H28" s="796"/>
      <c r="I28" s="796"/>
      <c r="J28" s="796"/>
      <c r="K28" s="796"/>
      <c r="L28" s="814">
        <v>0</v>
      </c>
      <c r="M28" s="815"/>
      <c r="N28" s="816"/>
      <c r="O28" s="815"/>
      <c r="P28" s="817">
        <f t="shared" si="0"/>
        <v>0</v>
      </c>
      <c r="Q28" s="823"/>
    </row>
    <row r="29" s="766" customFormat="1" ht="56.25" outlineLevel="1" spans="1:17">
      <c r="A29" s="790" t="s">
        <v>1492</v>
      </c>
      <c r="B29" s="791"/>
      <c r="C29" s="792" t="s">
        <v>1310</v>
      </c>
      <c r="D29" s="793" t="s">
        <v>1493</v>
      </c>
      <c r="E29" s="793" t="s">
        <v>1494</v>
      </c>
      <c r="F29" s="795"/>
      <c r="G29" s="796"/>
      <c r="H29" s="796"/>
      <c r="I29" s="796"/>
      <c r="J29" s="796"/>
      <c r="K29" s="796"/>
      <c r="L29" s="814">
        <v>0</v>
      </c>
      <c r="M29" s="815"/>
      <c r="N29" s="816"/>
      <c r="O29" s="815"/>
      <c r="P29" s="817">
        <f t="shared" si="0"/>
        <v>0</v>
      </c>
      <c r="Q29" s="823"/>
    </row>
    <row r="30" s="766" customFormat="1" ht="33.75" outlineLevel="1" spans="1:17">
      <c r="A30" s="790" t="s">
        <v>1495</v>
      </c>
      <c r="B30" s="791"/>
      <c r="C30" s="792" t="s">
        <v>1310</v>
      </c>
      <c r="D30" s="793" t="s">
        <v>1496</v>
      </c>
      <c r="E30" s="793" t="s">
        <v>1497</v>
      </c>
      <c r="F30" s="795"/>
      <c r="G30" s="796"/>
      <c r="H30" s="796"/>
      <c r="I30" s="796"/>
      <c r="J30" s="796"/>
      <c r="K30" s="796"/>
      <c r="L30" s="814">
        <v>0</v>
      </c>
      <c r="M30" s="815"/>
      <c r="N30" s="816"/>
      <c r="O30" s="815"/>
      <c r="P30" s="817">
        <f t="shared" si="0"/>
        <v>0</v>
      </c>
      <c r="Q30" s="823"/>
    </row>
    <row r="31" s="766" customFormat="1" ht="22.5" outlineLevel="1" spans="1:17">
      <c r="A31" s="790" t="s">
        <v>1498</v>
      </c>
      <c r="B31" s="791"/>
      <c r="C31" s="792" t="s">
        <v>1310</v>
      </c>
      <c r="D31" s="793" t="s">
        <v>1499</v>
      </c>
      <c r="E31" s="793" t="s">
        <v>1500</v>
      </c>
      <c r="F31" s="795"/>
      <c r="G31" s="796"/>
      <c r="H31" s="796"/>
      <c r="I31" s="796"/>
      <c r="J31" s="796"/>
      <c r="K31" s="796"/>
      <c r="L31" s="814">
        <v>0</v>
      </c>
      <c r="M31" s="815"/>
      <c r="N31" s="816"/>
      <c r="O31" s="815"/>
      <c r="P31" s="817">
        <f t="shared" si="0"/>
        <v>0</v>
      </c>
      <c r="Q31" s="823"/>
    </row>
    <row r="32" s="766" customFormat="1" ht="56.25" outlineLevel="1" spans="1:17">
      <c r="A32" s="790" t="s">
        <v>1501</v>
      </c>
      <c r="B32" s="791"/>
      <c r="C32" s="792" t="s">
        <v>1310</v>
      </c>
      <c r="D32" s="793" t="s">
        <v>1502</v>
      </c>
      <c r="E32" s="793" t="s">
        <v>1503</v>
      </c>
      <c r="F32" s="795"/>
      <c r="G32" s="796"/>
      <c r="H32" s="796"/>
      <c r="I32" s="796"/>
      <c r="J32" s="796"/>
      <c r="K32" s="796"/>
      <c r="L32" s="814">
        <v>0</v>
      </c>
      <c r="M32" s="815"/>
      <c r="N32" s="816"/>
      <c r="O32" s="815"/>
      <c r="P32" s="817">
        <f t="shared" si="0"/>
        <v>0</v>
      </c>
      <c r="Q32" s="823"/>
    </row>
    <row r="33" s="766" customFormat="1" ht="22.5" outlineLevel="1" spans="1:17">
      <c r="A33" s="790" t="s">
        <v>1504</v>
      </c>
      <c r="B33" s="791"/>
      <c r="C33" s="792" t="s">
        <v>1310</v>
      </c>
      <c r="D33" s="793" t="s">
        <v>1505</v>
      </c>
      <c r="E33" s="793" t="s">
        <v>1506</v>
      </c>
      <c r="F33" s="795"/>
      <c r="G33" s="796"/>
      <c r="H33" s="796"/>
      <c r="I33" s="796"/>
      <c r="J33" s="796"/>
      <c r="K33" s="796"/>
      <c r="L33" s="814">
        <v>0</v>
      </c>
      <c r="M33" s="815"/>
      <c r="N33" s="816"/>
      <c r="O33" s="815"/>
      <c r="P33" s="817">
        <f t="shared" si="0"/>
        <v>0</v>
      </c>
      <c r="Q33" s="823"/>
    </row>
    <row r="34" s="766" customFormat="1" ht="45" outlineLevel="1" spans="1:17">
      <c r="A34" s="790" t="s">
        <v>1507</v>
      </c>
      <c r="B34" s="791"/>
      <c r="C34" s="792" t="s">
        <v>1310</v>
      </c>
      <c r="D34" s="793" t="s">
        <v>1508</v>
      </c>
      <c r="E34" s="793" t="s">
        <v>1509</v>
      </c>
      <c r="F34" s="795"/>
      <c r="G34" s="796"/>
      <c r="H34" s="796"/>
      <c r="I34" s="796"/>
      <c r="J34" s="796"/>
      <c r="K34" s="796"/>
      <c r="L34" s="814">
        <v>0</v>
      </c>
      <c r="M34" s="815"/>
      <c r="N34" s="816"/>
      <c r="O34" s="815"/>
      <c r="P34" s="817">
        <f t="shared" si="0"/>
        <v>0</v>
      </c>
      <c r="Q34" s="823"/>
    </row>
    <row r="35" s="766" customFormat="1" ht="22.5" outlineLevel="1" spans="1:17">
      <c r="A35" s="790" t="s">
        <v>1510</v>
      </c>
      <c r="B35" s="791"/>
      <c r="C35" s="792" t="s">
        <v>1310</v>
      </c>
      <c r="D35" s="793" t="s">
        <v>1511</v>
      </c>
      <c r="E35" s="793" t="s">
        <v>1512</v>
      </c>
      <c r="F35" s="795"/>
      <c r="G35" s="796"/>
      <c r="H35" s="796"/>
      <c r="I35" s="796"/>
      <c r="J35" s="796"/>
      <c r="K35" s="796"/>
      <c r="L35" s="814">
        <v>0</v>
      </c>
      <c r="M35" s="815"/>
      <c r="N35" s="816"/>
      <c r="O35" s="815"/>
      <c r="P35" s="817">
        <f t="shared" si="0"/>
        <v>0</v>
      </c>
      <c r="Q35" s="823"/>
    </row>
    <row r="36" s="766" customFormat="1" ht="22.5" outlineLevel="1" spans="1:17">
      <c r="A36" s="790" t="s">
        <v>1513</v>
      </c>
      <c r="B36" s="791"/>
      <c r="C36" s="792" t="s">
        <v>1310</v>
      </c>
      <c r="D36" s="793" t="s">
        <v>1514</v>
      </c>
      <c r="E36" s="793" t="s">
        <v>1512</v>
      </c>
      <c r="F36" s="795"/>
      <c r="G36" s="796"/>
      <c r="H36" s="796"/>
      <c r="I36" s="796"/>
      <c r="J36" s="796"/>
      <c r="K36" s="796"/>
      <c r="L36" s="814">
        <v>0</v>
      </c>
      <c r="M36" s="815"/>
      <c r="N36" s="816"/>
      <c r="O36" s="815"/>
      <c r="P36" s="817">
        <f t="shared" si="0"/>
        <v>0</v>
      </c>
      <c r="Q36" s="823"/>
    </row>
    <row r="37" s="766" customFormat="1" ht="22.5" outlineLevel="1" spans="1:17">
      <c r="A37" s="790" t="s">
        <v>1515</v>
      </c>
      <c r="B37" s="791"/>
      <c r="C37" s="792" t="s">
        <v>1310</v>
      </c>
      <c r="D37" s="793" t="s">
        <v>1516</v>
      </c>
      <c r="E37" s="793" t="s">
        <v>1512</v>
      </c>
      <c r="F37" s="795"/>
      <c r="G37" s="796"/>
      <c r="H37" s="796"/>
      <c r="I37" s="796"/>
      <c r="J37" s="796"/>
      <c r="K37" s="796"/>
      <c r="L37" s="814">
        <v>0</v>
      </c>
      <c r="M37" s="815"/>
      <c r="N37" s="816"/>
      <c r="O37" s="815"/>
      <c r="P37" s="817">
        <f t="shared" si="0"/>
        <v>0</v>
      </c>
      <c r="Q37" s="823"/>
    </row>
    <row r="38" s="766" customFormat="1" ht="22.5" outlineLevel="1" spans="1:17">
      <c r="A38" s="790" t="s">
        <v>1517</v>
      </c>
      <c r="B38" s="791"/>
      <c r="C38" s="792" t="s">
        <v>1310</v>
      </c>
      <c r="D38" s="793" t="s">
        <v>1518</v>
      </c>
      <c r="E38" s="793" t="s">
        <v>1512</v>
      </c>
      <c r="F38" s="795"/>
      <c r="G38" s="796"/>
      <c r="H38" s="796"/>
      <c r="I38" s="796"/>
      <c r="J38" s="796"/>
      <c r="K38" s="796"/>
      <c r="L38" s="814">
        <v>0</v>
      </c>
      <c r="M38" s="815"/>
      <c r="N38" s="816"/>
      <c r="O38" s="815"/>
      <c r="P38" s="817">
        <f t="shared" si="0"/>
        <v>0</v>
      </c>
      <c r="Q38" s="823"/>
    </row>
    <row r="39" s="766" customFormat="1" ht="22.5" outlineLevel="1" spans="1:17">
      <c r="A39" s="790" t="s">
        <v>1519</v>
      </c>
      <c r="B39" s="791"/>
      <c r="C39" s="792" t="s">
        <v>1310</v>
      </c>
      <c r="D39" s="793" t="s">
        <v>1520</v>
      </c>
      <c r="E39" s="793" t="s">
        <v>1512</v>
      </c>
      <c r="F39" s="795"/>
      <c r="G39" s="796"/>
      <c r="H39" s="796"/>
      <c r="I39" s="796"/>
      <c r="J39" s="796"/>
      <c r="K39" s="796"/>
      <c r="L39" s="814">
        <v>0</v>
      </c>
      <c r="M39" s="815"/>
      <c r="N39" s="816"/>
      <c r="O39" s="815"/>
      <c r="P39" s="817">
        <f t="shared" si="0"/>
        <v>0</v>
      </c>
      <c r="Q39" s="823"/>
    </row>
    <row r="40" s="766" customFormat="1" ht="33.75" outlineLevel="1" spans="1:17">
      <c r="A40" s="790" t="s">
        <v>1521</v>
      </c>
      <c r="B40" s="791"/>
      <c r="C40" s="792" t="s">
        <v>1310</v>
      </c>
      <c r="D40" s="793" t="s">
        <v>1522</v>
      </c>
      <c r="E40" s="793" t="s">
        <v>1523</v>
      </c>
      <c r="F40" s="795"/>
      <c r="G40" s="796"/>
      <c r="H40" s="796"/>
      <c r="I40" s="796"/>
      <c r="J40" s="796"/>
      <c r="K40" s="796"/>
      <c r="L40" s="814">
        <v>0</v>
      </c>
      <c r="M40" s="815"/>
      <c r="N40" s="816"/>
      <c r="O40" s="815"/>
      <c r="P40" s="817">
        <f t="shared" si="0"/>
        <v>0</v>
      </c>
      <c r="Q40" s="823"/>
    </row>
    <row r="41" s="766" customFormat="1" ht="22.5" outlineLevel="1" spans="1:17">
      <c r="A41" s="790" t="s">
        <v>1524</v>
      </c>
      <c r="B41" s="791"/>
      <c r="C41" s="792" t="s">
        <v>1310</v>
      </c>
      <c r="D41" s="793" t="s">
        <v>1525</v>
      </c>
      <c r="E41" s="793" t="s">
        <v>1523</v>
      </c>
      <c r="F41" s="795"/>
      <c r="G41" s="796"/>
      <c r="H41" s="796"/>
      <c r="I41" s="796"/>
      <c r="J41" s="796"/>
      <c r="K41" s="796"/>
      <c r="L41" s="814">
        <v>0</v>
      </c>
      <c r="M41" s="815"/>
      <c r="N41" s="816"/>
      <c r="O41" s="815"/>
      <c r="P41" s="817">
        <f t="shared" si="0"/>
        <v>0</v>
      </c>
      <c r="Q41" s="823"/>
    </row>
    <row r="42" s="766" customFormat="1" ht="56.25" outlineLevel="1" spans="1:17">
      <c r="A42" s="790" t="s">
        <v>1526</v>
      </c>
      <c r="B42" s="791"/>
      <c r="C42" s="792" t="s">
        <v>1310</v>
      </c>
      <c r="D42" s="793" t="s">
        <v>1527</v>
      </c>
      <c r="E42" s="793" t="s">
        <v>1528</v>
      </c>
      <c r="F42" s="795"/>
      <c r="G42" s="796"/>
      <c r="H42" s="796"/>
      <c r="I42" s="796"/>
      <c r="J42" s="796"/>
      <c r="K42" s="796"/>
      <c r="L42" s="814">
        <v>0</v>
      </c>
      <c r="M42" s="815"/>
      <c r="N42" s="816"/>
      <c r="O42" s="815"/>
      <c r="P42" s="817">
        <f t="shared" si="0"/>
        <v>0</v>
      </c>
      <c r="Q42" s="823"/>
    </row>
    <row r="43" s="766" customFormat="1" ht="13.5" outlineLevel="1" spans="1:17">
      <c r="A43" s="790" t="s">
        <v>1529</v>
      </c>
      <c r="B43" s="791"/>
      <c r="C43" s="792" t="s">
        <v>1310</v>
      </c>
      <c r="D43" s="793" t="s">
        <v>1530</v>
      </c>
      <c r="E43" s="793" t="s">
        <v>1528</v>
      </c>
      <c r="F43" s="795"/>
      <c r="G43" s="796"/>
      <c r="H43" s="796"/>
      <c r="I43" s="796"/>
      <c r="J43" s="796"/>
      <c r="K43" s="796"/>
      <c r="L43" s="814">
        <v>0</v>
      </c>
      <c r="M43" s="815"/>
      <c r="N43" s="816"/>
      <c r="O43" s="815"/>
      <c r="P43" s="817">
        <f t="shared" si="0"/>
        <v>0</v>
      </c>
      <c r="Q43" s="823"/>
    </row>
    <row r="44" s="766" customFormat="1" ht="22.5" outlineLevel="1" spans="1:17">
      <c r="A44" s="790" t="s">
        <v>1531</v>
      </c>
      <c r="B44" s="791"/>
      <c r="C44" s="792" t="s">
        <v>1310</v>
      </c>
      <c r="D44" s="793" t="s">
        <v>1532</v>
      </c>
      <c r="E44" s="793" t="s">
        <v>1528</v>
      </c>
      <c r="F44" s="795"/>
      <c r="G44" s="796"/>
      <c r="H44" s="796"/>
      <c r="I44" s="796"/>
      <c r="J44" s="796"/>
      <c r="K44" s="796"/>
      <c r="L44" s="814">
        <v>0</v>
      </c>
      <c r="M44" s="815"/>
      <c r="N44" s="816"/>
      <c r="O44" s="815"/>
      <c r="P44" s="817">
        <f t="shared" si="0"/>
        <v>0</v>
      </c>
      <c r="Q44" s="823"/>
    </row>
    <row r="45" s="766" customFormat="1" ht="22.5" outlineLevel="1" spans="1:17">
      <c r="A45" s="790" t="s">
        <v>1533</v>
      </c>
      <c r="B45" s="791"/>
      <c r="C45" s="792" t="s">
        <v>1310</v>
      </c>
      <c r="D45" s="793" t="s">
        <v>1534</v>
      </c>
      <c r="E45" s="793" t="s">
        <v>1528</v>
      </c>
      <c r="F45" s="795"/>
      <c r="G45" s="796"/>
      <c r="H45" s="796"/>
      <c r="I45" s="796"/>
      <c r="J45" s="796"/>
      <c r="K45" s="796"/>
      <c r="L45" s="814">
        <v>0</v>
      </c>
      <c r="M45" s="815"/>
      <c r="N45" s="816"/>
      <c r="O45" s="815"/>
      <c r="P45" s="817">
        <f t="shared" si="0"/>
        <v>0</v>
      </c>
      <c r="Q45" s="823"/>
    </row>
    <row r="46" s="766" customFormat="1" ht="33.75" outlineLevel="1" spans="1:17">
      <c r="A46" s="790" t="s">
        <v>1535</v>
      </c>
      <c r="B46" s="791"/>
      <c r="C46" s="792" t="s">
        <v>1310</v>
      </c>
      <c r="D46" s="793" t="s">
        <v>1536</v>
      </c>
      <c r="E46" s="793" t="s">
        <v>1537</v>
      </c>
      <c r="F46" s="795"/>
      <c r="G46" s="796"/>
      <c r="H46" s="796"/>
      <c r="I46" s="796"/>
      <c r="J46" s="796"/>
      <c r="K46" s="796"/>
      <c r="L46" s="814">
        <v>0</v>
      </c>
      <c r="M46" s="815"/>
      <c r="N46" s="816"/>
      <c r="O46" s="815"/>
      <c r="P46" s="817">
        <f t="shared" si="0"/>
        <v>0</v>
      </c>
      <c r="Q46" s="823"/>
    </row>
    <row r="47" s="766" customFormat="1" ht="56.25" outlineLevel="1" spans="1:17">
      <c r="A47" s="790" t="s">
        <v>1538</v>
      </c>
      <c r="B47" s="791"/>
      <c r="C47" s="792" t="s">
        <v>1310</v>
      </c>
      <c r="D47" s="793" t="s">
        <v>1539</v>
      </c>
      <c r="E47" s="793" t="s">
        <v>1537</v>
      </c>
      <c r="F47" s="795"/>
      <c r="G47" s="796"/>
      <c r="H47" s="796"/>
      <c r="I47" s="796"/>
      <c r="J47" s="796"/>
      <c r="K47" s="796"/>
      <c r="L47" s="814">
        <v>0</v>
      </c>
      <c r="M47" s="815"/>
      <c r="N47" s="816"/>
      <c r="O47" s="815"/>
      <c r="P47" s="817">
        <f t="shared" si="0"/>
        <v>0</v>
      </c>
      <c r="Q47" s="823"/>
    </row>
    <row r="48" s="766" customFormat="1" ht="45" outlineLevel="1" spans="1:17">
      <c r="A48" s="790" t="s">
        <v>1540</v>
      </c>
      <c r="B48" s="791"/>
      <c r="C48" s="792" t="s">
        <v>1310</v>
      </c>
      <c r="D48" s="793" t="s">
        <v>1541</v>
      </c>
      <c r="E48" s="793" t="s">
        <v>1537</v>
      </c>
      <c r="F48" s="795"/>
      <c r="G48" s="796"/>
      <c r="H48" s="796"/>
      <c r="I48" s="796"/>
      <c r="J48" s="796"/>
      <c r="K48" s="796"/>
      <c r="L48" s="814">
        <v>0</v>
      </c>
      <c r="M48" s="815"/>
      <c r="N48" s="816"/>
      <c r="O48" s="815"/>
      <c r="P48" s="817">
        <f t="shared" si="0"/>
        <v>0</v>
      </c>
      <c r="Q48" s="823"/>
    </row>
    <row r="49" s="766" customFormat="1" ht="33.75" outlineLevel="1" spans="1:17">
      <c r="A49" s="790" t="s">
        <v>1542</v>
      </c>
      <c r="B49" s="791"/>
      <c r="C49" s="792" t="s">
        <v>1310</v>
      </c>
      <c r="D49" s="793" t="s">
        <v>1543</v>
      </c>
      <c r="E49" s="793" t="s">
        <v>1537</v>
      </c>
      <c r="F49" s="795"/>
      <c r="G49" s="796"/>
      <c r="H49" s="796"/>
      <c r="I49" s="796"/>
      <c r="J49" s="796"/>
      <c r="K49" s="796"/>
      <c r="L49" s="814">
        <v>0</v>
      </c>
      <c r="M49" s="815"/>
      <c r="N49" s="816"/>
      <c r="O49" s="815"/>
      <c r="P49" s="817">
        <f t="shared" si="0"/>
        <v>0</v>
      </c>
      <c r="Q49" s="823"/>
    </row>
    <row r="50" s="766" customFormat="1" ht="22.5" outlineLevel="1" spans="1:17">
      <c r="A50" s="790" t="s">
        <v>1544</v>
      </c>
      <c r="B50" s="791"/>
      <c r="C50" s="792" t="s">
        <v>1310</v>
      </c>
      <c r="D50" s="793" t="s">
        <v>1545</v>
      </c>
      <c r="E50" s="793" t="s">
        <v>1537</v>
      </c>
      <c r="F50" s="795"/>
      <c r="G50" s="796"/>
      <c r="H50" s="796"/>
      <c r="I50" s="796"/>
      <c r="J50" s="796"/>
      <c r="K50" s="796"/>
      <c r="L50" s="814">
        <v>0</v>
      </c>
      <c r="M50" s="815"/>
      <c r="N50" s="816"/>
      <c r="O50" s="815"/>
      <c r="P50" s="817">
        <f t="shared" si="0"/>
        <v>0</v>
      </c>
      <c r="Q50" s="823"/>
    </row>
    <row r="51" s="766" customFormat="1" ht="56.25" outlineLevel="1" spans="1:17">
      <c r="A51" s="790" t="s">
        <v>1546</v>
      </c>
      <c r="B51" s="791"/>
      <c r="C51" s="792" t="s">
        <v>1310</v>
      </c>
      <c r="D51" s="793" t="s">
        <v>1547</v>
      </c>
      <c r="E51" s="793" t="s">
        <v>1548</v>
      </c>
      <c r="F51" s="795"/>
      <c r="G51" s="796"/>
      <c r="H51" s="796"/>
      <c r="I51" s="796"/>
      <c r="J51" s="796"/>
      <c r="K51" s="796"/>
      <c r="L51" s="814">
        <v>0</v>
      </c>
      <c r="M51" s="815"/>
      <c r="N51" s="816"/>
      <c r="O51" s="815"/>
      <c r="P51" s="817">
        <f t="shared" si="0"/>
        <v>0</v>
      </c>
      <c r="Q51" s="823"/>
    </row>
    <row r="52" s="766" customFormat="1" ht="78.75" outlineLevel="1" spans="1:17">
      <c r="A52" s="790" t="s">
        <v>1549</v>
      </c>
      <c r="B52" s="791"/>
      <c r="C52" s="792" t="s">
        <v>1310</v>
      </c>
      <c r="D52" s="793" t="s">
        <v>1550</v>
      </c>
      <c r="E52" s="793" t="s">
        <v>1551</v>
      </c>
      <c r="F52" s="795"/>
      <c r="G52" s="796"/>
      <c r="H52" s="796"/>
      <c r="I52" s="796"/>
      <c r="J52" s="796"/>
      <c r="K52" s="796"/>
      <c r="L52" s="817">
        <v>20000</v>
      </c>
      <c r="M52" s="815"/>
      <c r="N52" s="816"/>
      <c r="O52" s="815"/>
      <c r="P52" s="817">
        <f t="shared" si="0"/>
        <v>1800</v>
      </c>
      <c r="Q52" s="823"/>
    </row>
    <row r="53" s="766" customFormat="1" ht="33.75" outlineLevel="1" spans="1:17">
      <c r="A53" s="790" t="s">
        <v>1552</v>
      </c>
      <c r="B53" s="791"/>
      <c r="C53" s="792" t="s">
        <v>1310</v>
      </c>
      <c r="D53" s="793" t="s">
        <v>1553</v>
      </c>
      <c r="E53" s="793" t="s">
        <v>1554</v>
      </c>
      <c r="F53" s="795"/>
      <c r="G53" s="796"/>
      <c r="H53" s="796"/>
      <c r="I53" s="796"/>
      <c r="J53" s="796"/>
      <c r="K53" s="796"/>
      <c r="L53" s="817"/>
      <c r="M53" s="815"/>
      <c r="N53" s="816"/>
      <c r="O53" s="815"/>
      <c r="P53" s="817">
        <f t="shared" si="0"/>
        <v>0</v>
      </c>
      <c r="Q53" s="823"/>
    </row>
    <row r="54" s="766" customFormat="1" ht="33.75" outlineLevel="1" spans="1:17">
      <c r="A54" s="790" t="s">
        <v>1555</v>
      </c>
      <c r="B54" s="791"/>
      <c r="C54" s="792" t="s">
        <v>1310</v>
      </c>
      <c r="D54" s="793" t="s">
        <v>1556</v>
      </c>
      <c r="E54" s="793" t="s">
        <v>1557</v>
      </c>
      <c r="F54" s="795"/>
      <c r="G54" s="796"/>
      <c r="H54" s="796"/>
      <c r="I54" s="796"/>
      <c r="J54" s="796"/>
      <c r="K54" s="796"/>
      <c r="L54" s="817">
        <v>0</v>
      </c>
      <c r="M54" s="815"/>
      <c r="N54" s="816"/>
      <c r="O54" s="815"/>
      <c r="P54" s="817">
        <f t="shared" si="0"/>
        <v>0</v>
      </c>
      <c r="Q54" s="823"/>
    </row>
    <row r="55" s="766" customFormat="1" ht="56.25" outlineLevel="1" spans="1:17">
      <c r="A55" s="790" t="s">
        <v>1558</v>
      </c>
      <c r="B55" s="791"/>
      <c r="C55" s="792" t="s">
        <v>1310</v>
      </c>
      <c r="D55" s="793" t="s">
        <v>1559</v>
      </c>
      <c r="E55" s="793" t="s">
        <v>1560</v>
      </c>
      <c r="F55" s="795"/>
      <c r="G55" s="796"/>
      <c r="H55" s="796"/>
      <c r="I55" s="796"/>
      <c r="J55" s="796"/>
      <c r="K55" s="796"/>
      <c r="L55" s="814">
        <v>0</v>
      </c>
      <c r="M55" s="815"/>
      <c r="N55" s="816"/>
      <c r="O55" s="815"/>
      <c r="P55" s="817">
        <f t="shared" si="0"/>
        <v>0</v>
      </c>
      <c r="Q55" s="823"/>
    </row>
    <row r="56" s="766" customFormat="1" ht="45" outlineLevel="1" spans="1:17">
      <c r="A56" s="790" t="s">
        <v>1561</v>
      </c>
      <c r="B56" s="791"/>
      <c r="C56" s="792" t="s">
        <v>1310</v>
      </c>
      <c r="D56" s="793" t="s">
        <v>1562</v>
      </c>
      <c r="E56" s="793" t="s">
        <v>1563</v>
      </c>
      <c r="F56" s="795"/>
      <c r="G56" s="796"/>
      <c r="H56" s="796"/>
      <c r="I56" s="796"/>
      <c r="J56" s="796"/>
      <c r="K56" s="796"/>
      <c r="L56" s="814">
        <v>0</v>
      </c>
      <c r="M56" s="815"/>
      <c r="N56" s="816"/>
      <c r="O56" s="815"/>
      <c r="P56" s="817">
        <f t="shared" si="0"/>
        <v>0</v>
      </c>
      <c r="Q56" s="823"/>
    </row>
    <row r="57" s="766" customFormat="1" ht="22.5" outlineLevel="1" spans="1:17">
      <c r="A57" s="790" t="s">
        <v>1564</v>
      </c>
      <c r="B57" s="791"/>
      <c r="C57" s="792" t="s">
        <v>1310</v>
      </c>
      <c r="D57" s="793" t="s">
        <v>1565</v>
      </c>
      <c r="E57" s="793" t="s">
        <v>1566</v>
      </c>
      <c r="F57" s="795"/>
      <c r="G57" s="796"/>
      <c r="H57" s="796"/>
      <c r="I57" s="796"/>
      <c r="J57" s="796"/>
      <c r="K57" s="796"/>
      <c r="L57" s="814">
        <v>0</v>
      </c>
      <c r="M57" s="815"/>
      <c r="N57" s="816"/>
      <c r="O57" s="815"/>
      <c r="P57" s="817">
        <f t="shared" si="0"/>
        <v>0</v>
      </c>
      <c r="Q57" s="823"/>
    </row>
    <row r="58" s="766" customFormat="1" ht="22.5" outlineLevel="1" spans="1:17">
      <c r="A58" s="790" t="s">
        <v>1567</v>
      </c>
      <c r="B58" s="791"/>
      <c r="C58" s="792" t="s">
        <v>1310</v>
      </c>
      <c r="D58" s="793" t="s">
        <v>1568</v>
      </c>
      <c r="E58" s="793" t="s">
        <v>1569</v>
      </c>
      <c r="F58" s="795"/>
      <c r="G58" s="796"/>
      <c r="H58" s="796"/>
      <c r="I58" s="796"/>
      <c r="J58" s="796"/>
      <c r="K58" s="796"/>
      <c r="L58" s="814">
        <v>0</v>
      </c>
      <c r="M58" s="815"/>
      <c r="N58" s="816"/>
      <c r="O58" s="815"/>
      <c r="P58" s="817">
        <f t="shared" si="0"/>
        <v>0</v>
      </c>
      <c r="Q58" s="823"/>
    </row>
    <row r="59" s="766" customFormat="1" ht="22.5" outlineLevel="1" spans="1:17">
      <c r="A59" s="790" t="s">
        <v>1570</v>
      </c>
      <c r="B59" s="791"/>
      <c r="C59" s="792" t="s">
        <v>1310</v>
      </c>
      <c r="D59" s="793" t="s">
        <v>1571</v>
      </c>
      <c r="E59" s="793" t="s">
        <v>1572</v>
      </c>
      <c r="F59" s="795"/>
      <c r="G59" s="796"/>
      <c r="H59" s="796"/>
      <c r="I59" s="796"/>
      <c r="J59" s="796"/>
      <c r="K59" s="796"/>
      <c r="L59" s="814">
        <v>0</v>
      </c>
      <c r="M59" s="815"/>
      <c r="N59" s="816"/>
      <c r="O59" s="815"/>
      <c r="P59" s="817">
        <f t="shared" si="0"/>
        <v>0</v>
      </c>
      <c r="Q59" s="823"/>
    </row>
    <row r="60" s="766" customFormat="1" ht="22.5" outlineLevel="1" spans="1:17">
      <c r="A60" s="790" t="s">
        <v>1573</v>
      </c>
      <c r="B60" s="791"/>
      <c r="C60" s="792" t="s">
        <v>1310</v>
      </c>
      <c r="D60" s="793" t="s">
        <v>1574</v>
      </c>
      <c r="E60" s="793" t="s">
        <v>1575</v>
      </c>
      <c r="F60" s="795"/>
      <c r="G60" s="796"/>
      <c r="H60" s="796"/>
      <c r="I60" s="796"/>
      <c r="J60" s="796"/>
      <c r="K60" s="796"/>
      <c r="L60" s="814">
        <v>50000</v>
      </c>
      <c r="M60" s="815"/>
      <c r="N60" s="816"/>
      <c r="O60" s="815"/>
      <c r="P60" s="817">
        <f t="shared" si="0"/>
        <v>4500</v>
      </c>
      <c r="Q60" s="823"/>
    </row>
    <row r="61" s="766" customFormat="1" ht="22.5" outlineLevel="1" spans="1:17">
      <c r="A61" s="790" t="s">
        <v>1576</v>
      </c>
      <c r="B61" s="791"/>
      <c r="C61" s="792" t="s">
        <v>1310</v>
      </c>
      <c r="D61" s="793" t="s">
        <v>1577</v>
      </c>
      <c r="E61" s="793" t="s">
        <v>1575</v>
      </c>
      <c r="F61" s="795"/>
      <c r="G61" s="796"/>
      <c r="H61" s="796"/>
      <c r="I61" s="796"/>
      <c r="J61" s="796"/>
      <c r="K61" s="796"/>
      <c r="L61" s="814">
        <v>20000</v>
      </c>
      <c r="M61" s="815"/>
      <c r="N61" s="816"/>
      <c r="O61" s="815"/>
      <c r="P61" s="817">
        <f t="shared" si="0"/>
        <v>1800</v>
      </c>
      <c r="Q61" s="823" t="s">
        <v>1578</v>
      </c>
    </row>
    <row r="62" s="766" customFormat="1" ht="22.5" outlineLevel="1" spans="1:17">
      <c r="A62" s="790" t="s">
        <v>1579</v>
      </c>
      <c r="B62" s="791"/>
      <c r="C62" s="792" t="s">
        <v>1310</v>
      </c>
      <c r="D62" s="793" t="s">
        <v>1580</v>
      </c>
      <c r="E62" s="793" t="s">
        <v>1575</v>
      </c>
      <c r="F62" s="795"/>
      <c r="G62" s="796"/>
      <c r="H62" s="796"/>
      <c r="I62" s="796"/>
      <c r="J62" s="796"/>
      <c r="K62" s="796"/>
      <c r="L62" s="814">
        <v>0</v>
      </c>
      <c r="M62" s="815"/>
      <c r="N62" s="816"/>
      <c r="O62" s="815"/>
      <c r="P62" s="817">
        <f t="shared" si="0"/>
        <v>0</v>
      </c>
      <c r="Q62" s="823" t="s">
        <v>1581</v>
      </c>
    </row>
    <row r="63" s="766" customFormat="1" ht="22.5" outlineLevel="1" spans="1:17">
      <c r="A63" s="790" t="s">
        <v>1582</v>
      </c>
      <c r="B63" s="791"/>
      <c r="C63" s="792" t="s">
        <v>1310</v>
      </c>
      <c r="D63" s="793" t="s">
        <v>1583</v>
      </c>
      <c r="E63" s="793" t="s">
        <v>1575</v>
      </c>
      <c r="F63" s="795"/>
      <c r="G63" s="796"/>
      <c r="H63" s="796"/>
      <c r="I63" s="796"/>
      <c r="J63" s="796"/>
      <c r="K63" s="796"/>
      <c r="L63" s="814">
        <v>0</v>
      </c>
      <c r="M63" s="815"/>
      <c r="N63" s="816"/>
      <c r="O63" s="815"/>
      <c r="P63" s="817">
        <f t="shared" si="0"/>
        <v>0</v>
      </c>
      <c r="Q63" s="823"/>
    </row>
    <row r="64" s="766" customFormat="1" ht="22.5" outlineLevel="1" spans="1:17">
      <c r="A64" s="790" t="s">
        <v>1584</v>
      </c>
      <c r="B64" s="791"/>
      <c r="C64" s="792" t="s">
        <v>1310</v>
      </c>
      <c r="D64" s="797" t="s">
        <v>1585</v>
      </c>
      <c r="E64" s="793" t="s">
        <v>1586</v>
      </c>
      <c r="F64" s="795"/>
      <c r="G64" s="796"/>
      <c r="H64" s="796"/>
      <c r="I64" s="796"/>
      <c r="J64" s="796"/>
      <c r="K64" s="796"/>
      <c r="L64" s="814">
        <f>'人工费预算表(03表) '!L6*0.015</f>
        <v>10705.86525</v>
      </c>
      <c r="M64" s="815"/>
      <c r="N64" s="816"/>
      <c r="O64" s="815"/>
      <c r="P64" s="817">
        <f t="shared" si="0"/>
        <v>963.5278725</v>
      </c>
      <c r="Q64" s="823" t="s">
        <v>1587</v>
      </c>
    </row>
    <row r="65" s="766" customFormat="1" ht="22.5" outlineLevel="1" spans="1:17">
      <c r="A65" s="790" t="s">
        <v>1588</v>
      </c>
      <c r="B65" s="791"/>
      <c r="C65" s="792" t="s">
        <v>1310</v>
      </c>
      <c r="D65" s="797" t="s">
        <v>1589</v>
      </c>
      <c r="E65" s="793" t="s">
        <v>1586</v>
      </c>
      <c r="F65" s="795"/>
      <c r="G65" s="796"/>
      <c r="H65" s="796"/>
      <c r="I65" s="796"/>
      <c r="J65" s="796"/>
      <c r="K65" s="796"/>
      <c r="L65" s="814">
        <f>'机械费预算表(05表) '!L6*0.015</f>
        <v>4798.4074275</v>
      </c>
      <c r="M65" s="815"/>
      <c r="N65" s="816"/>
      <c r="O65" s="815"/>
      <c r="P65" s="817">
        <f t="shared" si="0"/>
        <v>431.856668475</v>
      </c>
      <c r="Q65" s="823" t="s">
        <v>1590</v>
      </c>
    </row>
    <row r="66" s="766" customFormat="1" ht="22.5" outlineLevel="1" spans="1:17">
      <c r="A66" s="790" t="s">
        <v>1591</v>
      </c>
      <c r="B66" s="791"/>
      <c r="C66" s="792" t="s">
        <v>1310</v>
      </c>
      <c r="D66" s="797" t="s">
        <v>1592</v>
      </c>
      <c r="E66" s="793" t="s">
        <v>1586</v>
      </c>
      <c r="F66" s="795"/>
      <c r="G66" s="796"/>
      <c r="H66" s="796"/>
      <c r="I66" s="796"/>
      <c r="J66" s="796"/>
      <c r="K66" s="796"/>
      <c r="L66" s="814">
        <v>0</v>
      </c>
      <c r="M66" s="815"/>
      <c r="N66" s="816"/>
      <c r="O66" s="815"/>
      <c r="P66" s="817">
        <f t="shared" si="0"/>
        <v>0</v>
      </c>
      <c r="Q66" s="823" t="s">
        <v>1593</v>
      </c>
    </row>
    <row r="67" s="766" customFormat="1" ht="13.5" outlineLevel="1" spans="1:17">
      <c r="A67" s="790" t="s">
        <v>1594</v>
      </c>
      <c r="B67" s="791"/>
      <c r="C67" s="792" t="s">
        <v>1310</v>
      </c>
      <c r="D67" s="793" t="s">
        <v>1595</v>
      </c>
      <c r="E67" s="793" t="s">
        <v>1596</v>
      </c>
      <c r="F67" s="795"/>
      <c r="G67" s="796"/>
      <c r="H67" s="796"/>
      <c r="I67" s="796"/>
      <c r="J67" s="796"/>
      <c r="K67" s="796"/>
      <c r="L67" s="814">
        <v>0</v>
      </c>
      <c r="M67" s="815"/>
      <c r="N67" s="816"/>
      <c r="O67" s="815"/>
      <c r="P67" s="817">
        <f t="shared" si="0"/>
        <v>0</v>
      </c>
      <c r="Q67" s="823"/>
    </row>
    <row r="68" s="766" customFormat="1" ht="13.5" outlineLevel="1" spans="1:17">
      <c r="A68" s="790" t="s">
        <v>1597</v>
      </c>
      <c r="B68" s="791"/>
      <c r="C68" s="792" t="s">
        <v>1310</v>
      </c>
      <c r="D68" s="793" t="s">
        <v>1598</v>
      </c>
      <c r="E68" s="793" t="s">
        <v>1596</v>
      </c>
      <c r="F68" s="795"/>
      <c r="G68" s="796"/>
      <c r="H68" s="796"/>
      <c r="I68" s="796"/>
      <c r="J68" s="796"/>
      <c r="K68" s="796"/>
      <c r="L68" s="814">
        <v>0</v>
      </c>
      <c r="M68" s="815"/>
      <c r="N68" s="816"/>
      <c r="O68" s="815"/>
      <c r="P68" s="817">
        <f t="shared" si="0"/>
        <v>0</v>
      </c>
      <c r="Q68" s="823"/>
    </row>
    <row r="69" s="766" customFormat="1" ht="26.1" customHeight="1" outlineLevel="1" spans="1:17">
      <c r="A69" s="790" t="s">
        <v>1599</v>
      </c>
      <c r="B69" s="791"/>
      <c r="C69" s="792" t="s">
        <v>1310</v>
      </c>
      <c r="D69" s="793" t="s">
        <v>1600</v>
      </c>
      <c r="E69" s="793" t="s">
        <v>1596</v>
      </c>
      <c r="F69" s="795"/>
      <c r="G69" s="796"/>
      <c r="H69" s="796"/>
      <c r="I69" s="796"/>
      <c r="J69" s="796"/>
      <c r="K69" s="796"/>
      <c r="L69" s="817">
        <v>0</v>
      </c>
      <c r="M69" s="815"/>
      <c r="N69" s="816"/>
      <c r="O69" s="815"/>
      <c r="P69" s="817">
        <f t="shared" si="0"/>
        <v>0</v>
      </c>
      <c r="Q69" s="823" t="s">
        <v>1601</v>
      </c>
    </row>
    <row r="70" s="766" customFormat="1" ht="22.5" outlineLevel="1" spans="1:17">
      <c r="A70" s="790" t="s">
        <v>1602</v>
      </c>
      <c r="B70" s="791"/>
      <c r="C70" s="792" t="s">
        <v>1310</v>
      </c>
      <c r="D70" s="793" t="s">
        <v>1603</v>
      </c>
      <c r="E70" s="793" t="s">
        <v>1596</v>
      </c>
      <c r="F70" s="795"/>
      <c r="G70" s="796"/>
      <c r="H70" s="796"/>
      <c r="I70" s="796"/>
      <c r="J70" s="796"/>
      <c r="K70" s="796"/>
      <c r="L70" s="814">
        <v>100000</v>
      </c>
      <c r="M70" s="815"/>
      <c r="N70" s="816"/>
      <c r="O70" s="815"/>
      <c r="P70" s="817">
        <f t="shared" si="0"/>
        <v>9000</v>
      </c>
      <c r="Q70" s="823"/>
    </row>
    <row r="71" s="766" customFormat="1" ht="33" customHeight="1" outlineLevel="1" spans="1:17">
      <c r="A71" s="790" t="s">
        <v>1604</v>
      </c>
      <c r="B71" s="791"/>
      <c r="C71" s="792" t="s">
        <v>1310</v>
      </c>
      <c r="D71" s="793" t="s">
        <v>1605</v>
      </c>
      <c r="E71" s="793" t="s">
        <v>1596</v>
      </c>
      <c r="F71" s="795"/>
      <c r="G71" s="796"/>
      <c r="H71" s="796"/>
      <c r="I71" s="796"/>
      <c r="J71" s="796"/>
      <c r="K71" s="796"/>
      <c r="L71" s="817">
        <v>0</v>
      </c>
      <c r="M71" s="815"/>
      <c r="N71" s="816"/>
      <c r="O71" s="815"/>
      <c r="P71" s="817">
        <f t="shared" ref="P71:P83" si="1">+L71*0.09</f>
        <v>0</v>
      </c>
      <c r="Q71" s="823" t="s">
        <v>1606</v>
      </c>
    </row>
    <row r="72" s="766" customFormat="1" ht="22.5" outlineLevel="1" spans="1:17">
      <c r="A72" s="790" t="s">
        <v>1607</v>
      </c>
      <c r="B72" s="791"/>
      <c r="C72" s="792" t="s">
        <v>1310</v>
      </c>
      <c r="D72" s="793" t="s">
        <v>1608</v>
      </c>
      <c r="E72" s="793" t="s">
        <v>1596</v>
      </c>
      <c r="F72" s="795"/>
      <c r="G72" s="796"/>
      <c r="H72" s="796"/>
      <c r="I72" s="796"/>
      <c r="J72" s="796"/>
      <c r="K72" s="796"/>
      <c r="L72" s="817">
        <v>0</v>
      </c>
      <c r="M72" s="815"/>
      <c r="N72" s="816"/>
      <c r="O72" s="815"/>
      <c r="P72" s="817">
        <f t="shared" si="1"/>
        <v>0</v>
      </c>
      <c r="Q72" s="823" t="s">
        <v>1609</v>
      </c>
    </row>
    <row r="73" s="766" customFormat="1" ht="25.5" outlineLevel="1" spans="1:17">
      <c r="A73" s="790" t="s">
        <v>1610</v>
      </c>
      <c r="B73" s="791"/>
      <c r="C73" s="792" t="s">
        <v>1310</v>
      </c>
      <c r="D73" s="793" t="s">
        <v>1611</v>
      </c>
      <c r="E73" s="793" t="s">
        <v>1596</v>
      </c>
      <c r="F73" s="795"/>
      <c r="G73" s="796"/>
      <c r="H73" s="796"/>
      <c r="I73" s="796"/>
      <c r="J73" s="796"/>
      <c r="K73" s="796"/>
      <c r="L73" s="814">
        <v>0</v>
      </c>
      <c r="M73" s="815"/>
      <c r="N73" s="816"/>
      <c r="O73" s="815"/>
      <c r="P73" s="817"/>
      <c r="Q73" s="823" t="s">
        <v>1612</v>
      </c>
    </row>
    <row r="74" s="770" customFormat="1" ht="19.15" customHeight="1" spans="1:17">
      <c r="A74" s="787" t="s">
        <v>1613</v>
      </c>
      <c r="B74" s="824"/>
      <c r="C74" s="792" t="s">
        <v>60</v>
      </c>
      <c r="D74" s="825" t="s">
        <v>1614</v>
      </c>
      <c r="E74" s="825"/>
      <c r="F74" s="808"/>
      <c r="G74" s="826"/>
      <c r="H74" s="826"/>
      <c r="I74" s="826"/>
      <c r="J74" s="826"/>
      <c r="K74" s="826"/>
      <c r="L74" s="860">
        <f>SUMPRODUCT((LEFT($A75:$A$96,LEN($A74))=$A74)*1,(LEN($A75:$A$96)=LEN($A74)+3)*1,L75:L$96)</f>
        <v>5300000</v>
      </c>
      <c r="M74" s="861"/>
      <c r="N74" s="812"/>
      <c r="O74" s="812">
        <f>SUMPRODUCT((LEFT($A75:$A$96,LEN($A74))=$A74)*1,(LEN($A75:$A$96)=LEN($A74)+3)*1,O75:O$96)</f>
        <v>0</v>
      </c>
      <c r="P74" s="812">
        <f>SUMPRODUCT((LEFT($A75:$A$96,LEN($A74))=$A74)*1,(LEN($A75:$A$96)=LEN($A74)+3)*1,P75:P$96)</f>
        <v>477000</v>
      </c>
      <c r="Q74" s="880"/>
    </row>
    <row r="75" s="769" customFormat="1" ht="19.15" customHeight="1" outlineLevel="1" spans="1:17">
      <c r="A75" s="790" t="s">
        <v>1615</v>
      </c>
      <c r="B75" s="791"/>
      <c r="C75" s="792" t="s">
        <v>1310</v>
      </c>
      <c r="D75" s="793" t="s">
        <v>1616</v>
      </c>
      <c r="E75" s="793"/>
      <c r="F75" s="794" t="s">
        <v>69</v>
      </c>
      <c r="G75" s="827"/>
      <c r="H75" s="827"/>
      <c r="I75" s="827"/>
      <c r="J75" s="792"/>
      <c r="K75" s="792"/>
      <c r="L75" s="814">
        <v>1000000</v>
      </c>
      <c r="M75" s="815"/>
      <c r="N75" s="816"/>
      <c r="O75" s="815"/>
      <c r="P75" s="817">
        <f t="shared" si="1"/>
        <v>90000</v>
      </c>
      <c r="Q75" s="822"/>
    </row>
    <row r="76" s="769" customFormat="1" ht="19.15" customHeight="1" outlineLevel="1" spans="1:17">
      <c r="A76" s="790" t="s">
        <v>1617</v>
      </c>
      <c r="B76" s="791"/>
      <c r="C76" s="792" t="s">
        <v>1310</v>
      </c>
      <c r="D76" s="793" t="s">
        <v>1618</v>
      </c>
      <c r="E76" s="793"/>
      <c r="F76" s="794" t="s">
        <v>69</v>
      </c>
      <c r="G76" s="827"/>
      <c r="H76" s="827"/>
      <c r="I76" s="827"/>
      <c r="J76" s="792"/>
      <c r="K76" s="792"/>
      <c r="L76" s="814">
        <v>0</v>
      </c>
      <c r="M76" s="815"/>
      <c r="N76" s="816"/>
      <c r="O76" s="815"/>
      <c r="P76" s="817">
        <f t="shared" si="1"/>
        <v>0</v>
      </c>
      <c r="Q76" s="822"/>
    </row>
    <row r="77" s="769" customFormat="1" ht="19.15" customHeight="1" outlineLevel="1" spans="1:17">
      <c r="A77" s="790" t="s">
        <v>1619</v>
      </c>
      <c r="B77" s="791"/>
      <c r="C77" s="792" t="s">
        <v>1310</v>
      </c>
      <c r="D77" s="793" t="s">
        <v>1620</v>
      </c>
      <c r="E77" s="793"/>
      <c r="F77" s="794" t="s">
        <v>195</v>
      </c>
      <c r="G77" s="827"/>
      <c r="H77" s="827"/>
      <c r="I77" s="827"/>
      <c r="J77" s="792"/>
      <c r="K77" s="792"/>
      <c r="L77" s="814">
        <v>0</v>
      </c>
      <c r="M77" s="815"/>
      <c r="N77" s="816"/>
      <c r="O77" s="815"/>
      <c r="P77" s="817">
        <f t="shared" si="1"/>
        <v>0</v>
      </c>
      <c r="Q77" s="822"/>
    </row>
    <row r="78" s="769" customFormat="1" ht="19.15" customHeight="1" outlineLevel="1" spans="1:17">
      <c r="A78" s="790" t="s">
        <v>1621</v>
      </c>
      <c r="B78" s="791"/>
      <c r="C78" s="792" t="s">
        <v>1310</v>
      </c>
      <c r="D78" s="793" t="s">
        <v>1622</v>
      </c>
      <c r="E78" s="793"/>
      <c r="F78" s="794" t="s">
        <v>195</v>
      </c>
      <c r="G78" s="827"/>
      <c r="H78" s="827"/>
      <c r="I78" s="827"/>
      <c r="J78" s="792"/>
      <c r="K78" s="792"/>
      <c r="L78" s="814">
        <v>350000</v>
      </c>
      <c r="M78" s="815"/>
      <c r="N78" s="816"/>
      <c r="O78" s="815"/>
      <c r="P78" s="817">
        <f t="shared" si="1"/>
        <v>31500</v>
      </c>
      <c r="Q78" s="822"/>
    </row>
    <row r="79" s="769" customFormat="1" ht="19.15" customHeight="1" outlineLevel="1" spans="1:17">
      <c r="A79" s="790" t="s">
        <v>1623</v>
      </c>
      <c r="B79" s="791"/>
      <c r="C79" s="792" t="s">
        <v>1310</v>
      </c>
      <c r="D79" s="793" t="s">
        <v>1624</v>
      </c>
      <c r="E79" s="793"/>
      <c r="F79" s="794" t="s">
        <v>195</v>
      </c>
      <c r="G79" s="827"/>
      <c r="H79" s="827"/>
      <c r="I79" s="827"/>
      <c r="J79" s="792"/>
      <c r="K79" s="792"/>
      <c r="L79" s="814">
        <v>0</v>
      </c>
      <c r="M79" s="815"/>
      <c r="N79" s="816"/>
      <c r="O79" s="815"/>
      <c r="P79" s="817">
        <f t="shared" si="1"/>
        <v>0</v>
      </c>
      <c r="Q79" s="822"/>
    </row>
    <row r="80" s="769" customFormat="1" ht="19.15" customHeight="1" outlineLevel="1" spans="1:17">
      <c r="A80" s="790" t="s">
        <v>1625</v>
      </c>
      <c r="B80" s="791"/>
      <c r="C80" s="792" t="s">
        <v>1310</v>
      </c>
      <c r="D80" s="793" t="s">
        <v>1626</v>
      </c>
      <c r="E80" s="793"/>
      <c r="F80" s="794" t="s">
        <v>195</v>
      </c>
      <c r="G80" s="827"/>
      <c r="H80" s="827"/>
      <c r="I80" s="827"/>
      <c r="J80" s="792"/>
      <c r="K80" s="792"/>
      <c r="L80" s="814">
        <v>3500000</v>
      </c>
      <c r="M80" s="815"/>
      <c r="N80" s="816"/>
      <c r="O80" s="815"/>
      <c r="P80" s="817">
        <f t="shared" si="1"/>
        <v>315000</v>
      </c>
      <c r="Q80" s="881" t="s">
        <v>1627</v>
      </c>
    </row>
    <row r="81" s="769" customFormat="1" ht="19.15" customHeight="1" outlineLevel="1" spans="1:17">
      <c r="A81" s="790" t="s">
        <v>1628</v>
      </c>
      <c r="B81" s="791"/>
      <c r="C81" s="792" t="s">
        <v>1310</v>
      </c>
      <c r="D81" s="793" t="s">
        <v>1611</v>
      </c>
      <c r="E81" s="793"/>
      <c r="F81" s="794" t="s">
        <v>195</v>
      </c>
      <c r="G81" s="828"/>
      <c r="H81" s="828"/>
      <c r="I81" s="828"/>
      <c r="J81" s="792"/>
      <c r="K81" s="792"/>
      <c r="L81" s="814">
        <v>0</v>
      </c>
      <c r="M81" s="815"/>
      <c r="N81" s="816"/>
      <c r="O81" s="815"/>
      <c r="P81" s="817">
        <f t="shared" si="1"/>
        <v>0</v>
      </c>
      <c r="Q81" s="822"/>
    </row>
    <row r="82" s="769" customFormat="1" ht="19.15" customHeight="1" outlineLevel="1" spans="1:17">
      <c r="A82" s="790" t="s">
        <v>1629</v>
      </c>
      <c r="B82" s="791"/>
      <c r="C82" s="792" t="s">
        <v>1310</v>
      </c>
      <c r="D82" s="829" t="s">
        <v>1630</v>
      </c>
      <c r="E82" s="793"/>
      <c r="F82" s="794" t="s">
        <v>195</v>
      </c>
      <c r="G82" s="828"/>
      <c r="H82" s="828"/>
      <c r="I82" s="828"/>
      <c r="J82" s="792"/>
      <c r="K82" s="792"/>
      <c r="L82" s="814">
        <v>450000</v>
      </c>
      <c r="M82" s="815"/>
      <c r="N82" s="816"/>
      <c r="O82" s="815"/>
      <c r="P82" s="817">
        <f t="shared" si="1"/>
        <v>40500</v>
      </c>
      <c r="Q82" s="822"/>
    </row>
    <row r="83" s="769" customFormat="1" ht="19.15" customHeight="1" outlineLevel="1" spans="1:28">
      <c r="A83" s="790" t="s">
        <v>1631</v>
      </c>
      <c r="B83" s="791"/>
      <c r="C83" s="792" t="s">
        <v>1310</v>
      </c>
      <c r="D83" s="793"/>
      <c r="E83" s="793"/>
      <c r="F83" s="794"/>
      <c r="G83" s="828"/>
      <c r="H83" s="828"/>
      <c r="I83" s="828"/>
      <c r="J83" s="792"/>
      <c r="K83" s="792"/>
      <c r="L83" s="814">
        <v>0</v>
      </c>
      <c r="M83" s="815"/>
      <c r="N83" s="816"/>
      <c r="O83" s="815"/>
      <c r="P83" s="817">
        <f t="shared" si="1"/>
        <v>0</v>
      </c>
      <c r="Q83" s="822"/>
      <c r="AB83" s="889"/>
    </row>
    <row r="84" s="768" customFormat="1" ht="19.15" customHeight="1" spans="1:28">
      <c r="A84" s="830" t="s">
        <v>1632</v>
      </c>
      <c r="B84" s="831"/>
      <c r="C84" s="792" t="s">
        <v>60</v>
      </c>
      <c r="D84" s="825" t="s">
        <v>1274</v>
      </c>
      <c r="E84" s="832"/>
      <c r="F84" s="833"/>
      <c r="G84" s="826"/>
      <c r="H84" s="826"/>
      <c r="I84" s="826"/>
      <c r="J84" s="862"/>
      <c r="K84" s="809"/>
      <c r="L84" s="809">
        <f>SUMPRODUCT((LEFT($A85:$A$96,LEN($A84))=$A84)*1,(LEN($A85:$A$96)=LEN($A84)+3)*1,L85:L$96)</f>
        <v>301565.8960035</v>
      </c>
      <c r="M84" s="863"/>
      <c r="N84" s="864"/>
      <c r="O84" s="812">
        <f>SUMPRODUCT((LEFT($A85:$A$96,LEN($A84))=$A84)*1,(LEN($A85:$A$96)=LEN($A84)+3)*1,O85:O$96)</f>
        <v>0</v>
      </c>
      <c r="P84" s="812">
        <f>SUMPRODUCT((LEFT($A85:$A$96,LEN($A84))=$A84)*1,(LEN($A85:$A$96)=LEN($A84)+3)*1,P85:P$96)</f>
        <v>19640.930640315</v>
      </c>
      <c r="Q84" s="882"/>
      <c r="R84" s="770"/>
      <c r="AB84" s="889"/>
    </row>
    <row r="85" s="769" customFormat="1" ht="19.15" customHeight="1" outlineLevel="1" spans="1:28">
      <c r="A85" s="790" t="s">
        <v>1633</v>
      </c>
      <c r="B85" s="791"/>
      <c r="C85" s="792" t="s">
        <v>1310</v>
      </c>
      <c r="D85" s="834" t="s">
        <v>1634</v>
      </c>
      <c r="E85" s="792"/>
      <c r="F85" s="794" t="s">
        <v>195</v>
      </c>
      <c r="G85" s="792"/>
      <c r="H85" s="792"/>
      <c r="I85" s="792"/>
      <c r="J85" s="792"/>
      <c r="K85" s="792"/>
      <c r="L85" s="865">
        <v>0</v>
      </c>
      <c r="M85" s="815"/>
      <c r="N85" s="815"/>
      <c r="O85" s="815"/>
      <c r="P85" s="792">
        <f>L85*0.13</f>
        <v>0</v>
      </c>
      <c r="Q85" s="881" t="s">
        <v>1635</v>
      </c>
      <c r="AB85" s="889"/>
    </row>
    <row r="86" s="769" customFormat="1" ht="19.15" customHeight="1" outlineLevel="1" spans="1:28">
      <c r="A86" s="790" t="s">
        <v>1636</v>
      </c>
      <c r="B86" s="791"/>
      <c r="C86" s="792" t="s">
        <v>1310</v>
      </c>
      <c r="D86" s="835" t="s">
        <v>1637</v>
      </c>
      <c r="E86" s="792"/>
      <c r="F86" s="794" t="s">
        <v>195</v>
      </c>
      <c r="G86" s="792"/>
      <c r="H86" s="792"/>
      <c r="I86" s="792"/>
      <c r="J86" s="792"/>
      <c r="K86" s="792"/>
      <c r="L86" s="865">
        <v>250000</v>
      </c>
      <c r="M86" s="815"/>
      <c r="N86" s="815"/>
      <c r="O86" s="815"/>
      <c r="P86" s="792">
        <f>L86*0.06</f>
        <v>15000</v>
      </c>
      <c r="Q86" s="883" t="s">
        <v>1638</v>
      </c>
      <c r="AB86" s="889"/>
    </row>
    <row r="87" s="769" customFormat="1" ht="19.15" customHeight="1" outlineLevel="1" spans="1:28">
      <c r="A87" s="790" t="s">
        <v>1639</v>
      </c>
      <c r="B87" s="791"/>
      <c r="C87" s="792" t="s">
        <v>1310</v>
      </c>
      <c r="D87" s="835" t="s">
        <v>1640</v>
      </c>
      <c r="E87" s="792"/>
      <c r="F87" s="794" t="s">
        <v>195</v>
      </c>
      <c r="G87" s="792"/>
      <c r="H87" s="792"/>
      <c r="I87" s="792"/>
      <c r="J87" s="792"/>
      <c r="K87" s="792"/>
      <c r="L87" s="865">
        <v>50000</v>
      </c>
      <c r="M87" s="815"/>
      <c r="N87" s="815"/>
      <c r="O87" s="815"/>
      <c r="P87" s="792">
        <f>L87*0.09</f>
        <v>4500</v>
      </c>
      <c r="Q87" s="822"/>
      <c r="AB87" s="889"/>
    </row>
    <row r="88" s="769" customFormat="1" ht="19.15" customHeight="1" outlineLevel="1" spans="1:28">
      <c r="A88" s="790" t="s">
        <v>1641</v>
      </c>
      <c r="B88" s="791"/>
      <c r="C88" s="792" t="s">
        <v>1310</v>
      </c>
      <c r="D88" s="835" t="s">
        <v>1642</v>
      </c>
      <c r="E88" s="792"/>
      <c r="F88" s="794" t="s">
        <v>195</v>
      </c>
      <c r="G88" s="792"/>
      <c r="H88" s="792"/>
      <c r="I88" s="792"/>
      <c r="J88" s="792"/>
      <c r="K88" s="792"/>
      <c r="L88" s="865">
        <f>'分项对比表(02表)'!I5*0.0003</f>
        <v>1565.8960035</v>
      </c>
      <c r="M88" s="815"/>
      <c r="N88" s="815"/>
      <c r="O88" s="815"/>
      <c r="P88" s="815">
        <f>L88*0.09</f>
        <v>140.930640315</v>
      </c>
      <c r="Q88" s="822" t="s">
        <v>1643</v>
      </c>
      <c r="AB88" s="889"/>
    </row>
    <row r="89" s="766" customFormat="1" ht="19.15" customHeight="1" outlineLevel="1" spans="1:28">
      <c r="A89" s="790" t="s">
        <v>1644</v>
      </c>
      <c r="B89" s="796"/>
      <c r="C89" s="792" t="s">
        <v>1310</v>
      </c>
      <c r="D89" s="836" t="s">
        <v>1645</v>
      </c>
      <c r="E89" s="837"/>
      <c r="F89" s="794" t="s">
        <v>195</v>
      </c>
      <c r="G89" s="796"/>
      <c r="H89" s="796"/>
      <c r="I89" s="796"/>
      <c r="J89" s="796"/>
      <c r="K89" s="796"/>
      <c r="L89" s="865">
        <v>0</v>
      </c>
      <c r="M89" s="815"/>
      <c r="N89" s="815"/>
      <c r="O89" s="815"/>
      <c r="P89" s="796"/>
      <c r="Q89" s="823"/>
      <c r="AB89" s="889"/>
    </row>
    <row r="90" s="766" customFormat="1" ht="19.15" customHeight="1" outlineLevel="1" spans="1:28">
      <c r="A90" s="790" t="s">
        <v>1646</v>
      </c>
      <c r="B90" s="838"/>
      <c r="C90" s="792" t="s">
        <v>1310</v>
      </c>
      <c r="D90" s="836" t="s">
        <v>1647</v>
      </c>
      <c r="E90" s="837"/>
      <c r="F90" s="794"/>
      <c r="G90" s="796"/>
      <c r="H90" s="796"/>
      <c r="I90" s="796"/>
      <c r="J90" s="796"/>
      <c r="K90" s="796"/>
      <c r="L90" s="865">
        <v>0</v>
      </c>
      <c r="M90" s="815"/>
      <c r="N90" s="815"/>
      <c r="O90" s="815"/>
      <c r="P90" s="796"/>
      <c r="Q90" s="883"/>
      <c r="AB90" s="889"/>
    </row>
    <row r="91" s="766" customFormat="1" ht="19.15" customHeight="1" outlineLevel="1" spans="1:28">
      <c r="A91" s="790" t="s">
        <v>1648</v>
      </c>
      <c r="B91" s="838"/>
      <c r="C91" s="792" t="s">
        <v>1310</v>
      </c>
      <c r="D91" s="836" t="s">
        <v>1649</v>
      </c>
      <c r="E91" s="837"/>
      <c r="F91" s="794"/>
      <c r="G91" s="796"/>
      <c r="H91" s="796"/>
      <c r="I91" s="796"/>
      <c r="J91" s="796"/>
      <c r="K91" s="796"/>
      <c r="L91" s="865">
        <v>0</v>
      </c>
      <c r="M91" s="815"/>
      <c r="N91" s="815"/>
      <c r="O91" s="815"/>
      <c r="P91" s="796"/>
      <c r="Q91" s="822"/>
      <c r="AB91" s="889"/>
    </row>
    <row r="92" s="766" customFormat="1" ht="19.15" customHeight="1" outlineLevel="1" spans="1:28">
      <c r="A92" s="790" t="s">
        <v>1650</v>
      </c>
      <c r="B92" s="838"/>
      <c r="C92" s="792" t="s">
        <v>1310</v>
      </c>
      <c r="D92" s="836" t="s">
        <v>1651</v>
      </c>
      <c r="E92" s="837"/>
      <c r="F92" s="794"/>
      <c r="G92" s="796"/>
      <c r="H92" s="796"/>
      <c r="I92" s="796"/>
      <c r="J92" s="796"/>
      <c r="K92" s="796"/>
      <c r="L92" s="865">
        <v>0</v>
      </c>
      <c r="M92" s="815"/>
      <c r="N92" s="815"/>
      <c r="O92" s="815"/>
      <c r="P92" s="796"/>
      <c r="Q92" s="823"/>
      <c r="AB92" s="889"/>
    </row>
    <row r="93" s="766" customFormat="1" ht="19.15" customHeight="1" outlineLevel="1" spans="1:28">
      <c r="A93" s="790" t="s">
        <v>1652</v>
      </c>
      <c r="B93" s="838"/>
      <c r="C93" s="792" t="s">
        <v>1310</v>
      </c>
      <c r="D93" s="836" t="s">
        <v>1653</v>
      </c>
      <c r="E93" s="837"/>
      <c r="F93" s="794"/>
      <c r="G93" s="796"/>
      <c r="H93" s="796"/>
      <c r="I93" s="796"/>
      <c r="J93" s="796"/>
      <c r="K93" s="796"/>
      <c r="L93" s="866">
        <v>0</v>
      </c>
      <c r="M93" s="815"/>
      <c r="N93" s="815"/>
      <c r="O93" s="815"/>
      <c r="P93" s="796"/>
      <c r="Q93" s="822"/>
      <c r="AB93" s="889"/>
    </row>
    <row r="94" s="766" customFormat="1" ht="19.15" customHeight="1" outlineLevel="1" spans="1:28">
      <c r="A94" s="790" t="s">
        <v>1654</v>
      </c>
      <c r="B94" s="838"/>
      <c r="C94" s="792" t="s">
        <v>1310</v>
      </c>
      <c r="D94" s="836" t="s">
        <v>1655</v>
      </c>
      <c r="E94" s="837"/>
      <c r="F94" s="794"/>
      <c r="G94" s="796"/>
      <c r="H94" s="796"/>
      <c r="I94" s="796"/>
      <c r="J94" s="796"/>
      <c r="K94" s="796"/>
      <c r="L94" s="865"/>
      <c r="M94" s="815"/>
      <c r="N94" s="815"/>
      <c r="O94" s="815"/>
      <c r="P94" s="796"/>
      <c r="Q94" s="822"/>
      <c r="AB94" s="889"/>
    </row>
    <row r="95" s="766" customFormat="1" ht="19.15" customHeight="1" outlineLevel="1" spans="1:28">
      <c r="A95" s="790" t="s">
        <v>1656</v>
      </c>
      <c r="B95" s="838"/>
      <c r="C95" s="792" t="s">
        <v>1310</v>
      </c>
      <c r="D95" s="836" t="s">
        <v>1657</v>
      </c>
      <c r="E95" s="837"/>
      <c r="F95" s="794"/>
      <c r="G95" s="796"/>
      <c r="H95" s="796"/>
      <c r="I95" s="796"/>
      <c r="J95" s="796"/>
      <c r="K95" s="796"/>
      <c r="L95" s="865">
        <v>0</v>
      </c>
      <c r="M95" s="815"/>
      <c r="N95" s="815"/>
      <c r="O95" s="815"/>
      <c r="P95" s="796"/>
      <c r="Q95" s="822"/>
      <c r="AB95" s="889"/>
    </row>
    <row r="96" s="766" customFormat="1" ht="24" customHeight="1" spans="1:28">
      <c r="A96" s="783" t="s">
        <v>1658</v>
      </c>
      <c r="B96" s="839"/>
      <c r="C96" s="839"/>
      <c r="D96" s="720"/>
      <c r="E96" s="720"/>
      <c r="F96" s="722"/>
      <c r="G96" s="722"/>
      <c r="H96" s="722"/>
      <c r="I96" s="748"/>
      <c r="J96" s="722"/>
      <c r="K96" s="722"/>
      <c r="L96" s="748"/>
      <c r="M96" s="867"/>
      <c r="N96" s="867"/>
      <c r="O96" s="867"/>
      <c r="P96" s="748"/>
      <c r="Q96" s="884"/>
      <c r="AB96" s="889"/>
    </row>
    <row r="97" s="766" customFormat="1" ht="20.25" customHeight="1" spans="1:28">
      <c r="A97" s="840" t="s">
        <v>1283</v>
      </c>
      <c r="B97" s="841"/>
      <c r="C97" s="841"/>
      <c r="D97" s="842" t="s">
        <v>1659</v>
      </c>
      <c r="E97" s="843"/>
      <c r="F97" s="843" t="s">
        <v>15</v>
      </c>
      <c r="G97" s="844"/>
      <c r="H97" s="844"/>
      <c r="I97" s="843">
        <f>SUMPRODUCT((LEN($A$6:$A$96)=3)*1,I$6:I$96)</f>
        <v>0</v>
      </c>
      <c r="J97" s="844"/>
      <c r="K97" s="844"/>
      <c r="L97" s="844">
        <f>SUMPRODUCT((LEN($A$6:$A$96)=3)*1,L$6:L$96)</f>
        <v>5967070.168681</v>
      </c>
      <c r="M97" s="868"/>
      <c r="N97" s="868"/>
      <c r="O97" s="868">
        <f>SUMPRODUCT((LEN($A$6:$A$96)=3)*1,O$6:O$96)</f>
        <v>0</v>
      </c>
      <c r="P97" s="869">
        <f>SUMPRODUCT((LEN($A$6:$A$96)=3)*1,P$6:P$96)</f>
        <v>529536.31518129</v>
      </c>
      <c r="Q97" s="885"/>
      <c r="AB97" s="889"/>
    </row>
    <row r="98" s="766" customFormat="1" ht="20.25" customHeight="1" spans="1:17">
      <c r="A98" s="840" t="s">
        <v>1283</v>
      </c>
      <c r="B98" s="845"/>
      <c r="C98" s="845"/>
      <c r="D98" s="846" t="s">
        <v>1660</v>
      </c>
      <c r="E98" s="847"/>
      <c r="F98" s="848" t="s">
        <v>15</v>
      </c>
      <c r="G98" s="849"/>
      <c r="H98" s="849"/>
      <c r="I98" s="870">
        <v>0</v>
      </c>
      <c r="J98" s="870"/>
      <c r="K98" s="870"/>
      <c r="L98" s="870">
        <f>+L6</f>
        <v>365504.2726775</v>
      </c>
      <c r="M98" s="871"/>
      <c r="N98" s="870"/>
      <c r="O98" s="871"/>
      <c r="P98" s="870">
        <v>0</v>
      </c>
      <c r="Q98" s="886"/>
    </row>
    <row r="99" s="766" customFormat="1" ht="27" customHeight="1" spans="1:17">
      <c r="A99" s="850" t="s">
        <v>1283</v>
      </c>
      <c r="B99" s="850"/>
      <c r="C99" s="851"/>
      <c r="D99" s="852" t="s">
        <v>1661</v>
      </c>
      <c r="E99" s="853"/>
      <c r="F99" s="854" t="s">
        <v>15</v>
      </c>
      <c r="G99" s="855"/>
      <c r="H99" s="855"/>
      <c r="I99" s="872">
        <f>+I97-I98</f>
        <v>0</v>
      </c>
      <c r="J99" s="855"/>
      <c r="K99" s="855"/>
      <c r="L99" s="872">
        <f>+L97-L98</f>
        <v>5601565.8960035</v>
      </c>
      <c r="M99" s="873"/>
      <c r="N99" s="873"/>
      <c r="O99" s="873">
        <f>+O97-O98</f>
        <v>0</v>
      </c>
      <c r="P99" s="874">
        <f>+P97-P98</f>
        <v>529536.31518129</v>
      </c>
      <c r="Q99" s="887"/>
    </row>
    <row r="100" s="766" customFormat="1" ht="13.5" spans="4:17">
      <c r="D100" s="767"/>
      <c r="E100" s="767"/>
      <c r="L100" s="875"/>
      <c r="M100" s="876"/>
      <c r="N100" s="876"/>
      <c r="O100" s="876"/>
      <c r="Q100" s="767"/>
    </row>
    <row r="101" spans="1:12">
      <c r="A101" s="768"/>
      <c r="B101" s="768"/>
      <c r="C101" s="768"/>
      <c r="D101" s="856"/>
      <c r="F101" s="772"/>
      <c r="L101" s="877"/>
    </row>
    <row r="102" spans="1:12">
      <c r="A102" s="768"/>
      <c r="B102" s="768"/>
      <c r="C102" s="768"/>
      <c r="D102" s="856"/>
      <c r="F102" s="772"/>
      <c r="L102" s="877"/>
    </row>
    <row r="103" spans="1:12">
      <c r="A103" s="857"/>
      <c r="B103" s="768"/>
      <c r="C103" s="768"/>
      <c r="D103" s="768"/>
      <c r="E103" s="772"/>
      <c r="F103" s="772"/>
      <c r="L103" s="877"/>
    </row>
    <row r="104" spans="1:12">
      <c r="A104" s="857"/>
      <c r="B104" s="768"/>
      <c r="C104" s="768"/>
      <c r="D104" s="768"/>
      <c r="E104" s="772"/>
      <c r="F104" s="772"/>
      <c r="L104" s="877"/>
    </row>
    <row r="105" spans="1:12">
      <c r="A105" s="857"/>
      <c r="B105" s="768"/>
      <c r="C105" s="768"/>
      <c r="D105" s="768"/>
      <c r="E105" s="772"/>
      <c r="F105" s="772"/>
      <c r="L105" s="877"/>
    </row>
    <row r="106" spans="1:12">
      <c r="A106" s="857"/>
      <c r="B106" s="768"/>
      <c r="C106" s="768"/>
      <c r="D106" s="768"/>
      <c r="E106" s="772"/>
      <c r="F106" s="772"/>
      <c r="L106" s="877"/>
    </row>
    <row r="107" spans="1:12">
      <c r="A107" s="857"/>
      <c r="B107" s="768"/>
      <c r="C107" s="768"/>
      <c r="D107" s="768"/>
      <c r="E107" s="772"/>
      <c r="F107" s="772"/>
      <c r="L107" s="877"/>
    </row>
    <row r="108" spans="1:17">
      <c r="A108" s="857"/>
      <c r="B108" s="858"/>
      <c r="C108" s="858"/>
      <c r="D108" s="858"/>
      <c r="E108" s="859"/>
      <c r="F108" s="859"/>
      <c r="G108" s="859"/>
      <c r="H108" s="859"/>
      <c r="I108" s="859"/>
      <c r="J108" s="859"/>
      <c r="K108" s="859"/>
      <c r="L108" s="878"/>
      <c r="M108" s="879"/>
      <c r="N108" s="879"/>
      <c r="O108" s="879"/>
      <c r="P108" s="859"/>
      <c r="Q108" s="888"/>
    </row>
    <row r="109" spans="1:12">
      <c r="A109" s="768"/>
      <c r="B109" s="768"/>
      <c r="C109" s="768"/>
      <c r="D109" s="856"/>
      <c r="F109" s="772"/>
      <c r="L109" s="877"/>
    </row>
    <row r="110" spans="1:12">
      <c r="A110" s="772"/>
      <c r="F110" s="772"/>
      <c r="L110" s="877"/>
    </row>
    <row r="111" spans="1:12">
      <c r="A111" s="772"/>
      <c r="F111" s="772"/>
      <c r="L111" s="877"/>
    </row>
  </sheetData>
  <sheetProtection formatCells="0" insertRows="0" insertHyperlinks="0" deleteRows="0" autoFilter="0"/>
  <autoFilter ref="A4:Q99">
    <extLst/>
  </autoFilter>
  <conditionalFormatting sqref="A4:Q99">
    <cfRule type="expression" dxfId="54" priority="1">
      <formula>LEN($A4)=10</formula>
    </cfRule>
    <cfRule type="expression" dxfId="55" priority="2">
      <formula>LEN($A4)=2</formula>
    </cfRule>
    <cfRule type="expression" dxfId="57" priority="23">
      <formula>(LEN($A4))=3</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outlinePr summaryBelow="0"/>
  </sheetPr>
  <dimension ref="A1:T62"/>
  <sheetViews>
    <sheetView workbookViewId="0">
      <pane xSplit="4" ySplit="5" topLeftCell="E6" activePane="bottomRight" state="frozen"/>
      <selection/>
      <selection pane="topRight"/>
      <selection pane="bottomLeft"/>
      <selection pane="bottomRight" activeCell="A189" sqref="A189"/>
    </sheetView>
  </sheetViews>
  <sheetFormatPr defaultColWidth="9" defaultRowHeight="15.75"/>
  <cols>
    <col min="1" max="1" width="11" style="713" customWidth="1"/>
    <col min="2" max="2" width="9.5" style="713" customWidth="1"/>
    <col min="3" max="3" width="13.875" style="713" customWidth="1"/>
    <col min="4" max="4" width="22.25" customWidth="1"/>
    <col min="5" max="5" width="22.625" customWidth="1"/>
    <col min="6" max="6" width="5.25" customWidth="1"/>
    <col min="7" max="9" width="10.125" customWidth="1"/>
    <col min="10" max="11" width="12.125" customWidth="1"/>
    <col min="12" max="12" width="14.375" customWidth="1"/>
    <col min="13" max="16" width="11.5" customWidth="1"/>
    <col min="17" max="17" width="10.5" customWidth="1"/>
    <col min="18" max="18" width="12.625"/>
    <col min="19" max="19" width="11.125"/>
  </cols>
  <sheetData>
    <row r="1" ht="25.5" customHeight="1" spans="1:17">
      <c r="A1" s="714" t="s">
        <v>1662</v>
      </c>
      <c r="B1" s="715"/>
      <c r="C1" s="715"/>
      <c r="D1" s="715"/>
      <c r="E1" s="715"/>
      <c r="F1" s="715"/>
      <c r="G1" s="715"/>
      <c r="H1" s="715"/>
      <c r="I1" s="715"/>
      <c r="J1" s="715"/>
      <c r="K1" s="715"/>
      <c r="L1" s="715"/>
      <c r="M1" s="715"/>
      <c r="N1" s="715"/>
      <c r="O1" s="715"/>
      <c r="P1" s="715"/>
      <c r="Q1" s="715"/>
    </row>
    <row r="2" s="639" customFormat="1" ht="16.5" customHeight="1" spans="1:16">
      <c r="A2" s="67"/>
      <c r="B2" s="67"/>
      <c r="C2" s="67"/>
      <c r="D2" s="101"/>
      <c r="E2" s="101"/>
      <c r="F2" s="101"/>
      <c r="G2" s="101"/>
      <c r="H2" s="101"/>
      <c r="I2" s="101"/>
      <c r="J2" s="101"/>
      <c r="K2" s="101"/>
      <c r="L2" s="101"/>
      <c r="M2" s="101"/>
      <c r="N2" s="101"/>
      <c r="O2" s="101"/>
      <c r="P2" s="642" t="s">
        <v>1663</v>
      </c>
    </row>
    <row r="3" s="639" customFormat="1" ht="24" customHeight="1" spans="1:16">
      <c r="A3" s="639" t="str" cm="1">
        <f t="array" ref="A3">"工程名称："&amp;工程名称&amp;"  "&amp;工区</f>
        <v>工程名称：az  2</v>
      </c>
      <c r="B3" s="66"/>
      <c r="C3" s="66"/>
      <c r="D3" s="642"/>
      <c r="P3" s="642" t="s">
        <v>1253</v>
      </c>
    </row>
    <row r="4" s="709" customFormat="1" ht="30" customHeight="1" spans="1:17">
      <c r="A4" s="716" t="s">
        <v>1254</v>
      </c>
      <c r="B4" s="717" t="s">
        <v>1291</v>
      </c>
      <c r="C4" s="718" t="s">
        <v>1292</v>
      </c>
      <c r="D4" s="718" t="s">
        <v>1399</v>
      </c>
      <c r="E4" s="718" t="s">
        <v>1294</v>
      </c>
      <c r="F4" s="718" t="s">
        <v>60</v>
      </c>
      <c r="G4" s="718" t="s">
        <v>1400</v>
      </c>
      <c r="H4" s="718" t="s">
        <v>1401</v>
      </c>
      <c r="I4" s="747" t="s">
        <v>1257</v>
      </c>
      <c r="J4" s="718" t="s">
        <v>1402</v>
      </c>
      <c r="K4" s="718" t="s">
        <v>1403</v>
      </c>
      <c r="L4" s="718" t="s">
        <v>1258</v>
      </c>
      <c r="M4" s="718" t="s">
        <v>1404</v>
      </c>
      <c r="N4" s="718" t="s">
        <v>1405</v>
      </c>
      <c r="O4" s="718" t="s">
        <v>1259</v>
      </c>
      <c r="P4" s="718" t="s">
        <v>1261</v>
      </c>
      <c r="Q4" s="755" t="s">
        <v>1262</v>
      </c>
    </row>
    <row r="5" s="710" customFormat="1" ht="32.1" customHeight="1" spans="1:17">
      <c r="A5" s="719" t="s">
        <v>1304</v>
      </c>
      <c r="B5" s="720"/>
      <c r="C5" s="720"/>
      <c r="D5" s="721"/>
      <c r="E5" s="720"/>
      <c r="F5" s="720"/>
      <c r="G5" s="722"/>
      <c r="H5" s="722"/>
      <c r="I5" s="748"/>
      <c r="J5" s="722"/>
      <c r="K5" s="722"/>
      <c r="L5" s="749">
        <f>SUMPRODUCT((LEN($A$6:$A1000)=LEN($A$6))*1,L$6:L1000)</f>
        <v>10324079.4720245</v>
      </c>
      <c r="M5" s="722"/>
      <c r="N5" s="722"/>
      <c r="O5" s="722"/>
      <c r="P5" s="720"/>
      <c r="Q5" s="756"/>
    </row>
    <row r="6" s="711" customFormat="1" ht="22.15" customHeight="1" spans="1:19">
      <c r="A6" s="723" t="s">
        <v>1664</v>
      </c>
      <c r="B6" s="724"/>
      <c r="C6" s="724" t="s">
        <v>1665</v>
      </c>
      <c r="D6" s="725" t="s">
        <v>1665</v>
      </c>
      <c r="E6" s="726"/>
      <c r="F6" s="725"/>
      <c r="G6" s="725"/>
      <c r="H6" s="725"/>
      <c r="I6" s="725"/>
      <c r="J6" s="725"/>
      <c r="K6" s="725"/>
      <c r="L6" s="750">
        <f>SUMPRODUCT((LEFT($A7:$A$49,LEN($A6))=$A6)*1,(LEN($A7:$A$49)=LEN($A6)+3)*1,L7:L$49)</f>
        <v>6681880</v>
      </c>
      <c r="M6" s="750"/>
      <c r="N6" s="750"/>
      <c r="O6" s="750"/>
      <c r="P6" s="750">
        <f>SUMPRODUCT((LEFT($A7:$A$49,LEN($A6))=$A6)*1,(LEN($A7:$A$49)=LEN($A6)+3)*1,P7:P$49)</f>
        <v>0</v>
      </c>
      <c r="Q6" s="757"/>
      <c r="S6" s="710"/>
    </row>
    <row r="7" s="711" customFormat="1" ht="22.15" customHeight="1" outlineLevel="1" spans="1:19">
      <c r="A7" s="727" t="s">
        <v>1666</v>
      </c>
      <c r="B7" s="728"/>
      <c r="C7" s="725" t="s">
        <v>1665</v>
      </c>
      <c r="D7" s="729" t="s">
        <v>1667</v>
      </c>
      <c r="E7" s="730" t="s">
        <v>1668</v>
      </c>
      <c r="F7" s="729"/>
      <c r="G7" s="729"/>
      <c r="H7" s="729"/>
      <c r="I7" s="729"/>
      <c r="J7" s="729"/>
      <c r="K7" s="729"/>
      <c r="L7" s="750">
        <f>+'工作人员工资表(08-1表)'!O27</f>
        <v>6631880</v>
      </c>
      <c r="M7" s="750"/>
      <c r="N7" s="750"/>
      <c r="O7" s="750"/>
      <c r="P7" s="750"/>
      <c r="Q7" s="757"/>
      <c r="S7" s="710"/>
    </row>
    <row r="8" s="711" customFormat="1" ht="22.15" customHeight="1" outlineLevel="1" spans="1:19">
      <c r="A8" s="727" t="s">
        <v>1669</v>
      </c>
      <c r="B8" s="728"/>
      <c r="C8" s="725" t="s">
        <v>1665</v>
      </c>
      <c r="D8" s="729" t="s">
        <v>1670</v>
      </c>
      <c r="E8" s="730"/>
      <c r="F8" s="729"/>
      <c r="G8" s="729"/>
      <c r="H8" s="729"/>
      <c r="I8" s="729"/>
      <c r="J8" s="729"/>
      <c r="K8" s="729"/>
      <c r="L8" s="750">
        <v>50000</v>
      </c>
      <c r="M8" s="750"/>
      <c r="N8" s="750"/>
      <c r="O8" s="750"/>
      <c r="P8" s="750"/>
      <c r="Q8" s="758"/>
      <c r="S8" s="710"/>
    </row>
    <row r="9" s="711" customFormat="1" ht="22.15" customHeight="1" spans="1:19">
      <c r="A9" s="731" t="s">
        <v>1671</v>
      </c>
      <c r="B9" s="728"/>
      <c r="C9" s="729" t="s">
        <v>1672</v>
      </c>
      <c r="D9" s="729" t="s">
        <v>1672</v>
      </c>
      <c r="E9" s="730"/>
      <c r="F9" s="729"/>
      <c r="G9" s="729"/>
      <c r="H9" s="729"/>
      <c r="I9" s="729"/>
      <c r="J9" s="729"/>
      <c r="K9" s="729"/>
      <c r="L9" s="750">
        <f>SUMPRODUCT((LEFT($A10:$A$49,LEN($A9))=$A9)*1,(LEN($A10:$A$49)=LEN($A9)+3)*1,L10:L$49)</f>
        <v>100000</v>
      </c>
      <c r="M9" s="750"/>
      <c r="N9" s="750"/>
      <c r="O9" s="750"/>
      <c r="P9" s="750">
        <f>SUMPRODUCT((LEFT($A10:$A$49,LEN($A9))=$A9)*1,(LEN($A10:$A$49)=LEN($A9)+3)*1,P10:P$49)</f>
        <v>0</v>
      </c>
      <c r="Q9" s="758"/>
      <c r="S9" s="710"/>
    </row>
    <row r="10" s="711" customFormat="1" ht="22.15" customHeight="1" spans="1:19">
      <c r="A10" s="727" t="s">
        <v>1673</v>
      </c>
      <c r="B10" s="728"/>
      <c r="C10" s="729" t="s">
        <v>1672</v>
      </c>
      <c r="D10" s="729" t="s">
        <v>1672</v>
      </c>
      <c r="E10" s="730"/>
      <c r="F10" s="729"/>
      <c r="G10" s="729"/>
      <c r="H10" s="729"/>
      <c r="I10" s="729"/>
      <c r="J10" s="729"/>
      <c r="K10" s="729"/>
      <c r="L10" s="750">
        <v>100000</v>
      </c>
      <c r="M10" s="750"/>
      <c r="N10" s="750"/>
      <c r="O10" s="750"/>
      <c r="P10" s="750"/>
      <c r="Q10" s="758" t="s">
        <v>1674</v>
      </c>
      <c r="S10" s="710"/>
    </row>
    <row r="11" s="711" customFormat="1" ht="22.15" customHeight="1" spans="1:19">
      <c r="A11" s="731" t="s">
        <v>1675</v>
      </c>
      <c r="B11" s="728"/>
      <c r="C11" s="728" t="s">
        <v>1676</v>
      </c>
      <c r="D11" s="729" t="s">
        <v>1676</v>
      </c>
      <c r="E11" s="730"/>
      <c r="F11" s="729"/>
      <c r="G11" s="729"/>
      <c r="H11" s="729"/>
      <c r="I11" s="729"/>
      <c r="J11" s="729"/>
      <c r="K11" s="729"/>
      <c r="L11" s="751">
        <f>SUMPRODUCT((LEFT($A12:$A$49,LEN($A11))=$A11)*1,(LEN($A12:$A$49)=LEN($A11)+3)*1,L12:L$49)</f>
        <v>100000</v>
      </c>
      <c r="M11" s="751"/>
      <c r="N11" s="751"/>
      <c r="O11" s="751"/>
      <c r="P11" s="751">
        <f>SUMPRODUCT((LEFT($A12:$A$49,LEN($A11))=$A11)*1,(LEN($A12:$A$49)=LEN($A11)+3)*1,P12:P$49)</f>
        <v>0</v>
      </c>
      <c r="Q11" s="757"/>
      <c r="S11" s="710"/>
    </row>
    <row r="12" s="711" customFormat="1" ht="22.15" customHeight="1" outlineLevel="1" spans="1:19">
      <c r="A12" s="727" t="s">
        <v>1677</v>
      </c>
      <c r="B12" s="728"/>
      <c r="C12" s="729" t="s">
        <v>1676</v>
      </c>
      <c r="D12" s="729" t="s">
        <v>1678</v>
      </c>
      <c r="E12" s="730"/>
      <c r="F12" s="729"/>
      <c r="G12" s="729"/>
      <c r="H12" s="729"/>
      <c r="I12" s="729"/>
      <c r="J12" s="729"/>
      <c r="K12" s="729"/>
      <c r="L12" s="751">
        <v>100000</v>
      </c>
      <c r="M12" s="751"/>
      <c r="N12" s="751"/>
      <c r="O12" s="751"/>
      <c r="P12" s="750"/>
      <c r="Q12" s="758"/>
      <c r="S12" s="710"/>
    </row>
    <row r="13" s="711" customFormat="1" ht="22.15" customHeight="1" spans="1:19">
      <c r="A13" s="731" t="s">
        <v>1679</v>
      </c>
      <c r="B13" s="728"/>
      <c r="C13" s="729" t="s">
        <v>1680</v>
      </c>
      <c r="D13" s="729" t="s">
        <v>1680</v>
      </c>
      <c r="E13" s="730"/>
      <c r="F13" s="729"/>
      <c r="G13" s="729"/>
      <c r="H13" s="729"/>
      <c r="I13" s="729"/>
      <c r="J13" s="729"/>
      <c r="K13" s="729"/>
      <c r="L13" s="751">
        <f>SUMPRODUCT((LEFT($A14:$A$49,LEN($A13))=$A13)*1,(LEN($A14:$A$49)=LEN($A13)+3)*1,L14:L$49)</f>
        <v>0</v>
      </c>
      <c r="M13" s="750"/>
      <c r="N13" s="750"/>
      <c r="O13" s="750"/>
      <c r="P13" s="751">
        <f>SUMPRODUCT((LEFT($A14:$A$49,LEN($A13))=$A13)*1,(LEN($A14:$A$49)=LEN($A13)+3)*1,P14:P$49)</f>
        <v>0</v>
      </c>
      <c r="Q13" s="758"/>
      <c r="S13" s="710"/>
    </row>
    <row r="14" s="711" customFormat="1" ht="22.15" customHeight="1" spans="1:19">
      <c r="A14" s="727" t="s">
        <v>1681</v>
      </c>
      <c r="B14" s="728"/>
      <c r="C14" s="732" t="s">
        <v>1680</v>
      </c>
      <c r="D14" s="729" t="s">
        <v>1680</v>
      </c>
      <c r="E14" s="730"/>
      <c r="F14" s="729"/>
      <c r="G14" s="729"/>
      <c r="H14" s="729"/>
      <c r="I14" s="729"/>
      <c r="J14" s="729"/>
      <c r="K14" s="729"/>
      <c r="L14" s="750"/>
      <c r="M14" s="750"/>
      <c r="N14" s="750"/>
      <c r="O14" s="750"/>
      <c r="P14" s="750"/>
      <c r="Q14" s="758"/>
      <c r="S14" s="710"/>
    </row>
    <row r="15" s="711" customFormat="1" ht="22.15" customHeight="1" outlineLevel="1" spans="1:19">
      <c r="A15" s="731" t="s">
        <v>1682</v>
      </c>
      <c r="B15" s="728"/>
      <c r="C15" s="732" t="s">
        <v>1683</v>
      </c>
      <c r="D15" s="729" t="s">
        <v>1683</v>
      </c>
      <c r="E15" s="733" t="s">
        <v>1684</v>
      </c>
      <c r="F15" s="734"/>
      <c r="G15" s="734"/>
      <c r="H15" s="734"/>
      <c r="I15" s="734"/>
      <c r="J15" s="734"/>
      <c r="K15" s="734"/>
      <c r="L15" s="752"/>
      <c r="M15" s="752"/>
      <c r="N15" s="752"/>
      <c r="O15" s="752"/>
      <c r="P15" s="752"/>
      <c r="Q15" s="759"/>
      <c r="S15" s="710"/>
    </row>
    <row r="16" s="711" customFormat="1" ht="22.15" customHeight="1" spans="1:20">
      <c r="A16" s="731" t="s">
        <v>1685</v>
      </c>
      <c r="B16" s="728"/>
      <c r="C16" s="735" t="s">
        <v>1686</v>
      </c>
      <c r="D16" s="729" t="s">
        <v>1686</v>
      </c>
      <c r="E16" s="730"/>
      <c r="F16" s="729"/>
      <c r="G16" s="729"/>
      <c r="H16" s="729"/>
      <c r="I16" s="729"/>
      <c r="J16" s="729"/>
      <c r="K16" s="729"/>
      <c r="L16" s="750">
        <v>500000</v>
      </c>
      <c r="M16" s="750"/>
      <c r="N16" s="750"/>
      <c r="O16" s="750"/>
      <c r="P16" s="750">
        <f>SUMPRODUCT((LEFT($A17:$A$49,LEN($A16))=$A16)*1,(LEN($A17:$A$49)=LEN($A16)+3)*1,P17:P$49)</f>
        <v>0</v>
      </c>
      <c r="Q16" s="758"/>
      <c r="S16" s="710"/>
      <c r="T16" s="760"/>
    </row>
    <row r="17" s="711" customFormat="1" ht="22.15" customHeight="1" outlineLevel="1" spans="1:19">
      <c r="A17" s="727" t="s">
        <v>1687</v>
      </c>
      <c r="B17" s="728"/>
      <c r="C17" s="729" t="s">
        <v>1686</v>
      </c>
      <c r="D17" s="729" t="s">
        <v>1688</v>
      </c>
      <c r="E17" s="730" t="s">
        <v>1689</v>
      </c>
      <c r="F17" s="729"/>
      <c r="G17" s="729"/>
      <c r="H17" s="729"/>
      <c r="I17" s="729"/>
      <c r="J17" s="729"/>
      <c r="K17" s="729"/>
      <c r="L17" s="750">
        <v>50000</v>
      </c>
      <c r="M17" s="750"/>
      <c r="N17" s="750"/>
      <c r="O17" s="750"/>
      <c r="P17" s="750"/>
      <c r="Q17" s="758"/>
      <c r="S17" s="710" t="s">
        <v>1690</v>
      </c>
    </row>
    <row r="18" s="711" customFormat="1" ht="22.15" customHeight="1" outlineLevel="1" spans="1:19">
      <c r="A18" s="727" t="s">
        <v>1691</v>
      </c>
      <c r="B18" s="728"/>
      <c r="C18" s="729" t="s">
        <v>1686</v>
      </c>
      <c r="D18" s="729" t="s">
        <v>1692</v>
      </c>
      <c r="E18" s="730" t="s">
        <v>1693</v>
      </c>
      <c r="F18" s="729"/>
      <c r="G18" s="729"/>
      <c r="H18" s="729"/>
      <c r="I18" s="729"/>
      <c r="J18" s="729"/>
      <c r="K18" s="729"/>
      <c r="L18" s="750">
        <v>150000</v>
      </c>
      <c r="M18" s="750"/>
      <c r="N18" s="750"/>
      <c r="O18" s="750"/>
      <c r="P18" s="750"/>
      <c r="Q18" s="758"/>
      <c r="S18" s="710"/>
    </row>
    <row r="19" s="711" customFormat="1" ht="22.15" customHeight="1" outlineLevel="1" spans="1:19">
      <c r="A19" s="727" t="s">
        <v>1694</v>
      </c>
      <c r="B19" s="728"/>
      <c r="C19" s="729" t="s">
        <v>1686</v>
      </c>
      <c r="D19" s="729" t="s">
        <v>1645</v>
      </c>
      <c r="E19" s="730" t="s">
        <v>1695</v>
      </c>
      <c r="F19" s="729"/>
      <c r="G19" s="729"/>
      <c r="H19" s="729"/>
      <c r="I19" s="729"/>
      <c r="J19" s="729"/>
      <c r="K19" s="729"/>
      <c r="L19" s="750"/>
      <c r="M19" s="750"/>
      <c r="N19" s="750"/>
      <c r="O19" s="750"/>
      <c r="P19" s="750"/>
      <c r="Q19" s="758"/>
      <c r="S19" s="710"/>
    </row>
    <row r="20" s="711" customFormat="1" ht="22.15" customHeight="1" spans="1:19">
      <c r="A20" s="731" t="s">
        <v>1696</v>
      </c>
      <c r="B20" s="728"/>
      <c r="C20" s="735" t="s">
        <v>1697</v>
      </c>
      <c r="D20" s="729" t="s">
        <v>1697</v>
      </c>
      <c r="E20" s="730"/>
      <c r="F20" s="729"/>
      <c r="G20" s="729"/>
      <c r="H20" s="729"/>
      <c r="I20" s="729"/>
      <c r="J20" s="729"/>
      <c r="K20" s="729"/>
      <c r="L20" s="750">
        <f>SUMPRODUCT((LEFT($A21:$A$49,LEN($A20))=$A20)*1,(LEN($A21:$A$49)=LEN($A20)+3)*1,L21:L$49)</f>
        <v>450000</v>
      </c>
      <c r="M20" s="750"/>
      <c r="N20" s="750"/>
      <c r="O20" s="750"/>
      <c r="P20" s="750">
        <f>SUMPRODUCT((LEFT($A21:$A$49,LEN($A20))=$A20)*1,(LEN($A21:$A$49)=LEN($A20)+3)*1,P21:P$49)</f>
        <v>0</v>
      </c>
      <c r="Q20" s="758"/>
      <c r="S20" s="710"/>
    </row>
    <row r="21" s="711" customFormat="1" ht="22.15" customHeight="1" outlineLevel="1" spans="1:19">
      <c r="A21" s="727" t="s">
        <v>1698</v>
      </c>
      <c r="B21" s="728"/>
      <c r="C21" s="729" t="s">
        <v>1697</v>
      </c>
      <c r="D21" s="729" t="s">
        <v>1699</v>
      </c>
      <c r="E21" s="730"/>
      <c r="F21" s="729"/>
      <c r="G21" s="729"/>
      <c r="H21" s="729"/>
      <c r="I21" s="729"/>
      <c r="J21" s="729"/>
      <c r="K21" s="729"/>
      <c r="L21" s="751">
        <v>400000</v>
      </c>
      <c r="M21" s="751"/>
      <c r="N21" s="751"/>
      <c r="O21" s="751"/>
      <c r="P21" s="750"/>
      <c r="Q21" s="758"/>
      <c r="S21" s="710"/>
    </row>
    <row r="22" s="711" customFormat="1" ht="22.15" customHeight="1" spans="1:19">
      <c r="A22" s="727" t="s">
        <v>1700</v>
      </c>
      <c r="B22" s="729"/>
      <c r="C22" s="729" t="s">
        <v>1697</v>
      </c>
      <c r="D22" s="729" t="s">
        <v>1701</v>
      </c>
      <c r="E22" s="729"/>
      <c r="F22" s="729"/>
      <c r="G22" s="729"/>
      <c r="H22" s="729"/>
      <c r="I22" s="729"/>
      <c r="J22" s="729"/>
      <c r="K22" s="729"/>
      <c r="L22" s="751">
        <v>50000</v>
      </c>
      <c r="M22" s="751"/>
      <c r="N22" s="751"/>
      <c r="O22" s="751"/>
      <c r="P22" s="751"/>
      <c r="Q22" s="757"/>
      <c r="S22" s="710"/>
    </row>
    <row r="23" s="711" customFormat="1" ht="22.15" customHeight="1" spans="1:19">
      <c r="A23" s="731" t="s">
        <v>1702</v>
      </c>
      <c r="B23" s="728"/>
      <c r="C23" s="729" t="s">
        <v>1703</v>
      </c>
      <c r="D23" s="729" t="s">
        <v>1703</v>
      </c>
      <c r="E23" s="730"/>
      <c r="F23" s="729"/>
      <c r="G23" s="729"/>
      <c r="H23" s="729"/>
      <c r="I23" s="729"/>
      <c r="J23" s="729"/>
      <c r="K23" s="729"/>
      <c r="L23" s="750">
        <f>SUMPRODUCT((LEFT($A24:$A$49,LEN($A23))=$A23)*1,(LEN($A24:$A$49)=LEN($A23)+3)*1,L24:L$49)</f>
        <v>720000</v>
      </c>
      <c r="M23" s="750"/>
      <c r="N23" s="750"/>
      <c r="O23" s="750"/>
      <c r="P23" s="750">
        <f>SUMPRODUCT((LEFT($A24:$A$49,LEN($A23))=$A23)*1,(LEN($A24:$A$49)=LEN($A23)+3)*1,P24:P$49)</f>
        <v>0</v>
      </c>
      <c r="Q23" s="758"/>
      <c r="S23" s="710"/>
    </row>
    <row r="24" s="711" customFormat="1" ht="22.15" customHeight="1" spans="1:19">
      <c r="A24" s="727" t="s">
        <v>1704</v>
      </c>
      <c r="B24" s="728"/>
      <c r="C24" s="729" t="s">
        <v>1703</v>
      </c>
      <c r="D24" s="729" t="s">
        <v>1703</v>
      </c>
      <c r="E24" s="730" t="s">
        <v>1705</v>
      </c>
      <c r="F24" s="729"/>
      <c r="G24" s="729"/>
      <c r="H24" s="729"/>
      <c r="I24" s="729"/>
      <c r="J24" s="729"/>
      <c r="K24" s="729"/>
      <c r="L24" s="750">
        <f>630000/3</f>
        <v>210000</v>
      </c>
      <c r="M24" s="750"/>
      <c r="N24" s="750"/>
      <c r="O24" s="750"/>
      <c r="P24" s="750"/>
      <c r="Q24" s="758" t="s">
        <v>1706</v>
      </c>
      <c r="S24" s="710"/>
    </row>
    <row r="25" s="711" customFormat="1" ht="22.15" customHeight="1" spans="1:19">
      <c r="A25" s="727" t="s">
        <v>1707</v>
      </c>
      <c r="B25" s="728"/>
      <c r="C25" s="732" t="s">
        <v>1708</v>
      </c>
      <c r="D25" s="736" t="s">
        <v>1703</v>
      </c>
      <c r="E25" s="737" t="s">
        <v>1709</v>
      </c>
      <c r="F25" s="729"/>
      <c r="G25" s="729"/>
      <c r="H25" s="729"/>
      <c r="I25" s="729"/>
      <c r="J25" s="729"/>
      <c r="K25" s="729"/>
      <c r="L25" s="750">
        <v>510000</v>
      </c>
      <c r="M25" s="750"/>
      <c r="N25" s="750"/>
      <c r="O25" s="750"/>
      <c r="P25" s="750"/>
      <c r="Q25" s="758"/>
      <c r="S25" s="710"/>
    </row>
    <row r="26" s="711" customFormat="1" ht="22.15" customHeight="1" spans="1:19">
      <c r="A26" s="731" t="s">
        <v>1710</v>
      </c>
      <c r="B26" s="728"/>
      <c r="C26" s="735" t="s">
        <v>1711</v>
      </c>
      <c r="D26" s="729" t="s">
        <v>1711</v>
      </c>
      <c r="E26" s="730"/>
      <c r="F26" s="729"/>
      <c r="G26" s="729"/>
      <c r="H26" s="729"/>
      <c r="I26" s="729"/>
      <c r="J26" s="729"/>
      <c r="K26" s="729"/>
      <c r="L26" s="750">
        <f>SUMPRODUCT((LEFT($A27:$A$49,LEN($A26))=$A26)*1,(LEN($A27:$A$49)=LEN($A26)+3)*1,L27:L$49)</f>
        <v>304000</v>
      </c>
      <c r="M26" s="750"/>
      <c r="N26" s="750"/>
      <c r="O26" s="750"/>
      <c r="P26" s="750">
        <f>SUMPRODUCT((LEFT($A27:$A$49,LEN($A26))=$A26)*1,(LEN($A27:$A$49)=LEN($A26)+3)*1,P27:P$49)</f>
        <v>0</v>
      </c>
      <c r="Q26" s="758"/>
      <c r="S26" s="710"/>
    </row>
    <row r="27" s="711" customFormat="1" ht="22.15" customHeight="1" outlineLevel="1" spans="1:19">
      <c r="A27" s="727" t="s">
        <v>1712</v>
      </c>
      <c r="B27" s="728"/>
      <c r="C27" s="729" t="s">
        <v>1711</v>
      </c>
      <c r="D27" s="729" t="s">
        <v>1713</v>
      </c>
      <c r="E27" s="730"/>
      <c r="F27" s="729"/>
      <c r="G27" s="729"/>
      <c r="H27" s="729"/>
      <c r="I27" s="729"/>
      <c r="J27" s="729"/>
      <c r="K27" s="729"/>
      <c r="L27" s="750">
        <v>190000</v>
      </c>
      <c r="M27" s="750"/>
      <c r="N27" s="750"/>
      <c r="O27" s="750"/>
      <c r="P27" s="750"/>
      <c r="Q27" s="758" t="s">
        <v>1714</v>
      </c>
      <c r="S27" s="710"/>
    </row>
    <row r="28" s="711" customFormat="1" ht="22.15" customHeight="1" outlineLevel="1" spans="1:19">
      <c r="A28" s="727" t="s">
        <v>1715</v>
      </c>
      <c r="B28" s="728"/>
      <c r="C28" s="729" t="s">
        <v>1711</v>
      </c>
      <c r="D28" s="729" t="s">
        <v>1716</v>
      </c>
      <c r="E28" s="730"/>
      <c r="F28" s="729"/>
      <c r="G28" s="729"/>
      <c r="H28" s="729"/>
      <c r="I28" s="729"/>
      <c r="J28" s="729"/>
      <c r="K28" s="729"/>
      <c r="L28" s="750">
        <v>114000</v>
      </c>
      <c r="M28" s="750"/>
      <c r="N28" s="750"/>
      <c r="O28" s="750"/>
      <c r="P28" s="750"/>
      <c r="Q28" s="758"/>
      <c r="S28" s="710"/>
    </row>
    <row r="29" s="711" customFormat="1" ht="22.15" customHeight="1" outlineLevel="1" spans="1:19">
      <c r="A29" s="727" t="s">
        <v>1717</v>
      </c>
      <c r="B29" s="728"/>
      <c r="C29" s="729" t="s">
        <v>1711</v>
      </c>
      <c r="D29" s="729" t="s">
        <v>1718</v>
      </c>
      <c r="E29" s="730"/>
      <c r="F29" s="729"/>
      <c r="G29" s="729"/>
      <c r="H29" s="729"/>
      <c r="I29" s="729"/>
      <c r="J29" s="729"/>
      <c r="K29" s="729"/>
      <c r="L29" s="750"/>
      <c r="M29" s="750"/>
      <c r="N29" s="750"/>
      <c r="O29" s="750"/>
      <c r="P29" s="750"/>
      <c r="Q29" s="757"/>
      <c r="S29" s="710"/>
    </row>
    <row r="30" s="711" customFormat="1" ht="22.15" customHeight="1" outlineLevel="1" spans="1:19">
      <c r="A30" s="731" t="s">
        <v>1719</v>
      </c>
      <c r="B30" s="728"/>
      <c r="C30" s="732" t="s">
        <v>1720</v>
      </c>
      <c r="D30" s="729" t="s">
        <v>1720</v>
      </c>
      <c r="E30" s="733" t="s">
        <v>1721</v>
      </c>
      <c r="F30" s="734"/>
      <c r="G30" s="734"/>
      <c r="H30" s="734"/>
      <c r="I30" s="734"/>
      <c r="J30" s="734"/>
      <c r="K30" s="734"/>
      <c r="L30" s="752"/>
      <c r="M30" s="752"/>
      <c r="N30" s="752"/>
      <c r="O30" s="752"/>
      <c r="P30" s="752"/>
      <c r="Q30" s="759"/>
      <c r="S30" s="710"/>
    </row>
    <row r="31" s="711" customFormat="1" ht="22.15" customHeight="1" spans="1:19">
      <c r="A31" s="731" t="s">
        <v>1722</v>
      </c>
      <c r="B31" s="728"/>
      <c r="C31" s="729" t="s">
        <v>1723</v>
      </c>
      <c r="D31" s="729" t="s">
        <v>1723</v>
      </c>
      <c r="E31" s="730"/>
      <c r="F31" s="729"/>
      <c r="G31" s="729"/>
      <c r="H31" s="729"/>
      <c r="I31" s="729"/>
      <c r="J31" s="729"/>
      <c r="K31" s="729"/>
      <c r="L31" s="750">
        <f>SUMPRODUCT((LEFT($A32:$A$49,LEN($A31))=$A31)*1,(LEN($A32:$A$49)=LEN($A31)+3)*1,L32:L$49)</f>
        <v>520000</v>
      </c>
      <c r="M31" s="750"/>
      <c r="N31" s="750"/>
      <c r="O31" s="750"/>
      <c r="P31" s="750">
        <f>SUMPRODUCT((LEFT($A32:$A$49,LEN($A31))=$A31)*1,(LEN($A32:$A$49)=LEN($A31)+3)*1,P32:P$49)</f>
        <v>0</v>
      </c>
      <c r="Q31" s="757"/>
      <c r="S31" s="710"/>
    </row>
    <row r="32" s="711" customFormat="1" ht="22.15" customHeight="1" spans="1:19">
      <c r="A32" s="727" t="s">
        <v>1724</v>
      </c>
      <c r="B32" s="728"/>
      <c r="C32" s="729" t="s">
        <v>1723</v>
      </c>
      <c r="D32" s="729" t="s">
        <v>1725</v>
      </c>
      <c r="E32" s="730"/>
      <c r="F32" s="729"/>
      <c r="G32" s="729"/>
      <c r="H32" s="729"/>
      <c r="I32" s="729"/>
      <c r="J32" s="729"/>
      <c r="K32" s="729"/>
      <c r="L32" s="750">
        <v>520000</v>
      </c>
      <c r="M32" s="750"/>
      <c r="N32" s="750"/>
      <c r="O32" s="750"/>
      <c r="P32" s="750"/>
      <c r="Q32" s="757"/>
      <c r="S32" s="710"/>
    </row>
    <row r="33" s="711" customFormat="1" ht="22.15" customHeight="1" spans="1:19">
      <c r="A33" s="731" t="s">
        <v>1726</v>
      </c>
      <c r="B33" s="728"/>
      <c r="C33" s="735" t="s">
        <v>1727</v>
      </c>
      <c r="D33" s="729" t="s">
        <v>1727</v>
      </c>
      <c r="E33" s="730"/>
      <c r="F33" s="729"/>
      <c r="G33" s="729"/>
      <c r="H33" s="729"/>
      <c r="I33" s="729"/>
      <c r="J33" s="729"/>
      <c r="K33" s="729"/>
      <c r="L33" s="750">
        <f>SUMPRODUCT((LEFT($A34:$A$49,LEN($A33))=$A33)*1,(LEN($A34:$A$49)=LEN($A33)+3)*1,L34:L$49)</f>
        <v>400000</v>
      </c>
      <c r="M33" s="750"/>
      <c r="N33" s="750"/>
      <c r="O33" s="750"/>
      <c r="P33" s="750">
        <f>SUMPRODUCT((LEFT($A35:$A$49,LEN($A33))=$A33)*1,(LEN($A35:$A$49)=LEN($A33)+3)*1,P35:P$49)</f>
        <v>0</v>
      </c>
      <c r="Q33" s="757"/>
      <c r="S33" s="710"/>
    </row>
    <row r="34" s="711" customFormat="1" ht="22.15" customHeight="1" spans="1:19">
      <c r="A34" s="727" t="s">
        <v>1728</v>
      </c>
      <c r="B34" s="728"/>
      <c r="C34" s="729" t="s">
        <v>1727</v>
      </c>
      <c r="D34" s="729" t="s">
        <v>1729</v>
      </c>
      <c r="E34" s="730"/>
      <c r="F34" s="729"/>
      <c r="G34" s="729"/>
      <c r="H34" s="729"/>
      <c r="I34" s="729"/>
      <c r="J34" s="729"/>
      <c r="K34" s="729"/>
      <c r="L34" s="750">
        <v>200000</v>
      </c>
      <c r="M34" s="750"/>
      <c r="N34" s="750"/>
      <c r="O34" s="750"/>
      <c r="P34" s="750"/>
      <c r="Q34" s="757"/>
      <c r="S34" s="710"/>
    </row>
    <row r="35" s="711" customFormat="1" ht="22.15" customHeight="1" outlineLevel="1" spans="1:19">
      <c r="A35" s="727" t="s">
        <v>1730</v>
      </c>
      <c r="B35" s="728"/>
      <c r="C35" s="729" t="s">
        <v>1727</v>
      </c>
      <c r="D35" s="729" t="s">
        <v>1731</v>
      </c>
      <c r="E35" s="730" t="s">
        <v>1732</v>
      </c>
      <c r="F35" s="729"/>
      <c r="G35" s="729"/>
      <c r="H35" s="729"/>
      <c r="I35" s="729"/>
      <c r="J35" s="729"/>
      <c r="K35" s="729"/>
      <c r="L35" s="753">
        <v>0</v>
      </c>
      <c r="M35" s="750"/>
      <c r="N35" s="750"/>
      <c r="O35" s="750"/>
      <c r="P35" s="750"/>
      <c r="Q35" s="758"/>
      <c r="S35" s="710"/>
    </row>
    <row r="36" s="711" customFormat="1" ht="22.15" customHeight="1" outlineLevel="1" spans="1:19">
      <c r="A36" s="727" t="s">
        <v>1733</v>
      </c>
      <c r="B36" s="728"/>
      <c r="C36" s="729" t="s">
        <v>1727</v>
      </c>
      <c r="D36" s="729" t="s">
        <v>1734</v>
      </c>
      <c r="E36" s="730"/>
      <c r="F36" s="729"/>
      <c r="G36" s="729"/>
      <c r="H36" s="729"/>
      <c r="I36" s="729"/>
      <c r="J36" s="729"/>
      <c r="K36" s="729"/>
      <c r="L36" s="751">
        <v>200000</v>
      </c>
      <c r="M36" s="750"/>
      <c r="N36" s="750"/>
      <c r="O36" s="750"/>
      <c r="P36" s="750"/>
      <c r="Q36" s="757"/>
      <c r="S36" s="710"/>
    </row>
    <row r="37" s="711" customFormat="1" ht="22.15" customHeight="1" spans="1:19">
      <c r="A37" s="731" t="s">
        <v>1735</v>
      </c>
      <c r="B37" s="728"/>
      <c r="C37" s="735" t="s">
        <v>1736</v>
      </c>
      <c r="D37" s="729" t="s">
        <v>1736</v>
      </c>
      <c r="E37" s="730" t="s">
        <v>1737</v>
      </c>
      <c r="F37" s="729"/>
      <c r="G37" s="729"/>
      <c r="H37" s="729"/>
      <c r="I37" s="729"/>
      <c r="J37" s="729"/>
      <c r="K37" s="729"/>
      <c r="L37" s="750">
        <f>SUMPRODUCT((LEFT($A38:$A$49,LEN($A37))=$A37)*1,(LEN($A38:$A$49)=LEN($A37)+3)*1,L38:L$49)</f>
        <v>9395.376021</v>
      </c>
      <c r="M37" s="750"/>
      <c r="N37" s="750"/>
      <c r="O37" s="750"/>
      <c r="P37" s="750">
        <f>SUMPRODUCT((LEFT($A38:$A$49,LEN($A37))=$A37)*1,(LEN($A38:$A$49)=LEN($A37)+3)*1,P38:P$49)</f>
        <v>0</v>
      </c>
      <c r="Q37" s="757"/>
      <c r="S37" s="710"/>
    </row>
    <row r="38" s="711" customFormat="1" ht="22.15" customHeight="1" outlineLevel="1" spans="1:19">
      <c r="A38" s="727" t="s">
        <v>1738</v>
      </c>
      <c r="B38" s="728"/>
      <c r="C38" s="729" t="s">
        <v>1736</v>
      </c>
      <c r="D38" s="729" t="s">
        <v>1739</v>
      </c>
      <c r="E38" s="730"/>
      <c r="F38" s="729"/>
      <c r="G38" s="729"/>
      <c r="H38" s="729"/>
      <c r="I38" s="729"/>
      <c r="J38" s="729"/>
      <c r="K38" s="729"/>
      <c r="L38" s="750">
        <f>+'财务费用预算表(08-2表)'!F14+'财务费用预算表(08-2表)'!F15</f>
        <v>0</v>
      </c>
      <c r="M38" s="750"/>
      <c r="N38" s="750"/>
      <c r="O38" s="750"/>
      <c r="P38" s="750"/>
      <c r="Q38" s="757"/>
      <c r="S38" s="710"/>
    </row>
    <row r="39" s="711" customFormat="1" ht="22.15" customHeight="1" outlineLevel="1" spans="1:19">
      <c r="A39" s="727" t="s">
        <v>1740</v>
      </c>
      <c r="B39" s="728"/>
      <c r="C39" s="729" t="s">
        <v>1736</v>
      </c>
      <c r="D39" s="729" t="s">
        <v>1741</v>
      </c>
      <c r="E39" s="730"/>
      <c r="F39" s="729"/>
      <c r="G39" s="729"/>
      <c r="H39" s="729"/>
      <c r="I39" s="729"/>
      <c r="J39" s="729"/>
      <c r="K39" s="729"/>
      <c r="L39" s="750">
        <f>+'财务费用预算表(08-2表)'!F5+'财务费用预算表(08-2表)'!F9</f>
        <v>9395.376021</v>
      </c>
      <c r="M39" s="750"/>
      <c r="N39" s="750"/>
      <c r="O39" s="750"/>
      <c r="P39" s="750"/>
      <c r="Q39" s="757"/>
      <c r="S39" s="710"/>
    </row>
    <row r="40" s="711" customFormat="1" ht="22.15" customHeight="1" outlineLevel="1" spans="1:19">
      <c r="A40" s="727" t="s">
        <v>1742</v>
      </c>
      <c r="B40" s="728"/>
      <c r="C40" s="729" t="s">
        <v>1736</v>
      </c>
      <c r="D40" s="729" t="s">
        <v>1743</v>
      </c>
      <c r="E40" s="730"/>
      <c r="F40" s="729"/>
      <c r="G40" s="729"/>
      <c r="H40" s="729"/>
      <c r="I40" s="729"/>
      <c r="J40" s="729"/>
      <c r="K40" s="729"/>
      <c r="L40" s="750"/>
      <c r="M40" s="750"/>
      <c r="N40" s="750"/>
      <c r="O40" s="750"/>
      <c r="P40" s="750"/>
      <c r="Q40" s="757"/>
      <c r="S40" s="710"/>
    </row>
    <row r="41" s="711" customFormat="1" ht="22.15" customHeight="1" spans="1:19">
      <c r="A41" s="731" t="s">
        <v>1744</v>
      </c>
      <c r="B41" s="728"/>
      <c r="C41" s="735" t="s">
        <v>1745</v>
      </c>
      <c r="D41" s="729" t="s">
        <v>1746</v>
      </c>
      <c r="E41" s="730"/>
      <c r="F41" s="729"/>
      <c r="G41" s="729"/>
      <c r="H41" s="729"/>
      <c r="I41" s="729"/>
      <c r="J41" s="729"/>
      <c r="K41" s="729"/>
      <c r="L41" s="750">
        <f>SUMPRODUCT((LEFT($A42:$A$49,LEN($A41))=$A41)*1,(LEN($A42:$A$49)=LEN($A41)+3)*1,L42:L$49)</f>
        <v>99478.2</v>
      </c>
      <c r="M41" s="750"/>
      <c r="N41" s="750"/>
      <c r="O41" s="750"/>
      <c r="P41" s="750">
        <f>SUMPRODUCT((LEFT($A42:$A$49,LEN($A41))=$A41)*1,(LEN($A42:$A$49)=LEN($A41)+3)*1,P42:P$49)</f>
        <v>0</v>
      </c>
      <c r="Q41" s="757"/>
      <c r="R41" s="761"/>
      <c r="S41" s="710"/>
    </row>
    <row r="42" s="711" customFormat="1" ht="22.15" customHeight="1" outlineLevel="1" spans="1:19">
      <c r="A42" s="727" t="s">
        <v>1747</v>
      </c>
      <c r="B42" s="728"/>
      <c r="C42" s="729" t="s">
        <v>1746</v>
      </c>
      <c r="D42" s="729" t="s">
        <v>1748</v>
      </c>
      <c r="E42" s="733" t="s">
        <v>1749</v>
      </c>
      <c r="F42" s="734"/>
      <c r="G42" s="734"/>
      <c r="H42" s="734"/>
      <c r="I42" s="734"/>
      <c r="J42" s="734"/>
      <c r="K42" s="734"/>
      <c r="L42" s="752">
        <f>+L7*0.015</f>
        <v>99478.2</v>
      </c>
      <c r="M42" s="752"/>
      <c r="N42" s="752"/>
      <c r="O42" s="752"/>
      <c r="P42" s="752"/>
      <c r="Q42" s="762"/>
      <c r="S42" s="710"/>
    </row>
    <row r="43" s="711" customFormat="1" ht="22.15" customHeight="1" outlineLevel="1" spans="1:19">
      <c r="A43" s="727" t="s">
        <v>1750</v>
      </c>
      <c r="B43" s="728"/>
      <c r="C43" s="729" t="s">
        <v>1746</v>
      </c>
      <c r="D43" s="729" t="s">
        <v>1751</v>
      </c>
      <c r="E43" s="733"/>
      <c r="F43" s="734"/>
      <c r="G43" s="734"/>
      <c r="H43" s="734"/>
      <c r="I43" s="734"/>
      <c r="J43" s="734"/>
      <c r="K43" s="734"/>
      <c r="L43" s="752"/>
      <c r="M43" s="752"/>
      <c r="N43" s="752"/>
      <c r="O43" s="752"/>
      <c r="P43" s="752"/>
      <c r="Q43" s="759"/>
      <c r="S43" s="710"/>
    </row>
    <row r="44" s="711" customFormat="1" ht="22.15" customHeight="1" spans="1:19">
      <c r="A44" s="731" t="s">
        <v>1752</v>
      </c>
      <c r="B44" s="728"/>
      <c r="C44" s="735" t="s">
        <v>1753</v>
      </c>
      <c r="D44" s="729" t="s">
        <v>1753</v>
      </c>
      <c r="E44" s="733"/>
      <c r="F44" s="734"/>
      <c r="G44" s="734"/>
      <c r="H44" s="734"/>
      <c r="I44" s="734"/>
      <c r="J44" s="734"/>
      <c r="K44" s="734"/>
      <c r="L44" s="752">
        <f>SUMPRODUCT((LEFT($A45:$A$49,LEN($A44))=$A44)*1,(LEN($A45:$A$49)=LEN($A44)+3)*1,L45:L$49)</f>
        <v>1565.8960035</v>
      </c>
      <c r="M44" s="752"/>
      <c r="N44" s="752"/>
      <c r="O44" s="752"/>
      <c r="P44" s="752">
        <f>SUMPRODUCT((LEFT($A45:$A$49,LEN($A44))=$A44)*1,(LEN($A45:$A$49)=LEN($A44)+3)*1,P45:P$49)</f>
        <v>0</v>
      </c>
      <c r="Q44" s="759"/>
      <c r="S44" s="710"/>
    </row>
    <row r="45" s="711" customFormat="1" ht="22.15" customHeight="1" outlineLevel="1" spans="1:19">
      <c r="A45" s="727" t="s">
        <v>1754</v>
      </c>
      <c r="B45" s="728"/>
      <c r="C45" s="729" t="s">
        <v>1753</v>
      </c>
      <c r="D45" s="729" t="s">
        <v>1755</v>
      </c>
      <c r="E45" s="733"/>
      <c r="F45" s="734"/>
      <c r="G45" s="734"/>
      <c r="H45" s="734"/>
      <c r="I45" s="734"/>
      <c r="J45" s="734"/>
      <c r="K45" s="734"/>
      <c r="L45" s="752">
        <f>'分项对比表(02表)'!I70*0.12</f>
        <v>0</v>
      </c>
      <c r="M45" s="752"/>
      <c r="N45" s="752"/>
      <c r="O45" s="752"/>
      <c r="P45" s="752"/>
      <c r="Q45" s="763" t="s">
        <v>1756</v>
      </c>
      <c r="R45" s="764"/>
      <c r="S45" s="710"/>
    </row>
    <row r="46" s="711" customFormat="1" ht="22.15" customHeight="1" outlineLevel="1" spans="1:19">
      <c r="A46" s="727" t="s">
        <v>1757</v>
      </c>
      <c r="B46" s="728"/>
      <c r="C46" s="729" t="s">
        <v>1753</v>
      </c>
      <c r="D46" s="729" t="s">
        <v>1758</v>
      </c>
      <c r="E46" s="733"/>
      <c r="F46" s="734"/>
      <c r="G46" s="734"/>
      <c r="H46" s="734"/>
      <c r="I46" s="734"/>
      <c r="J46" s="734"/>
      <c r="K46" s="734"/>
      <c r="L46" s="734">
        <f>'分项对比表(02表)'!I5*0.0003</f>
        <v>1565.8960035</v>
      </c>
      <c r="M46" s="752"/>
      <c r="N46" s="752"/>
      <c r="O46" s="752"/>
      <c r="P46" s="752"/>
      <c r="Q46" s="759"/>
      <c r="S46" s="710"/>
    </row>
    <row r="47" s="711" customFormat="1" ht="22.15" customHeight="1" outlineLevel="1" spans="1:19">
      <c r="A47" s="727" t="s">
        <v>1759</v>
      </c>
      <c r="B47" s="728"/>
      <c r="C47" s="729" t="s">
        <v>1753</v>
      </c>
      <c r="D47" s="729" t="s">
        <v>1760</v>
      </c>
      <c r="E47" s="733"/>
      <c r="F47" s="734"/>
      <c r="G47" s="734"/>
      <c r="H47" s="734"/>
      <c r="I47" s="734"/>
      <c r="J47" s="734"/>
      <c r="K47" s="734"/>
      <c r="L47" s="734"/>
      <c r="M47" s="752"/>
      <c r="N47" s="752"/>
      <c r="O47" s="752"/>
      <c r="P47" s="752"/>
      <c r="Q47" s="759"/>
      <c r="S47" s="710"/>
    </row>
    <row r="48" s="711" customFormat="1" ht="22.15" customHeight="1" outlineLevel="1" spans="1:19">
      <c r="A48" s="731" t="s">
        <v>1761</v>
      </c>
      <c r="B48" s="728"/>
      <c r="C48" s="732" t="s">
        <v>1645</v>
      </c>
      <c r="D48" s="729" t="s">
        <v>1645</v>
      </c>
      <c r="E48" s="733"/>
      <c r="F48" s="734"/>
      <c r="G48" s="734"/>
      <c r="H48" s="734"/>
      <c r="I48" s="734"/>
      <c r="J48" s="734"/>
      <c r="K48" s="734"/>
      <c r="L48" s="752">
        <f>SUMPRODUCT((LEFT($A49:$A$49,LEN($A48))=$A48)*1,(LEN($A49:$A$49)=LEN($A48)+3)*1,L49:L$49)</f>
        <v>437760</v>
      </c>
      <c r="M48" s="752"/>
      <c r="N48" s="752"/>
      <c r="O48" s="752"/>
      <c r="P48" s="752">
        <f>SUMPRODUCT((LEFT($A49:$A$49,LEN($A48))=$A48)*1,(LEN($A49:$A$49)=LEN($A48)+3)*1,P49:P$49)</f>
        <v>0</v>
      </c>
      <c r="Q48" s="759"/>
      <c r="S48" s="710"/>
    </row>
    <row r="49" s="711" customFormat="1" ht="22.15" customHeight="1" outlineLevel="1" spans="1:19">
      <c r="A49" s="738" t="s">
        <v>1762</v>
      </c>
      <c r="B49" s="739"/>
      <c r="C49" s="740"/>
      <c r="D49" s="741" t="s">
        <v>1763</v>
      </c>
      <c r="E49" s="742"/>
      <c r="F49" s="743"/>
      <c r="G49" s="743"/>
      <c r="H49" s="743"/>
      <c r="I49" s="743"/>
      <c r="J49" s="743"/>
      <c r="K49" s="743"/>
      <c r="L49" s="754">
        <f>'工作人员工资表(08-1表)'!C27*38*30*16</f>
        <v>437760</v>
      </c>
      <c r="M49" s="754"/>
      <c r="N49" s="754"/>
      <c r="O49" s="754"/>
      <c r="P49" s="754">
        <v>0</v>
      </c>
      <c r="Q49" s="765"/>
      <c r="S49" s="710"/>
    </row>
    <row r="50" s="712" customFormat="1" ht="13.5" customHeight="1" spans="1:3">
      <c r="A50" s="744"/>
      <c r="B50" s="744"/>
      <c r="C50" s="744"/>
    </row>
    <row r="51" spans="1:3">
      <c r="A51" s="745"/>
      <c r="B51" s="633"/>
      <c r="C51" s="633"/>
    </row>
    <row r="52" spans="1:17">
      <c r="A52" s="745"/>
      <c r="B52" s="633"/>
      <c r="C52" s="633"/>
      <c r="D52" s="633"/>
      <c r="E52" s="633"/>
      <c r="F52" s="633"/>
      <c r="G52" s="633"/>
      <c r="H52" s="633"/>
      <c r="I52" s="633"/>
      <c r="J52" s="633"/>
      <c r="K52" s="633"/>
      <c r="L52" s="633"/>
      <c r="M52" s="633"/>
      <c r="N52" s="633"/>
      <c r="O52" s="633"/>
      <c r="P52" s="633"/>
      <c r="Q52" s="633"/>
    </row>
    <row r="53" spans="1:17">
      <c r="A53" s="745"/>
      <c r="B53" s="633"/>
      <c r="C53" s="633"/>
      <c r="D53" s="633"/>
      <c r="E53" s="633"/>
      <c r="F53" s="633"/>
      <c r="G53" s="633"/>
      <c r="H53" s="633"/>
      <c r="I53" s="633"/>
      <c r="J53" s="633"/>
      <c r="K53" s="633"/>
      <c r="L53" s="633"/>
      <c r="M53" s="633"/>
      <c r="N53" s="633"/>
      <c r="O53" s="633"/>
      <c r="P53" s="633"/>
      <c r="Q53" s="633"/>
    </row>
    <row r="54" spans="1:17">
      <c r="A54" s="745"/>
      <c r="B54" s="633"/>
      <c r="C54" s="633"/>
      <c r="D54" s="633"/>
      <c r="E54" s="633"/>
      <c r="F54" s="633"/>
      <c r="G54" s="633"/>
      <c r="H54" s="633"/>
      <c r="I54" s="633"/>
      <c r="J54" s="633"/>
      <c r="K54" s="633"/>
      <c r="L54" s="633"/>
      <c r="M54" s="633"/>
      <c r="N54" s="633"/>
      <c r="O54" s="633"/>
      <c r="P54" s="633"/>
      <c r="Q54" s="633"/>
    </row>
    <row r="55" spans="1:17">
      <c r="A55" s="745"/>
      <c r="B55" s="633"/>
      <c r="C55" s="633"/>
      <c r="D55" s="633"/>
      <c r="E55" s="633"/>
      <c r="F55" s="633"/>
      <c r="G55" s="633"/>
      <c r="H55" s="633"/>
      <c r="I55" s="633"/>
      <c r="J55" s="633"/>
      <c r="K55" s="633"/>
      <c r="L55" s="633"/>
      <c r="M55" s="633"/>
      <c r="N55" s="633"/>
      <c r="O55" s="633"/>
      <c r="P55" s="633"/>
      <c r="Q55" s="633"/>
    </row>
    <row r="56" spans="1:17">
      <c r="A56" s="745"/>
      <c r="B56" s="633"/>
      <c r="C56" s="633"/>
      <c r="D56" s="633"/>
      <c r="E56" s="633"/>
      <c r="F56" s="633"/>
      <c r="G56" s="633"/>
      <c r="H56" s="633"/>
      <c r="I56" s="633"/>
      <c r="J56" s="633"/>
      <c r="K56" s="633"/>
      <c r="L56" s="633"/>
      <c r="M56" s="633"/>
      <c r="N56" s="633"/>
      <c r="O56" s="633"/>
      <c r="P56" s="633"/>
      <c r="Q56" s="633"/>
    </row>
    <row r="57" spans="1:17">
      <c r="A57" s="745"/>
      <c r="B57" s="746"/>
      <c r="C57" s="746"/>
      <c r="D57" s="746"/>
      <c r="E57" s="746"/>
      <c r="F57" s="746"/>
      <c r="G57" s="746"/>
      <c r="H57" s="746"/>
      <c r="I57" s="746"/>
      <c r="J57" s="746"/>
      <c r="K57" s="746"/>
      <c r="L57" s="746"/>
      <c r="M57" s="746"/>
      <c r="N57" s="746"/>
      <c r="O57" s="746"/>
      <c r="P57" s="746"/>
      <c r="Q57" s="746"/>
    </row>
    <row r="58" spans="1:3">
      <c r="A58" s="633"/>
      <c r="B58" s="633"/>
      <c r="C58" s="633"/>
    </row>
    <row r="59" spans="1:3">
      <c r="A59" s="633"/>
      <c r="B59" s="633"/>
      <c r="C59" s="633"/>
    </row>
    <row r="60" spans="1:3">
      <c r="A60" s="633"/>
      <c r="B60" s="633"/>
      <c r="C60" s="633"/>
    </row>
    <row r="61" spans="1:3">
      <c r="A61" s="633"/>
      <c r="B61" s="633"/>
      <c r="C61" s="633"/>
    </row>
    <row r="62" spans="1:3">
      <c r="A62" s="633"/>
      <c r="B62" s="633"/>
      <c r="C62" s="633"/>
    </row>
  </sheetData>
  <sheetProtection formatCells="0" insertHyperlinks="0" autoFilter="0"/>
  <autoFilter ref="A4:Q49">
    <extLst/>
  </autoFilter>
  <conditionalFormatting sqref="A4:Q49">
    <cfRule type="expression" dxfId="58" priority="1">
      <formula>LEN($A4)=10</formula>
    </cfRule>
    <cfRule type="expression" dxfId="57" priority="2">
      <formula>(LEN($A4))=3</formula>
    </cfRule>
    <cfRule type="expression" dxfId="55" priority="3">
      <formula>LEN($A4)=2</formula>
    </cfRule>
  </conditionalFormatting>
  <pageMargins left="0.354330708661417" right="0.15748031496063" top="0.156944444444444" bottom="0" header="0.196527777777778" footer="0.31496062992126"/>
  <pageSetup paperSize="9" scale="95" orientation="landscape"/>
  <headerFooter alignWithMargins="0"/>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P31"/>
  <sheetViews>
    <sheetView workbookViewId="0">
      <selection activeCell="A189" sqref="A189"/>
    </sheetView>
  </sheetViews>
  <sheetFormatPr defaultColWidth="8" defaultRowHeight="13.5"/>
  <cols>
    <col min="1" max="1" width="5.5" style="672" customWidth="1"/>
    <col min="2" max="2" width="12.125" style="672" customWidth="1"/>
    <col min="3" max="3" width="4.875" style="673" customWidth="1"/>
    <col min="4" max="4" width="13.375" style="673" customWidth="1"/>
    <col min="5" max="5" width="8.125" style="673" customWidth="1"/>
    <col min="6" max="6" width="9.125" style="673" customWidth="1"/>
    <col min="7" max="7" width="8.125" style="673" customWidth="1"/>
    <col min="8" max="8" width="8.25" style="673" customWidth="1"/>
    <col min="9" max="10" width="9.875" style="673" customWidth="1"/>
    <col min="11" max="11" width="8.75" style="673" customWidth="1"/>
    <col min="12" max="12" width="9.875" style="673" customWidth="1"/>
    <col min="13" max="13" width="10.625" style="673" customWidth="1"/>
    <col min="14" max="14" width="9.875" style="673" customWidth="1"/>
    <col min="15" max="15" width="9.75" style="673" customWidth="1"/>
    <col min="16" max="16" width="5.25" style="673" customWidth="1"/>
    <col min="17" max="16384" width="8" style="673"/>
  </cols>
  <sheetData>
    <row r="1" ht="23.25" spans="1:14">
      <c r="A1" s="99"/>
      <c r="B1" s="99"/>
      <c r="C1" s="99"/>
      <c r="D1" s="99"/>
      <c r="E1" s="99"/>
      <c r="F1" s="99"/>
      <c r="G1" s="99"/>
      <c r="H1" s="99"/>
      <c r="I1" s="99"/>
      <c r="J1" s="99"/>
      <c r="K1" s="99"/>
      <c r="L1" s="99"/>
      <c r="M1" s="99"/>
      <c r="N1" s="99"/>
    </row>
    <row r="2" s="639" customFormat="1" ht="23.25" spans="1:16">
      <c r="A2" s="640" t="s">
        <v>1764</v>
      </c>
      <c r="B2" s="640"/>
      <c r="C2" s="640"/>
      <c r="D2" s="640"/>
      <c r="E2" s="640"/>
      <c r="F2" s="640"/>
      <c r="G2" s="640"/>
      <c r="H2" s="640"/>
      <c r="I2" s="640"/>
      <c r="J2" s="640"/>
      <c r="K2" s="640"/>
      <c r="L2" s="640"/>
      <c r="M2" s="640"/>
      <c r="N2" s="640"/>
      <c r="O2" s="640"/>
      <c r="P2" s="640"/>
    </row>
    <row r="3" s="639" customFormat="1" ht="14.1" customHeight="1" spans="1:16">
      <c r="A3" s="101" t="str" cm="1">
        <f t="array" ref="A3">"工程名称："&amp;工程名称&amp;"  "&amp;工区</f>
        <v>工程名称：az  2</v>
      </c>
      <c r="B3" s="101"/>
      <c r="C3" s="101"/>
      <c r="D3" s="101"/>
      <c r="E3" s="101"/>
      <c r="F3" s="101"/>
      <c r="G3" s="101"/>
      <c r="H3" s="101"/>
      <c r="I3" s="101"/>
      <c r="J3" s="101"/>
      <c r="K3" s="101"/>
      <c r="L3" s="101"/>
      <c r="M3" s="101"/>
      <c r="N3" s="101"/>
      <c r="O3" s="101"/>
      <c r="P3" s="641" t="s">
        <v>1765</v>
      </c>
    </row>
    <row r="4" s="639" customFormat="1" ht="15.95" customHeight="1" spans="2:16">
      <c r="B4" s="642"/>
      <c r="O4" s="101"/>
      <c r="P4" s="641" t="s">
        <v>1253</v>
      </c>
    </row>
    <row r="5" s="639" customFormat="1" ht="26.1" customHeight="1" spans="1:16">
      <c r="A5" s="674" t="s">
        <v>1254</v>
      </c>
      <c r="B5" s="675" t="s">
        <v>1766</v>
      </c>
      <c r="C5" s="676" t="s">
        <v>1767</v>
      </c>
      <c r="D5" s="675" t="s">
        <v>1768</v>
      </c>
      <c r="E5" s="675" t="s">
        <v>1769</v>
      </c>
      <c r="F5" s="677" t="s">
        <v>1770</v>
      </c>
      <c r="G5" s="678"/>
      <c r="H5" s="678"/>
      <c r="I5" s="678"/>
      <c r="J5" s="678"/>
      <c r="K5" s="678"/>
      <c r="L5" s="678"/>
      <c r="M5" s="678"/>
      <c r="N5" s="700"/>
      <c r="O5" s="701" t="s">
        <v>1771</v>
      </c>
      <c r="P5" s="702" t="s">
        <v>1262</v>
      </c>
    </row>
    <row r="6" s="639" customFormat="1" ht="28.15" customHeight="1" spans="1:16">
      <c r="A6" s="679"/>
      <c r="B6" s="680"/>
      <c r="C6" s="681"/>
      <c r="D6" s="680"/>
      <c r="E6" s="680"/>
      <c r="F6" s="682" t="s">
        <v>1772</v>
      </c>
      <c r="G6" s="682" t="s">
        <v>1773</v>
      </c>
      <c r="H6" s="682" t="s">
        <v>1774</v>
      </c>
      <c r="I6" s="682" t="s">
        <v>1775</v>
      </c>
      <c r="J6" s="682" t="s">
        <v>1776</v>
      </c>
      <c r="K6" s="682" t="s">
        <v>1777</v>
      </c>
      <c r="L6" s="682" t="s">
        <v>1778</v>
      </c>
      <c r="M6" s="682" t="s">
        <v>1779</v>
      </c>
      <c r="N6" s="682" t="s">
        <v>1780</v>
      </c>
      <c r="O6" s="703"/>
      <c r="P6" s="704"/>
    </row>
    <row r="7" s="639" customFormat="1" ht="30" customHeight="1" spans="1:16">
      <c r="A7" s="679" t="s">
        <v>1781</v>
      </c>
      <c r="B7" s="683" t="s">
        <v>1782</v>
      </c>
      <c r="C7" s="681"/>
      <c r="D7" s="680" t="s">
        <v>1783</v>
      </c>
      <c r="E7" s="652">
        <v>21</v>
      </c>
      <c r="H7" s="682"/>
      <c r="I7" s="682"/>
      <c r="J7" s="682"/>
      <c r="K7" s="682"/>
      <c r="L7" s="705"/>
      <c r="M7" s="705"/>
      <c r="N7" s="652"/>
      <c r="O7" s="652"/>
      <c r="P7" s="704"/>
    </row>
    <row r="8" s="639" customFormat="1" ht="20.1" customHeight="1" spans="1:16">
      <c r="A8" s="651">
        <v>1</v>
      </c>
      <c r="B8" s="683" t="s">
        <v>1784</v>
      </c>
      <c r="C8" s="684">
        <v>1</v>
      </c>
      <c r="D8" s="652"/>
      <c r="E8" s="652">
        <v>18</v>
      </c>
      <c r="F8" s="685">
        <v>2100</v>
      </c>
      <c r="G8" s="685">
        <v>5000</v>
      </c>
      <c r="H8" s="652">
        <v>500</v>
      </c>
      <c r="I8" s="652"/>
      <c r="J8" s="652">
        <v>5200</v>
      </c>
      <c r="K8" s="652">
        <v>5200</v>
      </c>
      <c r="L8" s="652">
        <v>5800</v>
      </c>
      <c r="M8" s="652"/>
      <c r="N8" s="652">
        <f>+L8+K8+J8+H8+G8+F8</f>
        <v>23800</v>
      </c>
      <c r="O8" s="652">
        <f>+N8*E8*C8</f>
        <v>428400</v>
      </c>
      <c r="P8" s="656"/>
    </row>
    <row r="9" s="639" customFormat="1" ht="20.1" customHeight="1" spans="1:16">
      <c r="A9" s="651">
        <v>2</v>
      </c>
      <c r="B9" s="686" t="s">
        <v>1785</v>
      </c>
      <c r="C9" s="684">
        <v>1</v>
      </c>
      <c r="D9" s="652"/>
      <c r="E9" s="652">
        <v>18</v>
      </c>
      <c r="F9" s="652">
        <v>2100</v>
      </c>
      <c r="G9" s="652">
        <v>4100</v>
      </c>
      <c r="H9" s="652">
        <v>500</v>
      </c>
      <c r="I9" s="652"/>
      <c r="J9" s="652">
        <v>5040</v>
      </c>
      <c r="K9" s="652">
        <v>4300</v>
      </c>
      <c r="L9" s="652">
        <v>5800</v>
      </c>
      <c r="M9" s="652"/>
      <c r="N9" s="652">
        <f>+L9+K9+J9+H9+G9+F9</f>
        <v>21840</v>
      </c>
      <c r="O9" s="652">
        <f>+N9*E9*C9</f>
        <v>393120</v>
      </c>
      <c r="P9" s="656"/>
    </row>
    <row r="10" s="639" customFormat="1" ht="20.1" customHeight="1" spans="1:16">
      <c r="A10" s="651">
        <v>3</v>
      </c>
      <c r="B10" s="686" t="s">
        <v>1786</v>
      </c>
      <c r="C10" s="684">
        <v>1</v>
      </c>
      <c r="D10" s="652"/>
      <c r="E10" s="652">
        <v>15</v>
      </c>
      <c r="F10" s="652">
        <v>2100</v>
      </c>
      <c r="G10" s="652">
        <v>4100</v>
      </c>
      <c r="H10" s="652">
        <v>500</v>
      </c>
      <c r="I10" s="652"/>
      <c r="J10" s="652">
        <v>5040</v>
      </c>
      <c r="K10" s="652">
        <v>4300</v>
      </c>
      <c r="L10" s="652">
        <v>5800</v>
      </c>
      <c r="M10" s="652"/>
      <c r="N10" s="652">
        <f>+L10+K10+J10+H10+G10+F10</f>
        <v>21840</v>
      </c>
      <c r="O10" s="652">
        <f>+N10*E10*C10</f>
        <v>327600</v>
      </c>
      <c r="P10" s="656"/>
    </row>
    <row r="11" s="639" customFormat="1" ht="20.1" customHeight="1" spans="1:16">
      <c r="A11" s="651">
        <v>4</v>
      </c>
      <c r="B11" s="686" t="s">
        <v>1787</v>
      </c>
      <c r="C11" s="684">
        <v>2</v>
      </c>
      <c r="D11" s="652"/>
      <c r="E11" s="652">
        <v>15</v>
      </c>
      <c r="F11" s="652">
        <v>2100</v>
      </c>
      <c r="G11" s="652">
        <v>4100</v>
      </c>
      <c r="H11" s="652">
        <v>500</v>
      </c>
      <c r="I11" s="652"/>
      <c r="J11" s="652">
        <v>5040</v>
      </c>
      <c r="K11" s="652">
        <v>4300</v>
      </c>
      <c r="L11" s="652">
        <v>5800</v>
      </c>
      <c r="M11" s="652"/>
      <c r="N11" s="652">
        <f t="shared" ref="N11:N19" si="0">+L11+K11+J11+H11+G11+F11</f>
        <v>21840</v>
      </c>
      <c r="O11" s="652">
        <f t="shared" ref="O11:O19" si="1">+N11*E11*C11</f>
        <v>655200</v>
      </c>
      <c r="P11" s="656"/>
    </row>
    <row r="12" s="639" customFormat="1" ht="20.1" customHeight="1" spans="1:16">
      <c r="A12" s="651">
        <v>5</v>
      </c>
      <c r="B12" s="686" t="s">
        <v>1788</v>
      </c>
      <c r="C12" s="687">
        <v>2</v>
      </c>
      <c r="D12" s="652"/>
      <c r="E12" s="652">
        <v>15</v>
      </c>
      <c r="F12" s="652">
        <v>2100</v>
      </c>
      <c r="G12" s="652">
        <v>3100</v>
      </c>
      <c r="H12" s="652">
        <v>500</v>
      </c>
      <c r="I12" s="652"/>
      <c r="J12" s="652">
        <v>4880</v>
      </c>
      <c r="K12" s="652">
        <v>3700</v>
      </c>
      <c r="L12" s="652">
        <v>4700</v>
      </c>
      <c r="M12" s="652"/>
      <c r="N12" s="652">
        <f t="shared" si="0"/>
        <v>18980</v>
      </c>
      <c r="O12" s="652">
        <f t="shared" si="1"/>
        <v>569400</v>
      </c>
      <c r="P12" s="656"/>
    </row>
    <row r="13" s="639" customFormat="1" ht="25.15" customHeight="1" spans="1:16">
      <c r="A13" s="651">
        <v>6</v>
      </c>
      <c r="B13" s="686" t="s">
        <v>1789</v>
      </c>
      <c r="C13" s="687">
        <v>2</v>
      </c>
      <c r="D13" s="652"/>
      <c r="E13" s="652">
        <v>15</v>
      </c>
      <c r="F13" s="652">
        <v>2100</v>
      </c>
      <c r="G13" s="652">
        <v>2400</v>
      </c>
      <c r="H13" s="652">
        <v>500</v>
      </c>
      <c r="I13" s="652"/>
      <c r="J13" s="652">
        <v>4600</v>
      </c>
      <c r="K13" s="652">
        <v>2800</v>
      </c>
      <c r="L13" s="652">
        <v>4700</v>
      </c>
      <c r="M13" s="652"/>
      <c r="N13" s="652">
        <f t="shared" si="0"/>
        <v>17100</v>
      </c>
      <c r="O13" s="652">
        <f t="shared" si="1"/>
        <v>513000</v>
      </c>
      <c r="P13" s="656"/>
    </row>
    <row r="14" s="639" customFormat="1" ht="25.15" customHeight="1" spans="1:16">
      <c r="A14" s="651">
        <v>7</v>
      </c>
      <c r="B14" s="686" t="s">
        <v>1790</v>
      </c>
      <c r="C14" s="687">
        <v>4</v>
      </c>
      <c r="D14" s="652"/>
      <c r="E14" s="652">
        <v>16</v>
      </c>
      <c r="F14" s="652">
        <v>2100</v>
      </c>
      <c r="G14" s="652">
        <v>3100</v>
      </c>
      <c r="H14" s="652">
        <v>500</v>
      </c>
      <c r="I14" s="652"/>
      <c r="J14" s="652">
        <v>4880</v>
      </c>
      <c r="K14" s="652">
        <v>3700</v>
      </c>
      <c r="L14" s="652">
        <v>4700</v>
      </c>
      <c r="M14" s="652"/>
      <c r="N14" s="652">
        <f t="shared" si="0"/>
        <v>18980</v>
      </c>
      <c r="O14" s="652">
        <f t="shared" si="1"/>
        <v>1214720</v>
      </c>
      <c r="P14" s="656"/>
    </row>
    <row r="15" s="639" customFormat="1" ht="25.15" customHeight="1" spans="1:16">
      <c r="A15" s="651">
        <v>8</v>
      </c>
      <c r="B15" s="686" t="s">
        <v>1791</v>
      </c>
      <c r="C15" s="687">
        <v>1</v>
      </c>
      <c r="D15" s="652"/>
      <c r="E15" s="652">
        <v>18</v>
      </c>
      <c r="F15" s="652">
        <v>2100</v>
      </c>
      <c r="G15" s="652">
        <v>2400</v>
      </c>
      <c r="H15" s="652">
        <v>500</v>
      </c>
      <c r="I15" s="652"/>
      <c r="J15" s="652">
        <v>4600</v>
      </c>
      <c r="K15" s="652">
        <v>3000</v>
      </c>
      <c r="L15" s="652">
        <v>4700</v>
      </c>
      <c r="M15" s="652"/>
      <c r="N15" s="652">
        <f t="shared" si="0"/>
        <v>17300</v>
      </c>
      <c r="O15" s="652">
        <f t="shared" si="1"/>
        <v>311400</v>
      </c>
      <c r="P15" s="656"/>
    </row>
    <row r="16" s="639" customFormat="1" ht="25.15" customHeight="1" spans="1:16">
      <c r="A16" s="651">
        <v>9</v>
      </c>
      <c r="B16" s="686" t="s">
        <v>1792</v>
      </c>
      <c r="C16" s="687">
        <v>1</v>
      </c>
      <c r="D16" s="652"/>
      <c r="E16" s="652">
        <v>18</v>
      </c>
      <c r="F16" s="652">
        <v>2100</v>
      </c>
      <c r="G16" s="652">
        <v>3100</v>
      </c>
      <c r="H16" s="652">
        <v>500</v>
      </c>
      <c r="I16" s="652"/>
      <c r="J16" s="652">
        <v>4880</v>
      </c>
      <c r="K16" s="652">
        <v>3700</v>
      </c>
      <c r="L16" s="652">
        <v>4700</v>
      </c>
      <c r="M16" s="652"/>
      <c r="N16" s="652">
        <f t="shared" si="0"/>
        <v>18980</v>
      </c>
      <c r="O16" s="652">
        <f t="shared" si="1"/>
        <v>341640</v>
      </c>
      <c r="P16" s="656"/>
    </row>
    <row r="17" s="639" customFormat="1" ht="25.15" customHeight="1" spans="1:16">
      <c r="A17" s="651">
        <v>10</v>
      </c>
      <c r="B17" s="686" t="s">
        <v>1793</v>
      </c>
      <c r="C17" s="687">
        <v>1</v>
      </c>
      <c r="D17" s="652"/>
      <c r="E17" s="652">
        <v>15</v>
      </c>
      <c r="F17" s="652">
        <v>2100</v>
      </c>
      <c r="G17" s="652">
        <v>2400</v>
      </c>
      <c r="H17" s="652">
        <v>500</v>
      </c>
      <c r="I17" s="652"/>
      <c r="J17" s="652">
        <v>4600</v>
      </c>
      <c r="K17" s="652">
        <v>3000</v>
      </c>
      <c r="L17" s="652">
        <v>4700</v>
      </c>
      <c r="M17" s="652"/>
      <c r="N17" s="652">
        <f t="shared" si="0"/>
        <v>17300</v>
      </c>
      <c r="O17" s="652">
        <f t="shared" si="1"/>
        <v>259500</v>
      </c>
      <c r="P17" s="656"/>
    </row>
    <row r="18" s="639" customFormat="1" ht="25.15" customHeight="1" spans="1:16">
      <c r="A18" s="651">
        <v>11</v>
      </c>
      <c r="B18" s="686" t="s">
        <v>1794</v>
      </c>
      <c r="C18" s="687">
        <v>2</v>
      </c>
      <c r="D18" s="652"/>
      <c r="E18" s="652">
        <v>15</v>
      </c>
      <c r="F18" s="652">
        <v>2100</v>
      </c>
      <c r="G18" s="652">
        <v>3100</v>
      </c>
      <c r="H18" s="652">
        <v>500</v>
      </c>
      <c r="I18" s="652"/>
      <c r="J18" s="652">
        <v>4880</v>
      </c>
      <c r="K18" s="652">
        <v>3700</v>
      </c>
      <c r="L18" s="652">
        <v>4700</v>
      </c>
      <c r="M18" s="652"/>
      <c r="N18" s="652">
        <f t="shared" si="0"/>
        <v>18980</v>
      </c>
      <c r="O18" s="652">
        <f t="shared" si="1"/>
        <v>569400</v>
      </c>
      <c r="P18" s="656"/>
    </row>
    <row r="19" s="639" customFormat="1" ht="25.15" customHeight="1" spans="1:16">
      <c r="A19" s="651">
        <v>12</v>
      </c>
      <c r="B19" s="686" t="s">
        <v>1795</v>
      </c>
      <c r="C19" s="687">
        <v>3</v>
      </c>
      <c r="D19" s="652"/>
      <c r="E19" s="652">
        <v>15</v>
      </c>
      <c r="F19" s="652">
        <v>2100</v>
      </c>
      <c r="G19" s="652">
        <v>2400</v>
      </c>
      <c r="H19" s="652">
        <v>500</v>
      </c>
      <c r="I19" s="652"/>
      <c r="J19" s="652">
        <v>4600</v>
      </c>
      <c r="K19" s="652">
        <v>3000</v>
      </c>
      <c r="L19" s="652">
        <v>4700</v>
      </c>
      <c r="M19" s="652"/>
      <c r="N19" s="652">
        <f t="shared" si="0"/>
        <v>17300</v>
      </c>
      <c r="O19" s="652">
        <f t="shared" si="1"/>
        <v>778500</v>
      </c>
      <c r="P19" s="656"/>
    </row>
    <row r="20" s="639" customFormat="1" ht="25.15" customHeight="1" spans="1:16">
      <c r="A20" s="651"/>
      <c r="B20" s="688" t="s">
        <v>1796</v>
      </c>
      <c r="C20" s="689">
        <f>SUM(C8:C19)</f>
        <v>21</v>
      </c>
      <c r="D20" s="652"/>
      <c r="E20" s="652"/>
      <c r="F20" s="652"/>
      <c r="G20" s="652"/>
      <c r="H20" s="652"/>
      <c r="I20" s="652"/>
      <c r="J20" s="652"/>
      <c r="K20" s="652"/>
      <c r="L20" s="652"/>
      <c r="M20" s="652"/>
      <c r="N20" s="652"/>
      <c r="O20" s="652"/>
      <c r="P20" s="656"/>
    </row>
    <row r="21" s="639" customFormat="1" ht="25.15" customHeight="1" spans="1:16">
      <c r="A21" s="651" t="s">
        <v>1797</v>
      </c>
      <c r="B21" s="690" t="s">
        <v>1798</v>
      </c>
      <c r="C21" s="691"/>
      <c r="D21" s="652"/>
      <c r="E21" s="652"/>
      <c r="F21" s="652"/>
      <c r="G21" s="652"/>
      <c r="H21" s="652"/>
      <c r="I21" s="652"/>
      <c r="J21" s="652"/>
      <c r="K21" s="652"/>
      <c r="L21" s="652"/>
      <c r="M21" s="652"/>
      <c r="P21" s="656"/>
    </row>
    <row r="22" s="639" customFormat="1" ht="25.15" customHeight="1" spans="1:16">
      <c r="A22" s="651">
        <v>2</v>
      </c>
      <c r="B22" s="692" t="s">
        <v>1799</v>
      </c>
      <c r="C22" s="691">
        <v>1</v>
      </c>
      <c r="D22" s="652"/>
      <c r="E22" s="652">
        <v>15</v>
      </c>
      <c r="F22" s="652"/>
      <c r="G22" s="652"/>
      <c r="H22" s="652"/>
      <c r="I22" s="652"/>
      <c r="J22" s="652"/>
      <c r="K22" s="652"/>
      <c r="L22" s="652"/>
      <c r="M22" s="652"/>
      <c r="N22" s="652">
        <v>6000</v>
      </c>
      <c r="O22" s="652">
        <f>+N22*E22*C22</f>
        <v>90000</v>
      </c>
      <c r="P22" s="656"/>
    </row>
    <row r="23" s="639" customFormat="1" ht="25.15" customHeight="1" spans="1:16">
      <c r="A23" s="651">
        <v>3</v>
      </c>
      <c r="B23" s="693" t="s">
        <v>1800</v>
      </c>
      <c r="C23" s="691">
        <v>2</v>
      </c>
      <c r="D23" s="652"/>
      <c r="E23" s="652">
        <v>15</v>
      </c>
      <c r="F23" s="652"/>
      <c r="G23" s="652"/>
      <c r="H23" s="652"/>
      <c r="I23" s="652"/>
      <c r="J23" s="652"/>
      <c r="K23" s="652"/>
      <c r="L23" s="652"/>
      <c r="M23" s="652"/>
      <c r="N23" s="652">
        <v>6000</v>
      </c>
      <c r="O23" s="652">
        <f>+N23*E23*C23</f>
        <v>180000</v>
      </c>
      <c r="P23" s="656"/>
    </row>
    <row r="24" s="639" customFormat="1" ht="25.15" customHeight="1" spans="1:16">
      <c r="A24" s="651">
        <v>4</v>
      </c>
      <c r="B24" s="692" t="s">
        <v>1801</v>
      </c>
      <c r="C24" s="694">
        <v>0</v>
      </c>
      <c r="D24" s="652"/>
      <c r="E24" s="652">
        <v>15</v>
      </c>
      <c r="F24" s="652"/>
      <c r="G24" s="652"/>
      <c r="H24" s="652"/>
      <c r="I24" s="652"/>
      <c r="J24" s="652"/>
      <c r="K24" s="652"/>
      <c r="L24" s="652"/>
      <c r="M24" s="652"/>
      <c r="N24" s="706">
        <v>8250</v>
      </c>
      <c r="O24" s="652">
        <f>+N24*E24*C24</f>
        <v>0</v>
      </c>
      <c r="P24" s="656"/>
    </row>
    <row r="25" s="639" customFormat="1" ht="25.15" customHeight="1" spans="1:16">
      <c r="A25" s="651">
        <v>5</v>
      </c>
      <c r="B25" s="692" t="s">
        <v>1802</v>
      </c>
      <c r="C25" s="694">
        <v>0</v>
      </c>
      <c r="D25" s="652"/>
      <c r="E25" s="652">
        <v>15</v>
      </c>
      <c r="F25" s="652"/>
      <c r="G25" s="652"/>
      <c r="H25" s="652"/>
      <c r="I25" s="652"/>
      <c r="J25" s="652"/>
      <c r="K25" s="652"/>
      <c r="L25" s="652"/>
      <c r="M25" s="652"/>
      <c r="N25" s="706">
        <v>10000</v>
      </c>
      <c r="O25" s="652">
        <f>+N25*E25*C25</f>
        <v>0</v>
      </c>
      <c r="P25" s="656"/>
    </row>
    <row r="26" s="639" customFormat="1" ht="25.15" customHeight="1" spans="1:16">
      <c r="A26" s="651"/>
      <c r="B26" s="688" t="s">
        <v>1796</v>
      </c>
      <c r="C26" s="689">
        <f>SUM(C22:C25)</f>
        <v>3</v>
      </c>
      <c r="D26" s="652"/>
      <c r="E26" s="652"/>
      <c r="F26" s="652"/>
      <c r="G26" s="652"/>
      <c r="H26" s="652"/>
      <c r="I26" s="652"/>
      <c r="J26" s="652"/>
      <c r="K26" s="652"/>
      <c r="L26" s="652"/>
      <c r="M26" s="652"/>
      <c r="N26" s="706"/>
      <c r="O26" s="652"/>
      <c r="P26" s="656"/>
    </row>
    <row r="27" s="639" customFormat="1" ht="27" customHeight="1" spans="1:16">
      <c r="A27" s="695"/>
      <c r="B27" s="665" t="s">
        <v>1803</v>
      </c>
      <c r="C27" s="696">
        <f>+C26+C20</f>
        <v>24</v>
      </c>
      <c r="D27" s="696"/>
      <c r="E27" s="696"/>
      <c r="F27" s="696"/>
      <c r="G27" s="696"/>
      <c r="H27" s="696"/>
      <c r="I27" s="696"/>
      <c r="J27" s="696"/>
      <c r="K27" s="696"/>
      <c r="L27" s="696"/>
      <c r="M27" s="696"/>
      <c r="N27" s="696">
        <f>SUM(N8:N26)</f>
        <v>264490</v>
      </c>
      <c r="O27" s="696">
        <f>SUM(O8:O26)</f>
        <v>6631880</v>
      </c>
      <c r="P27" s="707"/>
    </row>
    <row r="28" s="639" customFormat="1" ht="20.1" customHeight="1" spans="1:15">
      <c r="A28" s="101"/>
      <c r="B28" s="642"/>
      <c r="O28" s="708"/>
    </row>
    <row r="29" s="639" customFormat="1" ht="18.95" customHeight="1" spans="1:13">
      <c r="A29" s="697"/>
      <c r="B29" t="s">
        <v>1804</v>
      </c>
      <c r="C29"/>
      <c r="D29"/>
      <c r="E29"/>
      <c r="F29"/>
      <c r="G29"/>
      <c r="H29"/>
      <c r="I29"/>
      <c r="J29"/>
      <c r="K29"/>
      <c r="L29"/>
      <c r="M29"/>
    </row>
    <row r="30" ht="15.75" spans="1:13">
      <c r="A30" s="698" t="s">
        <v>1805</v>
      </c>
      <c r="B30" s="670" t="s">
        <v>1806</v>
      </c>
      <c r="C30" s="670"/>
      <c r="D30" s="670"/>
      <c r="E30" s="670"/>
      <c r="F30" s="670"/>
      <c r="G30" s="670"/>
      <c r="H30" s="670"/>
      <c r="I30" s="670"/>
      <c r="J30" s="670"/>
      <c r="K30" s="670"/>
      <c r="L30" s="670"/>
      <c r="M30" s="670"/>
    </row>
    <row r="31" ht="15.75" spans="1:13">
      <c r="A31" s="698" t="s">
        <v>1807</v>
      </c>
      <c r="B31" s="699" t="s">
        <v>1808</v>
      </c>
      <c r="C31" s="699"/>
      <c r="D31" s="699"/>
      <c r="E31" s="699"/>
      <c r="F31" s="699"/>
      <c r="G31" s="699"/>
      <c r="H31" s="699"/>
      <c r="I31" s="699"/>
      <c r="J31" s="699"/>
      <c r="K31" s="699"/>
      <c r="L31" s="699"/>
      <c r="M31" s="699"/>
    </row>
  </sheetData>
  <sheetProtection formatCells="0" insertHyperlinks="0" autoFilter="0"/>
  <mergeCells count="12">
    <mergeCell ref="A1:N1"/>
    <mergeCell ref="A2:P2"/>
    <mergeCell ref="F5:N5"/>
    <mergeCell ref="B30:M30"/>
    <mergeCell ref="B31:M31"/>
    <mergeCell ref="A5:A6"/>
    <mergeCell ref="B5:B6"/>
    <mergeCell ref="C5:C6"/>
    <mergeCell ref="D5:D6"/>
    <mergeCell ref="E5:E6"/>
    <mergeCell ref="O5:O6"/>
    <mergeCell ref="P5:P6"/>
  </mergeCells>
  <printOptions horizontalCentered="1" verticalCentered="1"/>
  <pageMargins left="0.354330708661417" right="0.354330708661417" top="0.590551181102362" bottom="0.590551181102362" header="0.31496062992126" footer="0.31496062992126"/>
  <pageSetup paperSize="9" scale="95" orientation="landscape"/>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0" tint="-0.14905240028077"/>
  </sheetPr>
  <dimension ref="A1:G26"/>
  <sheetViews>
    <sheetView workbookViewId="0">
      <selection activeCell="A189" sqref="A189"/>
    </sheetView>
  </sheetViews>
  <sheetFormatPr defaultColWidth="8.875" defaultRowHeight="15.75" outlineLevelCol="6"/>
  <cols>
    <col min="1" max="1" width="7.125" customWidth="1"/>
    <col min="2" max="2" width="34.75" customWidth="1"/>
    <col min="3" max="3" width="18.5" customWidth="1"/>
    <col min="4" max="4" width="10.625" customWidth="1"/>
    <col min="5" max="5" width="13.25" customWidth="1"/>
    <col min="6" max="6" width="16.625" customWidth="1"/>
    <col min="7" max="7" width="32" customWidth="1"/>
    <col min="10" max="10" width="18.25" customWidth="1"/>
  </cols>
  <sheetData>
    <row r="1" ht="27.75" customHeight="1" spans="1:7">
      <c r="A1" s="640" t="s">
        <v>1809</v>
      </c>
      <c r="B1" s="640"/>
      <c r="C1" s="640"/>
      <c r="D1" s="640"/>
      <c r="E1" s="640"/>
      <c r="F1" s="640"/>
      <c r="G1" s="640"/>
    </row>
    <row r="2" s="639" customFormat="1" customHeight="1" spans="1:7">
      <c r="A2" s="101"/>
      <c r="B2" s="101"/>
      <c r="C2" s="101"/>
      <c r="G2" s="641" t="s">
        <v>1810</v>
      </c>
    </row>
    <row r="3" s="639" customFormat="1" ht="18" customHeight="1" spans="1:7">
      <c r="A3" s="642" t="str" cm="1">
        <f t="array" ref="A3">"工程名称："&amp;工程名称&amp;"  "&amp;工区</f>
        <v>工程名称：az  2</v>
      </c>
      <c r="C3" s="101"/>
      <c r="G3" s="641" t="s">
        <v>1253</v>
      </c>
    </row>
    <row r="4" s="639" customFormat="1" ht="21.75" customHeight="1" spans="1:7">
      <c r="A4" s="643" t="s">
        <v>1254</v>
      </c>
      <c r="B4" s="644" t="s">
        <v>1399</v>
      </c>
      <c r="C4" s="644" t="s">
        <v>1811</v>
      </c>
      <c r="D4" s="644" t="s">
        <v>1812</v>
      </c>
      <c r="E4" s="644" t="s">
        <v>1813</v>
      </c>
      <c r="F4" s="644" t="s">
        <v>1814</v>
      </c>
      <c r="G4" s="645" t="s">
        <v>1262</v>
      </c>
    </row>
    <row r="5" s="639" customFormat="1" ht="20.25" customHeight="1" spans="1:7">
      <c r="A5" s="646">
        <v>1</v>
      </c>
      <c r="B5" s="647" t="s">
        <v>1815</v>
      </c>
      <c r="C5" s="648"/>
      <c r="D5" s="647"/>
      <c r="E5" s="647"/>
      <c r="F5" s="649">
        <v>0</v>
      </c>
      <c r="G5" s="650"/>
    </row>
    <row r="6" s="639" customFormat="1" ht="20.25" customHeight="1" spans="1:7">
      <c r="A6" s="651">
        <v>1.1</v>
      </c>
      <c r="B6" s="652" t="s">
        <v>1816</v>
      </c>
      <c r="C6" s="653"/>
      <c r="D6" s="654"/>
      <c r="E6" s="652"/>
      <c r="F6" s="655">
        <v>0</v>
      </c>
      <c r="G6" s="656"/>
    </row>
    <row r="7" s="639" customFormat="1" ht="20.25" customHeight="1" spans="1:7">
      <c r="A7" s="651">
        <v>1.2</v>
      </c>
      <c r="B7" s="652" t="s">
        <v>1817</v>
      </c>
      <c r="C7" s="653"/>
      <c r="D7" s="654"/>
      <c r="E7" s="652"/>
      <c r="F7" s="655">
        <v>0</v>
      </c>
      <c r="G7" s="656"/>
    </row>
    <row r="8" s="639" customFormat="1" ht="20.25" customHeight="1" spans="1:7">
      <c r="A8" s="651">
        <v>1.3</v>
      </c>
      <c r="B8" s="652" t="s">
        <v>1818</v>
      </c>
      <c r="C8" s="653"/>
      <c r="D8" s="654"/>
      <c r="E8" s="652"/>
      <c r="F8" s="655"/>
      <c r="G8" s="656"/>
    </row>
    <row r="9" s="639" customFormat="1" ht="20.25" customHeight="1" spans="1:7">
      <c r="A9" s="646">
        <v>2</v>
      </c>
      <c r="B9" s="647" t="s">
        <v>1819</v>
      </c>
      <c r="C9" s="648"/>
      <c r="D9" s="647"/>
      <c r="E9" s="647"/>
      <c r="F9" s="649">
        <f>F12+F14+F15</f>
        <v>9395.376021</v>
      </c>
      <c r="G9" s="650"/>
    </row>
    <row r="10" s="639" customFormat="1" ht="20.25" customHeight="1" spans="1:7">
      <c r="A10" s="651">
        <v>2.1</v>
      </c>
      <c r="B10" s="652" t="s">
        <v>1820</v>
      </c>
      <c r="C10" s="653"/>
      <c r="D10" s="652"/>
      <c r="E10" s="652"/>
      <c r="F10" s="652">
        <v>0</v>
      </c>
      <c r="G10" s="656"/>
    </row>
    <row r="11" s="639" customFormat="1" ht="20.25" customHeight="1" spans="1:7">
      <c r="A11" s="651">
        <v>2.2</v>
      </c>
      <c r="B11" s="652" t="s">
        <v>1821</v>
      </c>
      <c r="C11" s="653"/>
      <c r="D11" s="652"/>
      <c r="E11" s="652"/>
      <c r="F11" s="652">
        <v>0</v>
      </c>
      <c r="G11" s="656"/>
    </row>
    <row r="12" s="639" customFormat="1" ht="20.25" customHeight="1" spans="1:7">
      <c r="A12" s="651">
        <v>2.3</v>
      </c>
      <c r="B12" s="652" t="s">
        <v>1822</v>
      </c>
      <c r="C12" s="653">
        <f>('分项对比表(02表)'!I5-'分项对比表(02表)'!I66)*0.1</f>
        <v>521965.3345</v>
      </c>
      <c r="D12" s="654">
        <v>0.012</v>
      </c>
      <c r="E12" s="652">
        <v>1.5</v>
      </c>
      <c r="F12" s="657">
        <f>E12*D12*C12</f>
        <v>9395.376021</v>
      </c>
      <c r="G12" s="656"/>
    </row>
    <row r="13" s="639" customFormat="1" ht="20.25" customHeight="1" spans="1:7">
      <c r="A13" s="651">
        <v>2.4</v>
      </c>
      <c r="B13" s="652" t="s">
        <v>1823</v>
      </c>
      <c r="C13" s="653">
        <v>0</v>
      </c>
      <c r="D13" s="654">
        <v>0.008</v>
      </c>
      <c r="E13" s="652"/>
      <c r="F13" s="658">
        <v>0</v>
      </c>
      <c r="G13" s="656"/>
    </row>
    <row r="14" s="639" customFormat="1" ht="35.45" customHeight="1" spans="1:7">
      <c r="A14" s="646">
        <v>3</v>
      </c>
      <c r="B14" s="647" t="s">
        <v>1824</v>
      </c>
      <c r="C14" s="648">
        <f>-J22</f>
        <v>0</v>
      </c>
      <c r="D14" s="659">
        <v>0.08</v>
      </c>
      <c r="E14" s="647">
        <v>1</v>
      </c>
      <c r="F14" s="660">
        <v>0</v>
      </c>
      <c r="G14" s="661"/>
    </row>
    <row r="15" s="639" customFormat="1" ht="20.25" customHeight="1" spans="1:7">
      <c r="A15" s="646">
        <v>4</v>
      </c>
      <c r="B15" s="647" t="s">
        <v>1825</v>
      </c>
      <c r="C15" s="648">
        <v>0</v>
      </c>
      <c r="D15" s="654">
        <v>0.08</v>
      </c>
      <c r="E15" s="647">
        <v>3</v>
      </c>
      <c r="F15" s="662">
        <v>0</v>
      </c>
      <c r="G15" s="650"/>
    </row>
    <row r="16" s="639" customFormat="1" ht="20.25" customHeight="1" spans="1:7">
      <c r="A16" s="646">
        <v>5</v>
      </c>
      <c r="B16" s="647" t="s">
        <v>1826</v>
      </c>
      <c r="C16" s="641" t="s">
        <v>1827</v>
      </c>
      <c r="E16" s="652"/>
      <c r="F16" s="652"/>
      <c r="G16" s="656"/>
    </row>
    <row r="17" s="639" customFormat="1" ht="20.25" customHeight="1" spans="1:7">
      <c r="A17" s="651"/>
      <c r="B17" s="652"/>
      <c r="C17" s="652"/>
      <c r="D17" s="652"/>
      <c r="E17" s="652"/>
      <c r="F17" s="652"/>
      <c r="G17" s="656"/>
    </row>
    <row r="18" s="639" customFormat="1" ht="20.25" customHeight="1" spans="1:7">
      <c r="A18" s="651"/>
      <c r="B18" s="652"/>
      <c r="C18" s="652"/>
      <c r="D18" s="652"/>
      <c r="E18" s="652"/>
      <c r="F18" s="652"/>
      <c r="G18" s="656"/>
    </row>
    <row r="19" s="639" customFormat="1" ht="20.25" customHeight="1" spans="1:7">
      <c r="A19" s="651"/>
      <c r="B19" s="652"/>
      <c r="C19" s="652"/>
      <c r="D19" s="652"/>
      <c r="E19" s="652"/>
      <c r="F19" s="652"/>
      <c r="G19" s="656"/>
    </row>
    <row r="20" s="639" customFormat="1" ht="20.25" customHeight="1" spans="1:7">
      <c r="A20" s="663"/>
      <c r="B20" s="652"/>
      <c r="C20" s="652"/>
      <c r="D20" s="652"/>
      <c r="E20" s="652"/>
      <c r="F20" s="652"/>
      <c r="G20" s="656"/>
    </row>
    <row r="21" ht="20.25" customHeight="1" spans="1:7">
      <c r="A21" s="664"/>
      <c r="B21" s="665" t="s">
        <v>1828</v>
      </c>
      <c r="C21" s="666"/>
      <c r="D21" s="666"/>
      <c r="E21" s="666"/>
      <c r="F21" s="667">
        <f>F5+F9+F14+F15+F16</f>
        <v>9395.376021</v>
      </c>
      <c r="G21" s="668"/>
    </row>
    <row r="23" spans="2:2">
      <c r="B23" t="s">
        <v>1829</v>
      </c>
    </row>
    <row r="24" spans="1:2">
      <c r="A24" s="669" t="s">
        <v>1805</v>
      </c>
      <c r="B24" t="s">
        <v>1830</v>
      </c>
    </row>
    <row r="25" spans="1:7">
      <c r="A25" s="669" t="s">
        <v>1807</v>
      </c>
      <c r="B25" s="670" t="s">
        <v>1831</v>
      </c>
      <c r="C25" s="670"/>
      <c r="D25" s="670"/>
      <c r="E25" s="670"/>
      <c r="F25" s="670"/>
      <c r="G25" s="670"/>
    </row>
    <row r="26" spans="1:2">
      <c r="A26" s="669"/>
      <c r="B26" s="671"/>
    </row>
  </sheetData>
  <sheetProtection formatCells="0" insertHyperlinks="0" autoFilter="0"/>
  <mergeCells count="2">
    <mergeCell ref="A1:G1"/>
    <mergeCell ref="B25:G25"/>
  </mergeCells>
  <printOptions horizontalCentered="1" verticalCentered="1"/>
  <pageMargins left="0.354330708661417" right="0.354330708661417" top="0.78740157480315" bottom="0.984251968503937" header="0.511811023622047" footer="0.511811023622047"/>
  <pageSetup paperSize="9" orientation="landscape"/>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B588"/>
  <sheetViews>
    <sheetView zoomScale="70" zoomScaleNormal="70" workbookViewId="0">
      <selection activeCell="P30" sqref="P30"/>
    </sheetView>
  </sheetViews>
  <sheetFormatPr defaultColWidth="9" defaultRowHeight="20.1" customHeight="1" outlineLevelCol="1"/>
  <cols>
    <col min="1" max="1" width="15.25" style="633" customWidth="1"/>
    <col min="2" max="2" width="27.25" customWidth="1"/>
    <col min="3" max="3" width="31.75" customWidth="1"/>
  </cols>
  <sheetData>
    <row r="1" customHeight="1" spans="1:1">
      <c r="A1" s="633" t="s">
        <v>1832</v>
      </c>
    </row>
    <row r="2" customHeight="1" spans="1:1">
      <c r="A2" s="634" t="s">
        <v>1365</v>
      </c>
    </row>
    <row r="3" customHeight="1" spans="1:1">
      <c r="A3" s="634" t="s">
        <v>1833</v>
      </c>
    </row>
    <row r="4" customHeight="1" spans="1:1">
      <c r="A4" s="634" t="s">
        <v>1834</v>
      </c>
    </row>
    <row r="5" customHeight="1" spans="1:1">
      <c r="A5" s="634" t="s">
        <v>1835</v>
      </c>
    </row>
    <row r="6" customHeight="1" spans="1:1">
      <c r="A6" s="633" t="s">
        <v>1836</v>
      </c>
    </row>
    <row r="7" customHeight="1" spans="1:1">
      <c r="A7" s="633" t="s">
        <v>1837</v>
      </c>
    </row>
    <row r="8" customHeight="1" spans="1:1">
      <c r="A8" s="633" t="s">
        <v>1838</v>
      </c>
    </row>
    <row r="9" customHeight="1" spans="1:1">
      <c r="A9" s="633" t="s">
        <v>1839</v>
      </c>
    </row>
    <row r="10" customHeight="1" spans="1:1">
      <c r="A10" s="633" t="s">
        <v>1840</v>
      </c>
    </row>
    <row r="11" customHeight="1" spans="1:1">
      <c r="A11" s="633" t="s">
        <v>1243</v>
      </c>
    </row>
    <row r="12" customHeight="1" spans="1:1">
      <c r="A12" s="633" t="s">
        <v>1841</v>
      </c>
    </row>
    <row r="13" customHeight="1" spans="1:1">
      <c r="A13" s="633" t="s">
        <v>1842</v>
      </c>
    </row>
    <row r="14" customHeight="1" spans="1:1">
      <c r="A14" s="633" t="s">
        <v>1843</v>
      </c>
    </row>
    <row r="15" customHeight="1" spans="1:1">
      <c r="A15" s="633" t="s">
        <v>1844</v>
      </c>
    </row>
    <row r="16" customHeight="1" spans="1:1">
      <c r="A16" s="633" t="s">
        <v>1845</v>
      </c>
    </row>
    <row r="17" customHeight="1" spans="1:1">
      <c r="A17" s="633" t="s">
        <v>1846</v>
      </c>
    </row>
    <row r="18" customHeight="1" spans="1:1">
      <c r="A18" s="633" t="s">
        <v>1847</v>
      </c>
    </row>
    <row r="19" customHeight="1" spans="1:1">
      <c r="A19" s="633" t="s">
        <v>1848</v>
      </c>
    </row>
    <row r="20" customHeight="1" spans="1:1">
      <c r="A20" s="633" t="s">
        <v>1849</v>
      </c>
    </row>
    <row r="21" customHeight="1" spans="1:1">
      <c r="A21" s="633" t="s">
        <v>1850</v>
      </c>
    </row>
    <row r="22" customHeight="1" spans="1:1">
      <c r="A22" s="633" t="s">
        <v>1851</v>
      </c>
    </row>
    <row r="23" customHeight="1" spans="1:1">
      <c r="A23" s="633" t="s">
        <v>59</v>
      </c>
    </row>
    <row r="24" customHeight="1" spans="1:1">
      <c r="A24" s="633" t="s">
        <v>1852</v>
      </c>
    </row>
    <row r="25" customHeight="1" spans="1:1">
      <c r="A25" s="633" t="s">
        <v>1853</v>
      </c>
    </row>
    <row r="26" customHeight="1" spans="1:1">
      <c r="A26" s="633" t="s">
        <v>1854</v>
      </c>
    </row>
    <row r="27" customHeight="1" spans="1:1">
      <c r="A27" s="633" t="s">
        <v>1855</v>
      </c>
    </row>
    <row r="28" customHeight="1" spans="1:1">
      <c r="A28" s="633" t="s">
        <v>1856</v>
      </c>
    </row>
    <row r="29" customHeight="1" spans="1:1">
      <c r="A29" s="633" t="s">
        <v>1857</v>
      </c>
    </row>
    <row r="30" customHeight="1" spans="1:1">
      <c r="A30" s="633" t="s">
        <v>1858</v>
      </c>
    </row>
    <row r="31" customHeight="1" spans="1:1">
      <c r="A31" s="633" t="s">
        <v>1859</v>
      </c>
    </row>
    <row r="32" customHeight="1" spans="1:1">
      <c r="A32" s="633" t="s">
        <v>1860</v>
      </c>
    </row>
    <row r="33" customHeight="1" spans="1:1">
      <c r="A33" s="633" t="s">
        <v>1861</v>
      </c>
    </row>
    <row r="34" customHeight="1" spans="1:1">
      <c r="A34" s="633" t="s">
        <v>1862</v>
      </c>
    </row>
    <row r="35" customHeight="1" spans="1:1">
      <c r="A35" s="633" t="s">
        <v>1863</v>
      </c>
    </row>
    <row r="36" customHeight="1" spans="1:1">
      <c r="A36" s="633" t="s">
        <v>1864</v>
      </c>
    </row>
    <row r="37" customHeight="1" spans="1:1">
      <c r="A37" s="633" t="s">
        <v>1865</v>
      </c>
    </row>
    <row r="38" customHeight="1" spans="1:1">
      <c r="A38" s="633" t="s">
        <v>1866</v>
      </c>
    </row>
    <row r="39" customHeight="1" spans="1:1">
      <c r="A39" s="633" t="s">
        <v>1867</v>
      </c>
    </row>
    <row r="40" customHeight="1" spans="1:1">
      <c r="A40" s="633" t="s">
        <v>1868</v>
      </c>
    </row>
    <row r="41" customHeight="1" spans="1:1">
      <c r="A41" s="633" t="s">
        <v>1869</v>
      </c>
    </row>
    <row r="42" customHeight="1" spans="1:1">
      <c r="A42" s="633" t="s">
        <v>1870</v>
      </c>
    </row>
    <row r="43" customHeight="1" spans="1:1">
      <c r="A43" s="633" t="s">
        <v>1871</v>
      </c>
    </row>
    <row r="44" customHeight="1" spans="1:1">
      <c r="A44" s="633" t="s">
        <v>1872</v>
      </c>
    </row>
    <row r="45" customHeight="1" spans="1:1">
      <c r="A45" s="633" t="s">
        <v>1873</v>
      </c>
    </row>
    <row r="46" customHeight="1" spans="1:1">
      <c r="A46" s="633" t="s">
        <v>1874</v>
      </c>
    </row>
    <row r="47" customHeight="1" spans="1:1">
      <c r="A47" s="633" t="s">
        <v>1875</v>
      </c>
    </row>
    <row r="48" customHeight="1" spans="1:1">
      <c r="A48" s="633" t="s">
        <v>1876</v>
      </c>
    </row>
    <row r="49" customHeight="1" spans="1:1">
      <c r="A49" s="633" t="s">
        <v>1877</v>
      </c>
    </row>
    <row r="50" customHeight="1" spans="1:1">
      <c r="A50" s="633" t="s">
        <v>1878</v>
      </c>
    </row>
    <row r="51" customHeight="1" spans="1:1">
      <c r="A51" s="633" t="s">
        <v>1879</v>
      </c>
    </row>
    <row r="52" customHeight="1" spans="1:1">
      <c r="A52" s="633" t="s">
        <v>1880</v>
      </c>
    </row>
    <row r="53" customHeight="1" spans="1:1">
      <c r="A53" s="633" t="s">
        <v>1881</v>
      </c>
    </row>
    <row r="54" customHeight="1" spans="1:1">
      <c r="A54" s="633" t="s">
        <v>1882</v>
      </c>
    </row>
    <row r="55" customHeight="1" spans="1:1">
      <c r="A55" s="633" t="s">
        <v>1883</v>
      </c>
    </row>
    <row r="56" customHeight="1" spans="1:1">
      <c r="A56" s="633" t="s">
        <v>1884</v>
      </c>
    </row>
    <row r="57" customHeight="1" spans="1:1">
      <c r="A57" s="633" t="s">
        <v>1885</v>
      </c>
    </row>
    <row r="58" customHeight="1" spans="1:1">
      <c r="A58" s="633" t="s">
        <v>1886</v>
      </c>
    </row>
    <row r="59" customHeight="1" spans="1:1">
      <c r="A59" s="633" t="s">
        <v>1887</v>
      </c>
    </row>
    <row r="60" customHeight="1" spans="1:1">
      <c r="A60" s="633" t="s">
        <v>1888</v>
      </c>
    </row>
    <row r="61" customHeight="1" spans="1:1">
      <c r="A61" s="633" t="s">
        <v>1889</v>
      </c>
    </row>
    <row r="62" customHeight="1" spans="1:1">
      <c r="A62" s="633" t="s">
        <v>1645</v>
      </c>
    </row>
    <row r="63" customHeight="1" spans="1:1">
      <c r="A63" s="633" t="s">
        <v>1890</v>
      </c>
    </row>
    <row r="64" customHeight="1" spans="1:1">
      <c r="A64" s="633" t="s">
        <v>1891</v>
      </c>
    </row>
    <row r="65" customHeight="1" spans="1:1">
      <c r="A65" s="633" t="s">
        <v>1892</v>
      </c>
    </row>
    <row r="66" customHeight="1" spans="1:1">
      <c r="A66" s="633" t="s">
        <v>1893</v>
      </c>
    </row>
    <row r="67" customHeight="1" spans="1:1">
      <c r="A67" s="633" t="s">
        <v>1894</v>
      </c>
    </row>
    <row r="68" customHeight="1" spans="1:1">
      <c r="A68" s="633" t="s">
        <v>1895</v>
      </c>
    </row>
    <row r="69" customHeight="1" spans="1:1">
      <c r="A69" s="633" t="s">
        <v>1896</v>
      </c>
    </row>
    <row r="70" customHeight="1" spans="1:1">
      <c r="A70" s="633" t="s">
        <v>1897</v>
      </c>
    </row>
    <row r="71" customHeight="1" spans="1:1">
      <c r="A71" s="633" t="s">
        <v>1898</v>
      </c>
    </row>
    <row r="72" customHeight="1" spans="1:1">
      <c r="A72" s="633" t="s">
        <v>1899</v>
      </c>
    </row>
    <row r="73" customHeight="1" spans="1:1">
      <c r="A73" s="633" t="s">
        <v>1900</v>
      </c>
    </row>
    <row r="74" customHeight="1" spans="1:1">
      <c r="A74" s="633" t="s">
        <v>1901</v>
      </c>
    </row>
    <row r="75" customHeight="1" spans="1:1">
      <c r="A75" s="633" t="s">
        <v>1902</v>
      </c>
    </row>
    <row r="76" customHeight="1" spans="1:1">
      <c r="A76" s="633" t="s">
        <v>1903</v>
      </c>
    </row>
    <row r="77" customHeight="1" spans="1:1">
      <c r="A77" s="633" t="s">
        <v>1904</v>
      </c>
    </row>
    <row r="78" customHeight="1" spans="1:1">
      <c r="A78" s="633" t="s">
        <v>1905</v>
      </c>
    </row>
    <row r="79" customHeight="1" spans="1:1">
      <c r="A79" s="633" t="s">
        <v>1906</v>
      </c>
    </row>
    <row r="80" customHeight="1" spans="1:1">
      <c r="A80" s="633" t="s">
        <v>1907</v>
      </c>
    </row>
    <row r="81" customHeight="1" spans="1:1">
      <c r="A81" s="633" t="s">
        <v>1908</v>
      </c>
    </row>
    <row r="82" customHeight="1" spans="1:1">
      <c r="A82" s="633" t="s">
        <v>1909</v>
      </c>
    </row>
    <row r="83" customHeight="1" spans="1:1">
      <c r="A83" s="633" t="s">
        <v>1910</v>
      </c>
    </row>
    <row r="84" customHeight="1" spans="1:1">
      <c r="A84" s="633" t="s">
        <v>1911</v>
      </c>
    </row>
    <row r="85" customHeight="1" spans="1:1">
      <c r="A85" s="633" t="s">
        <v>1912</v>
      </c>
    </row>
    <row r="86" customHeight="1" spans="1:1">
      <c r="A86" s="633" t="s">
        <v>1913</v>
      </c>
    </row>
    <row r="87" customHeight="1" spans="1:1">
      <c r="A87" s="633" t="s">
        <v>1914</v>
      </c>
    </row>
    <row r="88" customHeight="1" spans="1:1">
      <c r="A88" s="633" t="s">
        <v>1915</v>
      </c>
    </row>
    <row r="89" customHeight="1" spans="1:1">
      <c r="A89" s="633" t="s">
        <v>1916</v>
      </c>
    </row>
    <row r="90" customHeight="1" spans="1:1">
      <c r="A90" s="633" t="s">
        <v>221</v>
      </c>
    </row>
    <row r="91" customHeight="1" spans="1:1">
      <c r="A91" s="633" t="s">
        <v>1917</v>
      </c>
    </row>
    <row r="92" customHeight="1" spans="1:1">
      <c r="A92" s="633" t="s">
        <v>425</v>
      </c>
    </row>
    <row r="93" customHeight="1" spans="1:1">
      <c r="A93" s="633" t="s">
        <v>1918</v>
      </c>
    </row>
    <row r="94" customHeight="1" spans="1:1">
      <c r="A94" s="633" t="s">
        <v>1919</v>
      </c>
    </row>
    <row r="95" customHeight="1" spans="1:1">
      <c r="A95" s="633" t="s">
        <v>1920</v>
      </c>
    </row>
    <row r="96" customHeight="1" spans="1:1">
      <c r="A96" s="633" t="s">
        <v>1921</v>
      </c>
    </row>
    <row r="97" customHeight="1" spans="1:1">
      <c r="A97" s="633" t="s">
        <v>1922</v>
      </c>
    </row>
    <row r="98" customHeight="1" spans="1:1">
      <c r="A98" s="633" t="s">
        <v>1923</v>
      </c>
    </row>
    <row r="99" customHeight="1" spans="1:1">
      <c r="A99" s="633" t="s">
        <v>1924</v>
      </c>
    </row>
    <row r="100" customHeight="1" spans="1:1">
      <c r="A100" s="633" t="s">
        <v>1925</v>
      </c>
    </row>
    <row r="101" customHeight="1" spans="1:1">
      <c r="A101" s="633" t="s">
        <v>1926</v>
      </c>
    </row>
    <row r="102" customHeight="1" spans="1:1">
      <c r="A102" s="633" t="s">
        <v>1927</v>
      </c>
    </row>
    <row r="103" customHeight="1" spans="1:1">
      <c r="A103" s="633" t="s">
        <v>1928</v>
      </c>
    </row>
    <row r="104" customHeight="1" spans="1:1">
      <c r="A104" s="633" t="s">
        <v>1929</v>
      </c>
    </row>
    <row r="105" customHeight="1" spans="1:1">
      <c r="A105" s="633" t="s">
        <v>1930</v>
      </c>
    </row>
    <row r="106" customHeight="1" spans="1:1">
      <c r="A106" s="633" t="s">
        <v>1931</v>
      </c>
    </row>
    <row r="107" customHeight="1" spans="1:1">
      <c r="A107" s="633" t="s">
        <v>1932</v>
      </c>
    </row>
    <row r="108" customHeight="1" spans="1:1">
      <c r="A108" s="633" t="s">
        <v>1933</v>
      </c>
    </row>
    <row r="109" customHeight="1" spans="1:1">
      <c r="A109" s="633" t="s">
        <v>1934</v>
      </c>
    </row>
    <row r="110" customHeight="1" spans="1:1">
      <c r="A110" s="633" t="s">
        <v>1935</v>
      </c>
    </row>
    <row r="111" customHeight="1" spans="1:1">
      <c r="A111" s="633" t="s">
        <v>1936</v>
      </c>
    </row>
    <row r="112" customHeight="1" spans="1:1">
      <c r="A112" s="633" t="s">
        <v>1937</v>
      </c>
    </row>
    <row r="113" customHeight="1" spans="1:1">
      <c r="A113" s="633" t="s">
        <v>1938</v>
      </c>
    </row>
    <row r="114" customHeight="1" spans="1:1">
      <c r="A114" s="633" t="s">
        <v>1939</v>
      </c>
    </row>
    <row r="115" customHeight="1" spans="1:1">
      <c r="A115" s="633" t="s">
        <v>562</v>
      </c>
    </row>
    <row r="116" customHeight="1" spans="1:1">
      <c r="A116" s="633" t="s">
        <v>1940</v>
      </c>
    </row>
    <row r="117" customHeight="1" spans="1:1">
      <c r="A117" s="633" t="s">
        <v>1941</v>
      </c>
    </row>
    <row r="118" customHeight="1" spans="1:1">
      <c r="A118" s="633" t="s">
        <v>1942</v>
      </c>
    </row>
    <row r="119" customHeight="1" spans="1:1">
      <c r="A119" s="633" t="s">
        <v>1943</v>
      </c>
    </row>
    <row r="120" customHeight="1" spans="1:1">
      <c r="A120" s="633" t="s">
        <v>1944</v>
      </c>
    </row>
    <row r="121" customHeight="1" spans="1:1">
      <c r="A121" s="633" t="s">
        <v>1945</v>
      </c>
    </row>
    <row r="122" customHeight="1" spans="1:1">
      <c r="A122" s="633" t="s">
        <v>1946</v>
      </c>
    </row>
    <row r="123" customHeight="1" spans="1:1">
      <c r="A123" s="633" t="s">
        <v>1947</v>
      </c>
    </row>
    <row r="124" customHeight="1" spans="1:1">
      <c r="A124" s="633" t="s">
        <v>1948</v>
      </c>
    </row>
    <row r="125" customHeight="1" spans="1:1">
      <c r="A125" s="633" t="s">
        <v>1949</v>
      </c>
    </row>
    <row r="126" customHeight="1" spans="1:1">
      <c r="A126" s="633" t="s">
        <v>1950</v>
      </c>
    </row>
    <row r="127" customHeight="1" spans="1:1">
      <c r="A127" s="633" t="s">
        <v>1951</v>
      </c>
    </row>
    <row r="128" customHeight="1" spans="1:1">
      <c r="A128" s="633" t="s">
        <v>1952</v>
      </c>
    </row>
    <row r="129" customHeight="1" spans="1:1">
      <c r="A129" s="633" t="s">
        <v>1953</v>
      </c>
    </row>
    <row r="130" customHeight="1" spans="1:1">
      <c r="A130" s="633" t="s">
        <v>1954</v>
      </c>
    </row>
    <row r="131" customHeight="1" spans="1:1">
      <c r="A131" s="633" t="s">
        <v>1955</v>
      </c>
    </row>
    <row r="132" customHeight="1" spans="1:1">
      <c r="A132" s="633" t="s">
        <v>1956</v>
      </c>
    </row>
    <row r="133" customHeight="1" spans="1:1">
      <c r="A133" s="633" t="s">
        <v>751</v>
      </c>
    </row>
    <row r="134" customHeight="1" spans="1:1">
      <c r="A134" s="633" t="s">
        <v>1957</v>
      </c>
    </row>
    <row r="135" customHeight="1" spans="1:1">
      <c r="A135" s="633" t="s">
        <v>1958</v>
      </c>
    </row>
    <row r="136" customHeight="1" spans="1:1">
      <c r="A136" s="633" t="s">
        <v>1959</v>
      </c>
    </row>
    <row r="137" customHeight="1" spans="1:1">
      <c r="A137" s="633" t="s">
        <v>1960</v>
      </c>
    </row>
    <row r="138" customHeight="1" spans="1:1">
      <c r="A138" s="633" t="s">
        <v>1961</v>
      </c>
    </row>
    <row r="139" customHeight="1" spans="1:1">
      <c r="A139" s="633" t="s">
        <v>1962</v>
      </c>
    </row>
    <row r="140" customHeight="1" spans="1:1">
      <c r="A140" s="633" t="s">
        <v>1963</v>
      </c>
    </row>
    <row r="141" customHeight="1" spans="1:1">
      <c r="A141" s="633" t="s">
        <v>1964</v>
      </c>
    </row>
    <row r="142" customHeight="1" spans="1:1">
      <c r="A142" s="633" t="s">
        <v>1965</v>
      </c>
    </row>
    <row r="143" customHeight="1" spans="1:1">
      <c r="A143" s="633" t="s">
        <v>1966</v>
      </c>
    </row>
    <row r="144" customHeight="1" spans="1:1">
      <c r="A144" s="633" t="s">
        <v>1967</v>
      </c>
    </row>
    <row r="145" customHeight="1" spans="1:1">
      <c r="A145" s="633" t="s">
        <v>1968</v>
      </c>
    </row>
    <row r="146" customHeight="1" spans="1:1">
      <c r="A146" s="633" t="s">
        <v>1969</v>
      </c>
    </row>
    <row r="147" customHeight="1" spans="1:1">
      <c r="A147" s="633" t="s">
        <v>1970</v>
      </c>
    </row>
    <row r="148" customHeight="1" spans="1:1">
      <c r="A148" s="633" t="s">
        <v>1971</v>
      </c>
    </row>
    <row r="149" customHeight="1" spans="1:1">
      <c r="A149" s="633" t="s">
        <v>1972</v>
      </c>
    </row>
    <row r="150" customHeight="1" spans="1:1">
      <c r="A150" s="633" t="s">
        <v>1973</v>
      </c>
    </row>
    <row r="151" customHeight="1" spans="1:1">
      <c r="A151" s="633" t="s">
        <v>1974</v>
      </c>
    </row>
    <row r="152" customHeight="1" spans="1:1">
      <c r="A152" s="633" t="s">
        <v>1975</v>
      </c>
    </row>
    <row r="153" customHeight="1" spans="1:1">
      <c r="A153" s="633" t="s">
        <v>1976</v>
      </c>
    </row>
    <row r="154" customHeight="1" spans="1:1">
      <c r="A154" s="633" t="s">
        <v>1012</v>
      </c>
    </row>
    <row r="155" customHeight="1" spans="1:1">
      <c r="A155" s="633" t="s">
        <v>1977</v>
      </c>
    </row>
    <row r="156" customHeight="1" spans="1:1">
      <c r="A156" s="633" t="s">
        <v>1978</v>
      </c>
    </row>
    <row r="157" customHeight="1" spans="1:1">
      <c r="A157" s="633" t="s">
        <v>1979</v>
      </c>
    </row>
    <row r="158" customHeight="1" spans="1:1">
      <c r="A158" s="633" t="s">
        <v>1980</v>
      </c>
    </row>
    <row r="159" customHeight="1" spans="1:1">
      <c r="A159" s="633" t="s">
        <v>1981</v>
      </c>
    </row>
    <row r="160" customHeight="1" spans="1:1">
      <c r="A160" s="633" t="s">
        <v>1982</v>
      </c>
    </row>
    <row r="161" customHeight="1" spans="1:1">
      <c r="A161" s="633" t="s">
        <v>1983</v>
      </c>
    </row>
    <row r="162" customHeight="1" spans="1:1">
      <c r="A162" s="633" t="s">
        <v>1984</v>
      </c>
    </row>
    <row r="163" customHeight="1" spans="1:1">
      <c r="A163" s="633" t="s">
        <v>668</v>
      </c>
    </row>
    <row r="164" customHeight="1" spans="1:1">
      <c r="A164" s="633" t="s">
        <v>1985</v>
      </c>
    </row>
    <row r="165" customHeight="1" spans="1:1">
      <c r="A165" s="633" t="s">
        <v>1986</v>
      </c>
    </row>
    <row r="166" customHeight="1" spans="1:1">
      <c r="A166" s="633" t="s">
        <v>1987</v>
      </c>
    </row>
    <row r="167" customHeight="1" spans="1:1">
      <c r="A167" s="633" t="s">
        <v>1988</v>
      </c>
    </row>
    <row r="168" customHeight="1" spans="1:1">
      <c r="A168" s="633" t="s">
        <v>1989</v>
      </c>
    </row>
    <row r="169" customHeight="1" spans="1:1">
      <c r="A169" s="633" t="s">
        <v>1990</v>
      </c>
    </row>
    <row r="170" customHeight="1" spans="1:1">
      <c r="A170" s="633" t="s">
        <v>1991</v>
      </c>
    </row>
    <row r="171" customHeight="1" spans="1:1">
      <c r="A171" s="633" t="s">
        <v>1992</v>
      </c>
    </row>
    <row r="172" customHeight="1" spans="1:1">
      <c r="A172" s="633" t="s">
        <v>1993</v>
      </c>
    </row>
    <row r="173" customHeight="1" spans="1:1">
      <c r="A173" s="633" t="s">
        <v>1994</v>
      </c>
    </row>
    <row r="174" customHeight="1" spans="1:1">
      <c r="A174" s="633" t="s">
        <v>1995</v>
      </c>
    </row>
    <row r="175" customHeight="1" spans="1:1">
      <c r="A175" s="633" t="s">
        <v>1996</v>
      </c>
    </row>
    <row r="176" customHeight="1" spans="1:1">
      <c r="A176" s="633" t="s">
        <v>1997</v>
      </c>
    </row>
    <row r="177" customHeight="1" spans="1:1">
      <c r="A177" s="633" t="s">
        <v>1998</v>
      </c>
    </row>
    <row r="178" customHeight="1" spans="1:1">
      <c r="A178" s="633" t="s">
        <v>1999</v>
      </c>
    </row>
    <row r="179" customHeight="1" spans="1:1">
      <c r="A179" s="633" t="s">
        <v>2000</v>
      </c>
    </row>
    <row r="180" customHeight="1" spans="1:1">
      <c r="A180" s="633" t="s">
        <v>2001</v>
      </c>
    </row>
    <row r="181" customHeight="1" spans="1:1">
      <c r="A181" s="633" t="s">
        <v>2002</v>
      </c>
    </row>
    <row r="182" customHeight="1" spans="1:1">
      <c r="A182" s="633" t="s">
        <v>2003</v>
      </c>
    </row>
    <row r="183" customHeight="1" spans="1:1">
      <c r="A183" s="633" t="s">
        <v>2004</v>
      </c>
    </row>
    <row r="184" customHeight="1" spans="1:1">
      <c r="A184" s="633" t="s">
        <v>2005</v>
      </c>
    </row>
    <row r="185" customHeight="1" spans="1:1">
      <c r="A185" s="633" t="s">
        <v>2006</v>
      </c>
    </row>
    <row r="186" customHeight="1" spans="1:1">
      <c r="A186" s="633" t="s">
        <v>2007</v>
      </c>
    </row>
    <row r="187" customHeight="1" spans="1:1">
      <c r="A187" s="633" t="s">
        <v>2008</v>
      </c>
    </row>
    <row r="188" customHeight="1" spans="1:1">
      <c r="A188" s="633" t="s">
        <v>2009</v>
      </c>
    </row>
    <row r="189" customHeight="1" spans="1:1">
      <c r="A189" s="633" t="s">
        <v>2010</v>
      </c>
    </row>
    <row r="190" customHeight="1" spans="1:1">
      <c r="A190" s="633" t="s">
        <v>2011</v>
      </c>
    </row>
    <row r="191" customHeight="1" spans="1:1">
      <c r="A191" s="633" t="s">
        <v>2012</v>
      </c>
    </row>
    <row r="192" customHeight="1" spans="1:1">
      <c r="A192" s="633" t="s">
        <v>2013</v>
      </c>
    </row>
    <row r="193" customHeight="1" spans="1:1">
      <c r="A193" s="633" t="s">
        <v>2014</v>
      </c>
    </row>
    <row r="194" customHeight="1" spans="1:1">
      <c r="A194" s="633" t="s">
        <v>2015</v>
      </c>
    </row>
    <row r="195" customHeight="1" spans="1:1">
      <c r="A195" s="633" t="s">
        <v>2016</v>
      </c>
    </row>
    <row r="196" customHeight="1" spans="1:1">
      <c r="A196" s="633" t="s">
        <v>2017</v>
      </c>
    </row>
    <row r="197" customHeight="1" spans="1:1">
      <c r="A197" s="633" t="s">
        <v>2018</v>
      </c>
    </row>
    <row r="198" customHeight="1" spans="1:1">
      <c r="A198" s="633" t="s">
        <v>2019</v>
      </c>
    </row>
    <row r="199" customHeight="1" spans="1:1">
      <c r="A199" s="633" t="s">
        <v>533</v>
      </c>
    </row>
    <row r="200" customHeight="1" spans="1:1">
      <c r="A200" s="633" t="s">
        <v>2020</v>
      </c>
    </row>
    <row r="201" customHeight="1" spans="1:1">
      <c r="A201" s="633" t="s">
        <v>2021</v>
      </c>
    </row>
    <row r="202" customHeight="1" spans="1:1">
      <c r="A202" s="633" t="s">
        <v>2022</v>
      </c>
    </row>
    <row r="203" customHeight="1" spans="1:1">
      <c r="A203" s="633" t="s">
        <v>2023</v>
      </c>
    </row>
    <row r="204" customHeight="1" spans="1:1">
      <c r="A204" s="633" t="s">
        <v>2024</v>
      </c>
    </row>
    <row r="205" customHeight="1" spans="1:1">
      <c r="A205" s="633" t="s">
        <v>2025</v>
      </c>
    </row>
    <row r="206" customHeight="1" spans="1:1">
      <c r="A206" s="633" t="s">
        <v>347</v>
      </c>
    </row>
    <row r="207" customHeight="1" spans="1:1">
      <c r="A207" s="633" t="s">
        <v>2026</v>
      </c>
    </row>
    <row r="208" customHeight="1" spans="1:1">
      <c r="A208" s="633" t="s">
        <v>2027</v>
      </c>
    </row>
    <row r="209" customHeight="1" spans="1:1">
      <c r="A209" s="633" t="s">
        <v>2028</v>
      </c>
    </row>
    <row r="210" customHeight="1" spans="1:1">
      <c r="A210" s="633" t="s">
        <v>2029</v>
      </c>
    </row>
    <row r="211" customHeight="1" spans="1:1">
      <c r="A211" s="633" t="s">
        <v>2030</v>
      </c>
    </row>
    <row r="212" customHeight="1" spans="1:1">
      <c r="A212" s="633" t="s">
        <v>2031</v>
      </c>
    </row>
    <row r="213" customHeight="1" spans="1:1">
      <c r="A213" s="633" t="s">
        <v>1098</v>
      </c>
    </row>
    <row r="214" customHeight="1" spans="1:1">
      <c r="A214" s="633" t="s">
        <v>2032</v>
      </c>
    </row>
    <row r="215" customHeight="1" spans="1:1">
      <c r="A215" s="633" t="s">
        <v>2033</v>
      </c>
    </row>
    <row r="216" customHeight="1" spans="1:1">
      <c r="A216" s="633" t="s">
        <v>2034</v>
      </c>
    </row>
    <row r="217" customHeight="1" spans="1:1">
      <c r="A217" s="633" t="s">
        <v>2035</v>
      </c>
    </row>
    <row r="218" customHeight="1" spans="1:1">
      <c r="A218" s="633" t="s">
        <v>2036</v>
      </c>
    </row>
    <row r="219" customHeight="1" spans="1:1">
      <c r="A219" s="633" t="s">
        <v>2037</v>
      </c>
    </row>
    <row r="220" customHeight="1" spans="1:1">
      <c r="A220" s="633" t="s">
        <v>2038</v>
      </c>
    </row>
    <row r="221" customHeight="1" spans="1:1">
      <c r="A221" s="633" t="s">
        <v>2039</v>
      </c>
    </row>
    <row r="222" customHeight="1" spans="1:1">
      <c r="A222" s="633" t="s">
        <v>409</v>
      </c>
    </row>
    <row r="223" customHeight="1" spans="1:1">
      <c r="A223" s="633" t="s">
        <v>2040</v>
      </c>
    </row>
    <row r="224" customHeight="1" spans="1:1">
      <c r="A224" s="633" t="s">
        <v>2041</v>
      </c>
    </row>
    <row r="225" customHeight="1" spans="1:1">
      <c r="A225" s="633" t="s">
        <v>524</v>
      </c>
    </row>
    <row r="226" customHeight="1" spans="1:1">
      <c r="A226" s="633" t="s">
        <v>364</v>
      </c>
    </row>
    <row r="227" customHeight="1" spans="1:1">
      <c r="A227" s="633" t="s">
        <v>2042</v>
      </c>
    </row>
    <row r="228" customHeight="1" spans="1:1">
      <c r="A228" s="633" t="s">
        <v>433</v>
      </c>
    </row>
    <row r="229" customHeight="1" spans="1:1">
      <c r="A229" s="633" t="s">
        <v>2043</v>
      </c>
    </row>
    <row r="230" customHeight="1" spans="1:1">
      <c r="A230" s="633" t="s">
        <v>359</v>
      </c>
    </row>
    <row r="231" customHeight="1" spans="1:1">
      <c r="A231" s="633" t="s">
        <v>355</v>
      </c>
    </row>
    <row r="232" customHeight="1" spans="1:1">
      <c r="A232" s="633" t="s">
        <v>2044</v>
      </c>
    </row>
    <row r="233" customHeight="1" spans="1:1">
      <c r="A233" s="633" t="s">
        <v>2045</v>
      </c>
    </row>
    <row r="234" customHeight="1" spans="1:1">
      <c r="A234" s="633" t="s">
        <v>2046</v>
      </c>
    </row>
    <row r="235" customHeight="1" spans="1:1">
      <c r="A235" s="633" t="s">
        <v>2047</v>
      </c>
    </row>
    <row r="236" customHeight="1" spans="1:1">
      <c r="A236" s="633" t="s">
        <v>2048</v>
      </c>
    </row>
    <row r="237" customHeight="1" spans="1:1">
      <c r="A237" s="633" t="s">
        <v>2049</v>
      </c>
    </row>
    <row r="238" customHeight="1" spans="1:1">
      <c r="A238" s="633" t="s">
        <v>369</v>
      </c>
    </row>
    <row r="239" customHeight="1" spans="1:1">
      <c r="A239" s="633" t="s">
        <v>2050</v>
      </c>
    </row>
    <row r="240" customHeight="1" spans="1:1">
      <c r="A240" s="633" t="s">
        <v>2051</v>
      </c>
    </row>
    <row r="241" customHeight="1" spans="1:1">
      <c r="A241" s="633" t="s">
        <v>2052</v>
      </c>
    </row>
    <row r="242" customHeight="1" spans="1:1">
      <c r="A242" s="633" t="s">
        <v>2053</v>
      </c>
    </row>
    <row r="243" customHeight="1" spans="1:1">
      <c r="A243" s="633" t="s">
        <v>449</v>
      </c>
    </row>
    <row r="244" customHeight="1" spans="1:1">
      <c r="A244" s="633" t="s">
        <v>2054</v>
      </c>
    </row>
    <row r="245" customHeight="1" spans="1:1">
      <c r="A245" s="633" t="s">
        <v>2055</v>
      </c>
    </row>
    <row r="246" customHeight="1" spans="1:1">
      <c r="A246" s="633" t="s">
        <v>2056</v>
      </c>
    </row>
    <row r="247" customHeight="1" spans="1:1">
      <c r="A247" s="633" t="s">
        <v>2057</v>
      </c>
    </row>
    <row r="248" customHeight="1" spans="1:1">
      <c r="A248" s="633" t="s">
        <v>2058</v>
      </c>
    </row>
    <row r="249" customHeight="1" spans="1:1">
      <c r="A249" s="633" t="s">
        <v>496</v>
      </c>
    </row>
    <row r="250" customHeight="1" spans="1:1">
      <c r="A250" s="633" t="s">
        <v>417</v>
      </c>
    </row>
    <row r="251" customHeight="1" spans="1:1">
      <c r="A251" s="633" t="s">
        <v>2059</v>
      </c>
    </row>
    <row r="252" customHeight="1" spans="1:1">
      <c r="A252" s="633" t="s">
        <v>2060</v>
      </c>
    </row>
    <row r="253" customHeight="1" spans="1:1">
      <c r="A253" s="633" t="s">
        <v>2061</v>
      </c>
    </row>
    <row r="254" customHeight="1" spans="1:1">
      <c r="A254" s="633" t="s">
        <v>2062</v>
      </c>
    </row>
    <row r="255" customHeight="1" spans="1:1">
      <c r="A255" s="633" t="s">
        <v>2063</v>
      </c>
    </row>
    <row r="256" customHeight="1" spans="1:1">
      <c r="A256" s="633" t="s">
        <v>2064</v>
      </c>
    </row>
    <row r="257" customHeight="1" spans="1:1">
      <c r="A257" s="633" t="s">
        <v>2065</v>
      </c>
    </row>
    <row r="258" customHeight="1" spans="1:1">
      <c r="A258" s="633" t="s">
        <v>2066</v>
      </c>
    </row>
    <row r="259" customHeight="1" spans="1:1">
      <c r="A259" s="633" t="s">
        <v>2067</v>
      </c>
    </row>
    <row r="260" customHeight="1" spans="1:1">
      <c r="A260" s="633" t="s">
        <v>2068</v>
      </c>
    </row>
    <row r="261" customHeight="1" spans="1:1">
      <c r="A261" s="633" t="s">
        <v>2069</v>
      </c>
    </row>
    <row r="262" customHeight="1" spans="1:1">
      <c r="A262" s="633" t="s">
        <v>2070</v>
      </c>
    </row>
    <row r="263" customHeight="1" spans="1:1">
      <c r="A263" s="633" t="s">
        <v>2071</v>
      </c>
    </row>
    <row r="264" customHeight="1" spans="1:1">
      <c r="A264" s="633" t="s">
        <v>2072</v>
      </c>
    </row>
    <row r="265" customHeight="1" spans="1:1">
      <c r="A265" s="633" t="s">
        <v>2073</v>
      </c>
    </row>
    <row r="266" customHeight="1" spans="1:1">
      <c r="A266" s="633" t="s">
        <v>484</v>
      </c>
    </row>
    <row r="267" customHeight="1" spans="1:1">
      <c r="A267" s="633" t="s">
        <v>2074</v>
      </c>
    </row>
    <row r="268" customHeight="1" spans="1:1">
      <c r="A268" s="633" t="s">
        <v>2075</v>
      </c>
    </row>
    <row r="269" customHeight="1" spans="1:1">
      <c r="A269" s="633" t="s">
        <v>508</v>
      </c>
    </row>
    <row r="270" customHeight="1" spans="1:1">
      <c r="A270" s="633" t="s">
        <v>2076</v>
      </c>
    </row>
    <row r="271" customHeight="1" spans="1:1">
      <c r="A271" s="633" t="s">
        <v>2077</v>
      </c>
    </row>
    <row r="272" customHeight="1" spans="1:1">
      <c r="A272" s="633" t="s">
        <v>1017</v>
      </c>
    </row>
    <row r="273" customHeight="1" spans="1:1">
      <c r="A273" s="633" t="s">
        <v>2078</v>
      </c>
    </row>
    <row r="274" customHeight="1" spans="1:1">
      <c r="A274" s="633" t="s">
        <v>2079</v>
      </c>
    </row>
    <row r="275" customHeight="1" spans="1:1">
      <c r="A275" s="633" t="s">
        <v>2080</v>
      </c>
    </row>
    <row r="276" customHeight="1" spans="1:1">
      <c r="A276" s="633" t="s">
        <v>2081</v>
      </c>
    </row>
    <row r="277" customHeight="1" spans="1:1">
      <c r="A277" s="633" t="s">
        <v>2082</v>
      </c>
    </row>
    <row r="278" customHeight="1" spans="1:1">
      <c r="A278" s="633" t="s">
        <v>2083</v>
      </c>
    </row>
    <row r="279" customHeight="1" spans="1:1">
      <c r="A279" s="633" t="s">
        <v>2084</v>
      </c>
    </row>
    <row r="280" customHeight="1" spans="1:1">
      <c r="A280" s="633" t="s">
        <v>2085</v>
      </c>
    </row>
    <row r="281" customHeight="1" spans="1:1">
      <c r="A281" s="633" t="s">
        <v>2086</v>
      </c>
    </row>
    <row r="282" customHeight="1" spans="1:1">
      <c r="A282" s="633" t="s">
        <v>2087</v>
      </c>
    </row>
    <row r="283" customHeight="1" spans="1:1">
      <c r="A283" s="633" t="s">
        <v>530</v>
      </c>
    </row>
    <row r="284" customHeight="1" spans="1:1">
      <c r="A284" s="633" t="s">
        <v>2088</v>
      </c>
    </row>
    <row r="285" customHeight="1" spans="1:1">
      <c r="A285" s="633" t="s">
        <v>2089</v>
      </c>
    </row>
    <row r="286" customHeight="1" spans="1:1">
      <c r="A286" s="633" t="s">
        <v>2090</v>
      </c>
    </row>
    <row r="287" customHeight="1" spans="1:1">
      <c r="A287" s="633" t="s">
        <v>2091</v>
      </c>
    </row>
    <row r="288" customHeight="1" spans="1:1">
      <c r="A288" s="633" t="s">
        <v>2092</v>
      </c>
    </row>
    <row r="289" customHeight="1" spans="1:1">
      <c r="A289" s="633" t="s">
        <v>2093</v>
      </c>
    </row>
    <row r="290" customHeight="1" spans="1:1">
      <c r="A290" s="633" t="s">
        <v>1205</v>
      </c>
    </row>
    <row r="291" customHeight="1" spans="1:1">
      <c r="A291" s="633" t="s">
        <v>2094</v>
      </c>
    </row>
    <row r="292" customHeight="1" spans="1:1">
      <c r="A292" s="633" t="s">
        <v>2095</v>
      </c>
    </row>
    <row r="293" customHeight="1" spans="1:1">
      <c r="A293" s="633" t="s">
        <v>2096</v>
      </c>
    </row>
    <row r="294" customHeight="1" spans="1:1">
      <c r="A294" s="633" t="s">
        <v>2097</v>
      </c>
    </row>
    <row r="295" customHeight="1" spans="1:1">
      <c r="A295" s="633" t="s">
        <v>2098</v>
      </c>
    </row>
    <row r="296" customHeight="1" spans="1:1">
      <c r="A296" s="633" t="s">
        <v>2099</v>
      </c>
    </row>
    <row r="297" customHeight="1" spans="1:1">
      <c r="A297" s="633" t="s">
        <v>2100</v>
      </c>
    </row>
    <row r="298" customHeight="1" spans="1:1">
      <c r="A298" s="633" t="s">
        <v>2101</v>
      </c>
    </row>
    <row r="299" customHeight="1" spans="1:1">
      <c r="A299" s="633" t="s">
        <v>2102</v>
      </c>
    </row>
    <row r="300" customHeight="1" spans="1:1">
      <c r="A300" s="633" t="s">
        <v>2103</v>
      </c>
    </row>
    <row r="301" customHeight="1" spans="1:1">
      <c r="A301" s="633" t="s">
        <v>2104</v>
      </c>
    </row>
    <row r="302" customHeight="1" spans="1:1">
      <c r="A302" s="633" t="s">
        <v>2105</v>
      </c>
    </row>
    <row r="303" customHeight="1" spans="1:1">
      <c r="A303" s="633" t="s">
        <v>2106</v>
      </c>
    </row>
    <row r="304" customHeight="1" spans="1:1">
      <c r="A304" s="633" t="s">
        <v>2107</v>
      </c>
    </row>
    <row r="305" customHeight="1" spans="1:1">
      <c r="A305" s="633" t="s">
        <v>2108</v>
      </c>
    </row>
    <row r="306" customHeight="1" spans="1:1">
      <c r="A306" s="633" t="s">
        <v>2109</v>
      </c>
    </row>
    <row r="307" customHeight="1" spans="1:1">
      <c r="A307" s="633" t="s">
        <v>2110</v>
      </c>
    </row>
    <row r="308" customHeight="1" spans="1:1">
      <c r="A308" s="633" t="s">
        <v>2111</v>
      </c>
    </row>
    <row r="309" customHeight="1" spans="1:1">
      <c r="A309" s="633" t="s">
        <v>2112</v>
      </c>
    </row>
    <row r="310" customHeight="1" spans="1:1">
      <c r="A310" s="633" t="s">
        <v>2113</v>
      </c>
    </row>
    <row r="311" customHeight="1" spans="1:1">
      <c r="A311" s="633" t="s">
        <v>2114</v>
      </c>
    </row>
    <row r="312" customHeight="1" spans="1:1">
      <c r="A312" s="633" t="s">
        <v>2115</v>
      </c>
    </row>
    <row r="313" customHeight="1" spans="1:1">
      <c r="A313" s="633" t="s">
        <v>2116</v>
      </c>
    </row>
    <row r="314" customHeight="1" spans="1:1">
      <c r="A314" s="633" t="s">
        <v>2117</v>
      </c>
    </row>
    <row r="315" customHeight="1" spans="1:1">
      <c r="A315" s="633" t="s">
        <v>2118</v>
      </c>
    </row>
    <row r="316" customHeight="1" spans="1:1">
      <c r="A316" s="633" t="s">
        <v>2119</v>
      </c>
    </row>
    <row r="317" customHeight="1" spans="1:1">
      <c r="A317" s="633" t="s">
        <v>2120</v>
      </c>
    </row>
    <row r="318" customHeight="1" spans="1:1">
      <c r="A318" s="633" t="s">
        <v>2121</v>
      </c>
    </row>
    <row r="319" customHeight="1" spans="1:1">
      <c r="A319" s="633" t="s">
        <v>64</v>
      </c>
    </row>
    <row r="320" customHeight="1" spans="1:1">
      <c r="A320" s="633" t="s">
        <v>2122</v>
      </c>
    </row>
    <row r="321" customHeight="1" spans="1:1">
      <c r="A321" s="633" t="s">
        <v>2123</v>
      </c>
    </row>
    <row r="322" customHeight="1" spans="1:1">
      <c r="A322" s="633" t="s">
        <v>2124</v>
      </c>
    </row>
    <row r="323" customHeight="1" spans="1:1">
      <c r="A323" s="633" t="s">
        <v>2125</v>
      </c>
    </row>
    <row r="324" customHeight="1" spans="1:1">
      <c r="A324" s="633" t="s">
        <v>2126</v>
      </c>
    </row>
    <row r="325" customHeight="1" spans="1:1">
      <c r="A325" s="633" t="s">
        <v>2127</v>
      </c>
    </row>
    <row r="326" customHeight="1" spans="1:1">
      <c r="A326" s="633" t="s">
        <v>2128</v>
      </c>
    </row>
    <row r="327" customHeight="1" spans="1:1">
      <c r="A327" s="635">
        <v>13</v>
      </c>
    </row>
    <row r="328" customHeight="1" spans="1:1">
      <c r="A328" s="635">
        <v>20</v>
      </c>
    </row>
    <row r="329" customHeight="1" spans="1:1">
      <c r="A329" s="635">
        <v>10</v>
      </c>
    </row>
    <row r="330" customHeight="1" spans="1:1">
      <c r="A330" s="635">
        <v>25</v>
      </c>
    </row>
    <row r="331" customHeight="1" spans="1:1">
      <c r="A331" s="633" t="s">
        <v>2129</v>
      </c>
    </row>
    <row r="332" customHeight="1" spans="1:1">
      <c r="A332" s="633" t="s">
        <v>2130</v>
      </c>
    </row>
    <row r="333" customHeight="1" spans="1:1">
      <c r="A333" s="633" t="s">
        <v>2131</v>
      </c>
    </row>
    <row r="334" customHeight="1" spans="1:1">
      <c r="A334" s="633" t="s">
        <v>2132</v>
      </c>
    </row>
    <row r="335" customHeight="1" spans="1:1">
      <c r="A335" s="633" t="s">
        <v>2133</v>
      </c>
    </row>
    <row r="336" customHeight="1" spans="1:1">
      <c r="A336" s="633" t="s">
        <v>2134</v>
      </c>
    </row>
    <row r="337" customHeight="1" spans="1:1">
      <c r="A337" s="633" t="s">
        <v>2135</v>
      </c>
    </row>
    <row r="338" customHeight="1" spans="1:1">
      <c r="A338" s="633" t="s">
        <v>2136</v>
      </c>
    </row>
    <row r="339" customHeight="1" spans="1:1">
      <c r="A339" s="633" t="s">
        <v>2137</v>
      </c>
    </row>
    <row r="340" customHeight="1" spans="1:1">
      <c r="A340" s="633" t="s">
        <v>2138</v>
      </c>
    </row>
    <row r="341" customHeight="1" spans="1:1">
      <c r="A341" s="633" t="s">
        <v>2139</v>
      </c>
    </row>
    <row r="342" customHeight="1" spans="1:1">
      <c r="A342" s="633" t="s">
        <v>2140</v>
      </c>
    </row>
    <row r="343" customHeight="1" spans="1:1">
      <c r="A343" s="633" t="s">
        <v>2141</v>
      </c>
    </row>
    <row r="344" customHeight="1" spans="1:1">
      <c r="A344" s="633" t="s">
        <v>2142</v>
      </c>
    </row>
    <row r="345" customHeight="1" spans="1:1">
      <c r="A345" s="633" t="s">
        <v>2143</v>
      </c>
    </row>
    <row r="346" customHeight="1" spans="1:1">
      <c r="A346" s="633" t="s">
        <v>2144</v>
      </c>
    </row>
    <row r="347" customHeight="1" spans="1:1">
      <c r="A347" s="633" t="s">
        <v>2145</v>
      </c>
    </row>
    <row r="348" customHeight="1" spans="1:1">
      <c r="A348" s="633" t="s">
        <v>2146</v>
      </c>
    </row>
    <row r="349" customHeight="1" spans="1:1">
      <c r="A349" s="633" t="s">
        <v>2147</v>
      </c>
    </row>
    <row r="350" customHeight="1" spans="1:1">
      <c r="A350" s="633" t="s">
        <v>2148</v>
      </c>
    </row>
    <row r="351" customHeight="1" spans="1:1">
      <c r="A351" s="633" t="s">
        <v>2149</v>
      </c>
    </row>
    <row r="352" customHeight="1" spans="1:1">
      <c r="A352" s="633" t="s">
        <v>301</v>
      </c>
    </row>
    <row r="353" customHeight="1" spans="1:1">
      <c r="A353" s="633" t="s">
        <v>421</v>
      </c>
    </row>
    <row r="354" customHeight="1" spans="1:1">
      <c r="A354" s="633" t="s">
        <v>2150</v>
      </c>
    </row>
    <row r="355" customHeight="1" spans="1:1">
      <c r="A355" s="633" t="s">
        <v>2151</v>
      </c>
    </row>
    <row r="356" customHeight="1" spans="1:1">
      <c r="A356" s="633" t="s">
        <v>2152</v>
      </c>
    </row>
    <row r="357" customHeight="1" spans="1:1">
      <c r="A357" s="633" t="s">
        <v>2153</v>
      </c>
    </row>
    <row r="358" customHeight="1" spans="1:1">
      <c r="A358" s="633" t="s">
        <v>2154</v>
      </c>
    </row>
    <row r="359" customHeight="1" spans="1:1">
      <c r="A359" s="633" t="s">
        <v>393</v>
      </c>
    </row>
    <row r="360" customHeight="1" spans="1:1">
      <c r="A360" s="633" t="s">
        <v>2155</v>
      </c>
    </row>
    <row r="361" customHeight="1" spans="1:1">
      <c r="A361" s="633" t="s">
        <v>2156</v>
      </c>
    </row>
    <row r="362" customHeight="1" spans="1:1">
      <c r="A362" s="633" t="s">
        <v>2157</v>
      </c>
    </row>
    <row r="363" customHeight="1" spans="1:1">
      <c r="A363" s="633" t="s">
        <v>889</v>
      </c>
    </row>
    <row r="364" customHeight="1" spans="1:1">
      <c r="A364" s="633" t="s">
        <v>458</v>
      </c>
    </row>
    <row r="365" customHeight="1" spans="1:1">
      <c r="A365" s="633" t="s">
        <v>2158</v>
      </c>
    </row>
    <row r="366" customHeight="1" spans="1:1">
      <c r="A366" s="633" t="s">
        <v>2159</v>
      </c>
    </row>
    <row r="367" customHeight="1" spans="1:1">
      <c r="A367" s="633" t="s">
        <v>2160</v>
      </c>
    </row>
    <row r="368" customHeight="1" spans="1:1">
      <c r="A368" s="633" t="s">
        <v>2161</v>
      </c>
    </row>
    <row r="369" customHeight="1" spans="1:1">
      <c r="A369" s="633" t="s">
        <v>2162</v>
      </c>
    </row>
    <row r="370" customHeight="1" spans="1:1">
      <c r="A370" s="633" t="s">
        <v>2163</v>
      </c>
    </row>
    <row r="371" customHeight="1" spans="1:1">
      <c r="A371" s="633" t="s">
        <v>2164</v>
      </c>
    </row>
    <row r="372" customHeight="1" spans="1:1">
      <c r="A372" s="633" t="s">
        <v>2165</v>
      </c>
    </row>
    <row r="373" customHeight="1" spans="1:1">
      <c r="A373" s="633" t="s">
        <v>2166</v>
      </c>
    </row>
    <row r="374" customHeight="1" spans="1:1">
      <c r="A374" s="633" t="s">
        <v>2167</v>
      </c>
    </row>
    <row r="375" customHeight="1" spans="1:1">
      <c r="A375" s="633">
        <v>300</v>
      </c>
    </row>
    <row r="376" customHeight="1" spans="1:1">
      <c r="A376" s="633">
        <v>400</v>
      </c>
    </row>
    <row r="377" customHeight="1" spans="1:2">
      <c r="A377" s="633">
        <v>1250</v>
      </c>
      <c r="B377" s="636"/>
    </row>
    <row r="378" customHeight="1" spans="1:2">
      <c r="A378" s="637" t="s">
        <v>2168</v>
      </c>
      <c r="B378" s="638"/>
    </row>
    <row r="379" customHeight="1" spans="1:2">
      <c r="A379" s="637" t="s">
        <v>2169</v>
      </c>
      <c r="B379" s="636"/>
    </row>
    <row r="380" customHeight="1" spans="1:2">
      <c r="A380" s="637" t="s">
        <v>2170</v>
      </c>
      <c r="B380" s="638"/>
    </row>
    <row r="381" customHeight="1" spans="1:2">
      <c r="A381" s="637" t="s">
        <v>2171</v>
      </c>
      <c r="B381" s="636"/>
    </row>
    <row r="382" customHeight="1" spans="1:2">
      <c r="A382" s="637" t="s">
        <v>2172</v>
      </c>
      <c r="B382" s="638"/>
    </row>
    <row r="383" customHeight="1" spans="1:2">
      <c r="A383" s="637" t="s">
        <v>2173</v>
      </c>
      <c r="B383" s="636"/>
    </row>
    <row r="384" customHeight="1" spans="1:1">
      <c r="A384" s="637" t="s">
        <v>2174</v>
      </c>
    </row>
    <row r="385" customHeight="1" spans="1:1">
      <c r="A385" s="633" t="s">
        <v>2175</v>
      </c>
    </row>
    <row r="386" customHeight="1" spans="1:1">
      <c r="A386" s="633" t="s">
        <v>2176</v>
      </c>
    </row>
    <row r="387" customHeight="1" spans="1:1">
      <c r="A387" s="633" t="s">
        <v>2177</v>
      </c>
    </row>
    <row r="388" customHeight="1" spans="1:1">
      <c r="A388" s="633" t="s">
        <v>2178</v>
      </c>
    </row>
    <row r="389" customHeight="1" spans="1:1">
      <c r="A389" s="633" t="s">
        <v>2179</v>
      </c>
    </row>
    <row r="390" customHeight="1" spans="1:1">
      <c r="A390" s="633">
        <v>1000</v>
      </c>
    </row>
    <row r="391" customHeight="1" spans="1:1">
      <c r="A391" s="633">
        <v>2000</v>
      </c>
    </row>
    <row r="392" customHeight="1" spans="1:1">
      <c r="A392" s="633">
        <v>3000</v>
      </c>
    </row>
    <row r="393" customHeight="1" spans="1:1">
      <c r="A393" s="633">
        <v>4000</v>
      </c>
    </row>
    <row r="394" customHeight="1" spans="1:1">
      <c r="A394" s="633">
        <v>6000</v>
      </c>
    </row>
    <row r="395" customHeight="1" spans="1:1">
      <c r="A395" s="633">
        <v>5000</v>
      </c>
    </row>
    <row r="396" customHeight="1" spans="1:1">
      <c r="A396" s="633" t="s">
        <v>2180</v>
      </c>
    </row>
    <row r="397" customHeight="1" spans="1:1">
      <c r="A397" s="633" t="s">
        <v>2181</v>
      </c>
    </row>
    <row r="398" customHeight="1" spans="1:1">
      <c r="A398" s="633" t="s">
        <v>2182</v>
      </c>
    </row>
    <row r="399" customHeight="1" spans="1:1">
      <c r="A399" s="633" t="s">
        <v>2183</v>
      </c>
    </row>
    <row r="400" customHeight="1" spans="1:1">
      <c r="A400" s="633" t="s">
        <v>2184</v>
      </c>
    </row>
    <row r="401" customHeight="1" spans="1:1">
      <c r="A401" s="633" t="s">
        <v>2185</v>
      </c>
    </row>
    <row r="402" customHeight="1" spans="1:1">
      <c r="A402" s="633" t="s">
        <v>2186</v>
      </c>
    </row>
    <row r="403" customHeight="1" spans="1:1">
      <c r="A403" s="633" t="s">
        <v>2187</v>
      </c>
    </row>
    <row r="404" customHeight="1" spans="1:1">
      <c r="A404" s="633" t="s">
        <v>2188</v>
      </c>
    </row>
    <row r="405" customHeight="1" spans="1:1">
      <c r="A405" s="633" t="s">
        <v>2189</v>
      </c>
    </row>
    <row r="406" customHeight="1" spans="1:1">
      <c r="A406" s="633" t="s">
        <v>2190</v>
      </c>
    </row>
    <row r="407" customHeight="1" spans="1:1">
      <c r="A407" s="633" t="s">
        <v>2191</v>
      </c>
    </row>
    <row r="408" customHeight="1" spans="1:1">
      <c r="A408" s="633" t="s">
        <v>2192</v>
      </c>
    </row>
    <row r="409" customHeight="1" spans="1:1">
      <c r="A409" s="633" t="s">
        <v>2193</v>
      </c>
    </row>
    <row r="410" customHeight="1" spans="1:1">
      <c r="A410" s="633" t="s">
        <v>2194</v>
      </c>
    </row>
    <row r="411" customHeight="1" spans="1:1">
      <c r="A411" s="633" t="s">
        <v>2195</v>
      </c>
    </row>
    <row r="412" customHeight="1" spans="1:1">
      <c r="A412" s="633" t="s">
        <v>2196</v>
      </c>
    </row>
    <row r="413" customHeight="1" spans="1:1">
      <c r="A413" s="633" t="s">
        <v>2197</v>
      </c>
    </row>
    <row r="414" customHeight="1" spans="1:1">
      <c r="A414" s="633" t="s">
        <v>2198</v>
      </c>
    </row>
    <row r="415" customHeight="1" spans="1:1">
      <c r="A415" s="633" t="s">
        <v>2199</v>
      </c>
    </row>
    <row r="416" customHeight="1" spans="1:1">
      <c r="A416" s="633" t="s">
        <v>2200</v>
      </c>
    </row>
    <row r="417" customHeight="1" spans="1:1">
      <c r="A417" s="633" t="s">
        <v>2201</v>
      </c>
    </row>
    <row r="418" customHeight="1" spans="1:1">
      <c r="A418" s="633" t="s">
        <v>2202</v>
      </c>
    </row>
    <row r="419" customHeight="1" spans="1:1">
      <c r="A419" s="633" t="s">
        <v>2203</v>
      </c>
    </row>
    <row r="420" customHeight="1" spans="1:1">
      <c r="A420" s="633" t="s">
        <v>2204</v>
      </c>
    </row>
    <row r="421" customHeight="1" spans="1:1">
      <c r="A421" s="633" t="s">
        <v>2205</v>
      </c>
    </row>
    <row r="422" customHeight="1" spans="1:1">
      <c r="A422" s="633" t="s">
        <v>2206</v>
      </c>
    </row>
    <row r="423" customHeight="1" spans="1:1">
      <c r="A423" s="633" t="s">
        <v>2207</v>
      </c>
    </row>
    <row r="424" customHeight="1" spans="1:1">
      <c r="A424" s="633" t="s">
        <v>2208</v>
      </c>
    </row>
    <row r="425" customHeight="1" spans="1:1">
      <c r="A425" s="633" t="s">
        <v>2209</v>
      </c>
    </row>
    <row r="426" customHeight="1" spans="1:1">
      <c r="A426" s="633" t="s">
        <v>2210</v>
      </c>
    </row>
    <row r="427" customHeight="1" spans="1:1">
      <c r="A427" s="633" t="s">
        <v>2211</v>
      </c>
    </row>
    <row r="428" customHeight="1" spans="1:1">
      <c r="A428" s="633" t="s">
        <v>2212</v>
      </c>
    </row>
    <row r="429" customHeight="1" spans="1:1">
      <c r="A429" s="633" t="s">
        <v>2213</v>
      </c>
    </row>
    <row r="430" customHeight="1" spans="1:1">
      <c r="A430" s="633" t="s">
        <v>2214</v>
      </c>
    </row>
    <row r="431" customHeight="1" spans="1:1">
      <c r="A431" s="633" t="s">
        <v>2215</v>
      </c>
    </row>
    <row r="432" customHeight="1" spans="1:1">
      <c r="A432" s="633" t="s">
        <v>2216</v>
      </c>
    </row>
    <row r="433" customHeight="1" spans="1:1">
      <c r="A433" s="633" t="s">
        <v>2217</v>
      </c>
    </row>
    <row r="434" customHeight="1" spans="1:1">
      <c r="A434" s="633" t="s">
        <v>2218</v>
      </c>
    </row>
    <row r="435" customHeight="1" spans="1:1">
      <c r="A435" s="633" t="s">
        <v>2219</v>
      </c>
    </row>
    <row r="436" customHeight="1" spans="1:1">
      <c r="A436" s="633" t="s">
        <v>200</v>
      </c>
    </row>
    <row r="437" customHeight="1" spans="1:1">
      <c r="A437" s="633" t="s">
        <v>2220</v>
      </c>
    </row>
    <row r="438" customHeight="1" spans="1:1">
      <c r="A438" s="633" t="s">
        <v>2221</v>
      </c>
    </row>
    <row r="439" customHeight="1" spans="1:1">
      <c r="A439" s="633" t="s">
        <v>2222</v>
      </c>
    </row>
    <row r="440" customHeight="1" spans="1:1">
      <c r="A440" s="633" t="s">
        <v>2223</v>
      </c>
    </row>
    <row r="441" customHeight="1" spans="1:1">
      <c r="A441" s="633" t="s">
        <v>2224</v>
      </c>
    </row>
    <row r="442" customHeight="1" spans="1:1">
      <c r="A442" s="633" t="s">
        <v>2225</v>
      </c>
    </row>
    <row r="443" customHeight="1" spans="1:1">
      <c r="A443" s="633" t="s">
        <v>2226</v>
      </c>
    </row>
    <row r="444" customHeight="1" spans="1:1">
      <c r="A444" s="633" t="s">
        <v>2227</v>
      </c>
    </row>
    <row r="445" customHeight="1" spans="1:1">
      <c r="A445" s="633" t="s">
        <v>2228</v>
      </c>
    </row>
    <row r="446" customHeight="1" spans="1:1">
      <c r="A446" s="633" t="s">
        <v>2229</v>
      </c>
    </row>
    <row r="447" customHeight="1" spans="1:1">
      <c r="A447" s="633" t="s">
        <v>2230</v>
      </c>
    </row>
    <row r="448" customHeight="1" spans="1:1">
      <c r="A448" s="633" t="s">
        <v>2231</v>
      </c>
    </row>
    <row r="449" customHeight="1" spans="1:1">
      <c r="A449" s="633" t="s">
        <v>2232</v>
      </c>
    </row>
    <row r="450" customHeight="1" spans="1:1">
      <c r="A450" s="633" t="s">
        <v>2233</v>
      </c>
    </row>
    <row r="451" customHeight="1" spans="1:1">
      <c r="A451" s="633" t="s">
        <v>2234</v>
      </c>
    </row>
    <row r="452" customHeight="1" spans="1:1">
      <c r="A452" s="633" t="s">
        <v>2235</v>
      </c>
    </row>
    <row r="453" customHeight="1" spans="1:1">
      <c r="A453" s="633" t="s">
        <v>2236</v>
      </c>
    </row>
    <row r="454" customHeight="1" spans="1:1">
      <c r="A454" s="633" t="s">
        <v>2237</v>
      </c>
    </row>
    <row r="455" customHeight="1" spans="1:1">
      <c r="A455" s="633" t="s">
        <v>2238</v>
      </c>
    </row>
    <row r="456" customHeight="1" spans="1:1">
      <c r="A456" s="633" t="s">
        <v>309</v>
      </c>
    </row>
    <row r="457" customHeight="1" spans="1:1">
      <c r="A457" s="633" t="s">
        <v>2239</v>
      </c>
    </row>
    <row r="458" customHeight="1" spans="1:1">
      <c r="A458" s="633" t="s">
        <v>2240</v>
      </c>
    </row>
    <row r="459" customHeight="1" spans="1:1">
      <c r="A459" s="633" t="s">
        <v>2241</v>
      </c>
    </row>
    <row r="460" customHeight="1" spans="1:1">
      <c r="A460" s="633" t="s">
        <v>2242</v>
      </c>
    </row>
    <row r="461" customHeight="1" spans="1:1">
      <c r="A461" s="633" t="s">
        <v>2243</v>
      </c>
    </row>
    <row r="462" customHeight="1" spans="1:1">
      <c r="A462" s="633" t="s">
        <v>453</v>
      </c>
    </row>
    <row r="463" customHeight="1" spans="1:1">
      <c r="A463" s="633" t="s">
        <v>2244</v>
      </c>
    </row>
    <row r="464" customHeight="1" spans="1:1">
      <c r="A464" s="633" t="s">
        <v>2245</v>
      </c>
    </row>
    <row r="465" customHeight="1" spans="1:1">
      <c r="A465" s="633" t="s">
        <v>2246</v>
      </c>
    </row>
    <row r="466" customHeight="1" spans="1:1">
      <c r="A466" s="633" t="s">
        <v>529</v>
      </c>
    </row>
    <row r="467" customHeight="1" spans="1:1">
      <c r="A467" s="633" t="s">
        <v>2247</v>
      </c>
    </row>
    <row r="468" customHeight="1" spans="1:1">
      <c r="A468" s="633" t="s">
        <v>2248</v>
      </c>
    </row>
    <row r="469" customHeight="1" spans="1:1">
      <c r="A469" s="633" t="s">
        <v>2249</v>
      </c>
    </row>
    <row r="470" customHeight="1" spans="1:1">
      <c r="A470" s="633" t="s">
        <v>2250</v>
      </c>
    </row>
    <row r="471" customHeight="1" spans="1:1">
      <c r="A471" s="633" t="s">
        <v>2251</v>
      </c>
    </row>
    <row r="472" customHeight="1" spans="1:1">
      <c r="A472" s="633" t="s">
        <v>2252</v>
      </c>
    </row>
    <row r="473" customHeight="1" spans="1:1">
      <c r="A473" s="633" t="s">
        <v>2253</v>
      </c>
    </row>
    <row r="474" customHeight="1" spans="1:1">
      <c r="A474" s="633" t="s">
        <v>2254</v>
      </c>
    </row>
    <row r="475" customHeight="1" spans="1:1">
      <c r="A475" s="633" t="s">
        <v>2255</v>
      </c>
    </row>
    <row r="476" customHeight="1" spans="1:1">
      <c r="A476" s="633" t="s">
        <v>2256</v>
      </c>
    </row>
    <row r="477" customHeight="1" spans="1:1">
      <c r="A477" s="633" t="s">
        <v>2257</v>
      </c>
    </row>
    <row r="478" customHeight="1" spans="1:1">
      <c r="A478" s="633" t="s">
        <v>2258</v>
      </c>
    </row>
    <row r="479" customHeight="1" spans="1:1">
      <c r="A479" s="633" t="s">
        <v>2259</v>
      </c>
    </row>
    <row r="480" customHeight="1" spans="1:1">
      <c r="A480" s="633" t="s">
        <v>2260</v>
      </c>
    </row>
    <row r="481" customHeight="1" spans="1:1">
      <c r="A481" s="633" t="s">
        <v>2261</v>
      </c>
    </row>
    <row r="482" customHeight="1" spans="1:1">
      <c r="A482" s="633" t="s">
        <v>2262</v>
      </c>
    </row>
    <row r="483" customHeight="1" spans="1:1">
      <c r="A483" s="633" t="s">
        <v>2263</v>
      </c>
    </row>
    <row r="484" customHeight="1" spans="1:1">
      <c r="A484" s="633" t="s">
        <v>2264</v>
      </c>
    </row>
    <row r="485" customHeight="1" spans="1:1">
      <c r="A485" s="633" t="s">
        <v>2265</v>
      </c>
    </row>
    <row r="486" customHeight="1" spans="1:1">
      <c r="A486" s="633" t="s">
        <v>2266</v>
      </c>
    </row>
    <row r="487" customHeight="1" spans="1:1">
      <c r="A487" s="633" t="s">
        <v>2267</v>
      </c>
    </row>
    <row r="488" customHeight="1" spans="1:1">
      <c r="A488" s="633" t="s">
        <v>2268</v>
      </c>
    </row>
    <row r="489" customHeight="1" spans="1:1">
      <c r="A489" s="633" t="s">
        <v>2269</v>
      </c>
    </row>
    <row r="490" customHeight="1" spans="1:1">
      <c r="A490" s="633" t="s">
        <v>2270</v>
      </c>
    </row>
    <row r="491" customHeight="1" spans="1:1">
      <c r="A491" s="633" t="s">
        <v>2271</v>
      </c>
    </row>
    <row r="492" customHeight="1" spans="1:1">
      <c r="A492" s="633" t="s">
        <v>331</v>
      </c>
    </row>
    <row r="493" customHeight="1" spans="1:1">
      <c r="A493" s="633" t="s">
        <v>2272</v>
      </c>
    </row>
    <row r="494" customHeight="1" spans="1:1">
      <c r="A494" s="633" t="s">
        <v>2273</v>
      </c>
    </row>
    <row r="495" customHeight="1" spans="1:1">
      <c r="A495" s="633" t="s">
        <v>2274</v>
      </c>
    </row>
    <row r="496" customHeight="1" spans="1:1">
      <c r="A496" s="633" t="s">
        <v>2275</v>
      </c>
    </row>
    <row r="497" customHeight="1" spans="1:1">
      <c r="A497" s="633" t="s">
        <v>2276</v>
      </c>
    </row>
    <row r="498" customHeight="1" spans="1:1">
      <c r="A498" s="633" t="s">
        <v>2277</v>
      </c>
    </row>
    <row r="499" customHeight="1" spans="1:1">
      <c r="A499" s="633" t="s">
        <v>2278</v>
      </c>
    </row>
    <row r="500" customHeight="1" spans="1:1">
      <c r="A500" s="633" t="s">
        <v>2279</v>
      </c>
    </row>
    <row r="501" customHeight="1" spans="1:1">
      <c r="A501" s="633" t="s">
        <v>2280</v>
      </c>
    </row>
    <row r="502" customHeight="1" spans="1:1">
      <c r="A502" s="633" t="s">
        <v>2281</v>
      </c>
    </row>
    <row r="503" customHeight="1" spans="1:1">
      <c r="A503" s="633" t="s">
        <v>2282</v>
      </c>
    </row>
    <row r="504" customHeight="1" spans="1:1">
      <c r="A504" s="633" t="s">
        <v>2283</v>
      </c>
    </row>
    <row r="505" customHeight="1" spans="1:1">
      <c r="A505" s="633" t="s">
        <v>2284</v>
      </c>
    </row>
    <row r="506" customHeight="1" spans="1:1">
      <c r="A506" s="633" t="s">
        <v>2285</v>
      </c>
    </row>
    <row r="507" customHeight="1" spans="1:1">
      <c r="A507" s="633" t="s">
        <v>2286</v>
      </c>
    </row>
    <row r="508" customHeight="1" spans="1:1">
      <c r="A508" s="633" t="s">
        <v>2287</v>
      </c>
    </row>
    <row r="509" customHeight="1" spans="1:1">
      <c r="A509" s="633" t="s">
        <v>2288</v>
      </c>
    </row>
    <row r="510" customHeight="1" spans="1:1">
      <c r="A510" s="633" t="s">
        <v>2289</v>
      </c>
    </row>
    <row r="511" customHeight="1" spans="1:1">
      <c r="A511" s="633" t="s">
        <v>2290</v>
      </c>
    </row>
    <row r="512" customHeight="1" spans="1:1">
      <c r="A512" s="633" t="s">
        <v>2291</v>
      </c>
    </row>
    <row r="513" customHeight="1" spans="1:1">
      <c r="A513" s="633" t="s">
        <v>2292</v>
      </c>
    </row>
    <row r="514" customHeight="1" spans="1:1">
      <c r="A514" s="633" t="s">
        <v>2293</v>
      </c>
    </row>
    <row r="515" customHeight="1" spans="1:1">
      <c r="A515" s="633" t="s">
        <v>2294</v>
      </c>
    </row>
    <row r="516" customHeight="1" spans="1:1">
      <c r="A516" s="633" t="s">
        <v>2295</v>
      </c>
    </row>
    <row r="517" customHeight="1" spans="1:1">
      <c r="A517" s="633" t="s">
        <v>2296</v>
      </c>
    </row>
    <row r="518" customHeight="1" spans="1:1">
      <c r="A518" s="633" t="s">
        <v>2297</v>
      </c>
    </row>
    <row r="519" customHeight="1" spans="1:1">
      <c r="A519" s="633" t="s">
        <v>2298</v>
      </c>
    </row>
    <row r="520" customHeight="1" spans="1:1">
      <c r="A520" s="633" t="s">
        <v>2299</v>
      </c>
    </row>
    <row r="521" customHeight="1" spans="1:1">
      <c r="A521" s="633" t="s">
        <v>2300</v>
      </c>
    </row>
    <row r="522" customHeight="1" spans="1:1">
      <c r="A522" s="633" t="s">
        <v>2301</v>
      </c>
    </row>
    <row r="523" customHeight="1" spans="1:1">
      <c r="A523" s="633" t="s">
        <v>2302</v>
      </c>
    </row>
    <row r="524" customHeight="1" spans="1:1">
      <c r="A524" s="633" t="s">
        <v>2303</v>
      </c>
    </row>
    <row r="525" customHeight="1" spans="1:1">
      <c r="A525" s="633" t="s">
        <v>2304</v>
      </c>
    </row>
    <row r="526" customHeight="1" spans="1:1">
      <c r="A526" s="633" t="s">
        <v>2305</v>
      </c>
    </row>
    <row r="527" customHeight="1" spans="1:1">
      <c r="A527" s="633" t="s">
        <v>2306</v>
      </c>
    </row>
    <row r="528" customHeight="1" spans="1:1">
      <c r="A528" s="633" t="s">
        <v>2307</v>
      </c>
    </row>
    <row r="529" customHeight="1" spans="1:1">
      <c r="A529" s="633" t="s">
        <v>2308</v>
      </c>
    </row>
    <row r="530" customHeight="1" spans="1:1">
      <c r="A530" s="633" t="s">
        <v>2309</v>
      </c>
    </row>
    <row r="531" customHeight="1" spans="1:1">
      <c r="A531" s="633" t="s">
        <v>2310</v>
      </c>
    </row>
    <row r="532" customHeight="1" spans="1:1">
      <c r="A532" s="633" t="s">
        <v>2311</v>
      </c>
    </row>
    <row r="533" customHeight="1" spans="1:1">
      <c r="A533" s="633" t="s">
        <v>2312</v>
      </c>
    </row>
    <row r="534" customHeight="1" spans="1:1">
      <c r="A534" s="633" t="s">
        <v>2313</v>
      </c>
    </row>
    <row r="535" customHeight="1" spans="1:1">
      <c r="A535" s="633" t="s">
        <v>2314</v>
      </c>
    </row>
    <row r="536" customHeight="1" spans="1:1">
      <c r="A536" s="633" t="s">
        <v>2315</v>
      </c>
    </row>
    <row r="537" customHeight="1" spans="1:1">
      <c r="A537" s="633" t="s">
        <v>2316</v>
      </c>
    </row>
    <row r="538" customHeight="1" spans="1:1">
      <c r="A538" s="633" t="s">
        <v>2317</v>
      </c>
    </row>
    <row r="539" customHeight="1" spans="1:1">
      <c r="A539" s="633" t="s">
        <v>664</v>
      </c>
    </row>
    <row r="540" customHeight="1" spans="1:1">
      <c r="A540" s="633" t="s">
        <v>2318</v>
      </c>
    </row>
    <row r="541" customHeight="1" spans="1:1">
      <c r="A541" s="633" t="s">
        <v>2319</v>
      </c>
    </row>
    <row r="542" customHeight="1" spans="1:1">
      <c r="A542" s="633" t="s">
        <v>1611</v>
      </c>
    </row>
    <row r="543" customHeight="1" spans="1:1">
      <c r="A543" s="633" t="s">
        <v>429</v>
      </c>
    </row>
    <row r="544" customHeight="1" spans="1:1">
      <c r="A544" s="633" t="s">
        <v>2320</v>
      </c>
    </row>
    <row r="545" customHeight="1" spans="1:1">
      <c r="A545" s="633" t="s">
        <v>2321</v>
      </c>
    </row>
    <row r="546" customHeight="1" spans="1:1">
      <c r="A546" s="633" t="s">
        <v>2322</v>
      </c>
    </row>
    <row r="547" customHeight="1" spans="1:1">
      <c r="A547" s="633" t="s">
        <v>892</v>
      </c>
    </row>
    <row r="548" customHeight="1" spans="1:1">
      <c r="A548" s="633" t="s">
        <v>2323</v>
      </c>
    </row>
    <row r="549" customHeight="1" spans="1:1">
      <c r="A549" s="633" t="s">
        <v>2324</v>
      </c>
    </row>
    <row r="550" customHeight="1" spans="1:1">
      <c r="A550" s="633" t="s">
        <v>2325</v>
      </c>
    </row>
    <row r="551" customHeight="1" spans="1:1">
      <c r="A551" s="633" t="s">
        <v>2326</v>
      </c>
    </row>
    <row r="552" customHeight="1" spans="1:1">
      <c r="A552" s="633" t="s">
        <v>2327</v>
      </c>
    </row>
    <row r="553" customHeight="1" spans="1:1">
      <c r="A553" s="633" t="s">
        <v>2328</v>
      </c>
    </row>
    <row r="554" customHeight="1" spans="1:1">
      <c r="A554" s="633" t="s">
        <v>2329</v>
      </c>
    </row>
    <row r="555" customHeight="1" spans="1:1">
      <c r="A555" s="633" t="s">
        <v>2330</v>
      </c>
    </row>
    <row r="556" customHeight="1" spans="1:1">
      <c r="A556" s="633" t="s">
        <v>2331</v>
      </c>
    </row>
    <row r="557" customHeight="1" spans="1:1">
      <c r="A557" s="633" t="s">
        <v>2332</v>
      </c>
    </row>
    <row r="558" customHeight="1" spans="1:1">
      <c r="A558" t="s">
        <v>2333</v>
      </c>
    </row>
    <row r="559" customHeight="1" spans="1:1">
      <c r="A559" s="633" t="s">
        <v>2334</v>
      </c>
    </row>
    <row r="560" customHeight="1" spans="1:1">
      <c r="A560" s="633" t="s">
        <v>2335</v>
      </c>
    </row>
    <row r="561" customHeight="1" spans="1:1">
      <c r="A561" s="633" t="s">
        <v>2336</v>
      </c>
    </row>
    <row r="562" customHeight="1" spans="1:1">
      <c r="A562" s="633" t="s">
        <v>2337</v>
      </c>
    </row>
    <row r="563" customHeight="1" spans="1:1">
      <c r="A563" s="633" t="s">
        <v>2338</v>
      </c>
    </row>
    <row r="564" customHeight="1" spans="1:1">
      <c r="A564" s="633" t="s">
        <v>2339</v>
      </c>
    </row>
    <row r="565" customHeight="1" spans="1:1">
      <c r="A565" s="633" t="s">
        <v>2340</v>
      </c>
    </row>
    <row r="566" customHeight="1" spans="1:1">
      <c r="A566" s="633" t="s">
        <v>2341</v>
      </c>
    </row>
    <row r="567" customHeight="1" spans="1:1">
      <c r="A567" t="s">
        <v>2342</v>
      </c>
    </row>
    <row r="568" customHeight="1" spans="1:1">
      <c r="A568" t="s">
        <v>941</v>
      </c>
    </row>
    <row r="569" customHeight="1" spans="1:1">
      <c r="A569" s="633" t="s">
        <v>2343</v>
      </c>
    </row>
    <row r="570" customHeight="1" spans="1:1">
      <c r="A570" s="633" t="s">
        <v>2344</v>
      </c>
    </row>
    <row r="571" customHeight="1" spans="1:1">
      <c r="A571" t="s">
        <v>2345</v>
      </c>
    </row>
    <row r="572" customHeight="1" spans="1:1">
      <c r="A572" t="s">
        <v>2346</v>
      </c>
    </row>
    <row r="573" customHeight="1" spans="1:1">
      <c r="A573" t="s">
        <v>2347</v>
      </c>
    </row>
    <row r="574" customHeight="1" spans="1:1">
      <c r="A574" s="633" t="s">
        <v>2348</v>
      </c>
    </row>
    <row r="575" customHeight="1" spans="1:1">
      <c r="A575" s="633" t="s">
        <v>2349</v>
      </c>
    </row>
    <row r="576" customHeight="1" spans="1:1">
      <c r="A576" s="633" t="s">
        <v>2350</v>
      </c>
    </row>
    <row r="577" customHeight="1" spans="1:1">
      <c r="A577" s="633" t="s">
        <v>2351</v>
      </c>
    </row>
    <row r="578" customHeight="1" spans="1:1">
      <c r="A578" s="633" t="s">
        <v>2352</v>
      </c>
    </row>
    <row r="579" customHeight="1" spans="1:1">
      <c r="A579" t="s">
        <v>2353</v>
      </c>
    </row>
    <row r="580" customHeight="1" spans="1:1">
      <c r="A580" t="s">
        <v>2354</v>
      </c>
    </row>
    <row r="581" customHeight="1" spans="1:1">
      <c r="A581" t="s">
        <v>2355</v>
      </c>
    </row>
    <row r="582" customHeight="1" spans="1:1">
      <c r="A582" t="s">
        <v>2356</v>
      </c>
    </row>
    <row r="583" customHeight="1" spans="1:1">
      <c r="A583" t="s">
        <v>2357</v>
      </c>
    </row>
    <row r="584" customHeight="1" spans="1:1">
      <c r="A584" t="s">
        <v>2358</v>
      </c>
    </row>
    <row r="585" customHeight="1" spans="1:1">
      <c r="A585" t="s">
        <v>2359</v>
      </c>
    </row>
    <row r="586" customHeight="1" spans="1:1">
      <c r="A586" t="s">
        <v>2360</v>
      </c>
    </row>
    <row r="587" customHeight="1" spans="1:1">
      <c r="A587" t="s">
        <v>2361</v>
      </c>
    </row>
    <row r="588" customHeight="1" spans="1:1">
      <c r="A588" s="633" t="s">
        <v>2362</v>
      </c>
    </row>
  </sheetData>
  <sheetProtection formatCells="0" insertHyperlinks="0" autoFilter="0"/>
  <conditionalFormatting sqref="A1">
    <cfRule type="duplicateValues" dxfId="51" priority="46"/>
    <cfRule type="duplicateValues" dxfId="51" priority="47"/>
    <cfRule type="duplicateValues" dxfId="51" priority="48"/>
    <cfRule type="expression" dxfId="52" priority="49">
      <formula>$C1048576="分项"</formula>
    </cfRule>
    <cfRule type="expression" dxfId="53" priority="50">
      <formula>$C1048576="单位"</formula>
    </cfRule>
  </conditionalFormatting>
  <conditionalFormatting sqref="A2:A5">
    <cfRule type="expression" dxfId="52" priority="9">
      <formula>$C1="分项"</formula>
    </cfRule>
    <cfRule type="expression" dxfId="53" priority="10">
      <formula>$C1="单位"</formula>
    </cfRule>
  </conditionalFormatting>
  <conditionalFormatting sqref="A2:A556">
    <cfRule type="duplicateValues" dxfId="51" priority="8"/>
  </conditionalFormatting>
  <conditionalFormatting sqref="A2:A1048576">
    <cfRule type="duplicateValues" dxfId="51" priority="6"/>
  </conditionalFormatting>
  <conditionalFormatting sqref="A2:A557 A588:A1048576 A574:A578 A569:A570 A559:A566">
    <cfRule type="duplicateValues" dxfId="51" priority="7"/>
  </conditionalFormatting>
  <dataValidations count="1">
    <dataValidation type="list" allowBlank="1" showInputMessage="1" showErrorMessage="1" sqref="A2:A5">
      <formula1>INDIRECT(#REF!&amp;"下拉")</formula1>
    </dataValidation>
  </dataValidations>
  <pageMargins left="0.75" right="0.75" top="1" bottom="1" header="0.5" footer="0.5"/>
  <pageSetup paperSize="9" orientation="portrait"/>
  <headerFooter/>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C000"/>
  </sheetPr>
  <dimension ref="A1:W42"/>
  <sheetViews>
    <sheetView showGridLines="0" topLeftCell="J1" workbookViewId="0">
      <selection activeCell="Q15" sqref="Q15"/>
    </sheetView>
  </sheetViews>
  <sheetFormatPr defaultColWidth="8.875" defaultRowHeight="15.75"/>
  <cols>
    <col min="1" max="1" width="18" style="27" customWidth="1"/>
    <col min="2" max="2" width="11.25" style="27" customWidth="1"/>
    <col min="3" max="4" width="13" style="27" customWidth="1"/>
    <col min="5" max="5" width="14.875" style="27" customWidth="1"/>
    <col min="6" max="9" width="13" style="27" customWidth="1"/>
    <col min="10" max="10" width="14.375" style="27" customWidth="1"/>
    <col min="11" max="11" width="13.375" style="27" customWidth="1"/>
    <col min="12" max="12" width="13.5" style="27" customWidth="1"/>
    <col min="13" max="13" width="13.75" style="27" customWidth="1"/>
    <col min="14" max="14" width="9.25" style="27" customWidth="1"/>
    <col min="15" max="15" width="12.125" style="27" customWidth="1"/>
    <col min="16" max="16" width="11.625" style="27" customWidth="1"/>
    <col min="17" max="17" width="12.875" style="27" customWidth="1"/>
    <col min="18" max="18" width="11.5" style="27" customWidth="1"/>
    <col min="19" max="19" width="12.375" style="27" customWidth="1"/>
    <col min="20" max="20" width="13.25" style="27" customWidth="1"/>
    <col min="21" max="21" width="12.625" style="27" customWidth="1"/>
    <col min="22" max="22" width="8.875" style="27"/>
    <col min="23" max="23" width="13.75" style="27" customWidth="1"/>
    <col min="24" max="16384" width="8.875" style="27"/>
  </cols>
  <sheetData>
    <row r="1" ht="23.1" customHeight="1" spans="1:23">
      <c r="A1" s="597" t="s">
        <v>2363</v>
      </c>
      <c r="B1" s="597" t="s">
        <v>1255</v>
      </c>
      <c r="C1" s="597" t="s">
        <v>2364</v>
      </c>
      <c r="D1" s="597" t="s">
        <v>2365</v>
      </c>
      <c r="E1" s="597" t="s">
        <v>2366</v>
      </c>
      <c r="F1" s="597" t="s">
        <v>2367</v>
      </c>
      <c r="G1" s="597" t="s">
        <v>2368</v>
      </c>
      <c r="H1" s="597" t="s">
        <v>2369</v>
      </c>
      <c r="I1" s="597" t="s">
        <v>2370</v>
      </c>
      <c r="J1" s="597" t="s">
        <v>2371</v>
      </c>
      <c r="K1" s="597" t="s">
        <v>2372</v>
      </c>
      <c r="L1" s="597" t="s">
        <v>2373</v>
      </c>
      <c r="M1" s="597" t="s">
        <v>2374</v>
      </c>
      <c r="N1" s="597" t="s">
        <v>2375</v>
      </c>
      <c r="O1" s="597" t="s">
        <v>2376</v>
      </c>
      <c r="P1" s="597" t="s">
        <v>2377</v>
      </c>
      <c r="Q1" s="597" t="s">
        <v>2378</v>
      </c>
      <c r="R1" s="632" t="s">
        <v>2379</v>
      </c>
      <c r="S1" s="632" t="s">
        <v>2380</v>
      </c>
      <c r="T1" s="632" t="s">
        <v>2381</v>
      </c>
      <c r="U1" s="632" t="s">
        <v>2382</v>
      </c>
      <c r="V1" s="632" t="s">
        <v>2383</v>
      </c>
      <c r="W1" s="632" t="s">
        <v>2384</v>
      </c>
    </row>
    <row r="2" ht="31.5" customHeight="1" spans="1:17">
      <c r="A2" s="598"/>
      <c r="B2" s="599" t="str">
        <f>工程名称</f>
        <v>az</v>
      </c>
      <c r="C2" s="599"/>
      <c r="D2" s="598"/>
      <c r="E2" s="598"/>
      <c r="F2" s="598"/>
      <c r="G2" s="598" t="str">
        <f>项目经理</f>
        <v>lu</v>
      </c>
      <c r="H2" s="598"/>
      <c r="I2" s="598"/>
      <c r="J2" s="621"/>
      <c r="K2" s="598"/>
      <c r="L2" s="622"/>
      <c r="M2" s="622"/>
      <c r="N2" s="623"/>
      <c r="O2" s="624"/>
      <c r="P2" s="625"/>
      <c r="Q2" s="625"/>
    </row>
    <row r="4" ht="40.15" customHeight="1" spans="3:10">
      <c r="C4" s="600" t="s">
        <v>2385</v>
      </c>
      <c r="D4" s="304"/>
      <c r="E4" s="304"/>
      <c r="F4" s="304"/>
      <c r="G4" s="601"/>
      <c r="H4" s="304"/>
      <c r="I4" s="304"/>
      <c r="J4" s="304"/>
    </row>
    <row r="5" ht="28.5" customHeight="1" spans="1:13">
      <c r="A5" s="602" t="s">
        <v>2386</v>
      </c>
      <c r="C5" s="603" t="s">
        <v>2387</v>
      </c>
      <c r="D5" s="604" t="s">
        <v>1407</v>
      </c>
      <c r="E5" s="604" t="s">
        <v>1409</v>
      </c>
      <c r="F5" s="604" t="s">
        <v>1424</v>
      </c>
      <c r="G5" s="604" t="s">
        <v>2388</v>
      </c>
      <c r="H5" s="604" t="s">
        <v>2389</v>
      </c>
      <c r="I5" s="604" t="s">
        <v>2390</v>
      </c>
      <c r="J5" s="626" t="s">
        <v>2391</v>
      </c>
      <c r="L5" s="616" t="s">
        <v>2392</v>
      </c>
      <c r="M5" s="616" t="s">
        <v>2393</v>
      </c>
    </row>
    <row r="6" ht="21.95" customHeight="1" spans="3:10">
      <c r="C6" s="605">
        <f ca="1">IFERROR(工程成本费用汇总表!G28/工程成本费用汇总表!D28,"")</f>
        <v>0.841506256699445</v>
      </c>
      <c r="D6" s="606">
        <f ca="1">IFERROR(工程成本费用汇总表!G7/工程成本费用汇总表!D7,"")</f>
        <v>0.803350644872859</v>
      </c>
      <c r="E6" s="606">
        <f ca="1">IFERROR(工程成本费用汇总表!G9/工程成本费用汇总表!D9,"")</f>
        <v>1</v>
      </c>
      <c r="F6" s="606">
        <f ca="1">IFERROR(工程成本费用汇总表!G13/工程成本费用汇总表!D13,"")</f>
        <v>1</v>
      </c>
      <c r="G6" s="606">
        <f ca="1">IFERROR(工程成本费用汇总表!G17/工程成本费用汇总表!D17,"")</f>
        <v>1</v>
      </c>
      <c r="H6" s="606">
        <f>IFERROR(工程成本费用汇总表!G19/工程成本费用汇总表!D19,"")</f>
        <v>1</v>
      </c>
      <c r="I6" s="606" t="str">
        <f ca="1">IFERROR(工程成本费用汇总表!G23/工程成本费用汇总表!D23,"")</f>
        <v/>
      </c>
      <c r="J6" s="627"/>
    </row>
    <row r="7" ht="29.85" customHeight="1" spans="1:13">
      <c r="A7" s="607" t="s">
        <v>2394</v>
      </c>
      <c r="B7" s="602"/>
      <c r="C7" s="608" t="str">
        <f ca="1">IF(C6="","",_xlfn.IFNA(_xlfn.IFS(C$6&lt;$L$7,C$6),""))</f>
        <v/>
      </c>
      <c r="D7" s="609" t="str">
        <f ca="1">_xlfn.IFNA(_xlfn.IFS(D$6&lt;$L$7,D$6),"")</f>
        <v/>
      </c>
      <c r="E7" s="609" t="str">
        <f ca="1">_xlfn.IFNA(_xlfn.IFS(E$6&lt;$L$7,E$6),"")</f>
        <v/>
      </c>
      <c r="F7" s="609" t="str">
        <f ca="1">_xlfn.IFNA(_xlfn.IFS(F$6&lt;$L$7,F$6),"")</f>
        <v/>
      </c>
      <c r="G7" s="610"/>
      <c r="H7" s="610" t="str">
        <f>_xlfn.IFNA(_xlfn.IFS(H$6&lt;$L$7,H$6),"")</f>
        <v/>
      </c>
      <c r="I7" s="610" t="str">
        <f ca="1">_xlfn.IFNA(_xlfn.IFS(I$6&lt;$L$7,I$6),"")</f>
        <v/>
      </c>
      <c r="J7" s="628">
        <f>COUNTIFS('03人工费预算对比表'!T:T,"&lt;"&amp;L7)+COUNTIFS('04材料费预算对比表'!T:T,"&lt;"&amp;L7)+COUNTIFS('05机械租赁费预算对比表'!T:T,"&lt;"&amp;L7)+COUNTIFS('06专业分包预算对比表'!T:T,"&lt;"&amp;L7)</f>
        <v>0</v>
      </c>
      <c r="L7" s="629">
        <v>-0.05</v>
      </c>
      <c r="M7" s="630">
        <v>-0.05</v>
      </c>
    </row>
    <row r="8" ht="29.85" customHeight="1" spans="1:13">
      <c r="A8" s="611" t="s">
        <v>2395</v>
      </c>
      <c r="B8" s="602"/>
      <c r="C8" s="608" t="str">
        <f ca="1">_xlfn.IFNA(_xlfn.IFS(AND(C$6&gt;=$L$7,C$6&lt;$L$8),C$6),"")</f>
        <v/>
      </c>
      <c r="D8" s="609" t="str">
        <f ca="1">_xlfn.IFNA(_xlfn.IFS(AND(D$6&gt;=$L$7,D$6&lt;$L$8),D$6),"")</f>
        <v/>
      </c>
      <c r="E8" s="609" t="str">
        <f ca="1">_xlfn.IFNA(_xlfn.IFS(AND(E$6&gt;=$L$7,E$6&lt;$L$8),E$6),"")</f>
        <v/>
      </c>
      <c r="F8" s="609" t="str">
        <f ca="1">_xlfn.IFNA(_xlfn.IFS(AND(F$6&gt;=$L$7,F$6&lt;$L$8),F$6),"")</f>
        <v/>
      </c>
      <c r="G8" s="610"/>
      <c r="H8" s="610" t="str">
        <f>_xlfn.IFNA(_xlfn.IFS(AND(H$6&gt;=$L$7,H$6&lt;$L$8),H$6),"")</f>
        <v/>
      </c>
      <c r="I8" s="610" t="str">
        <f ca="1">_xlfn.IFNA(_xlfn.IFS(AND(I$6&gt;=$L$7,I$6&lt;$L$8),I$6),"")</f>
        <v/>
      </c>
      <c r="J8" s="628">
        <f>COUNTIFS('03人工费预算对比表'!T:T,"&gt;"&amp;L7,'03人工费预算对比表'!T:T,"&lt;"&amp;L8)+COUNTIFS('04材料费预算对比表'!T:T,"&gt;"&amp;L7,'04材料费预算对比表'!T:T,"&lt;"&amp;L8)+COUNTIFS('05机械租赁费预算对比表'!T:T,"&gt;"&amp;L7,'05机械租赁费预算对比表'!T:T,"&lt;"&amp;L8)+COUNTIFS('06专业分包预算对比表'!T:T,"&gt;"&amp;L7,'06专业分包预算对比表'!T:T,"&lt;"&amp;L8)</f>
        <v>0</v>
      </c>
      <c r="L8" s="630">
        <v>-0.01</v>
      </c>
      <c r="M8" s="630">
        <v>-0.01</v>
      </c>
    </row>
    <row r="9" ht="29.85" customHeight="1" spans="1:13">
      <c r="A9" s="612" t="s">
        <v>2396</v>
      </c>
      <c r="B9" s="602"/>
      <c r="C9" s="613" t="str">
        <f ca="1">IF(C$6="","",_xlfn.IFNA(_xlfn.IFS(AND(C$6&gt;=$L$8,C$6&lt;$L$10),C$6),""))</f>
        <v/>
      </c>
      <c r="D9" s="610" t="str">
        <f ca="1">IF(D$6="","",_xlfn.IFNA(_xlfn.IFS(AND(D$6&gt;=$L$8,D$6&lt;$L$10),D$6),""))</f>
        <v/>
      </c>
      <c r="E9" s="610" t="str">
        <f ca="1">IF(E$6="","",_xlfn.IFNA(_xlfn.IFS(AND(E$6&gt;=$L$8,E$6&lt;$L$10),E$6),""))</f>
        <v/>
      </c>
      <c r="F9" s="610" t="str">
        <f ca="1">IF(F$6="","",_xlfn.IFNA(_xlfn.IFS(AND(F$6&gt;=$L$8,F$6&lt;$L$10),F$6),""))</f>
        <v/>
      </c>
      <c r="G9" s="610"/>
      <c r="H9" s="610" t="str">
        <f>IF(H$6="","",_xlfn.IFNA(_xlfn.IFS(AND(H$6&gt;=$L$8,H$6&lt;$L$10),H$6),""))</f>
        <v/>
      </c>
      <c r="I9" s="610" t="str">
        <f ca="1">IF(I$6="","",_xlfn.IFNA(_xlfn.IFS(AND(I$6&gt;=$L$8,I$6&lt;$L$10),I$6),""))</f>
        <v/>
      </c>
      <c r="J9" s="628">
        <f>COUNTIFS('03人工费预算对比表'!T:T,"&gt;"&amp;L8,'03人工费预算对比表'!T:T,"&lt;"&amp;L10)+COUNTIFS('04材料费预算对比表'!T:T,"&gt;"&amp;L8,'04材料费预算对比表'!T:T,"&lt;"&amp;L10)+COUNTIFS('05机械租赁费预算对比表'!T:T,"&gt;"&amp;L8,'05机械租赁费预算对比表'!T:T,"&lt;"&amp;L10)+COUNTIFS('06专业分包预算对比表'!T:T,"&gt;"&amp;L8,'06专业分包预算对比表'!T:T,"&lt;"&amp;L10)</f>
        <v>0</v>
      </c>
      <c r="L9" s="630"/>
      <c r="M9" s="630"/>
    </row>
    <row r="10" ht="29.85" customHeight="1" spans="1:13">
      <c r="A10" s="614" t="s">
        <v>2397</v>
      </c>
      <c r="B10" s="602"/>
      <c r="C10" s="608" t="str">
        <f ca="1">_xlfn.IFNA(_xlfn.IFS(AND(C$6&gt;=$L$10,C$6&lt;$L$11),C$6),"")</f>
        <v/>
      </c>
      <c r="D10" s="609" t="str">
        <f ca="1">_xlfn.IFNA(_xlfn.IFS(AND(D$6&gt;=$L$10,D$6&lt;$L$11),D$6),"")</f>
        <v/>
      </c>
      <c r="E10" s="609" t="str">
        <f ca="1">_xlfn.IFNA(_xlfn.IFS(AND(E$6&gt;=$L$10,E$6&lt;$L$11),E$6),"")</f>
        <v/>
      </c>
      <c r="F10" s="609" t="str">
        <f ca="1">_xlfn.IFNA(_xlfn.IFS(AND(F$6&gt;=$L$10,F$6&lt;$L$11),F$6),"")</f>
        <v/>
      </c>
      <c r="G10" s="610"/>
      <c r="H10" s="610" t="str">
        <f>_xlfn.IFNA(_xlfn.IFS(AND(H$6&gt;=$L$10,H$6&lt;$L$11),H$6),"")</f>
        <v/>
      </c>
      <c r="I10" s="610" t="str">
        <f ca="1">_xlfn.IFNA(_xlfn.IFS(AND(I$6&gt;=$L$10,I$6&lt;$L$11),I$6),"")</f>
        <v/>
      </c>
      <c r="J10" s="628">
        <f>COUNTIFS('03人工费预算对比表'!T:T,"&gt;"&amp;L10,'03人工费预算对比表'!T:T,"&lt;"&amp;L11)+COUNTIFS('04材料费预算对比表'!T:T,"&gt;"&amp;L10,'04材料费预算对比表'!T:T,"&lt;"&amp;L11)+COUNTIFS('05机械租赁费预算对比表'!T:T,"&gt;"&amp;L10,'05机械租赁费预算对比表'!T:T,"&lt;"&amp;L11)+COUNTIFS('06专业分包预算对比表'!T:T,"&gt;"&amp;L10,'06专业分包预算对比表'!T:T,"&lt;"&amp;L11)</f>
        <v>0</v>
      </c>
      <c r="L10" s="630">
        <v>0</v>
      </c>
      <c r="M10" s="630">
        <v>0</v>
      </c>
    </row>
    <row r="11" ht="29.85" customHeight="1" spans="1:13">
      <c r="A11" s="615" t="s">
        <v>2398</v>
      </c>
      <c r="B11" s="616"/>
      <c r="C11" s="617">
        <f ca="1">_xlfn.IFNA(_xlfn.IFS(AND(C$6&gt;=$L$11),C$6),"")</f>
        <v>0.841506256699445</v>
      </c>
      <c r="D11" s="618">
        <f ca="1">_xlfn.IFNA(_xlfn.IFS(AND(D$6&gt;=$L$11),D$6),"")</f>
        <v>0.803350644872859</v>
      </c>
      <c r="E11" s="618">
        <f ca="1">_xlfn.IFNA(_xlfn.IFS(AND(E$6&gt;=$L$11),E$6),"")</f>
        <v>1</v>
      </c>
      <c r="F11" s="618">
        <f ca="1">_xlfn.IFNA(_xlfn.IFS(AND(F$6&gt;=$L$11),F$6),"")</f>
        <v>1</v>
      </c>
      <c r="G11" s="619"/>
      <c r="H11" s="618">
        <f>_xlfn.IFNA(_xlfn.IFS(AND(H$6&gt;=$L$11),H$6),"")</f>
        <v>1</v>
      </c>
      <c r="I11" s="618" t="str">
        <f ca="1">_xlfn.IFNA(_xlfn.IFS(AND(I$6&gt;=$L$11),I$6),"")</f>
        <v/>
      </c>
      <c r="J11" s="631">
        <f>COUNTIFS('03人工费预算对比表'!T:T,"&gt;"&amp;L11)+COUNTIFS('04材料费预算对比表'!T:T,"&gt;"&amp;L11)+COUNTIFS('05机械租赁费预算对比表'!T:T,"&gt;"&amp;L11)+COUNTIFS('06专业分包预算对比表'!T:T,"&gt;"&amp;L11)</f>
        <v>0</v>
      </c>
      <c r="L11" s="630">
        <v>0.05</v>
      </c>
      <c r="M11" s="630">
        <v>0.05</v>
      </c>
    </row>
    <row r="25" spans="7:7">
      <c r="G25" s="620"/>
    </row>
    <row r="26" spans="7:7">
      <c r="G26" s="620"/>
    </row>
    <row r="27" spans="7:7">
      <c r="G27" s="620"/>
    </row>
    <row r="28" spans="7:7">
      <c r="G28" s="620"/>
    </row>
    <row r="29" spans="7:7">
      <c r="G29" s="620"/>
    </row>
    <row r="30" spans="7:7">
      <c r="G30" s="620"/>
    </row>
    <row r="31" spans="7:7">
      <c r="G31" s="620"/>
    </row>
    <row r="32" spans="7:7">
      <c r="G32" s="620"/>
    </row>
    <row r="33" spans="7:7">
      <c r="G33" s="620"/>
    </row>
    <row r="34" spans="7:7">
      <c r="G34" s="620"/>
    </row>
    <row r="35" spans="7:7">
      <c r="G35" s="620"/>
    </row>
    <row r="36" spans="7:7">
      <c r="G36" s="620"/>
    </row>
    <row r="37" spans="7:7">
      <c r="G37" s="620"/>
    </row>
    <row r="38" spans="7:7">
      <c r="G38" s="620"/>
    </row>
    <row r="39" spans="7:7">
      <c r="G39" s="620"/>
    </row>
    <row r="40" spans="7:7">
      <c r="G40" s="620"/>
    </row>
    <row r="41" spans="7:7">
      <c r="G41" s="620"/>
    </row>
    <row r="42" spans="7:7">
      <c r="G42" s="620"/>
    </row>
  </sheetData>
  <sheetProtection selectLockedCells="1" formatCells="0" formatColumns="0" formatRows="0" insertRows="0" deleteRows="0" autoFilter="0"/>
  <conditionalFormatting sqref="C7:I7">
    <cfRule type="expression" dxfId="59" priority="8">
      <formula>C7&lt;&gt;""</formula>
    </cfRule>
  </conditionalFormatting>
  <conditionalFormatting sqref="C8:I8">
    <cfRule type="expression" dxfId="60" priority="6">
      <formula>C8&lt;&gt;""</formula>
    </cfRule>
  </conditionalFormatting>
  <conditionalFormatting sqref="C9:I9">
    <cfRule type="expression" dxfId="61" priority="5">
      <formula>C9&lt;&gt;""</formula>
    </cfRule>
  </conditionalFormatting>
  <conditionalFormatting sqref="C10:I10">
    <cfRule type="expression" dxfId="62" priority="4">
      <formula>C10&lt;&gt;""</formula>
    </cfRule>
  </conditionalFormatting>
  <conditionalFormatting sqref="C11:I11">
    <cfRule type="expression" dxfId="63" priority="3">
      <formula>C$11&lt;&gt;""</formula>
    </cfRule>
    <cfRule type="expression" dxfId="63" priority="7">
      <formula>C11&lt;&gt;""</formula>
    </cfRule>
  </conditionalFormatting>
  <conditionalFormatting sqref="L11">
    <cfRule type="cellIs" dxfId="64" priority="2" operator="lessThan">
      <formula>$L$10</formula>
    </cfRule>
  </conditionalFormatting>
  <conditionalFormatting sqref="M11">
    <cfRule type="cellIs" dxfId="64" priority="1" operator="lessThan">
      <formula>$L$10</formula>
    </cfRule>
  </conditionalFormatting>
  <pageMargins left="0.75" right="0.75" top="1" bottom="1" header="0.5" footer="0.5"/>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M34"/>
  <sheetViews>
    <sheetView topLeftCell="E1" workbookViewId="0">
      <selection activeCell="D13" sqref="D13"/>
    </sheetView>
  </sheetViews>
  <sheetFormatPr defaultColWidth="9" defaultRowHeight="15.75"/>
  <cols>
    <col min="1" max="1" width="4.5" style="27" customWidth="1"/>
    <col min="2" max="2" width="19.875" style="27" customWidth="1"/>
    <col min="3" max="3" width="16.375" style="27" customWidth="1"/>
    <col min="4" max="4" width="18.5" style="27" customWidth="1"/>
    <col min="5" max="5" width="20.25" style="27" customWidth="1"/>
    <col min="6" max="6" width="18.25" style="27" customWidth="1"/>
    <col min="7" max="7" width="17.25" style="27" customWidth="1"/>
    <col min="8" max="8" width="10.125" style="27" customWidth="1"/>
    <col min="9" max="9" width="17" style="27" customWidth="1"/>
    <col min="10" max="10" width="15.625" style="27" customWidth="1"/>
    <col min="11" max="11" width="13.125" style="27" customWidth="1"/>
    <col min="12" max="12" width="12.75" style="27" customWidth="1"/>
    <col min="13" max="16384" width="9" style="27"/>
  </cols>
  <sheetData>
    <row r="1" ht="36" customHeight="1" spans="1:12">
      <c r="A1" s="535" t="s">
        <v>2399</v>
      </c>
      <c r="B1" s="535"/>
      <c r="C1" s="535"/>
      <c r="D1" s="535"/>
      <c r="E1" s="535"/>
      <c r="F1" s="535"/>
      <c r="G1" s="535"/>
      <c r="H1" s="535"/>
      <c r="I1" s="535"/>
      <c r="K1" s="575"/>
      <c r="L1" s="575"/>
    </row>
    <row r="2" ht="30" customHeight="1" spans="1:11">
      <c r="A2" s="536" t="s">
        <v>2400</v>
      </c>
      <c r="B2" s="537"/>
      <c r="C2" s="537"/>
      <c r="D2" s="537"/>
      <c r="E2" s="537"/>
      <c r="F2" s="537" t="e">
        <f ca="1">"所属期间：开工至 "&amp;月报日期</f>
        <v>#VALUE!</v>
      </c>
      <c r="G2" s="537"/>
      <c r="H2" s="537"/>
      <c r="I2" s="576"/>
      <c r="J2" s="577"/>
      <c r="K2" s="575"/>
    </row>
    <row r="3" ht="32.1" customHeight="1" spans="1:9">
      <c r="A3" s="538" t="s">
        <v>2401</v>
      </c>
      <c r="B3" s="539"/>
      <c r="C3" s="540" t="e">
        <f>'01工程产值对比表'!L5-'01工程产值对比表'!#REF!-'01工程产值对比表'!#REF!</f>
        <v>#REF!</v>
      </c>
      <c r="D3" s="541" t="s">
        <v>2402</v>
      </c>
      <c r="E3" s="542"/>
      <c r="F3" s="540">
        <f ca="1">+'01工程产值对比表'!W5</f>
        <v>0</v>
      </c>
      <c r="G3" s="543" t="s">
        <v>2403</v>
      </c>
      <c r="H3" s="544">
        <f>+项目信息表!N2</f>
        <v>0</v>
      </c>
      <c r="I3" s="578"/>
    </row>
    <row r="4" ht="36" customHeight="1" spans="1:9">
      <c r="A4" s="538" t="s">
        <v>2404</v>
      </c>
      <c r="B4" s="539"/>
      <c r="C4" s="545">
        <f ca="1">IFERROR(+F3/C3,0)</f>
        <v>0</v>
      </c>
      <c r="D4" s="541" t="s">
        <v>2405</v>
      </c>
      <c r="E4" s="542"/>
      <c r="F4" s="540">
        <f ca="1">+'01工程产值对比表'!AA5</f>
        <v>0</v>
      </c>
      <c r="G4" s="543" t="s">
        <v>2406</v>
      </c>
      <c r="H4" s="546" t="str">
        <f ca="1">IFERROR((F3-F28)/F3,"无产值")</f>
        <v>无产值</v>
      </c>
      <c r="I4" s="579"/>
    </row>
    <row r="5" ht="18" customHeight="1" spans="1:9">
      <c r="A5" s="547" t="s">
        <v>1254</v>
      </c>
      <c r="B5" s="541" t="s">
        <v>2407</v>
      </c>
      <c r="C5" s="548" t="s">
        <v>2408</v>
      </c>
      <c r="D5" s="548" t="s">
        <v>2409</v>
      </c>
      <c r="E5" s="541" t="s">
        <v>2410</v>
      </c>
      <c r="F5" s="541" t="s">
        <v>2411</v>
      </c>
      <c r="G5" s="541" t="s">
        <v>2412</v>
      </c>
      <c r="H5" s="541" t="s">
        <v>2413</v>
      </c>
      <c r="I5" s="580" t="s">
        <v>1262</v>
      </c>
    </row>
    <row r="6" ht="34.15" customHeight="1" spans="1:9">
      <c r="A6" s="547"/>
      <c r="B6" s="541"/>
      <c r="C6" s="548"/>
      <c r="D6" s="548"/>
      <c r="E6" s="541"/>
      <c r="F6" s="541"/>
      <c r="G6" s="541"/>
      <c r="H6" s="541"/>
      <c r="I6" s="580"/>
    </row>
    <row r="7" ht="20.1" customHeight="1" spans="1:13">
      <c r="A7" s="549">
        <v>1</v>
      </c>
      <c r="B7" s="550" t="s">
        <v>1407</v>
      </c>
      <c r="C7" s="551">
        <f>'03人工费预算对比表'!$I$6</f>
        <v>6209287.9217</v>
      </c>
      <c r="D7" s="551">
        <f>'03人工费预算对比表'!$K$6</f>
        <v>3416487.472</v>
      </c>
      <c r="E7" s="551">
        <f ca="1">'03人工费预算对比表'!$N$6</f>
        <v>921500</v>
      </c>
      <c r="F7" s="551">
        <f ca="1">'03人工费预算对比表'!$P$6</f>
        <v>671850.058168757</v>
      </c>
      <c r="G7" s="551">
        <f ca="1">+D7-F7</f>
        <v>2744637.41383124</v>
      </c>
      <c r="H7" s="552">
        <f>IFERROR(D7/C7,"")</f>
        <v>0.550222105188613</v>
      </c>
      <c r="I7" s="581" t="s">
        <v>2414</v>
      </c>
      <c r="J7" s="582"/>
      <c r="L7" s="583"/>
      <c r="M7" s="584"/>
    </row>
    <row r="8" ht="20.1" customHeight="1" spans="1:12">
      <c r="A8" s="549"/>
      <c r="B8" s="553"/>
      <c r="C8" s="551"/>
      <c r="D8" s="551"/>
      <c r="E8" s="551"/>
      <c r="F8" s="551"/>
      <c r="G8" s="551"/>
      <c r="H8" s="554" t="str">
        <f>IFERROR(D8/C8,"")</f>
        <v/>
      </c>
      <c r="I8" s="581"/>
      <c r="J8" s="582"/>
      <c r="L8" s="585"/>
    </row>
    <row r="9" ht="20.1" customHeight="1" spans="1:12">
      <c r="A9" s="549">
        <v>2</v>
      </c>
      <c r="B9" s="550" t="s">
        <v>1409</v>
      </c>
      <c r="C9" s="551">
        <f>'04材料费预算对比表'!$I$6</f>
        <v>29331230.5831834</v>
      </c>
      <c r="D9" s="551">
        <f>'04材料费预算对比表'!$K$6</f>
        <v>25104497.7063746</v>
      </c>
      <c r="E9" s="551">
        <f ca="1">'04材料费预算对比表'!$N$6</f>
        <v>0</v>
      </c>
      <c r="F9" s="551">
        <f ca="1">'04材料费预算对比表'!$P$6</f>
        <v>0</v>
      </c>
      <c r="G9" s="551">
        <f ca="1" t="shared" ref="G9:G15" si="0">+D9-F9</f>
        <v>25104497.7063746</v>
      </c>
      <c r="H9" s="552">
        <f t="shared" ref="H9:H28" si="1">IFERROR(D9/C9,"")</f>
        <v>0.855896503734413</v>
      </c>
      <c r="I9" s="586" t="s">
        <v>2415</v>
      </c>
      <c r="J9" s="582"/>
      <c r="L9" s="587"/>
    </row>
    <row r="10" ht="20.1" customHeight="1" spans="1:12">
      <c r="A10" s="549"/>
      <c r="B10" s="553" t="s">
        <v>2416</v>
      </c>
      <c r="C10" s="555">
        <f ca="1">C9-C11</f>
        <v>29331230.5831834</v>
      </c>
      <c r="D10" s="555">
        <f ca="1">D9-D11</f>
        <v>25104497.7063746</v>
      </c>
      <c r="E10" s="555">
        <f ca="1">E9-E11</f>
        <v>0</v>
      </c>
      <c r="F10" s="555">
        <f ca="1">F9-F11</f>
        <v>0</v>
      </c>
      <c r="G10" s="555">
        <f ca="1" t="shared" si="0"/>
        <v>25104497.7063746</v>
      </c>
      <c r="H10" s="556">
        <f ca="1" t="shared" si="1"/>
        <v>0.855896503734414</v>
      </c>
      <c r="I10" s="588"/>
      <c r="J10" s="582"/>
      <c r="L10" s="587"/>
    </row>
    <row r="11" ht="20.1" customHeight="1" spans="1:12">
      <c r="A11" s="549"/>
      <c r="B11" s="553" t="s">
        <v>2417</v>
      </c>
      <c r="C11" s="555">
        <f ca="1">SUMIF('01工程产值对比表'!$D:$D,$B$11,'01工程产值对比表'!O:O)</f>
        <v>0</v>
      </c>
      <c r="D11" s="555">
        <f ca="1">SUMIF('04材料费预算对比表'!$D:$D,$B$11,'04材料费预算对比表'!K:K)</f>
        <v>0</v>
      </c>
      <c r="E11" s="555">
        <f ca="1">SUMIF('04材料费预算对比表'!$D:$D,$B$11,'04材料费预算对比表'!N:N)</f>
        <v>0</v>
      </c>
      <c r="F11" s="555">
        <f ca="1">SUMIF('04材料费预算对比表'!$D:$D,$B$11,'04材料费预算对比表'!P:P)</f>
        <v>0</v>
      </c>
      <c r="G11" s="555">
        <f ca="1" t="shared" si="0"/>
        <v>0</v>
      </c>
      <c r="H11" s="556" t="str">
        <f ca="1" t="shared" si="1"/>
        <v/>
      </c>
      <c r="I11" s="589"/>
      <c r="J11" s="582"/>
      <c r="L11" s="587"/>
    </row>
    <row r="12" ht="20.1" customHeight="1" spans="1:12">
      <c r="A12" s="557"/>
      <c r="B12" s="558"/>
      <c r="C12" s="551"/>
      <c r="D12" s="551"/>
      <c r="E12" s="551"/>
      <c r="F12" s="551"/>
      <c r="G12" s="551"/>
      <c r="H12" s="559" t="str">
        <f t="shared" si="1"/>
        <v/>
      </c>
      <c r="I12" s="590"/>
      <c r="J12" s="582"/>
      <c r="L12" s="583"/>
    </row>
    <row r="13" ht="20.1" customHeight="1" spans="1:12">
      <c r="A13" s="549">
        <v>3</v>
      </c>
      <c r="B13" s="550" t="s">
        <v>1424</v>
      </c>
      <c r="C13" s="551">
        <f>'05机械租赁费预算对比表'!$I$6</f>
        <v>3039331.1842</v>
      </c>
      <c r="D13" s="551">
        <f>'05机械租赁费预算对比表'!$K$6</f>
        <v>673546</v>
      </c>
      <c r="E13" s="551">
        <f ca="1">'05机械租赁费预算对比表'!$N$6</f>
        <v>0</v>
      </c>
      <c r="F13" s="551">
        <f ca="1">'05机械租赁费预算对比表'!$P$6</f>
        <v>0</v>
      </c>
      <c r="G13" s="551">
        <f ca="1" t="shared" si="0"/>
        <v>673546</v>
      </c>
      <c r="H13" s="552">
        <f t="shared" si="1"/>
        <v>0.221609939549016</v>
      </c>
      <c r="I13" s="591" t="s">
        <v>2418</v>
      </c>
      <c r="J13" s="582"/>
      <c r="L13" s="587"/>
    </row>
    <row r="14" ht="20.1" customHeight="1" spans="1:12">
      <c r="A14" s="549"/>
      <c r="B14" s="553" t="s">
        <v>2419</v>
      </c>
      <c r="C14" s="555">
        <f ca="1">C13-C15</f>
        <v>3039331.1842</v>
      </c>
      <c r="D14" s="555">
        <f ca="1">D13-D15</f>
        <v>673546</v>
      </c>
      <c r="E14" s="555">
        <f ca="1">E13-E15</f>
        <v>0</v>
      </c>
      <c r="F14" s="555">
        <f ca="1">F13-F15</f>
        <v>0</v>
      </c>
      <c r="G14" s="555">
        <f ca="1" t="shared" si="0"/>
        <v>673546</v>
      </c>
      <c r="H14" s="560">
        <f ca="1" t="shared" si="1"/>
        <v>0.221609939549016</v>
      </c>
      <c r="I14" s="592"/>
      <c r="J14" s="582"/>
      <c r="L14" s="587"/>
    </row>
    <row r="15" ht="20.1" customHeight="1" spans="1:12">
      <c r="A15" s="549"/>
      <c r="B15" s="553" t="s">
        <v>2420</v>
      </c>
      <c r="C15" s="555">
        <f ca="1">SUMIF('01工程产值对比表'!$D:$D,$B$15,'01工程产值对比表'!O:O)</f>
        <v>0</v>
      </c>
      <c r="D15" s="555">
        <f ca="1">SUMIF('05机械租赁费预算对比表'!$D:$D,$B$15,'05机械租赁费预算对比表'!K:K)</f>
        <v>0</v>
      </c>
      <c r="E15" s="555">
        <f ca="1">SUMIF('05机械租赁费预算对比表'!$D:$D,$B$15,'05机械租赁费预算对比表'!N:N)</f>
        <v>0</v>
      </c>
      <c r="F15" s="555">
        <f ca="1">SUMIF('05机械租赁费预算对比表'!$D:$D,$B$15,'05机械租赁费预算对比表'!P:P)</f>
        <v>0</v>
      </c>
      <c r="G15" s="555">
        <f ca="1" t="shared" si="0"/>
        <v>0</v>
      </c>
      <c r="H15" s="560" t="str">
        <f ca="1" t="shared" si="1"/>
        <v/>
      </c>
      <c r="I15" s="593"/>
      <c r="J15" s="582"/>
      <c r="L15" s="587"/>
    </row>
    <row r="16" ht="20.1" customHeight="1" spans="1:12">
      <c r="A16" s="557"/>
      <c r="B16" s="558"/>
      <c r="C16" s="551"/>
      <c r="D16" s="551"/>
      <c r="E16" s="551"/>
      <c r="F16" s="551"/>
      <c r="G16" s="551"/>
      <c r="H16" s="554" t="str">
        <f t="shared" si="1"/>
        <v/>
      </c>
      <c r="I16" s="581"/>
      <c r="J16" s="582"/>
      <c r="L16" s="583"/>
    </row>
    <row r="17" ht="20.1" customHeight="1" spans="1:12">
      <c r="A17" s="549">
        <v>4</v>
      </c>
      <c r="B17" s="550" t="s">
        <v>2421</v>
      </c>
      <c r="C17" s="551">
        <f>'06专业分包预算对比表'!$I$6</f>
        <v>8000</v>
      </c>
      <c r="D17" s="551">
        <f>'06专业分包预算对比表'!$K$6</f>
        <v>4000</v>
      </c>
      <c r="E17" s="551">
        <f ca="1">'06专业分包预算对比表'!$N$6</f>
        <v>0</v>
      </c>
      <c r="F17" s="551">
        <f ca="1">'06专业分包预算对比表'!$P$6</f>
        <v>0</v>
      </c>
      <c r="G17" s="551">
        <f ca="1">+D17-F17</f>
        <v>4000</v>
      </c>
      <c r="H17" s="552">
        <f t="shared" si="1"/>
        <v>0.5</v>
      </c>
      <c r="I17" s="581" t="s">
        <v>2422</v>
      </c>
      <c r="J17" s="582"/>
      <c r="L17" s="583"/>
    </row>
    <row r="18" ht="20.1" customHeight="1" spans="1:12">
      <c r="A18" s="549"/>
      <c r="B18" s="553"/>
      <c r="C18" s="551"/>
      <c r="D18" s="551"/>
      <c r="E18" s="551"/>
      <c r="F18" s="551"/>
      <c r="G18" s="551"/>
      <c r="H18" s="554" t="str">
        <f t="shared" si="1"/>
        <v/>
      </c>
      <c r="I18" s="581"/>
      <c r="J18" s="582"/>
      <c r="L18" s="585"/>
    </row>
    <row r="19" ht="28.15" customHeight="1" spans="1:12">
      <c r="A19" s="549">
        <v>5</v>
      </c>
      <c r="B19" s="550" t="s">
        <v>2423</v>
      </c>
      <c r="C19" s="551">
        <f>'07其他直接费对比表'!$I$6</f>
        <v>95760653.50932</v>
      </c>
      <c r="D19" s="551">
        <f>'07其他直接费对比表'!$K$6</f>
        <v>85829741.0960487</v>
      </c>
      <c r="E19" s="551">
        <f>'07其他直接费对比表'!$N$6</f>
        <v>164687.6</v>
      </c>
      <c r="F19" s="551">
        <f>'07其他直接费对比表'!$P$6</f>
        <v>0</v>
      </c>
      <c r="G19" s="551">
        <f t="shared" ref="G19:G25" si="2">+D19-F19</f>
        <v>85829741.0960487</v>
      </c>
      <c r="H19" s="552">
        <f t="shared" si="1"/>
        <v>0.896294437753552</v>
      </c>
      <c r="I19" s="586" t="s">
        <v>2424</v>
      </c>
      <c r="J19" s="582"/>
      <c r="L19" s="585"/>
    </row>
    <row r="20" ht="18.95" customHeight="1" spans="1:12">
      <c r="A20" s="549"/>
      <c r="B20" s="561" t="s">
        <v>1614</v>
      </c>
      <c r="C20" s="555">
        <f>SUMIF('07其他直接费对比表'!$C:$C,$B20,'07其他直接费对比表'!I:I)</f>
        <v>13870000</v>
      </c>
      <c r="D20" s="555">
        <f>SUMIF('07其他直接费对比表'!$C:$C,$B20,'07其他直接费对比表'!K:K)</f>
        <v>12431603.8516418</v>
      </c>
      <c r="E20" s="555">
        <f>SUMIF('07其他直接费对比表'!$C:$C,$B20,'07其他直接费对比表'!N:N)</f>
        <v>155937.6</v>
      </c>
      <c r="F20" s="555">
        <f>SUMIF('07其他直接费对比表'!$C:$C,$B20,'07其他直接费对比表'!P:P)</f>
        <v>0</v>
      </c>
      <c r="G20" s="555">
        <f t="shared" si="2"/>
        <v>12431603.8516418</v>
      </c>
      <c r="H20" s="562">
        <f t="shared" si="1"/>
        <v>0.896294437753551</v>
      </c>
      <c r="I20" s="588"/>
      <c r="J20" s="582"/>
      <c r="L20" s="585"/>
    </row>
    <row r="21" ht="18.95" customHeight="1" spans="1:12">
      <c r="A21" s="549"/>
      <c r="B21" s="561" t="s">
        <v>1274</v>
      </c>
      <c r="C21" s="555">
        <f>SUMIF('07其他直接费对比表'!$C:$C,$B21,'07其他直接费对比表'!I:I)</f>
        <v>40590653.50932</v>
      </c>
      <c r="D21" s="555">
        <f>SUMIF('07其他直接费对比表'!$C:$C,$B21,'07其他直接费对比表'!K:K)</f>
        <v>36381176.9651852</v>
      </c>
      <c r="E21" s="555">
        <f>SUMIF('07其他直接费对比表'!$C:$C,$B21,'07其他直接费对比表'!N:N)</f>
        <v>0</v>
      </c>
      <c r="F21" s="555">
        <f>SUMIF('07其他直接费对比表'!$C:$C,$B21,'07其他直接费对比表'!P:P)</f>
        <v>0</v>
      </c>
      <c r="G21" s="555">
        <f t="shared" si="2"/>
        <v>36381176.9651852</v>
      </c>
      <c r="H21" s="562">
        <f t="shared" si="1"/>
        <v>0.896294437753551</v>
      </c>
      <c r="I21" s="588"/>
      <c r="J21" s="582"/>
      <c r="L21" s="585"/>
    </row>
    <row r="22" ht="18.95" customHeight="1" spans="1:12">
      <c r="A22" s="549"/>
      <c r="B22" s="563" t="s">
        <v>2425</v>
      </c>
      <c r="C22" s="555">
        <f>SUMIF('07其他直接费对比表'!$C:$C,$B22,'07其他直接费对比表'!I:I)</f>
        <v>41300000</v>
      </c>
      <c r="D22" s="555">
        <f>SUMIF('07其他直接费对比表'!$C:$C,$B22,'07其他直接费对比表'!K:K)</f>
        <v>37016960.2792217</v>
      </c>
      <c r="E22" s="555">
        <f>SUMIF('07其他直接费对比表'!$C:$C,$B22,'07其他直接费对比表'!N:N)</f>
        <v>8750</v>
      </c>
      <c r="F22" s="555">
        <f>SUMIF('07其他直接费对比表'!$C:$C,$B22,'07其他直接费对比表'!P:P)</f>
        <v>0</v>
      </c>
      <c r="G22" s="555">
        <f t="shared" si="2"/>
        <v>37016960.2792217</v>
      </c>
      <c r="H22" s="562">
        <f t="shared" si="1"/>
        <v>0.896294437753551</v>
      </c>
      <c r="I22" s="588"/>
      <c r="J22" s="582"/>
      <c r="L22" s="585"/>
    </row>
    <row r="23" ht="28.15" customHeight="1" spans="1:12">
      <c r="A23" s="549">
        <v>6</v>
      </c>
      <c r="B23" s="550" t="s">
        <v>2426</v>
      </c>
      <c r="C23" s="551">
        <f>+'08期间费用对比表'!I6</f>
        <v>52730306.97</v>
      </c>
      <c r="D23" s="551">
        <f ca="1">+'08期间费用对比表'!K6</f>
        <v>0</v>
      </c>
      <c r="E23" s="551">
        <f>+'08期间费用对比表'!M6</f>
        <v>20546922.53</v>
      </c>
      <c r="F23" s="551">
        <f ca="1">+'08期间费用对比表'!P6</f>
        <v>17559411.4</v>
      </c>
      <c r="G23" s="551">
        <f ca="1" t="shared" si="2"/>
        <v>-17559411.4</v>
      </c>
      <c r="H23" s="552">
        <f ca="1" t="shared" si="1"/>
        <v>0</v>
      </c>
      <c r="I23" s="586" t="s">
        <v>2427</v>
      </c>
      <c r="J23" s="582"/>
      <c r="L23" s="585"/>
    </row>
    <row r="24" ht="18" customHeight="1" spans="1:12">
      <c r="A24" s="557" t="s">
        <v>2428</v>
      </c>
      <c r="B24" s="561" t="s">
        <v>1665</v>
      </c>
      <c r="C24" s="555">
        <f>+'08期间费用对比表'!I7</f>
        <v>34945090</v>
      </c>
      <c r="D24" s="555">
        <f ca="1">+'08期间费用对比表'!K7</f>
        <v>0</v>
      </c>
      <c r="E24" s="555">
        <f>+'08期间费用对比表'!M7</f>
        <v>11564021.07</v>
      </c>
      <c r="F24" s="555">
        <f>+'08期间费用对比表'!P7</f>
        <v>11564021.07</v>
      </c>
      <c r="G24" s="555">
        <f ca="1" t="shared" si="2"/>
        <v>-11564021.07</v>
      </c>
      <c r="H24" s="562">
        <f ca="1" t="shared" si="1"/>
        <v>0</v>
      </c>
      <c r="I24" s="588"/>
      <c r="J24" s="582"/>
      <c r="L24" s="585"/>
    </row>
    <row r="25" ht="18" customHeight="1" spans="1:12">
      <c r="A25" s="557"/>
      <c r="B25" s="561" t="s">
        <v>1736</v>
      </c>
      <c r="C25" s="555">
        <f>+'08期间费用对比表'!I39</f>
        <v>3680238.56</v>
      </c>
      <c r="D25" s="555">
        <f ca="1">+'08期间费用对比表'!K39</f>
        <v>0</v>
      </c>
      <c r="E25" s="555">
        <f>+'08期间费用对比表'!M39</f>
        <v>1706688.33</v>
      </c>
      <c r="F25" s="555">
        <f>+'08期间费用对比表'!P39</f>
        <v>1706688.33</v>
      </c>
      <c r="G25" s="555">
        <f ca="1" t="shared" si="2"/>
        <v>-1706688.33</v>
      </c>
      <c r="H25" s="562">
        <f ca="1" t="shared" si="1"/>
        <v>0</v>
      </c>
      <c r="I25" s="589"/>
      <c r="J25" s="582"/>
      <c r="L25" s="585"/>
    </row>
    <row r="26" ht="18" customHeight="1" spans="1:12">
      <c r="A26" s="557"/>
      <c r="B26" s="553"/>
      <c r="C26" s="555"/>
      <c r="D26" s="555"/>
      <c r="E26" s="555"/>
      <c r="F26" s="555"/>
      <c r="G26" s="555"/>
      <c r="H26" s="559" t="str">
        <f t="shared" si="1"/>
        <v/>
      </c>
      <c r="I26" s="581"/>
      <c r="L26" s="585"/>
    </row>
    <row r="27" ht="18" customHeight="1" spans="1:12">
      <c r="A27" s="549">
        <v>7</v>
      </c>
      <c r="B27" s="550" t="s">
        <v>2429</v>
      </c>
      <c r="C27" s="555" t="s">
        <v>2430</v>
      </c>
      <c r="D27" s="555"/>
      <c r="E27" s="555"/>
      <c r="F27" s="555"/>
      <c r="G27" s="555"/>
      <c r="H27" s="559" t="str">
        <f t="shared" si="1"/>
        <v/>
      </c>
      <c r="I27" s="594"/>
      <c r="L27" s="585"/>
    </row>
    <row r="28" ht="31.15" customHeight="1" spans="1:12">
      <c r="A28" s="564">
        <v>8</v>
      </c>
      <c r="B28" s="565" t="s">
        <v>2431</v>
      </c>
      <c r="C28" s="566">
        <f ca="1">SUMIF($A$7:$A$27,"&gt;0",C7:C27)</f>
        <v>187078810.168403</v>
      </c>
      <c r="D28" s="566">
        <f ca="1">SUMIF($A$7:$A$27,"&gt;0",D7:D27)</f>
        <v>115028272.274423</v>
      </c>
      <c r="E28" s="566">
        <f ca="1">SUMIF($A$7:$A$27,"&gt;0",E7:E27)</f>
        <v>21633110.13</v>
      </c>
      <c r="F28" s="566">
        <f ca="1">SUMIF($A$7:$A$27,"&gt;0",F7:F27)</f>
        <v>18231261.4581688</v>
      </c>
      <c r="G28" s="566">
        <f ca="1">+D28-F28</f>
        <v>96797010.8162545</v>
      </c>
      <c r="H28" s="567">
        <f ca="1" t="shared" si="1"/>
        <v>0.614865318904252</v>
      </c>
      <c r="I28" s="595"/>
      <c r="L28" s="585"/>
    </row>
    <row r="29" ht="31.15" customHeight="1" spans="1:9">
      <c r="A29" s="568"/>
      <c r="B29" s="569" t="s">
        <v>2432</v>
      </c>
      <c r="C29" s="570"/>
      <c r="D29" s="570"/>
      <c r="E29" s="570" t="s">
        <v>2433</v>
      </c>
      <c r="G29" s="571"/>
      <c r="H29" s="571" t="s">
        <v>2434</v>
      </c>
      <c r="I29" s="596"/>
    </row>
    <row r="30" ht="31.15" customHeight="1" spans="1:9">
      <c r="A30" s="568"/>
      <c r="B30" s="572" t="s">
        <v>2435</v>
      </c>
      <c r="C30" s="570"/>
      <c r="D30" s="570"/>
      <c r="E30" s="570" t="s">
        <v>2436</v>
      </c>
      <c r="F30" s="571"/>
      <c r="G30" s="571"/>
      <c r="H30" s="571" t="s">
        <v>2437</v>
      </c>
      <c r="I30" s="596"/>
    </row>
    <row r="31" ht="20.25" customHeight="1" spans="1:9">
      <c r="A31" s="573"/>
      <c r="B31" s="572" t="s">
        <v>2438</v>
      </c>
      <c r="C31" s="572"/>
      <c r="D31" s="572"/>
      <c r="E31" s="572"/>
      <c r="F31" s="572"/>
      <c r="G31" s="572"/>
      <c r="H31" s="572"/>
      <c r="I31" s="572"/>
    </row>
    <row r="32" spans="2:9">
      <c r="B32" s="572" t="s">
        <v>2439</v>
      </c>
      <c r="C32" s="572"/>
      <c r="D32" s="572"/>
      <c r="E32" s="572"/>
      <c r="F32" s="572"/>
      <c r="G32" s="572"/>
      <c r="H32" s="572"/>
      <c r="I32" s="572"/>
    </row>
    <row r="33" spans="2:9">
      <c r="B33" s="572" t="s">
        <v>2440</v>
      </c>
      <c r="C33" s="572"/>
      <c r="D33" s="572"/>
      <c r="E33" s="572"/>
      <c r="F33" s="572"/>
      <c r="G33" s="572"/>
      <c r="H33" s="572"/>
      <c r="I33" s="572"/>
    </row>
    <row r="34" spans="2:9">
      <c r="B34" s="574"/>
      <c r="C34" s="574"/>
      <c r="D34" s="574"/>
      <c r="E34" s="574"/>
      <c r="F34" s="574"/>
      <c r="G34" s="574"/>
      <c r="H34" s="574"/>
      <c r="I34" s="574"/>
    </row>
  </sheetData>
  <sheetProtection formatCells="0" formatColumns="0" formatRows="0" insertRows="0" deleteRows="0" autoFilter="0"/>
  <mergeCells count="26">
    <mergeCell ref="A1:I1"/>
    <mergeCell ref="A2:E2"/>
    <mergeCell ref="F2:I2"/>
    <mergeCell ref="A3:B3"/>
    <mergeCell ref="D3:E3"/>
    <mergeCell ref="H3:I3"/>
    <mergeCell ref="A4:B4"/>
    <mergeCell ref="D4:E4"/>
    <mergeCell ref="H4:I4"/>
    <mergeCell ref="B31:I31"/>
    <mergeCell ref="B32:I32"/>
    <mergeCell ref="B33:I33"/>
    <mergeCell ref="B34:I34"/>
    <mergeCell ref="A5:A6"/>
    <mergeCell ref="B5:B6"/>
    <mergeCell ref="C5:C6"/>
    <mergeCell ref="D5:D6"/>
    <mergeCell ref="E5:E6"/>
    <mergeCell ref="F5:F6"/>
    <mergeCell ref="G5:G6"/>
    <mergeCell ref="H5:H6"/>
    <mergeCell ref="I5:I6"/>
    <mergeCell ref="I9:I11"/>
    <mergeCell ref="I13:I15"/>
    <mergeCell ref="I19:I22"/>
    <mergeCell ref="I23:I25"/>
  </mergeCells>
  <pageMargins left="0.0388888888888889" right="0.0784722222222222" top="0.275" bottom="1" header="0.5" footer="0.5"/>
  <pageSetup paperSize="9" orientation="landscape"/>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FF0000"/>
    <outlinePr summaryBelow="0" summaryRight="0"/>
  </sheetPr>
  <dimension ref="A1:AC222"/>
  <sheetViews>
    <sheetView zoomScale="70" zoomScaleNormal="70" workbookViewId="0">
      <pane xSplit="7" ySplit="4" topLeftCell="M144" activePane="bottomRight" state="frozen"/>
      <selection/>
      <selection pane="topRight"/>
      <selection pane="bottomLeft"/>
      <selection pane="bottomRight" activeCell="R154" sqref="R154"/>
    </sheetView>
  </sheetViews>
  <sheetFormatPr defaultColWidth="9" defaultRowHeight="39" customHeight="1"/>
  <cols>
    <col min="1" max="1" width="25.125" style="27" customWidth="1"/>
    <col min="2" max="2" width="6" style="27" customWidth="1"/>
    <col min="3" max="3" width="8.625" style="266" customWidth="1"/>
    <col min="4" max="4" width="23.75" style="27" customWidth="1"/>
    <col min="5" max="5" width="13.75" style="27" customWidth="1"/>
    <col min="6" max="6" width="11.5" style="27" customWidth="1"/>
    <col min="7" max="7" width="10.375" style="27" customWidth="1"/>
    <col min="8" max="8" width="12.75" style="27" customWidth="1"/>
    <col min="9" max="9" width="16.375" style="27" customWidth="1"/>
    <col min="10" max="10" width="11.625" style="27" customWidth="1"/>
    <col min="11" max="11" width="11.375" style="27" customWidth="1"/>
    <col min="12" max="12" width="13.375" style="178" customWidth="1"/>
    <col min="13" max="13" width="16.625" style="27" customWidth="1"/>
    <col min="14" max="15" width="15" style="27" customWidth="1"/>
    <col min="16" max="16" width="12" style="27" customWidth="1"/>
    <col min="17" max="17" width="13.875" style="27" customWidth="1"/>
    <col min="18" max="18" width="12.375" style="27" customWidth="1"/>
    <col min="19" max="19" width="16.375" style="27" customWidth="1"/>
    <col min="20" max="20" width="12.25" style="27" customWidth="1"/>
    <col min="21" max="21" width="12.375" style="27" customWidth="1"/>
    <col min="22" max="22" width="12.75" style="27" customWidth="1"/>
    <col min="23" max="23" width="15.125" style="27" customWidth="1"/>
    <col min="24" max="24" width="13.375" style="27" customWidth="1"/>
    <col min="25" max="25" width="16.625" style="27" customWidth="1"/>
    <col min="26" max="26" width="11.5" style="27" customWidth="1"/>
    <col min="27" max="27" width="15.75" style="27" customWidth="1"/>
    <col min="28" max="28" width="9" style="27" customWidth="1"/>
    <col min="29" max="29" width="5.75" style="27" customWidth="1"/>
    <col min="30" max="16384" width="9" style="27"/>
  </cols>
  <sheetData>
    <row r="1" customHeight="1" spans="2:28">
      <c r="B1" s="491"/>
      <c r="C1" s="492"/>
      <c r="D1" s="491" t="s">
        <v>2441</v>
      </c>
      <c r="E1" s="493"/>
      <c r="F1" s="494"/>
      <c r="G1" s="495"/>
      <c r="H1" s="495"/>
      <c r="I1" s="495"/>
      <c r="J1" s="495">
        <f>+G1</f>
        <v>0</v>
      </c>
      <c r="K1" s="495">
        <f>+H1</f>
        <v>0</v>
      </c>
      <c r="L1" s="516">
        <f>+I1</f>
        <v>0</v>
      </c>
      <c r="M1" s="495"/>
      <c r="N1" s="495"/>
      <c r="O1" s="495"/>
      <c r="P1" s="495"/>
      <c r="Q1" s="495"/>
      <c r="R1" s="495">
        <f>+P1+J1</f>
        <v>0</v>
      </c>
      <c r="S1" s="495">
        <f>+Q1+L1</f>
        <v>0</v>
      </c>
      <c r="T1" s="495">
        <f>IFERROR(VLOOKUP(A1,产值统计中间表!A:F,7,FALSE),0)</f>
        <v>0</v>
      </c>
      <c r="U1" s="495">
        <f>+T1*H1</f>
        <v>0</v>
      </c>
      <c r="V1" s="215">
        <f>IFERROR(VLOOKUP(A1,产值统计中间表!A:D,4,FALSE),0)</f>
        <v>0</v>
      </c>
      <c r="W1" s="495">
        <f>+V1*H1</f>
        <v>0</v>
      </c>
      <c r="X1" s="495">
        <f>+R1-V1</f>
        <v>0</v>
      </c>
      <c r="Y1" s="495">
        <f>+S1-W1</f>
        <v>0</v>
      </c>
      <c r="Z1" s="529">
        <f>IFERROR(VLOOKUP(A1,业主统计中间表!A:D,4,FALSE),0)</f>
        <v>0</v>
      </c>
      <c r="AA1" s="495">
        <f>+Z1*H1</f>
        <v>0</v>
      </c>
      <c r="AB1" s="530"/>
    </row>
    <row r="2" s="490" customFormat="1" customHeight="1" spans="1:28">
      <c r="A2" s="496"/>
      <c r="B2" s="496"/>
      <c r="C2" s="497"/>
      <c r="D2" s="496"/>
      <c r="E2" s="496"/>
      <c r="F2" s="498" t="e">
        <f ca="1">VLOOKUP($D2,INDIRECT($C2),2,0)</f>
        <v>#REF!</v>
      </c>
      <c r="H2" s="496"/>
      <c r="I2" s="496"/>
      <c r="J2" s="496"/>
      <c r="K2" s="496"/>
      <c r="L2" s="517"/>
      <c r="M2" s="518"/>
      <c r="N2" s="495" t="e">
        <f ca="1">VLOOKUP($D2,INDIRECT($C2),3,0)</f>
        <v>#REF!</v>
      </c>
      <c r="O2" s="518"/>
      <c r="P2" s="496"/>
      <c r="Q2" s="496"/>
      <c r="R2" s="496"/>
      <c r="S2" s="518"/>
      <c r="T2" s="496" t="e">
        <f ca="1">OFFSET(T2,-RIGHT($A2,LEN($A$6)),,1,1)/OFFSET(T2,-RIGHT($A2,LEN($A$6)),-13,1,1)*$M2</f>
        <v>#VALUE!</v>
      </c>
      <c r="U2" s="496" t="e">
        <f ca="1">+$N2*T2</f>
        <v>#REF!</v>
      </c>
      <c r="V2" s="496" t="e">
        <f ca="1">OFFSET(V2,-RIGHT($A2,LEN($A$6)),,1,1)/OFFSET(V2,-RIGHT($A2,LEN($A$6)),-15,1,1)*$M2</f>
        <v>#VALUE!</v>
      </c>
      <c r="W2" s="496" t="e">
        <f ca="1">+$N2*V2</f>
        <v>#REF!</v>
      </c>
      <c r="X2" s="496" t="e">
        <f ca="1">+M2-V2</f>
        <v>#VALUE!</v>
      </c>
      <c r="Y2" s="531" t="e">
        <f ca="1">+O2-W2</f>
        <v>#REF!</v>
      </c>
      <c r="Z2" s="531" t="e">
        <f ca="1">OFFSET(Z2,-RIGHT($A2,LEN($A$6)),,1,1)/OFFSET(Z2,-RIGHT($A2,LEN($A$6)),-19,1,1)*$M2</f>
        <v>#VALUE!</v>
      </c>
      <c r="AA2" s="531" t="e">
        <f ca="1">+$N2*Z2</f>
        <v>#REF!</v>
      </c>
      <c r="AB2" s="496"/>
    </row>
    <row r="3" customHeight="1" spans="1:29">
      <c r="A3" s="499"/>
      <c r="B3" s="500"/>
      <c r="C3" s="501"/>
      <c r="D3" s="500"/>
      <c r="E3" s="500"/>
      <c r="F3" s="501"/>
      <c r="G3" s="500"/>
      <c r="H3" s="502" t="s">
        <v>2442</v>
      </c>
      <c r="I3" s="502"/>
      <c r="J3" s="519" t="s">
        <v>2443</v>
      </c>
      <c r="K3" s="519"/>
      <c r="L3" s="519"/>
      <c r="M3" s="519" t="s">
        <v>2444</v>
      </c>
      <c r="N3" s="519"/>
      <c r="O3" s="519"/>
      <c r="P3" s="502" t="s">
        <v>2445</v>
      </c>
      <c r="Q3" s="502"/>
      <c r="R3" s="519" t="s">
        <v>1284</v>
      </c>
      <c r="S3" s="519"/>
      <c r="T3" s="502" t="s">
        <v>2446</v>
      </c>
      <c r="U3" s="502"/>
      <c r="V3" s="502" t="s">
        <v>2447</v>
      </c>
      <c r="W3" s="502"/>
      <c r="X3" s="502" t="s">
        <v>2448</v>
      </c>
      <c r="Y3" s="502"/>
      <c r="Z3" s="532" t="s">
        <v>2449</v>
      </c>
      <c r="AA3" s="502"/>
      <c r="AB3" s="500"/>
      <c r="AC3" s="533"/>
    </row>
    <row r="4" s="266" customFormat="1" customHeight="1" spans="1:28">
      <c r="A4" s="503" t="s">
        <v>1254</v>
      </c>
      <c r="B4" s="504" t="s">
        <v>1291</v>
      </c>
      <c r="C4" s="504" t="s">
        <v>1292</v>
      </c>
      <c r="D4" s="504" t="s">
        <v>1255</v>
      </c>
      <c r="E4" s="504" t="s">
        <v>1294</v>
      </c>
      <c r="F4" s="504" t="s">
        <v>60</v>
      </c>
      <c r="G4" s="504" t="s">
        <v>2450</v>
      </c>
      <c r="H4" s="504" t="s">
        <v>61</v>
      </c>
      <c r="I4" s="504" t="s">
        <v>2451</v>
      </c>
      <c r="J4" s="504" t="s">
        <v>2452</v>
      </c>
      <c r="K4" s="504" t="s">
        <v>91</v>
      </c>
      <c r="L4" s="520" t="s">
        <v>2453</v>
      </c>
      <c r="M4" s="521" t="s">
        <v>2450</v>
      </c>
      <c r="N4" s="521" t="s">
        <v>61</v>
      </c>
      <c r="O4" s="521" t="s">
        <v>2451</v>
      </c>
      <c r="P4" s="504" t="s">
        <v>2454</v>
      </c>
      <c r="Q4" s="504" t="s">
        <v>2455</v>
      </c>
      <c r="R4" s="504" t="s">
        <v>2456</v>
      </c>
      <c r="S4" s="527" t="s">
        <v>2457</v>
      </c>
      <c r="T4" s="504" t="s">
        <v>2458</v>
      </c>
      <c r="U4" s="527" t="s">
        <v>2459</v>
      </c>
      <c r="V4" s="528" t="s">
        <v>2460</v>
      </c>
      <c r="W4" s="504" t="s">
        <v>2461</v>
      </c>
      <c r="X4" s="504" t="s">
        <v>2462</v>
      </c>
      <c r="Y4" s="504" t="s">
        <v>2463</v>
      </c>
      <c r="Z4" s="528" t="s">
        <v>2464</v>
      </c>
      <c r="AA4" s="504" t="s">
        <v>2465</v>
      </c>
      <c r="AB4" s="534" t="s">
        <v>1262</v>
      </c>
    </row>
    <row r="5" customHeight="1" spans="1:28">
      <c r="A5" s="505"/>
      <c r="B5" s="506"/>
      <c r="C5" s="507"/>
      <c r="D5" s="506"/>
      <c r="E5" s="506"/>
      <c r="F5" s="507"/>
      <c r="G5" s="506"/>
      <c r="H5" s="506"/>
      <c r="I5" s="522">
        <f>SUMPRODUCT((LEN($A6:$A222)=LEN($A$6))*1,I6:I222)</f>
        <v>39494991.936507</v>
      </c>
      <c r="J5" s="506"/>
      <c r="K5" s="506"/>
      <c r="L5" s="523">
        <f>SUMPRODUCT((LEN($A6:$A222)=LEN($A$6))*1,L6:L222)</f>
        <v>18969789.4402817</v>
      </c>
      <c r="M5" s="524"/>
      <c r="N5" s="524"/>
      <c r="O5" s="524" t="e">
        <f ca="1">SUMPRODUCT((LEN($A6:$A222)=LEN($A$6))*1,O6:O222)</f>
        <v>#REF!</v>
      </c>
      <c r="P5" s="525" t="s">
        <v>2466</v>
      </c>
      <c r="Q5" s="525"/>
      <c r="R5" s="525"/>
      <c r="S5" s="524">
        <f>SUMPRODUCT((LEN($A6:$A24)=LEN($A$6))*1,S6:S24)</f>
        <v>0</v>
      </c>
      <c r="T5" s="525"/>
      <c r="U5" s="525">
        <f ca="1">SUMPRODUCT((LEN($A6:$A24)=LEN($A$6))*1,U6:U24)</f>
        <v>0</v>
      </c>
      <c r="V5" s="525"/>
      <c r="W5" s="524">
        <f ca="1">SUMPRODUCT((LEN($A6:$A24)=LEN($A$6))*1,W6:W24)</f>
        <v>0</v>
      </c>
      <c r="X5" s="525"/>
      <c r="Y5" s="524">
        <f ca="1">SUMPRODUCT((LEN($A6:$A24)=LEN($A$6))*1,Y6:Y24)</f>
        <v>0</v>
      </c>
      <c r="Z5" s="525"/>
      <c r="AA5" s="524">
        <f ca="1">SUMPRODUCT((LEN($A6:$A24)=LEN($A$6))*1,AA6:AA24)</f>
        <v>0</v>
      </c>
      <c r="AB5" s="506"/>
    </row>
    <row r="6" customFormat="1" customHeight="1" spans="1:28">
      <c r="A6" s="508" t="s">
        <v>1305</v>
      </c>
      <c r="B6" s="508"/>
      <c r="C6" s="508" t="s">
        <v>1306</v>
      </c>
      <c r="D6" s="508" t="s">
        <v>1265</v>
      </c>
      <c r="E6" s="508"/>
      <c r="F6" s="508"/>
      <c r="G6" s="508"/>
      <c r="H6" s="508"/>
      <c r="I6" s="508">
        <f>(+I7+I47+I66+I71+I83+I92+I98+I103+I116+I121+I126+I144+I158+I173+I182+I190)</f>
        <v>15198198.5659817</v>
      </c>
      <c r="J6" s="508"/>
      <c r="K6" s="508"/>
      <c r="L6" s="508">
        <f>(+L7+L47+L66+L71+L83+L92+L98+L103+L116+L121+L126+L144+L158+L173+L182+L190)</f>
        <v>15198198.5659817</v>
      </c>
      <c r="M6" s="508"/>
      <c r="N6" s="508"/>
      <c r="O6" s="508" t="e">
        <f ca="1">(+O7+O47+O66+O71+O83+O92+O98+O103+O116+O121+O126+O144+O158+O173+O182+O190)</f>
        <v>#REF!</v>
      </c>
      <c r="P6" s="508"/>
      <c r="Q6" s="508"/>
      <c r="R6" s="508"/>
      <c r="S6" s="508"/>
      <c r="T6" s="508"/>
      <c r="U6" s="508"/>
      <c r="V6" s="508"/>
      <c r="W6" s="508"/>
      <c r="X6" s="508"/>
      <c r="Y6" s="508"/>
      <c r="Z6" s="508"/>
      <c r="AA6" s="508"/>
      <c r="AB6" s="508"/>
    </row>
    <row r="7" customFormat="1" customHeight="1" outlineLevel="1" spans="1:28">
      <c r="A7" s="509" t="s">
        <v>1307</v>
      </c>
      <c r="B7" s="508"/>
      <c r="C7" s="508" t="s">
        <v>60</v>
      </c>
      <c r="D7" s="508" t="s">
        <v>1308</v>
      </c>
      <c r="E7" s="508"/>
      <c r="F7" s="508"/>
      <c r="G7" s="508"/>
      <c r="H7" s="508"/>
      <c r="I7" s="508">
        <f>(+I8+I18+I25)</f>
        <v>4098317.78715597</v>
      </c>
      <c r="J7" s="508"/>
      <c r="K7" s="508"/>
      <c r="L7" s="508">
        <f>(+L8+L18+L25)</f>
        <v>4098317.78715597</v>
      </c>
      <c r="M7" s="508"/>
      <c r="N7" s="508"/>
      <c r="O7" s="508">
        <f ca="1">(+O8+O18+O25)</f>
        <v>2138010.45782301</v>
      </c>
      <c r="P7" s="508"/>
      <c r="Q7" s="508"/>
      <c r="R7" s="508"/>
      <c r="S7" s="508"/>
      <c r="T7" s="508"/>
      <c r="U7" s="508"/>
      <c r="V7" s="508"/>
      <c r="W7" s="508"/>
      <c r="X7" s="508"/>
      <c r="Y7" s="508"/>
      <c r="Z7" s="508"/>
      <c r="AA7" s="508"/>
      <c r="AB7" s="508"/>
    </row>
    <row r="8" customFormat="1" customHeight="1" outlineLevel="2" spans="1:28">
      <c r="A8" s="510" t="s">
        <v>1309</v>
      </c>
      <c r="B8" s="508"/>
      <c r="C8" s="508" t="s">
        <v>1310</v>
      </c>
      <c r="D8" s="508" t="s">
        <v>1365</v>
      </c>
      <c r="E8" s="508" t="s">
        <v>1366</v>
      </c>
      <c r="F8" s="508" t="s">
        <v>72</v>
      </c>
      <c r="G8" s="508">
        <v>1134.3</v>
      </c>
      <c r="H8" s="508">
        <v>1444.17431192661</v>
      </c>
      <c r="I8" s="508">
        <f>G8*H8</f>
        <v>1638126.92201835</v>
      </c>
      <c r="J8" s="508">
        <f t="shared" ref="J8:L8" si="0">+G8</f>
        <v>1134.3</v>
      </c>
      <c r="K8" s="508">
        <f t="shared" si="0"/>
        <v>1444.17431192661</v>
      </c>
      <c r="L8" s="508">
        <f t="shared" si="0"/>
        <v>1638126.92201835</v>
      </c>
      <c r="M8" s="508">
        <v>1134.3</v>
      </c>
      <c r="N8" s="508">
        <f ca="1">O8/M8</f>
        <v>488.493343912545</v>
      </c>
      <c r="O8" s="508">
        <f ca="1">(+O9+O10+O11+O12+O13+O14+O15+O16+O17)</f>
        <v>554098</v>
      </c>
      <c r="P8" s="508"/>
      <c r="Q8" s="508"/>
      <c r="R8" s="508">
        <f>+P8+J8</f>
        <v>1134.3</v>
      </c>
      <c r="S8" s="508">
        <f>+Q8+L8</f>
        <v>1638126.92201835</v>
      </c>
      <c r="T8" s="508">
        <f>IFERROR(VLOOKUP(A8,产值统计中间表!A:F,7,FALSE),0)</f>
        <v>0</v>
      </c>
      <c r="U8" s="508">
        <f>+T8*H8</f>
        <v>0</v>
      </c>
      <c r="V8" s="508">
        <f>IFERROR(VLOOKUP(A8,产值统计中间表!A:D,4,FALSE),0)</f>
        <v>82569.74</v>
      </c>
      <c r="W8" s="508">
        <f>+V8*H8</f>
        <v>119245097.450459</v>
      </c>
      <c r="X8" s="508">
        <f>+R8-V8</f>
        <v>-81435.44</v>
      </c>
      <c r="Y8" s="508">
        <f>+S8-W8</f>
        <v>-117606970.528441</v>
      </c>
      <c r="Z8" s="508">
        <f>IFERROR(VLOOKUP(A8,业主统计中间表!A:D,4,FALSE),0)</f>
        <v>70000</v>
      </c>
      <c r="AA8" s="508">
        <f>+Z8*H8</f>
        <v>101092201.834863</v>
      </c>
      <c r="AB8" s="508"/>
    </row>
    <row r="9" customFormat="1" customHeight="1" outlineLevel="3" spans="1:28">
      <c r="A9" s="511" t="s">
        <v>1312</v>
      </c>
      <c r="B9" s="508"/>
      <c r="C9" s="508" t="s">
        <v>65</v>
      </c>
      <c r="D9" s="508" t="s">
        <v>688</v>
      </c>
      <c r="E9" s="508" t="s">
        <v>2467</v>
      </c>
      <c r="F9" s="508" t="str">
        <f ca="1" t="shared" ref="F9:F17" si="1">VLOOKUP($D9,INDIRECT($C9),2,0)</f>
        <v>m³</v>
      </c>
      <c r="G9" s="508"/>
      <c r="H9" s="508"/>
      <c r="I9" s="508"/>
      <c r="J9" s="508"/>
      <c r="K9" s="508"/>
      <c r="L9" s="508"/>
      <c r="M9" s="508">
        <v>1134.3</v>
      </c>
      <c r="N9" s="508">
        <f ca="1" t="shared" ref="N9:N12" si="2">VLOOKUP($D9,INDIRECT($C9),3,0)</f>
        <v>390</v>
      </c>
      <c r="O9" s="508">
        <f ca="1" t="shared" ref="O9:O17" si="3">M9*N9</f>
        <v>442377</v>
      </c>
      <c r="P9" s="508"/>
      <c r="Q9" s="508"/>
      <c r="R9" s="508"/>
      <c r="S9" s="508"/>
      <c r="T9" s="508">
        <f ca="1" t="shared" ref="T9:T17" si="4">OFFSET(T9,-RIGHT($A9,LEN($A$6)),,1,1)/OFFSET(T9,-RIGHT($A9,LEN($A$6)),-13,1,1)*$M9</f>
        <v>0</v>
      </c>
      <c r="U9" s="508">
        <f ca="1" t="shared" ref="U9:U17" si="5">+$N9*T9</f>
        <v>0</v>
      </c>
      <c r="V9" s="508">
        <f ca="1">OFFSET(V9,-RIGHT($A9,LEN($A$6)),,1,1)/OFFSET(V9,-RIGHT($A9,LEN($A$6)),-15,1,1)*$M9</f>
        <v>82569.74</v>
      </c>
      <c r="W9" s="508">
        <f ca="1" t="shared" ref="W9:W17" si="6">+$N9*V9</f>
        <v>32202198.6</v>
      </c>
      <c r="X9" s="508">
        <f ca="1" t="shared" ref="X9:X17" si="7">+M9-V9</f>
        <v>-81435.44</v>
      </c>
      <c r="Y9" s="508">
        <f ca="1" t="shared" ref="Y9:Y17" si="8">+O9-W9</f>
        <v>-31759821.6</v>
      </c>
      <c r="Z9" s="508">
        <f ca="1" t="shared" ref="Z9:Z17" si="9">OFFSET(Z9,-RIGHT($A9,LEN($A$6)),,1,1)/OFFSET(Z9,-RIGHT($A9,LEN($A$6)),-19,1,1)*$M9</f>
        <v>70000</v>
      </c>
      <c r="AA9" s="508">
        <f ca="1" t="shared" ref="AA9:AA17" si="10">+$N9*Z9</f>
        <v>27300000</v>
      </c>
      <c r="AB9" s="508"/>
    </row>
    <row r="10" customFormat="1" customHeight="1" outlineLevel="3" spans="1:28">
      <c r="A10" s="511" t="s">
        <v>1313</v>
      </c>
      <c r="B10" s="508"/>
      <c r="C10" s="508" t="s">
        <v>59</v>
      </c>
      <c r="D10" s="508" t="s">
        <v>976</v>
      </c>
      <c r="E10" s="508"/>
      <c r="F10" s="508" t="str">
        <f ca="1" t="shared" si="1"/>
        <v>m3</v>
      </c>
      <c r="G10" s="508"/>
      <c r="H10" s="508"/>
      <c r="I10" s="508"/>
      <c r="J10" s="508"/>
      <c r="K10" s="508"/>
      <c r="L10" s="508"/>
      <c r="M10" s="508">
        <v>1311.02394</v>
      </c>
      <c r="N10" s="508">
        <f ca="1" t="shared" si="2"/>
        <v>0</v>
      </c>
      <c r="O10" s="508">
        <f ca="1" t="shared" si="3"/>
        <v>0</v>
      </c>
      <c r="P10" s="508"/>
      <c r="Q10" s="508"/>
      <c r="R10" s="508"/>
      <c r="S10" s="508"/>
      <c r="T10" s="508">
        <f ca="1" t="shared" si="4"/>
        <v>0</v>
      </c>
      <c r="U10" s="508">
        <f ca="1" t="shared" si="5"/>
        <v>0</v>
      </c>
      <c r="V10" s="508">
        <f ca="1">OFFSET(V10,-RIGHT($A10,LEN($A$6)),,1,1)/OFFSET(V10,-RIGHT($A10,LEN($A$6)),-15,1,1)*$M10</f>
        <v>95434.105492</v>
      </c>
      <c r="W10" s="508">
        <f ca="1" t="shared" si="6"/>
        <v>0</v>
      </c>
      <c r="X10" s="508">
        <f ca="1" t="shared" si="7"/>
        <v>-94123.081552</v>
      </c>
      <c r="Y10" s="508">
        <f ca="1" t="shared" si="8"/>
        <v>0</v>
      </c>
      <c r="Z10" s="508">
        <f ca="1" t="shared" si="9"/>
        <v>80906</v>
      </c>
      <c r="AA10" s="508">
        <f ca="1" t="shared" si="10"/>
        <v>0</v>
      </c>
      <c r="AB10" s="508"/>
    </row>
    <row r="11" customFormat="1" customHeight="1" outlineLevel="3" spans="1:28">
      <c r="A11" s="511" t="s">
        <v>1314</v>
      </c>
      <c r="B11" s="508"/>
      <c r="C11" s="508" t="s">
        <v>59</v>
      </c>
      <c r="D11" s="508" t="s">
        <v>714</v>
      </c>
      <c r="E11" s="508" t="str">
        <f ca="1">"含钢量："&amp;ROUND($M$11/$G$8,3)&amp;$F$11&amp;"/"&amp;$F$8</f>
        <v>含钢量：0.065t/m3</v>
      </c>
      <c r="F11" s="508" t="str">
        <f ca="1" t="shared" si="1"/>
        <v>t</v>
      </c>
      <c r="G11" s="508"/>
      <c r="H11" s="508"/>
      <c r="I11" s="508"/>
      <c r="J11" s="508"/>
      <c r="K11" s="508"/>
      <c r="L11" s="508"/>
      <c r="M11" s="508">
        <v>73.485</v>
      </c>
      <c r="N11" s="508">
        <f ca="1" t="shared" si="2"/>
        <v>0</v>
      </c>
      <c r="O11" s="508">
        <f ca="1" t="shared" si="3"/>
        <v>0</v>
      </c>
      <c r="P11" s="508"/>
      <c r="Q11" s="508"/>
      <c r="R11" s="508"/>
      <c r="S11" s="508"/>
      <c r="T11" s="508">
        <f ca="1" t="shared" si="4"/>
        <v>0</v>
      </c>
      <c r="U11" s="508">
        <f ca="1" t="shared" si="5"/>
        <v>0</v>
      </c>
      <c r="V11" s="508">
        <f ca="1" t="shared" ref="V11:V17" si="11">OFFSET(V11,-RIGHT($A11,LEN($A$6)),,1,1)/OFFSET(V11,-RIGHT($A11,LEN($A$6)),-15,1,1)*$M11</f>
        <v>5349.23507352552</v>
      </c>
      <c r="W11" s="508">
        <f ca="1" t="shared" si="6"/>
        <v>0</v>
      </c>
      <c r="X11" s="508">
        <f ca="1" t="shared" si="7"/>
        <v>-5275.75007352552</v>
      </c>
      <c r="Y11" s="508">
        <f ca="1" t="shared" si="8"/>
        <v>0</v>
      </c>
      <c r="Z11" s="508">
        <f ca="1" t="shared" si="9"/>
        <v>4534.91139910077</v>
      </c>
      <c r="AA11" s="508">
        <f ca="1" t="shared" si="10"/>
        <v>0</v>
      </c>
      <c r="AB11" s="508"/>
    </row>
    <row r="12" customFormat="1" customHeight="1" outlineLevel="3" spans="1:28">
      <c r="A12" s="511" t="s">
        <v>1315</v>
      </c>
      <c r="B12" s="508"/>
      <c r="C12" s="508" t="s">
        <v>64</v>
      </c>
      <c r="D12" s="508" t="s">
        <v>1062</v>
      </c>
      <c r="E12" s="508" t="s">
        <v>2468</v>
      </c>
      <c r="F12" s="508" t="str">
        <f ca="1" t="shared" si="1"/>
        <v>根</v>
      </c>
      <c r="G12" s="508"/>
      <c r="H12" s="508"/>
      <c r="I12" s="508"/>
      <c r="J12" s="508"/>
      <c r="K12" s="508"/>
      <c r="L12" s="508"/>
      <c r="M12" s="508">
        <v>43</v>
      </c>
      <c r="N12" s="508">
        <f ca="1" t="shared" si="2"/>
        <v>200</v>
      </c>
      <c r="O12" s="508">
        <f ca="1" t="shared" si="3"/>
        <v>8600</v>
      </c>
      <c r="P12" s="508"/>
      <c r="Q12" s="508"/>
      <c r="R12" s="508"/>
      <c r="S12" s="508"/>
      <c r="T12" s="508">
        <f ca="1" t="shared" si="4"/>
        <v>0</v>
      </c>
      <c r="U12" s="508">
        <f ca="1" t="shared" si="5"/>
        <v>0</v>
      </c>
      <c r="V12" s="508">
        <f ca="1" t="shared" si="11"/>
        <v>3130.12326545006</v>
      </c>
      <c r="W12" s="508">
        <f ca="1" t="shared" si="6"/>
        <v>626024.653090012</v>
      </c>
      <c r="X12" s="508">
        <f ca="1" t="shared" si="7"/>
        <v>-3087.12326545006</v>
      </c>
      <c r="Y12" s="508">
        <f ca="1" t="shared" si="8"/>
        <v>-617424.653090012</v>
      </c>
      <c r="Z12" s="508">
        <f ca="1" t="shared" si="9"/>
        <v>2653.61897205325</v>
      </c>
      <c r="AA12" s="508">
        <f ca="1" t="shared" si="10"/>
        <v>530723.79441065</v>
      </c>
      <c r="AB12" s="508"/>
    </row>
    <row r="13" customFormat="1" customHeight="1" outlineLevel="3" spans="1:28">
      <c r="A13" s="511" t="s">
        <v>1316</v>
      </c>
      <c r="B13" s="508"/>
      <c r="C13" s="508" t="s">
        <v>65</v>
      </c>
      <c r="D13" s="508" t="s">
        <v>652</v>
      </c>
      <c r="E13" s="508"/>
      <c r="F13" s="508" t="str">
        <f ca="1" t="shared" si="1"/>
        <v>根</v>
      </c>
      <c r="G13" s="508"/>
      <c r="H13" s="508"/>
      <c r="I13" s="508"/>
      <c r="J13" s="508"/>
      <c r="K13" s="508"/>
      <c r="L13" s="508"/>
      <c r="M13" s="508">
        <v>43</v>
      </c>
      <c r="N13" s="508">
        <v>320</v>
      </c>
      <c r="O13" s="508">
        <f t="shared" si="3"/>
        <v>13760</v>
      </c>
      <c r="P13" s="508"/>
      <c r="Q13" s="508"/>
      <c r="R13" s="508"/>
      <c r="S13" s="508"/>
      <c r="T13" s="508">
        <f ca="1" t="shared" si="4"/>
        <v>0</v>
      </c>
      <c r="U13" s="508">
        <f ca="1" t="shared" si="5"/>
        <v>0</v>
      </c>
      <c r="V13" s="508">
        <f ca="1" t="shared" si="11"/>
        <v>3130.12326545006</v>
      </c>
      <c r="W13" s="508">
        <f ca="1" t="shared" si="6"/>
        <v>1001639.44494402</v>
      </c>
      <c r="X13" s="508">
        <f ca="1" t="shared" si="7"/>
        <v>-3087.12326545006</v>
      </c>
      <c r="Y13" s="508">
        <f ca="1" t="shared" si="8"/>
        <v>-987879.444944018</v>
      </c>
      <c r="Z13" s="508">
        <f ca="1" t="shared" si="9"/>
        <v>2653.61897205325</v>
      </c>
      <c r="AA13" s="508">
        <f ca="1" t="shared" si="10"/>
        <v>849158.07105704</v>
      </c>
      <c r="AB13" s="508"/>
    </row>
    <row r="14" customFormat="1" customHeight="1" outlineLevel="3" spans="1:28">
      <c r="A14" s="511" t="s">
        <v>2469</v>
      </c>
      <c r="B14" s="508"/>
      <c r="C14" s="508" t="s">
        <v>65</v>
      </c>
      <c r="D14" s="508" t="s">
        <v>656</v>
      </c>
      <c r="E14" s="508"/>
      <c r="F14" s="508" t="str">
        <f ca="1" t="shared" si="1"/>
        <v>根</v>
      </c>
      <c r="G14" s="508"/>
      <c r="H14" s="508"/>
      <c r="I14" s="508"/>
      <c r="J14" s="508"/>
      <c r="K14" s="508"/>
      <c r="L14" s="508"/>
      <c r="M14" s="508">
        <v>43</v>
      </c>
      <c r="N14" s="508">
        <f ca="1" t="shared" ref="N14:N17" si="12">VLOOKUP($D14,INDIRECT($C14),3,0)</f>
        <v>750</v>
      </c>
      <c r="O14" s="508">
        <f ca="1" t="shared" si="3"/>
        <v>32250</v>
      </c>
      <c r="P14" s="508"/>
      <c r="Q14" s="508"/>
      <c r="R14" s="508"/>
      <c r="S14" s="508"/>
      <c r="T14" s="508">
        <f ca="1" t="shared" si="4"/>
        <v>0</v>
      </c>
      <c r="U14" s="508">
        <f ca="1" t="shared" si="5"/>
        <v>0</v>
      </c>
      <c r="V14" s="508">
        <f ca="1" t="shared" si="11"/>
        <v>3130.12326545006</v>
      </c>
      <c r="W14" s="508">
        <f ca="1" t="shared" si="6"/>
        <v>2347592.44908754</v>
      </c>
      <c r="X14" s="508">
        <f ca="1" t="shared" si="7"/>
        <v>-3087.12326545006</v>
      </c>
      <c r="Y14" s="508">
        <f ca="1" t="shared" si="8"/>
        <v>-2315342.44908754</v>
      </c>
      <c r="Z14" s="508">
        <f ca="1" t="shared" si="9"/>
        <v>2653.61897205325</v>
      </c>
      <c r="AA14" s="508">
        <f ca="1" t="shared" si="10"/>
        <v>1990214.22903994</v>
      </c>
      <c r="AB14" s="508"/>
    </row>
    <row r="15" customFormat="1" customHeight="1" outlineLevel="3" spans="1:28">
      <c r="A15" s="511" t="s">
        <v>2470</v>
      </c>
      <c r="B15" s="508"/>
      <c r="C15" s="508" t="s">
        <v>59</v>
      </c>
      <c r="D15" s="508" t="s">
        <v>755</v>
      </c>
      <c r="E15" s="508"/>
      <c r="F15" s="508" t="str">
        <f ca="1" t="shared" si="1"/>
        <v>t</v>
      </c>
      <c r="G15" s="508"/>
      <c r="H15" s="508"/>
      <c r="I15" s="508"/>
      <c r="J15" s="508"/>
      <c r="K15" s="508"/>
      <c r="L15" s="508"/>
      <c r="M15" s="508">
        <v>7.83</v>
      </c>
      <c r="N15" s="508">
        <f ca="1" t="shared" si="12"/>
        <v>0</v>
      </c>
      <c r="O15" s="508">
        <f ca="1" t="shared" si="3"/>
        <v>0</v>
      </c>
      <c r="P15" s="508"/>
      <c r="Q15" s="508"/>
      <c r="R15" s="508"/>
      <c r="S15" s="508"/>
      <c r="T15" s="508">
        <f ca="1" t="shared" si="4"/>
        <v>0</v>
      </c>
      <c r="U15" s="508">
        <f ca="1" t="shared" si="5"/>
        <v>0</v>
      </c>
      <c r="V15" s="508">
        <f ca="1" t="shared" si="11"/>
        <v>569.973608569162</v>
      </c>
      <c r="W15" s="508">
        <f ca="1" t="shared" si="6"/>
        <v>0</v>
      </c>
      <c r="X15" s="508">
        <f ca="1" t="shared" si="7"/>
        <v>-562.143608569162</v>
      </c>
      <c r="Y15" s="508">
        <f ca="1" t="shared" si="8"/>
        <v>0</v>
      </c>
      <c r="Z15" s="508">
        <f ca="1" t="shared" si="9"/>
        <v>483.205501190161</v>
      </c>
      <c r="AA15" s="508">
        <f ca="1" t="shared" si="10"/>
        <v>0</v>
      </c>
      <c r="AB15" s="508"/>
    </row>
    <row r="16" customFormat="1" customHeight="1" outlineLevel="3" spans="1:28">
      <c r="A16" s="511" t="s">
        <v>2471</v>
      </c>
      <c r="B16" s="508"/>
      <c r="C16" s="508" t="s">
        <v>63</v>
      </c>
      <c r="D16" s="508" t="s">
        <v>345</v>
      </c>
      <c r="E16" s="508" t="s">
        <v>1376</v>
      </c>
      <c r="F16" s="508" t="str">
        <f ca="1" t="shared" si="1"/>
        <v>m3</v>
      </c>
      <c r="G16" s="508"/>
      <c r="H16" s="508"/>
      <c r="I16" s="508"/>
      <c r="J16" s="508"/>
      <c r="K16" s="508"/>
      <c r="L16" s="508"/>
      <c r="M16" s="508">
        <v>1134.3</v>
      </c>
      <c r="N16" s="508">
        <f ca="1" t="shared" si="12"/>
        <v>5</v>
      </c>
      <c r="O16" s="508">
        <f ca="1" t="shared" si="3"/>
        <v>5671.5</v>
      </c>
      <c r="P16" s="508"/>
      <c r="Q16" s="508"/>
      <c r="R16" s="508"/>
      <c r="S16" s="508"/>
      <c r="T16" s="508">
        <f ca="1" t="shared" si="4"/>
        <v>0</v>
      </c>
      <c r="U16" s="508">
        <f ca="1" t="shared" si="5"/>
        <v>0</v>
      </c>
      <c r="V16" s="508">
        <f ca="1" t="shared" si="11"/>
        <v>82569.74</v>
      </c>
      <c r="W16" s="508">
        <f ca="1" t="shared" si="6"/>
        <v>412848.7</v>
      </c>
      <c r="X16" s="508">
        <f ca="1" t="shared" si="7"/>
        <v>-81435.44</v>
      </c>
      <c r="Y16" s="508">
        <f ca="1" t="shared" si="8"/>
        <v>-407177.2</v>
      </c>
      <c r="Z16" s="508">
        <f ca="1" t="shared" si="9"/>
        <v>70000</v>
      </c>
      <c r="AA16" s="508">
        <f ca="1" t="shared" si="10"/>
        <v>350000</v>
      </c>
      <c r="AB16" s="508"/>
    </row>
    <row r="17" customFormat="1" customHeight="1" outlineLevel="3" spans="1:28">
      <c r="A17" s="511" t="s">
        <v>2472</v>
      </c>
      <c r="B17" s="508"/>
      <c r="C17" s="508" t="s">
        <v>64</v>
      </c>
      <c r="D17" s="508" t="s">
        <v>296</v>
      </c>
      <c r="E17" s="508"/>
      <c r="F17" s="508" t="str">
        <f ca="1" t="shared" si="1"/>
        <v>t</v>
      </c>
      <c r="G17" s="508"/>
      <c r="H17" s="508"/>
      <c r="I17" s="508"/>
      <c r="J17" s="508"/>
      <c r="K17" s="508"/>
      <c r="L17" s="508"/>
      <c r="M17" s="508">
        <v>73.485</v>
      </c>
      <c r="N17" s="508">
        <f ca="1" t="shared" si="12"/>
        <v>700</v>
      </c>
      <c r="O17" s="508">
        <f ca="1" t="shared" si="3"/>
        <v>51439.5</v>
      </c>
      <c r="P17" s="508"/>
      <c r="Q17" s="508"/>
      <c r="R17" s="508"/>
      <c r="S17" s="508"/>
      <c r="T17" s="508">
        <f ca="1" t="shared" si="4"/>
        <v>0</v>
      </c>
      <c r="U17" s="508">
        <f ca="1" t="shared" si="5"/>
        <v>0</v>
      </c>
      <c r="V17" s="508">
        <f ca="1" t="shared" si="11"/>
        <v>5349.23507352552</v>
      </c>
      <c r="W17" s="508">
        <f ca="1" t="shared" si="6"/>
        <v>3744464.55146787</v>
      </c>
      <c r="X17" s="508">
        <f ca="1" t="shared" si="7"/>
        <v>-5275.75007352552</v>
      </c>
      <c r="Y17" s="508">
        <f ca="1" t="shared" si="8"/>
        <v>-3693025.05146787</v>
      </c>
      <c r="Z17" s="508">
        <f ca="1" t="shared" si="9"/>
        <v>4534.91139910077</v>
      </c>
      <c r="AA17" s="508">
        <f ca="1" t="shared" si="10"/>
        <v>3174437.97937054</v>
      </c>
      <c r="AB17" s="508"/>
    </row>
    <row r="18" customFormat="1" customHeight="1" outlineLevel="2" spans="1:28">
      <c r="A18" s="510" t="s">
        <v>1317</v>
      </c>
      <c r="B18" s="508"/>
      <c r="C18" s="508" t="s">
        <v>1310</v>
      </c>
      <c r="D18" s="508" t="s">
        <v>1311</v>
      </c>
      <c r="E18" s="508" t="s">
        <v>2473</v>
      </c>
      <c r="F18" s="508" t="s">
        <v>72</v>
      </c>
      <c r="G18" s="508">
        <v>778.5</v>
      </c>
      <c r="H18" s="508">
        <v>1241.84403669725</v>
      </c>
      <c r="I18" s="508">
        <f>G18*H18</f>
        <v>966775.582568809</v>
      </c>
      <c r="J18" s="508">
        <f t="shared" ref="J18:L18" si="13">+G18</f>
        <v>778.5</v>
      </c>
      <c r="K18" s="508">
        <f t="shared" si="13"/>
        <v>1241.84403669725</v>
      </c>
      <c r="L18" s="508">
        <f t="shared" si="13"/>
        <v>966775.582568809</v>
      </c>
      <c r="M18" s="508">
        <f>G18</f>
        <v>778.5</v>
      </c>
      <c r="N18" s="508">
        <f ca="1">O18/M18</f>
        <v>800.524970870917</v>
      </c>
      <c r="O18" s="508">
        <f ca="1">(+O19+O20+O21+O22+O23+O24)</f>
        <v>623208.689823009</v>
      </c>
      <c r="P18" s="508"/>
      <c r="Q18" s="508"/>
      <c r="R18" s="508">
        <f>+P18+J18</f>
        <v>778.5</v>
      </c>
      <c r="S18" s="508">
        <f>+Q18+L18</f>
        <v>966775.582568809</v>
      </c>
      <c r="T18" s="508">
        <f>IFERROR(VLOOKUP(A18,产值统计中间表!A:F,7,FALSE),0)</f>
        <v>0</v>
      </c>
      <c r="U18" s="508">
        <f>+T18*H18</f>
        <v>0</v>
      </c>
      <c r="V18" s="508">
        <f>IFERROR(VLOOKUP(A18,产值统计中间表!A:D,4,FALSE),0)</f>
        <v>45000</v>
      </c>
      <c r="W18" s="508">
        <f>+V18*H18</f>
        <v>55882981.6513762</v>
      </c>
      <c r="X18" s="508">
        <f>+R18-V18</f>
        <v>-44221.5</v>
      </c>
      <c r="Y18" s="508">
        <f>+S18-W18</f>
        <v>-54916206.0688074</v>
      </c>
      <c r="Z18" s="508">
        <f>IFERROR(VLOOKUP(A18,业主统计中间表!A:D,4,FALSE),0)</f>
        <v>50000</v>
      </c>
      <c r="AA18" s="508">
        <f>+Z18*H18</f>
        <v>62092201.8348625</v>
      </c>
      <c r="AB18" s="508"/>
    </row>
    <row r="19" customFormat="1" customHeight="1" outlineLevel="3" spans="1:28">
      <c r="A19" s="511" t="s">
        <v>1319</v>
      </c>
      <c r="B19" s="508"/>
      <c r="C19" s="508" t="s">
        <v>64</v>
      </c>
      <c r="D19" s="508" t="s">
        <v>753</v>
      </c>
      <c r="E19" s="508"/>
      <c r="F19" s="508" t="str">
        <f ca="1" t="shared" ref="F19:F24" si="14">VLOOKUP($D19,INDIRECT($C19),2,0)</f>
        <v>m3</v>
      </c>
      <c r="G19" s="508"/>
      <c r="H19" s="508"/>
      <c r="I19" s="508"/>
      <c r="J19" s="508"/>
      <c r="K19" s="508"/>
      <c r="L19" s="508"/>
      <c r="M19" s="508">
        <v>782.3925</v>
      </c>
      <c r="N19" s="508">
        <f ca="1" t="shared" ref="N19:N24" si="15">VLOOKUP($D19,INDIRECT($C19),3,0)</f>
        <v>30</v>
      </c>
      <c r="O19" s="508">
        <f ca="1" t="shared" ref="O19:O24" si="16">M19*N19</f>
        <v>23471.775</v>
      </c>
      <c r="P19" s="508"/>
      <c r="Q19" s="508"/>
      <c r="R19" s="508"/>
      <c r="S19" s="508"/>
      <c r="T19" s="508">
        <f ca="1" t="shared" ref="T19:T24" si="17">OFFSET(T19,-RIGHT($A19,LEN($A$6)),,1,1)/OFFSET(T19,-RIGHT($A19,LEN($A$6)),-13,1,1)*$M19</f>
        <v>0</v>
      </c>
      <c r="U19" s="508">
        <f ca="1" t="shared" ref="U19:U24" si="18">+$N19*T19</f>
        <v>0</v>
      </c>
      <c r="V19" s="508">
        <f ca="1" t="shared" ref="V19:V24" si="19">OFFSET(V19,-RIGHT($A19,LEN($A$6)),,1,1)/OFFSET(V19,-RIGHT($A19,LEN($A$6)),-15,1,1)*$M19</f>
        <v>45225</v>
      </c>
      <c r="W19" s="508">
        <f ca="1" t="shared" ref="W19:W24" si="20">+$N19*V19</f>
        <v>1356750</v>
      </c>
      <c r="X19" s="508">
        <f ca="1" t="shared" ref="X19:X24" si="21">+M19-V19</f>
        <v>-44442.6075</v>
      </c>
      <c r="Y19" s="508">
        <f ca="1" t="shared" ref="Y19:Y24" si="22">+O19-W19</f>
        <v>-1333278.225</v>
      </c>
      <c r="Z19" s="508">
        <f ca="1" t="shared" ref="Z19:Z24" si="23">OFFSET(Z19,-RIGHT($A19,LEN($A$6)),,1,1)/OFFSET(Z19,-RIGHT($A19,LEN($A$6)),-19,1,1)*$M19</f>
        <v>50250</v>
      </c>
      <c r="AA19" s="508">
        <f ca="1" t="shared" ref="AA19:AA24" si="24">+$N19*Z19</f>
        <v>1507500</v>
      </c>
      <c r="AB19" s="508"/>
    </row>
    <row r="20" customFormat="1" customHeight="1" outlineLevel="3" spans="1:28">
      <c r="A20" s="511" t="s">
        <v>1320</v>
      </c>
      <c r="B20" s="508"/>
      <c r="C20" s="508" t="s">
        <v>64</v>
      </c>
      <c r="D20" s="508" t="s">
        <v>262</v>
      </c>
      <c r="E20" s="508" t="s">
        <v>2474</v>
      </c>
      <c r="F20" s="508" t="str">
        <f ca="1" t="shared" si="14"/>
        <v>m2</v>
      </c>
      <c r="G20" s="508"/>
      <c r="H20" s="508"/>
      <c r="I20" s="508"/>
      <c r="J20" s="508"/>
      <c r="K20" s="508"/>
      <c r="L20" s="508"/>
      <c r="M20" s="508">
        <v>502.18</v>
      </c>
      <c r="N20" s="508">
        <f ca="1" t="shared" si="15"/>
        <v>55</v>
      </c>
      <c r="O20" s="508">
        <f ca="1" t="shared" si="16"/>
        <v>27619.9</v>
      </c>
      <c r="P20" s="508"/>
      <c r="Q20" s="508"/>
      <c r="R20" s="508"/>
      <c r="S20" s="508"/>
      <c r="T20" s="508">
        <f ca="1" t="shared" si="17"/>
        <v>0</v>
      </c>
      <c r="U20" s="508">
        <f ca="1" t="shared" si="18"/>
        <v>0</v>
      </c>
      <c r="V20" s="508">
        <f ca="1" t="shared" si="19"/>
        <v>29027.7456647399</v>
      </c>
      <c r="W20" s="508">
        <f ca="1" t="shared" si="20"/>
        <v>1596526.01156069</v>
      </c>
      <c r="X20" s="508">
        <f ca="1" t="shared" si="21"/>
        <v>-28525.5656647399</v>
      </c>
      <c r="Y20" s="508">
        <f ca="1" t="shared" si="22"/>
        <v>-1568906.11156069</v>
      </c>
      <c r="Z20" s="508">
        <f ca="1" t="shared" si="23"/>
        <v>32253.0507385999</v>
      </c>
      <c r="AA20" s="508">
        <f ca="1" t="shared" si="24"/>
        <v>1773917.79062299</v>
      </c>
      <c r="AB20" s="508"/>
    </row>
    <row r="21" customFormat="1" customHeight="1" outlineLevel="3" spans="1:28">
      <c r="A21" s="511" t="s">
        <v>1322</v>
      </c>
      <c r="B21" s="508"/>
      <c r="C21" s="508" t="s">
        <v>64</v>
      </c>
      <c r="D21" s="508" t="s">
        <v>296</v>
      </c>
      <c r="E21" s="508"/>
      <c r="F21" s="508" t="str">
        <f ca="1" t="shared" si="14"/>
        <v>t</v>
      </c>
      <c r="G21" s="508"/>
      <c r="H21" s="508"/>
      <c r="I21" s="508"/>
      <c r="J21" s="508"/>
      <c r="K21" s="508"/>
      <c r="L21" s="508"/>
      <c r="M21" s="508">
        <v>101.175</v>
      </c>
      <c r="N21" s="508">
        <f ca="1" t="shared" si="15"/>
        <v>700</v>
      </c>
      <c r="O21" s="508">
        <f ca="1" t="shared" si="16"/>
        <v>70822.5</v>
      </c>
      <c r="P21" s="508"/>
      <c r="Q21" s="508"/>
      <c r="R21" s="508"/>
      <c r="S21" s="508"/>
      <c r="T21" s="508">
        <f ca="1" t="shared" si="17"/>
        <v>0</v>
      </c>
      <c r="U21" s="508">
        <f ca="1" t="shared" si="18"/>
        <v>0</v>
      </c>
      <c r="V21" s="508">
        <f ca="1" t="shared" si="19"/>
        <v>5848.26589595376</v>
      </c>
      <c r="W21" s="508">
        <f ca="1" t="shared" si="20"/>
        <v>4093786.12716763</v>
      </c>
      <c r="X21" s="508">
        <f ca="1" t="shared" si="21"/>
        <v>-5747.09089595376</v>
      </c>
      <c r="Y21" s="508">
        <f ca="1" t="shared" si="22"/>
        <v>-4022963.62716763</v>
      </c>
      <c r="Z21" s="508">
        <f ca="1" t="shared" si="23"/>
        <v>6498.0732177264</v>
      </c>
      <c r="AA21" s="508">
        <f ca="1" t="shared" si="24"/>
        <v>4548651.25240848</v>
      </c>
      <c r="AB21" s="508"/>
    </row>
    <row r="22" customFormat="1" customHeight="1" outlineLevel="3" spans="1:28">
      <c r="A22" s="511" t="s">
        <v>1323</v>
      </c>
      <c r="B22" s="508"/>
      <c r="C22" s="508" t="s">
        <v>59</v>
      </c>
      <c r="D22" s="508" t="s">
        <v>793</v>
      </c>
      <c r="E22" s="508"/>
      <c r="F22" s="508" t="str">
        <f ca="1" t="shared" si="14"/>
        <v>m³</v>
      </c>
      <c r="G22" s="508"/>
      <c r="H22" s="508"/>
      <c r="I22" s="508"/>
      <c r="J22" s="508"/>
      <c r="K22" s="508"/>
      <c r="L22" s="508"/>
      <c r="M22" s="508">
        <v>782.3925</v>
      </c>
      <c r="N22" s="508">
        <f ca="1" t="shared" si="15"/>
        <v>450</v>
      </c>
      <c r="O22" s="508">
        <f ca="1" t="shared" si="16"/>
        <v>352076.625</v>
      </c>
      <c r="P22" s="508"/>
      <c r="Q22" s="508"/>
      <c r="R22" s="508"/>
      <c r="S22" s="508"/>
      <c r="T22" s="508">
        <f ca="1" t="shared" si="17"/>
        <v>0</v>
      </c>
      <c r="U22" s="508">
        <f ca="1" t="shared" si="18"/>
        <v>0</v>
      </c>
      <c r="V22" s="508">
        <f ca="1" t="shared" si="19"/>
        <v>45225</v>
      </c>
      <c r="W22" s="508">
        <f ca="1" t="shared" si="20"/>
        <v>20351250</v>
      </c>
      <c r="X22" s="508">
        <f ca="1" t="shared" si="21"/>
        <v>-44442.6075</v>
      </c>
      <c r="Y22" s="508">
        <f ca="1" t="shared" si="22"/>
        <v>-19999173.375</v>
      </c>
      <c r="Z22" s="508">
        <f ca="1" t="shared" si="23"/>
        <v>50250</v>
      </c>
      <c r="AA22" s="508">
        <f ca="1" t="shared" si="24"/>
        <v>22612500</v>
      </c>
      <c r="AB22" s="508"/>
    </row>
    <row r="23" customFormat="1" customHeight="1" outlineLevel="3" spans="1:28">
      <c r="A23" s="511" t="s">
        <v>1324</v>
      </c>
      <c r="B23" s="508"/>
      <c r="C23" s="508" t="s">
        <v>59</v>
      </c>
      <c r="D23" s="508" t="s">
        <v>191</v>
      </c>
      <c r="E23" s="508"/>
      <c r="F23" s="508" t="str">
        <f ca="1" t="shared" si="14"/>
        <v>m3</v>
      </c>
      <c r="G23" s="508"/>
      <c r="H23" s="508"/>
      <c r="I23" s="508"/>
      <c r="J23" s="508"/>
      <c r="K23" s="508"/>
      <c r="L23" s="508"/>
      <c r="M23" s="508">
        <v>48.5</v>
      </c>
      <c r="N23" s="508">
        <f ca="1" t="shared" si="15"/>
        <v>3076.65752212389</v>
      </c>
      <c r="O23" s="508">
        <f ca="1" t="shared" si="16"/>
        <v>149217.889823009</v>
      </c>
      <c r="P23" s="508"/>
      <c r="Q23" s="508"/>
      <c r="R23" s="508"/>
      <c r="S23" s="508"/>
      <c r="T23" s="508">
        <f ca="1" t="shared" si="17"/>
        <v>0</v>
      </c>
      <c r="U23" s="508">
        <f ca="1" t="shared" si="18"/>
        <v>0</v>
      </c>
      <c r="V23" s="508">
        <f ca="1" t="shared" si="19"/>
        <v>2803.46820809249</v>
      </c>
      <c r="W23" s="508">
        <f ca="1" t="shared" si="20"/>
        <v>8625311.55046293</v>
      </c>
      <c r="X23" s="508">
        <f ca="1" t="shared" si="21"/>
        <v>-2754.96820809249</v>
      </c>
      <c r="Y23" s="508">
        <f ca="1" t="shared" si="22"/>
        <v>-8476093.66063992</v>
      </c>
      <c r="Z23" s="508">
        <f ca="1" t="shared" si="23"/>
        <v>3114.96467565832</v>
      </c>
      <c r="AA23" s="508">
        <f ca="1" t="shared" si="24"/>
        <v>9583679.50051437</v>
      </c>
      <c r="AB23" s="508"/>
    </row>
    <row r="24" customFormat="1" customHeight="1" outlineLevel="3" spans="1:28">
      <c r="A24" s="511" t="s">
        <v>2475</v>
      </c>
      <c r="B24" s="508"/>
      <c r="C24" s="508" t="s">
        <v>59</v>
      </c>
      <c r="D24" s="508" t="s">
        <v>979</v>
      </c>
      <c r="E24" s="508" t="str">
        <f ca="1">"含钢量："&amp;ROUND($M$24/$G$18,3)&amp;$F$24&amp;"/"&amp;$F$18</f>
        <v>含钢量：0.13t/m3</v>
      </c>
      <c r="F24" s="508" t="str">
        <f ca="1" t="shared" si="14"/>
        <v>t</v>
      </c>
      <c r="G24" s="508"/>
      <c r="H24" s="508"/>
      <c r="I24" s="508"/>
      <c r="J24" s="508"/>
      <c r="K24" s="508"/>
      <c r="L24" s="508"/>
      <c r="M24" s="508">
        <v>101.175</v>
      </c>
      <c r="N24" s="508">
        <f ca="1" t="shared" si="15"/>
        <v>0</v>
      </c>
      <c r="O24" s="508">
        <f ca="1" t="shared" si="16"/>
        <v>0</v>
      </c>
      <c r="P24" s="508"/>
      <c r="Q24" s="508"/>
      <c r="R24" s="508"/>
      <c r="S24" s="508"/>
      <c r="T24" s="508">
        <f ca="1" t="shared" si="17"/>
        <v>0</v>
      </c>
      <c r="U24" s="508">
        <f ca="1" t="shared" si="18"/>
        <v>0</v>
      </c>
      <c r="V24" s="508">
        <f ca="1" t="shared" si="19"/>
        <v>5848.26589595376</v>
      </c>
      <c r="W24" s="508">
        <f ca="1" t="shared" si="20"/>
        <v>0</v>
      </c>
      <c r="X24" s="508">
        <f ca="1" t="shared" si="21"/>
        <v>-5747.09089595376</v>
      </c>
      <c r="Y24" s="508">
        <f ca="1" t="shared" si="22"/>
        <v>0</v>
      </c>
      <c r="Z24" s="508">
        <f ca="1" t="shared" si="23"/>
        <v>6498.0732177264</v>
      </c>
      <c r="AA24" s="508">
        <f ca="1" t="shared" si="24"/>
        <v>0</v>
      </c>
      <c r="AB24" s="508"/>
    </row>
    <row r="25" customHeight="1" outlineLevel="2" spans="1:28">
      <c r="A25" s="512" t="s">
        <v>2476</v>
      </c>
      <c r="B25" s="30"/>
      <c r="C25" s="513" t="s">
        <v>1310</v>
      </c>
      <c r="D25" s="30" t="s">
        <v>2477</v>
      </c>
      <c r="E25" s="30" t="s">
        <v>2478</v>
      </c>
      <c r="F25" s="30" t="s">
        <v>72</v>
      </c>
      <c r="G25" s="30">
        <v>1063.7</v>
      </c>
      <c r="H25" s="30">
        <v>1403.98165137615</v>
      </c>
      <c r="I25" s="30">
        <f>G25*H25</f>
        <v>1493415.28256881</v>
      </c>
      <c r="J25" s="30">
        <f t="shared" ref="J25:L25" si="25">+G25</f>
        <v>1063.7</v>
      </c>
      <c r="K25" s="30">
        <f t="shared" si="25"/>
        <v>1403.98165137615</v>
      </c>
      <c r="L25" s="526">
        <f t="shared" si="25"/>
        <v>1493415.28256881</v>
      </c>
      <c r="M25" s="30">
        <v>1063.7</v>
      </c>
      <c r="N25" s="30">
        <f ca="1">O25/M25</f>
        <v>903.171728870922</v>
      </c>
      <c r="O25" s="30">
        <f ca="1">(+O26+O27+O28+O29+O30+O31+O32+O33+O34+O35+O36+O37+O38+O39+O40+O41+O42+O43+O44+O45+O46)</f>
        <v>960703.768</v>
      </c>
      <c r="P25" s="30"/>
      <c r="Q25" s="30"/>
      <c r="R25" s="30">
        <f>+P25+J25</f>
        <v>1063.7</v>
      </c>
      <c r="S25" s="30">
        <f>+Q25+L25</f>
        <v>1493415.28256881</v>
      </c>
      <c r="T25" s="30">
        <f>IFERROR(VLOOKUP(A25,产值统计中间表!A:F,7,FALSE),0)</f>
        <v>0</v>
      </c>
      <c r="U25" s="30">
        <f>+T25*H25</f>
        <v>0</v>
      </c>
      <c r="V25" s="30">
        <f>IFERROR(VLOOKUP(A25,产值统计中间表!A:D,4,FALSE),0)</f>
        <v>0</v>
      </c>
      <c r="W25" s="30">
        <f>+V25*H25</f>
        <v>0</v>
      </c>
      <c r="X25" s="30">
        <f>+R25-V25</f>
        <v>1063.7</v>
      </c>
      <c r="Y25" s="30">
        <f>+S25-W25</f>
        <v>1493415.28256881</v>
      </c>
      <c r="Z25" s="30">
        <f>IFERROR(VLOOKUP(A25,业主统计中间表!A:D,4,FALSE),0)</f>
        <v>0</v>
      </c>
      <c r="AA25" s="30">
        <f>+Z25*H25</f>
        <v>0</v>
      </c>
      <c r="AB25" s="30"/>
    </row>
    <row r="26" customHeight="1" outlineLevel="3" spans="1:28">
      <c r="A26" s="514" t="s">
        <v>2479</v>
      </c>
      <c r="B26" s="30"/>
      <c r="C26" s="513" t="s">
        <v>63</v>
      </c>
      <c r="D26" s="30" t="s">
        <v>423</v>
      </c>
      <c r="E26" s="30"/>
      <c r="F26" s="30" t="str">
        <f ca="1" t="shared" ref="F25:F46" si="26">VLOOKUP($D26,INDIRECT($C26),2,0)</f>
        <v>m3</v>
      </c>
      <c r="G26" s="30"/>
      <c r="H26" s="30"/>
      <c r="I26" s="30"/>
      <c r="J26" s="30"/>
      <c r="K26" s="30"/>
      <c r="L26" s="526"/>
      <c r="M26" s="30">
        <v>982.4</v>
      </c>
      <c r="N26" s="30">
        <f ca="1" t="shared" ref="N25:N46" si="27">VLOOKUP($D26,INDIRECT($C26),3,0)</f>
        <v>4.3</v>
      </c>
      <c r="O26" s="30">
        <f ca="1" t="shared" ref="O26:O46" si="28">M26*N26</f>
        <v>4224.32</v>
      </c>
      <c r="P26" s="30"/>
      <c r="Q26" s="30"/>
      <c r="R26" s="30"/>
      <c r="S26" s="30"/>
      <c r="T26" s="30">
        <f ca="1" t="shared" ref="T25:T46" si="29">OFFSET(T26,-RIGHT($A26,LEN($A$6)),,1,1)/OFFSET(T26,-RIGHT($A26,LEN($A$6)),-13,1,1)*$M26</f>
        <v>0</v>
      </c>
      <c r="U26" s="30">
        <f ca="1" t="shared" ref="U25:U46" si="30">+$N26*T26</f>
        <v>0</v>
      </c>
      <c r="V26" s="30">
        <f ca="1" t="shared" ref="V25:V46" si="31">OFFSET(V26,-RIGHT($A26,LEN($A$6)),,1,1)/OFFSET(V26,-RIGHT($A26,LEN($A$6)),-15,1,1)*$M26</f>
        <v>0</v>
      </c>
      <c r="W26" s="30">
        <f ca="1" t="shared" ref="W25:W46" si="32">+$N26*V26</f>
        <v>0</v>
      </c>
      <c r="X26" s="30">
        <f ca="1" t="shared" ref="X25:X46" si="33">+M26-V26</f>
        <v>982.4</v>
      </c>
      <c r="Y26" s="30">
        <f ca="1" t="shared" ref="Y25:Y46" si="34">+O26-W26</f>
        <v>4224.32</v>
      </c>
      <c r="Z26" s="30">
        <f ca="1" t="shared" ref="Z25:Z46" si="35">OFFSET(Z26,-RIGHT($A26,LEN($A$6)),,1,1)/OFFSET(Z26,-RIGHT($A26,LEN($A$6)),-19,1,1)*$M26</f>
        <v>0</v>
      </c>
      <c r="AA26" s="30">
        <f ca="1" t="shared" ref="AA25:AA46" si="36">+$N26*Z26</f>
        <v>0</v>
      </c>
      <c r="AB26" s="30"/>
    </row>
    <row r="27" customHeight="1" outlineLevel="3" spans="1:28">
      <c r="A27" s="514" t="s">
        <v>2480</v>
      </c>
      <c r="B27" s="30"/>
      <c r="C27" s="513" t="s">
        <v>63</v>
      </c>
      <c r="D27" s="30" t="s">
        <v>367</v>
      </c>
      <c r="E27" s="30"/>
      <c r="F27" s="30" t="str">
        <f ca="1" t="shared" si="26"/>
        <v>m3</v>
      </c>
      <c r="G27" s="30"/>
      <c r="H27" s="30"/>
      <c r="I27" s="30"/>
      <c r="J27" s="30"/>
      <c r="K27" s="30"/>
      <c r="L27" s="526"/>
      <c r="M27" s="30">
        <v>2202.7</v>
      </c>
      <c r="N27" s="30">
        <f ca="1" t="shared" si="27"/>
        <v>3.45</v>
      </c>
      <c r="O27" s="30">
        <f ca="1" t="shared" si="28"/>
        <v>7599.315</v>
      </c>
      <c r="P27" s="30"/>
      <c r="Q27" s="30"/>
      <c r="R27" s="30"/>
      <c r="S27" s="30"/>
      <c r="T27" s="30">
        <f ca="1" t="shared" si="29"/>
        <v>0</v>
      </c>
      <c r="U27" s="30">
        <f ca="1" t="shared" si="30"/>
        <v>0</v>
      </c>
      <c r="V27" s="30">
        <f ca="1" t="shared" si="31"/>
        <v>0</v>
      </c>
      <c r="W27" s="30">
        <f ca="1" t="shared" si="32"/>
        <v>0</v>
      </c>
      <c r="X27" s="30">
        <f ca="1" t="shared" si="33"/>
        <v>2202.7</v>
      </c>
      <c r="Y27" s="30">
        <f ca="1" t="shared" si="34"/>
        <v>7599.315</v>
      </c>
      <c r="Z27" s="30">
        <f ca="1" t="shared" si="35"/>
        <v>0</v>
      </c>
      <c r="AA27" s="30">
        <f ca="1" t="shared" si="36"/>
        <v>0</v>
      </c>
      <c r="AB27" s="30"/>
    </row>
    <row r="28" customHeight="1" outlineLevel="3" spans="1:28">
      <c r="A28" s="514" t="s">
        <v>2481</v>
      </c>
      <c r="B28" s="30"/>
      <c r="C28" s="513" t="s">
        <v>63</v>
      </c>
      <c r="D28" s="30" t="s">
        <v>730</v>
      </c>
      <c r="E28" s="30"/>
      <c r="F28" s="30" t="str">
        <f ca="1" t="shared" si="26"/>
        <v>m3</v>
      </c>
      <c r="G28" s="30"/>
      <c r="H28" s="30"/>
      <c r="I28" s="30"/>
      <c r="J28" s="30"/>
      <c r="K28" s="30"/>
      <c r="L28" s="526"/>
      <c r="M28" s="30">
        <v>2202.7</v>
      </c>
      <c r="N28" s="30">
        <f ca="1" t="shared" si="27"/>
        <v>5</v>
      </c>
      <c r="O28" s="30">
        <f ca="1" t="shared" si="28"/>
        <v>11013.5</v>
      </c>
      <c r="P28" s="30"/>
      <c r="Q28" s="30"/>
      <c r="R28" s="30"/>
      <c r="S28" s="30"/>
      <c r="T28" s="30">
        <f ca="1" t="shared" si="29"/>
        <v>0</v>
      </c>
      <c r="U28" s="30">
        <f ca="1" t="shared" si="30"/>
        <v>0</v>
      </c>
      <c r="V28" s="30">
        <f ca="1" t="shared" si="31"/>
        <v>0</v>
      </c>
      <c r="W28" s="30">
        <f ca="1" t="shared" si="32"/>
        <v>0</v>
      </c>
      <c r="X28" s="30">
        <f ca="1" t="shared" si="33"/>
        <v>2202.7</v>
      </c>
      <c r="Y28" s="30">
        <f ca="1" t="shared" si="34"/>
        <v>11013.5</v>
      </c>
      <c r="Z28" s="30">
        <f ca="1" t="shared" si="35"/>
        <v>0</v>
      </c>
      <c r="AA28" s="30">
        <f ca="1" t="shared" si="36"/>
        <v>0</v>
      </c>
      <c r="AB28" s="30"/>
    </row>
    <row r="29" customHeight="1" outlineLevel="3" spans="1:28">
      <c r="A29" s="514" t="s">
        <v>2482</v>
      </c>
      <c r="B29" s="30"/>
      <c r="C29" s="513" t="s">
        <v>63</v>
      </c>
      <c r="D29" s="30" t="s">
        <v>678</v>
      </c>
      <c r="E29" s="30"/>
      <c r="F29" s="30" t="str">
        <f ca="1" t="shared" si="26"/>
        <v>m3</v>
      </c>
      <c r="G29" s="30"/>
      <c r="H29" s="30"/>
      <c r="I29" s="30"/>
      <c r="J29" s="30"/>
      <c r="K29" s="30"/>
      <c r="L29" s="526"/>
      <c r="M29" s="30">
        <v>982.4</v>
      </c>
      <c r="N29" s="30">
        <f ca="1" t="shared" si="27"/>
        <v>5.82</v>
      </c>
      <c r="O29" s="30">
        <f ca="1" t="shared" si="28"/>
        <v>5717.568</v>
      </c>
      <c r="P29" s="30"/>
      <c r="Q29" s="30"/>
      <c r="R29" s="30"/>
      <c r="S29" s="30"/>
      <c r="T29" s="30">
        <f ca="1" t="shared" si="29"/>
        <v>0</v>
      </c>
      <c r="U29" s="30">
        <f ca="1" t="shared" si="30"/>
        <v>0</v>
      </c>
      <c r="V29" s="30">
        <f ca="1" t="shared" si="31"/>
        <v>0</v>
      </c>
      <c r="W29" s="30">
        <f ca="1" t="shared" si="32"/>
        <v>0</v>
      </c>
      <c r="X29" s="30">
        <f ca="1" t="shared" si="33"/>
        <v>982.4</v>
      </c>
      <c r="Y29" s="30">
        <f ca="1" t="shared" si="34"/>
        <v>5717.568</v>
      </c>
      <c r="Z29" s="30">
        <f ca="1" t="shared" si="35"/>
        <v>0</v>
      </c>
      <c r="AA29" s="30">
        <f ca="1" t="shared" si="36"/>
        <v>0</v>
      </c>
      <c r="AB29" s="30"/>
    </row>
    <row r="30" customHeight="1" outlineLevel="3" spans="1:28">
      <c r="A30" s="514" t="s">
        <v>2483</v>
      </c>
      <c r="B30" s="30"/>
      <c r="C30" s="513" t="s">
        <v>64</v>
      </c>
      <c r="D30" s="30" t="s">
        <v>753</v>
      </c>
      <c r="E30" s="30"/>
      <c r="F30" s="30" t="str">
        <f ca="1" t="shared" si="26"/>
        <v>m3</v>
      </c>
      <c r="G30" s="30"/>
      <c r="H30" s="30"/>
      <c r="I30" s="30"/>
      <c r="J30" s="30"/>
      <c r="K30" s="30"/>
      <c r="L30" s="526"/>
      <c r="M30" s="30">
        <v>2393.8</v>
      </c>
      <c r="N30" s="30">
        <f ca="1" t="shared" si="27"/>
        <v>30</v>
      </c>
      <c r="O30" s="30">
        <f ca="1" t="shared" si="28"/>
        <v>71814</v>
      </c>
      <c r="P30" s="30"/>
      <c r="Q30" s="30"/>
      <c r="R30" s="30"/>
      <c r="S30" s="30"/>
      <c r="T30" s="30">
        <f ca="1" t="shared" si="29"/>
        <v>0</v>
      </c>
      <c r="U30" s="30">
        <f ca="1" t="shared" si="30"/>
        <v>0</v>
      </c>
      <c r="V30" s="30">
        <f ca="1" t="shared" si="31"/>
        <v>0</v>
      </c>
      <c r="W30" s="30">
        <f ca="1" t="shared" si="32"/>
        <v>0</v>
      </c>
      <c r="X30" s="30">
        <f ca="1" t="shared" si="33"/>
        <v>2393.8</v>
      </c>
      <c r="Y30" s="30">
        <f ca="1" t="shared" si="34"/>
        <v>71814</v>
      </c>
      <c r="Z30" s="30">
        <f ca="1" t="shared" si="35"/>
        <v>0</v>
      </c>
      <c r="AA30" s="30">
        <f ca="1" t="shared" si="36"/>
        <v>0</v>
      </c>
      <c r="AB30" s="30"/>
    </row>
    <row r="31" customHeight="1" outlineLevel="3" spans="1:28">
      <c r="A31" s="514" t="s">
        <v>2484</v>
      </c>
      <c r="B31" s="30"/>
      <c r="C31" s="513" t="s">
        <v>59</v>
      </c>
      <c r="D31" s="30" t="s">
        <v>1018</v>
      </c>
      <c r="E31" s="30"/>
      <c r="F31" s="30" t="str">
        <f ca="1" t="shared" si="26"/>
        <v>m3</v>
      </c>
      <c r="G31" s="30"/>
      <c r="H31" s="30"/>
      <c r="I31" s="30"/>
      <c r="J31" s="30"/>
      <c r="K31" s="30"/>
      <c r="L31" s="526"/>
      <c r="M31" s="30">
        <v>1063.8</v>
      </c>
      <c r="N31" s="30">
        <f ca="1" t="shared" si="27"/>
        <v>0</v>
      </c>
      <c r="O31" s="30">
        <f ca="1" t="shared" si="28"/>
        <v>0</v>
      </c>
      <c r="P31" s="30"/>
      <c r="Q31" s="30"/>
      <c r="R31" s="30"/>
      <c r="S31" s="30"/>
      <c r="T31" s="30">
        <f ca="1" t="shared" si="29"/>
        <v>0</v>
      </c>
      <c r="U31" s="30">
        <f ca="1" t="shared" si="30"/>
        <v>0</v>
      </c>
      <c r="V31" s="30">
        <f ca="1" t="shared" si="31"/>
        <v>0</v>
      </c>
      <c r="W31" s="30">
        <f ca="1" t="shared" si="32"/>
        <v>0</v>
      </c>
      <c r="X31" s="30">
        <f ca="1" t="shared" si="33"/>
        <v>1063.8</v>
      </c>
      <c r="Y31" s="30">
        <f ca="1" t="shared" si="34"/>
        <v>0</v>
      </c>
      <c r="Z31" s="30">
        <f ca="1" t="shared" si="35"/>
        <v>0</v>
      </c>
      <c r="AA31" s="30">
        <f ca="1" t="shared" si="36"/>
        <v>0</v>
      </c>
      <c r="AB31" s="30"/>
    </row>
    <row r="32" customHeight="1" outlineLevel="3" spans="1:28">
      <c r="A32" s="514" t="s">
        <v>2485</v>
      </c>
      <c r="B32" s="30"/>
      <c r="C32" s="513" t="s">
        <v>59</v>
      </c>
      <c r="D32" s="30" t="s">
        <v>868</v>
      </c>
      <c r="E32" s="30"/>
      <c r="F32" s="30" t="str">
        <f ca="1" t="shared" si="26"/>
        <v>m</v>
      </c>
      <c r="G32" s="30"/>
      <c r="H32" s="30"/>
      <c r="I32" s="30"/>
      <c r="J32" s="30"/>
      <c r="K32" s="30"/>
      <c r="L32" s="526"/>
      <c r="M32" s="30">
        <v>260.9</v>
      </c>
      <c r="N32" s="30">
        <f ca="1" t="shared" si="27"/>
        <v>24.65</v>
      </c>
      <c r="O32" s="30">
        <f ca="1" t="shared" si="28"/>
        <v>6431.185</v>
      </c>
      <c r="P32" s="30"/>
      <c r="Q32" s="30"/>
      <c r="R32" s="30"/>
      <c r="S32" s="30"/>
      <c r="T32" s="30">
        <f ca="1" t="shared" si="29"/>
        <v>0</v>
      </c>
      <c r="U32" s="30">
        <f ca="1" t="shared" si="30"/>
        <v>0</v>
      </c>
      <c r="V32" s="30">
        <f ca="1" t="shared" si="31"/>
        <v>0</v>
      </c>
      <c r="W32" s="30">
        <f ca="1" t="shared" si="32"/>
        <v>0</v>
      </c>
      <c r="X32" s="30">
        <f ca="1" t="shared" si="33"/>
        <v>260.9</v>
      </c>
      <c r="Y32" s="30">
        <f ca="1" t="shared" si="34"/>
        <v>6431.185</v>
      </c>
      <c r="Z32" s="30">
        <f ca="1" t="shared" si="35"/>
        <v>0</v>
      </c>
      <c r="AA32" s="30">
        <f ca="1" t="shared" si="36"/>
        <v>0</v>
      </c>
      <c r="AB32" s="30"/>
    </row>
    <row r="33" customHeight="1" outlineLevel="3" spans="1:28">
      <c r="A33" s="514" t="s">
        <v>2486</v>
      </c>
      <c r="B33" s="30"/>
      <c r="C33" s="513" t="s">
        <v>59</v>
      </c>
      <c r="D33" s="30" t="s">
        <v>880</v>
      </c>
      <c r="E33" s="30"/>
      <c r="F33" s="30" t="str">
        <f ca="1" t="shared" si="26"/>
        <v>m2</v>
      </c>
      <c r="G33" s="30"/>
      <c r="H33" s="30"/>
      <c r="I33" s="30"/>
      <c r="J33" s="30"/>
      <c r="K33" s="30"/>
      <c r="L33" s="526"/>
      <c r="M33" s="30">
        <v>10.6</v>
      </c>
      <c r="N33" s="30">
        <f ca="1" t="shared" si="27"/>
        <v>16</v>
      </c>
      <c r="O33" s="30">
        <f ca="1" t="shared" si="28"/>
        <v>169.6</v>
      </c>
      <c r="P33" s="30"/>
      <c r="Q33" s="30"/>
      <c r="R33" s="30"/>
      <c r="S33" s="30"/>
      <c r="T33" s="30">
        <f ca="1" t="shared" si="29"/>
        <v>0</v>
      </c>
      <c r="U33" s="30">
        <f ca="1" t="shared" si="30"/>
        <v>0</v>
      </c>
      <c r="V33" s="30">
        <f ca="1" t="shared" si="31"/>
        <v>0</v>
      </c>
      <c r="W33" s="30">
        <f ca="1" t="shared" si="32"/>
        <v>0</v>
      </c>
      <c r="X33" s="30">
        <f ca="1" t="shared" si="33"/>
        <v>10.6</v>
      </c>
      <c r="Y33" s="30">
        <f ca="1" t="shared" si="34"/>
        <v>169.6</v>
      </c>
      <c r="Z33" s="30">
        <f ca="1" t="shared" si="35"/>
        <v>0</v>
      </c>
      <c r="AA33" s="30">
        <f ca="1" t="shared" si="36"/>
        <v>0</v>
      </c>
      <c r="AB33" s="30"/>
    </row>
    <row r="34" customHeight="1" outlineLevel="3" spans="1:28">
      <c r="A34" s="514" t="s">
        <v>2487</v>
      </c>
      <c r="B34" s="30"/>
      <c r="C34" s="513" t="s">
        <v>59</v>
      </c>
      <c r="D34" s="30" t="s">
        <v>871</v>
      </c>
      <c r="E34" s="30" t="s">
        <v>2488</v>
      </c>
      <c r="F34" s="30" t="str">
        <f ca="1" t="shared" si="26"/>
        <v>m3</v>
      </c>
      <c r="G34" s="30"/>
      <c r="H34" s="30"/>
      <c r="I34" s="30"/>
      <c r="J34" s="30"/>
      <c r="K34" s="30"/>
      <c r="L34" s="526"/>
      <c r="M34" s="30">
        <v>1087.49</v>
      </c>
      <c r="N34" s="30">
        <f ca="1" t="shared" si="27"/>
        <v>130</v>
      </c>
      <c r="O34" s="30">
        <f ca="1" t="shared" si="28"/>
        <v>141373.7</v>
      </c>
      <c r="P34" s="30"/>
      <c r="Q34" s="30"/>
      <c r="R34" s="30"/>
      <c r="S34" s="30"/>
      <c r="T34" s="30">
        <f ca="1" t="shared" si="29"/>
        <v>0</v>
      </c>
      <c r="U34" s="30">
        <f ca="1" t="shared" si="30"/>
        <v>0</v>
      </c>
      <c r="V34" s="30">
        <f ca="1" t="shared" si="31"/>
        <v>0</v>
      </c>
      <c r="W34" s="30">
        <f ca="1" t="shared" si="32"/>
        <v>0</v>
      </c>
      <c r="X34" s="30">
        <f ca="1" t="shared" si="33"/>
        <v>1087.49</v>
      </c>
      <c r="Y34" s="30">
        <f ca="1" t="shared" si="34"/>
        <v>141373.7</v>
      </c>
      <c r="Z34" s="30">
        <f ca="1" t="shared" si="35"/>
        <v>0</v>
      </c>
      <c r="AA34" s="30">
        <f ca="1" t="shared" si="36"/>
        <v>0</v>
      </c>
      <c r="AB34" s="30"/>
    </row>
    <row r="35" customHeight="1" outlineLevel="3" spans="1:28">
      <c r="A35" s="514" t="s">
        <v>2489</v>
      </c>
      <c r="B35" s="30"/>
      <c r="C35" s="513" t="s">
        <v>64</v>
      </c>
      <c r="D35" s="30" t="s">
        <v>326</v>
      </c>
      <c r="E35" s="30"/>
      <c r="F35" s="30" t="str">
        <f ca="1" t="shared" si="26"/>
        <v>m3</v>
      </c>
      <c r="G35" s="30"/>
      <c r="H35" s="30"/>
      <c r="I35" s="30"/>
      <c r="J35" s="30"/>
      <c r="K35" s="30"/>
      <c r="L35" s="526"/>
      <c r="M35" s="30">
        <v>2142.7</v>
      </c>
      <c r="N35" s="30">
        <f ca="1" t="shared" si="27"/>
        <v>50</v>
      </c>
      <c r="O35" s="30">
        <f ca="1" t="shared" si="28"/>
        <v>107135</v>
      </c>
      <c r="P35" s="30"/>
      <c r="Q35" s="30"/>
      <c r="R35" s="30"/>
      <c r="S35" s="30"/>
      <c r="T35" s="30">
        <f ca="1" t="shared" si="29"/>
        <v>0</v>
      </c>
      <c r="U35" s="30">
        <f ca="1" t="shared" si="30"/>
        <v>0</v>
      </c>
      <c r="V35" s="30">
        <f ca="1" t="shared" si="31"/>
        <v>0</v>
      </c>
      <c r="W35" s="30">
        <f ca="1" t="shared" si="32"/>
        <v>0</v>
      </c>
      <c r="X35" s="30">
        <f ca="1" t="shared" si="33"/>
        <v>2142.7</v>
      </c>
      <c r="Y35" s="30">
        <f ca="1" t="shared" si="34"/>
        <v>107135</v>
      </c>
      <c r="Z35" s="30">
        <f ca="1" t="shared" si="35"/>
        <v>0</v>
      </c>
      <c r="AA35" s="30">
        <f ca="1" t="shared" si="36"/>
        <v>0</v>
      </c>
      <c r="AB35" s="30"/>
    </row>
    <row r="36" customHeight="1" outlineLevel="3" spans="1:28">
      <c r="A36" s="514" t="s">
        <v>2490</v>
      </c>
      <c r="B36" s="30"/>
      <c r="C36" s="513" t="s">
        <v>59</v>
      </c>
      <c r="D36" s="30" t="s">
        <v>874</v>
      </c>
      <c r="E36" s="30"/>
      <c r="F36" s="30" t="str">
        <f ca="1" t="shared" si="26"/>
        <v>m3</v>
      </c>
      <c r="G36" s="30"/>
      <c r="H36" s="30"/>
      <c r="I36" s="30"/>
      <c r="J36" s="30"/>
      <c r="K36" s="30"/>
      <c r="L36" s="526"/>
      <c r="M36" s="30">
        <v>196</v>
      </c>
      <c r="N36" s="30">
        <f ca="1" t="shared" si="27"/>
        <v>300</v>
      </c>
      <c r="O36" s="30">
        <f ca="1" t="shared" si="28"/>
        <v>58800</v>
      </c>
      <c r="P36" s="30"/>
      <c r="Q36" s="30"/>
      <c r="R36" s="30"/>
      <c r="S36" s="30"/>
      <c r="T36" s="30">
        <f ca="1" t="shared" si="29"/>
        <v>0</v>
      </c>
      <c r="U36" s="30">
        <f ca="1" t="shared" si="30"/>
        <v>0</v>
      </c>
      <c r="V36" s="30">
        <f ca="1" t="shared" si="31"/>
        <v>0</v>
      </c>
      <c r="W36" s="30">
        <f ca="1" t="shared" si="32"/>
        <v>0</v>
      </c>
      <c r="X36" s="30">
        <f ca="1" t="shared" si="33"/>
        <v>196</v>
      </c>
      <c r="Y36" s="30">
        <f ca="1" t="shared" si="34"/>
        <v>58800</v>
      </c>
      <c r="Z36" s="30">
        <f ca="1" t="shared" si="35"/>
        <v>0</v>
      </c>
      <c r="AA36" s="30">
        <f ca="1" t="shared" si="36"/>
        <v>0</v>
      </c>
      <c r="AB36" s="30"/>
    </row>
    <row r="37" customHeight="1" outlineLevel="3" spans="1:28">
      <c r="A37" s="514" t="s">
        <v>2491</v>
      </c>
      <c r="B37" s="30"/>
      <c r="C37" s="513" t="s">
        <v>59</v>
      </c>
      <c r="D37" s="30" t="s">
        <v>877</v>
      </c>
      <c r="E37" s="30"/>
      <c r="F37" s="30" t="str">
        <f ca="1" t="shared" si="26"/>
        <v>m3</v>
      </c>
      <c r="G37" s="30"/>
      <c r="H37" s="30"/>
      <c r="I37" s="30"/>
      <c r="J37" s="30"/>
      <c r="K37" s="30"/>
      <c r="L37" s="526"/>
      <c r="M37" s="30">
        <v>1134</v>
      </c>
      <c r="N37" s="30">
        <f ca="1" t="shared" si="27"/>
        <v>330</v>
      </c>
      <c r="O37" s="30">
        <f ca="1" t="shared" si="28"/>
        <v>374220</v>
      </c>
      <c r="P37" s="30"/>
      <c r="Q37" s="30"/>
      <c r="R37" s="30"/>
      <c r="S37" s="30"/>
      <c r="T37" s="30">
        <f ca="1" t="shared" si="29"/>
        <v>0</v>
      </c>
      <c r="U37" s="30">
        <f ca="1" t="shared" si="30"/>
        <v>0</v>
      </c>
      <c r="V37" s="30">
        <f ca="1" t="shared" si="31"/>
        <v>0</v>
      </c>
      <c r="W37" s="30">
        <f ca="1" t="shared" si="32"/>
        <v>0</v>
      </c>
      <c r="X37" s="30">
        <f ca="1" t="shared" si="33"/>
        <v>1134</v>
      </c>
      <c r="Y37" s="30">
        <f ca="1" t="shared" si="34"/>
        <v>374220</v>
      </c>
      <c r="Z37" s="30">
        <f ca="1" t="shared" si="35"/>
        <v>0</v>
      </c>
      <c r="AA37" s="30">
        <f ca="1" t="shared" si="36"/>
        <v>0</v>
      </c>
      <c r="AB37" s="30"/>
    </row>
    <row r="38" customHeight="1" outlineLevel="3" spans="1:28">
      <c r="A38" s="514" t="s">
        <v>2492</v>
      </c>
      <c r="B38" s="30"/>
      <c r="C38" s="513" t="s">
        <v>59</v>
      </c>
      <c r="D38" s="30" t="s">
        <v>880</v>
      </c>
      <c r="E38" s="30"/>
      <c r="F38" s="30" t="str">
        <f ca="1" t="shared" si="26"/>
        <v>m2</v>
      </c>
      <c r="G38" s="30"/>
      <c r="H38" s="30"/>
      <c r="I38" s="30"/>
      <c r="J38" s="30"/>
      <c r="K38" s="30"/>
      <c r="L38" s="526"/>
      <c r="M38" s="30">
        <v>245</v>
      </c>
      <c r="N38" s="30">
        <f ca="1" t="shared" si="27"/>
        <v>16</v>
      </c>
      <c r="O38" s="30">
        <f ca="1" t="shared" si="28"/>
        <v>3920</v>
      </c>
      <c r="P38" s="30"/>
      <c r="Q38" s="30"/>
      <c r="R38" s="30"/>
      <c r="S38" s="30"/>
      <c r="T38" s="30">
        <f ca="1" t="shared" si="29"/>
        <v>0</v>
      </c>
      <c r="U38" s="30">
        <f ca="1" t="shared" si="30"/>
        <v>0</v>
      </c>
      <c r="V38" s="30">
        <f ca="1" t="shared" si="31"/>
        <v>0</v>
      </c>
      <c r="W38" s="30">
        <f ca="1" t="shared" si="32"/>
        <v>0</v>
      </c>
      <c r="X38" s="30">
        <f ca="1" t="shared" si="33"/>
        <v>245</v>
      </c>
      <c r="Y38" s="30">
        <f ca="1" t="shared" si="34"/>
        <v>3920</v>
      </c>
      <c r="Z38" s="30">
        <f ca="1" t="shared" si="35"/>
        <v>0</v>
      </c>
      <c r="AA38" s="30">
        <f ca="1" t="shared" si="36"/>
        <v>0</v>
      </c>
      <c r="AB38" s="30"/>
    </row>
    <row r="39" customHeight="1" outlineLevel="3" spans="1:28">
      <c r="A39" s="514" t="s">
        <v>2493</v>
      </c>
      <c r="B39" s="30"/>
      <c r="C39" s="513" t="s">
        <v>59</v>
      </c>
      <c r="D39" s="30" t="s">
        <v>883</v>
      </c>
      <c r="E39" s="30"/>
      <c r="F39" s="30" t="str">
        <f ca="1" t="shared" si="26"/>
        <v>m2</v>
      </c>
      <c r="G39" s="30"/>
      <c r="H39" s="30"/>
      <c r="I39" s="30"/>
      <c r="J39" s="30"/>
      <c r="K39" s="30"/>
      <c r="L39" s="526"/>
      <c r="M39" s="30">
        <v>611</v>
      </c>
      <c r="N39" s="30">
        <f ca="1" t="shared" si="27"/>
        <v>15</v>
      </c>
      <c r="O39" s="30">
        <f ca="1" t="shared" si="28"/>
        <v>9165</v>
      </c>
      <c r="P39" s="30"/>
      <c r="Q39" s="30"/>
      <c r="R39" s="30"/>
      <c r="S39" s="30"/>
      <c r="T39" s="30">
        <f ca="1" t="shared" si="29"/>
        <v>0</v>
      </c>
      <c r="U39" s="30">
        <f ca="1" t="shared" si="30"/>
        <v>0</v>
      </c>
      <c r="V39" s="30">
        <f ca="1" t="shared" si="31"/>
        <v>0</v>
      </c>
      <c r="W39" s="30">
        <f ca="1" t="shared" si="32"/>
        <v>0</v>
      </c>
      <c r="X39" s="30">
        <f ca="1" t="shared" si="33"/>
        <v>611</v>
      </c>
      <c r="Y39" s="30">
        <f ca="1" t="shared" si="34"/>
        <v>9165</v>
      </c>
      <c r="Z39" s="30">
        <f ca="1" t="shared" si="35"/>
        <v>0</v>
      </c>
      <c r="AA39" s="30">
        <f ca="1" t="shared" si="36"/>
        <v>0</v>
      </c>
      <c r="AB39" s="30"/>
    </row>
    <row r="40" customHeight="1" outlineLevel="3" spans="1:28">
      <c r="A40" s="514" t="s">
        <v>2494</v>
      </c>
      <c r="B40" s="30"/>
      <c r="C40" s="513" t="s">
        <v>59</v>
      </c>
      <c r="D40" s="30" t="s">
        <v>979</v>
      </c>
      <c r="E40" s="30" t="str">
        <f ca="1">"含钢量："&amp;ROUND($M$40/$G$25,3)&amp;$F$40&amp;"/"&amp;$F$25</f>
        <v>含钢量：0.008t/m3</v>
      </c>
      <c r="F40" s="30" t="str">
        <f ca="1" t="shared" si="26"/>
        <v>t</v>
      </c>
      <c r="G40" s="30"/>
      <c r="H40" s="30"/>
      <c r="I40" s="30"/>
      <c r="J40" s="30"/>
      <c r="K40" s="30"/>
      <c r="L40" s="526"/>
      <c r="M40" s="30">
        <v>8.77045</v>
      </c>
      <c r="N40" s="30">
        <f ca="1" t="shared" si="27"/>
        <v>0</v>
      </c>
      <c r="O40" s="30">
        <f ca="1" t="shared" si="28"/>
        <v>0</v>
      </c>
      <c r="P40" s="30"/>
      <c r="Q40" s="30"/>
      <c r="R40" s="30"/>
      <c r="S40" s="30"/>
      <c r="T40" s="30">
        <f ca="1" t="shared" si="29"/>
        <v>0</v>
      </c>
      <c r="U40" s="30">
        <f ca="1" t="shared" si="30"/>
        <v>0</v>
      </c>
      <c r="V40" s="30">
        <f ca="1" t="shared" si="31"/>
        <v>0</v>
      </c>
      <c r="W40" s="30">
        <f ca="1" t="shared" si="32"/>
        <v>0</v>
      </c>
      <c r="X40" s="30">
        <f ca="1" t="shared" si="33"/>
        <v>8.77045</v>
      </c>
      <c r="Y40" s="30">
        <f ca="1" t="shared" si="34"/>
        <v>0</v>
      </c>
      <c r="Z40" s="30">
        <f ca="1" t="shared" si="35"/>
        <v>0</v>
      </c>
      <c r="AA40" s="30">
        <f ca="1" t="shared" si="36"/>
        <v>0</v>
      </c>
      <c r="AB40" s="30"/>
    </row>
    <row r="41" customHeight="1" outlineLevel="3" spans="1:28">
      <c r="A41" s="514" t="s">
        <v>2495</v>
      </c>
      <c r="B41" s="30"/>
      <c r="C41" s="513" t="s">
        <v>65</v>
      </c>
      <c r="D41" s="30" t="s">
        <v>660</v>
      </c>
      <c r="E41" s="30"/>
      <c r="F41" s="30" t="str">
        <f ca="1" t="shared" si="26"/>
        <v>m</v>
      </c>
      <c r="G41" s="30"/>
      <c r="H41" s="30"/>
      <c r="I41" s="30"/>
      <c r="J41" s="30"/>
      <c r="K41" s="30"/>
      <c r="L41" s="526"/>
      <c r="M41" s="30">
        <v>99.9</v>
      </c>
      <c r="N41" s="30">
        <f ca="1" t="shared" si="27"/>
        <v>40</v>
      </c>
      <c r="O41" s="30">
        <f ca="1" t="shared" si="28"/>
        <v>3996</v>
      </c>
      <c r="P41" s="30"/>
      <c r="Q41" s="30"/>
      <c r="R41" s="30"/>
      <c r="S41" s="30"/>
      <c r="T41" s="30">
        <f ca="1" t="shared" si="29"/>
        <v>0</v>
      </c>
      <c r="U41" s="30">
        <f ca="1" t="shared" si="30"/>
        <v>0</v>
      </c>
      <c r="V41" s="30">
        <f ca="1" t="shared" si="31"/>
        <v>0</v>
      </c>
      <c r="W41" s="30">
        <f ca="1" t="shared" si="32"/>
        <v>0</v>
      </c>
      <c r="X41" s="30">
        <f ca="1" t="shared" si="33"/>
        <v>99.9</v>
      </c>
      <c r="Y41" s="30">
        <f ca="1" t="shared" si="34"/>
        <v>3996</v>
      </c>
      <c r="Z41" s="30">
        <f ca="1" t="shared" si="35"/>
        <v>0</v>
      </c>
      <c r="AA41" s="30">
        <f ca="1" t="shared" si="36"/>
        <v>0</v>
      </c>
      <c r="AB41" s="30"/>
    </row>
    <row r="42" customHeight="1" outlineLevel="3" spans="1:28">
      <c r="A42" s="514" t="s">
        <v>2496</v>
      </c>
      <c r="B42" s="30"/>
      <c r="C42" s="513" t="s">
        <v>64</v>
      </c>
      <c r="D42" s="30" t="s">
        <v>262</v>
      </c>
      <c r="E42" s="30"/>
      <c r="F42" s="30" t="str">
        <f ca="1" t="shared" si="26"/>
        <v>m2</v>
      </c>
      <c r="G42" s="30"/>
      <c r="H42" s="30"/>
      <c r="I42" s="30"/>
      <c r="J42" s="30"/>
      <c r="K42" s="30"/>
      <c r="L42" s="526"/>
      <c r="M42" s="30">
        <v>1081</v>
      </c>
      <c r="N42" s="30">
        <f ca="1" t="shared" si="27"/>
        <v>55</v>
      </c>
      <c r="O42" s="30">
        <f ca="1" t="shared" si="28"/>
        <v>59455</v>
      </c>
      <c r="P42" s="30"/>
      <c r="Q42" s="30"/>
      <c r="R42" s="30"/>
      <c r="S42" s="30"/>
      <c r="T42" s="30">
        <f ca="1" t="shared" si="29"/>
        <v>0</v>
      </c>
      <c r="U42" s="30">
        <f ca="1" t="shared" si="30"/>
        <v>0</v>
      </c>
      <c r="V42" s="30">
        <f ca="1" t="shared" si="31"/>
        <v>0</v>
      </c>
      <c r="W42" s="30">
        <f ca="1" t="shared" si="32"/>
        <v>0</v>
      </c>
      <c r="X42" s="30">
        <f ca="1" t="shared" si="33"/>
        <v>1081</v>
      </c>
      <c r="Y42" s="30">
        <f ca="1" t="shared" si="34"/>
        <v>59455</v>
      </c>
      <c r="Z42" s="30">
        <f ca="1" t="shared" si="35"/>
        <v>0</v>
      </c>
      <c r="AA42" s="30">
        <f ca="1" t="shared" si="36"/>
        <v>0</v>
      </c>
      <c r="AB42" s="30"/>
    </row>
    <row r="43" customHeight="1" outlineLevel="3" spans="1:28">
      <c r="A43" s="514" t="s">
        <v>2497</v>
      </c>
      <c r="B43" s="30"/>
      <c r="C43" s="513" t="s">
        <v>64</v>
      </c>
      <c r="D43" s="30" t="s">
        <v>296</v>
      </c>
      <c r="E43" s="30"/>
      <c r="F43" s="30" t="str">
        <f ca="1" t="shared" si="26"/>
        <v>t</v>
      </c>
      <c r="G43" s="30"/>
      <c r="H43" s="30"/>
      <c r="I43" s="30"/>
      <c r="J43" s="30"/>
      <c r="K43" s="30"/>
      <c r="L43" s="526"/>
      <c r="M43" s="30">
        <v>8.515</v>
      </c>
      <c r="N43" s="30">
        <f ca="1" t="shared" si="27"/>
        <v>700</v>
      </c>
      <c r="O43" s="30">
        <f ca="1" t="shared" si="28"/>
        <v>5960.5</v>
      </c>
      <c r="P43" s="30"/>
      <c r="Q43" s="30"/>
      <c r="R43" s="30"/>
      <c r="S43" s="30"/>
      <c r="T43" s="30">
        <f ca="1" t="shared" si="29"/>
        <v>0</v>
      </c>
      <c r="U43" s="30">
        <f ca="1" t="shared" si="30"/>
        <v>0</v>
      </c>
      <c r="V43" s="30">
        <f ca="1" t="shared" si="31"/>
        <v>0</v>
      </c>
      <c r="W43" s="30">
        <f ca="1" t="shared" si="32"/>
        <v>0</v>
      </c>
      <c r="X43" s="30">
        <f ca="1" t="shared" si="33"/>
        <v>8.515</v>
      </c>
      <c r="Y43" s="30">
        <f ca="1" t="shared" si="34"/>
        <v>5960.5</v>
      </c>
      <c r="Z43" s="30">
        <f ca="1" t="shared" si="35"/>
        <v>0</v>
      </c>
      <c r="AA43" s="30">
        <f ca="1" t="shared" si="36"/>
        <v>0</v>
      </c>
      <c r="AB43" s="30"/>
    </row>
    <row r="44" customHeight="1" outlineLevel="3" spans="1:28">
      <c r="A44" s="514" t="s">
        <v>2498</v>
      </c>
      <c r="B44" s="30"/>
      <c r="C44" s="513" t="s">
        <v>64</v>
      </c>
      <c r="D44" s="30" t="s">
        <v>736</v>
      </c>
      <c r="E44" s="30" t="s">
        <v>2499</v>
      </c>
      <c r="F44" s="30" t="str">
        <f ca="1" t="shared" si="26"/>
        <v>m2</v>
      </c>
      <c r="G44" s="30"/>
      <c r="H44" s="30"/>
      <c r="I44" s="30"/>
      <c r="J44" s="30"/>
      <c r="K44" s="30"/>
      <c r="L44" s="526"/>
      <c r="M44" s="30">
        <v>866.6</v>
      </c>
      <c r="N44" s="30">
        <f ca="1" t="shared" si="27"/>
        <v>32.8</v>
      </c>
      <c r="O44" s="30">
        <f ca="1" t="shared" si="28"/>
        <v>28424.48</v>
      </c>
      <c r="P44" s="30"/>
      <c r="Q44" s="30"/>
      <c r="R44" s="30"/>
      <c r="S44" s="30"/>
      <c r="T44" s="30">
        <f ca="1" t="shared" si="29"/>
        <v>0</v>
      </c>
      <c r="U44" s="30">
        <f ca="1" t="shared" si="30"/>
        <v>0</v>
      </c>
      <c r="V44" s="30">
        <f ca="1" t="shared" si="31"/>
        <v>0</v>
      </c>
      <c r="W44" s="30">
        <f ca="1" t="shared" si="32"/>
        <v>0</v>
      </c>
      <c r="X44" s="30">
        <f ca="1" t="shared" si="33"/>
        <v>866.6</v>
      </c>
      <c r="Y44" s="30">
        <f ca="1" t="shared" si="34"/>
        <v>28424.48</v>
      </c>
      <c r="Z44" s="30">
        <f ca="1" t="shared" si="35"/>
        <v>0</v>
      </c>
      <c r="AA44" s="30">
        <f ca="1" t="shared" si="36"/>
        <v>0</v>
      </c>
      <c r="AB44" s="30"/>
    </row>
    <row r="45" customHeight="1" outlineLevel="3" spans="1:28">
      <c r="A45" s="514" t="s">
        <v>2500</v>
      </c>
      <c r="B45" s="30"/>
      <c r="C45" s="513" t="s">
        <v>63</v>
      </c>
      <c r="D45" s="30" t="s">
        <v>1200</v>
      </c>
      <c r="E45" s="30"/>
      <c r="F45" s="30" t="str">
        <f ca="1" t="shared" si="26"/>
        <v>m3</v>
      </c>
      <c r="G45" s="30"/>
      <c r="H45" s="30"/>
      <c r="I45" s="30"/>
      <c r="J45" s="30"/>
      <c r="K45" s="30"/>
      <c r="L45" s="526"/>
      <c r="M45" s="30">
        <v>1048.7</v>
      </c>
      <c r="N45" s="30">
        <f ca="1" t="shared" si="27"/>
        <v>18</v>
      </c>
      <c r="O45" s="30">
        <f ca="1" t="shared" si="28"/>
        <v>18876.6</v>
      </c>
      <c r="P45" s="30"/>
      <c r="Q45" s="30"/>
      <c r="R45" s="30"/>
      <c r="S45" s="30"/>
      <c r="T45" s="30">
        <f ca="1" t="shared" si="29"/>
        <v>0</v>
      </c>
      <c r="U45" s="30">
        <f ca="1" t="shared" si="30"/>
        <v>0</v>
      </c>
      <c r="V45" s="30">
        <f ca="1" t="shared" si="31"/>
        <v>0</v>
      </c>
      <c r="W45" s="30">
        <f ca="1" t="shared" si="32"/>
        <v>0</v>
      </c>
      <c r="X45" s="30">
        <f ca="1" t="shared" si="33"/>
        <v>1048.7</v>
      </c>
      <c r="Y45" s="30">
        <f ca="1" t="shared" si="34"/>
        <v>18876.6</v>
      </c>
      <c r="Z45" s="30">
        <f ca="1" t="shared" si="35"/>
        <v>0</v>
      </c>
      <c r="AA45" s="30">
        <f ca="1" t="shared" si="36"/>
        <v>0</v>
      </c>
      <c r="AB45" s="30"/>
    </row>
    <row r="46" customHeight="1" outlineLevel="3" spans="1:28">
      <c r="A46" s="514" t="s">
        <v>2501</v>
      </c>
      <c r="B46" s="30"/>
      <c r="C46" s="513" t="s">
        <v>64</v>
      </c>
      <c r="D46" s="30" t="s">
        <v>313</v>
      </c>
      <c r="E46" s="30"/>
      <c r="F46" s="30" t="str">
        <f ca="1" t="shared" si="26"/>
        <v>m3</v>
      </c>
      <c r="G46" s="30"/>
      <c r="H46" s="30"/>
      <c r="I46" s="30"/>
      <c r="J46" s="30"/>
      <c r="K46" s="30"/>
      <c r="L46" s="526"/>
      <c r="M46" s="30">
        <v>353.4</v>
      </c>
      <c r="N46" s="30">
        <f ca="1" t="shared" si="27"/>
        <v>120</v>
      </c>
      <c r="O46" s="30">
        <f ca="1" t="shared" si="28"/>
        <v>42408</v>
      </c>
      <c r="P46" s="30"/>
      <c r="Q46" s="30"/>
      <c r="R46" s="30"/>
      <c r="S46" s="30"/>
      <c r="T46" s="30">
        <f ca="1" t="shared" si="29"/>
        <v>0</v>
      </c>
      <c r="U46" s="30">
        <f ca="1" t="shared" si="30"/>
        <v>0</v>
      </c>
      <c r="V46" s="30">
        <f ca="1" t="shared" si="31"/>
        <v>0</v>
      </c>
      <c r="W46" s="30">
        <f ca="1" t="shared" si="32"/>
        <v>0</v>
      </c>
      <c r="X46" s="30">
        <f ca="1" t="shared" si="33"/>
        <v>353.4</v>
      </c>
      <c r="Y46" s="30">
        <f ca="1" t="shared" si="34"/>
        <v>42408</v>
      </c>
      <c r="Z46" s="30">
        <f ca="1" t="shared" si="35"/>
        <v>0</v>
      </c>
      <c r="AA46" s="30">
        <f ca="1" t="shared" si="36"/>
        <v>0</v>
      </c>
      <c r="AB46" s="30"/>
    </row>
    <row r="47" customHeight="1" outlineLevel="1" spans="1:28">
      <c r="A47" s="515" t="s">
        <v>1333</v>
      </c>
      <c r="B47" s="30"/>
      <c r="C47" s="513" t="s">
        <v>60</v>
      </c>
      <c r="D47" s="30" t="s">
        <v>2502</v>
      </c>
      <c r="E47" s="30"/>
      <c r="F47" s="30"/>
      <c r="G47" s="30"/>
      <c r="H47" s="30"/>
      <c r="I47" s="30">
        <f>(+I48+I58)</f>
        <v>4785489.5053211</v>
      </c>
      <c r="J47" s="30"/>
      <c r="K47" s="30"/>
      <c r="L47" s="526">
        <f>(+L48+L58)</f>
        <v>4785489.5053211</v>
      </c>
      <c r="M47" s="30"/>
      <c r="N47" s="30"/>
      <c r="O47" s="30">
        <f ca="1">(+O48+O58)</f>
        <v>14455833.0152683</v>
      </c>
      <c r="P47" s="30"/>
      <c r="Q47" s="30"/>
      <c r="R47" s="30"/>
      <c r="S47" s="30"/>
      <c r="T47" s="30"/>
      <c r="U47" s="30"/>
      <c r="V47" s="30"/>
      <c r="W47" s="30"/>
      <c r="X47" s="30"/>
      <c r="Y47" s="30"/>
      <c r="Z47" s="30"/>
      <c r="AA47" s="30"/>
      <c r="AB47" s="30"/>
    </row>
    <row r="48" customHeight="1" outlineLevel="2" spans="1:28">
      <c r="A48" s="512" t="s">
        <v>1335</v>
      </c>
      <c r="B48" s="30"/>
      <c r="C48" s="513" t="s">
        <v>1310</v>
      </c>
      <c r="D48" s="30" t="s">
        <v>1365</v>
      </c>
      <c r="E48" s="30" t="s">
        <v>1366</v>
      </c>
      <c r="F48" s="30" t="s">
        <v>72</v>
      </c>
      <c r="G48" s="30">
        <v>3061.56</v>
      </c>
      <c r="H48" s="30">
        <v>1383.65137614679</v>
      </c>
      <c r="I48" s="30">
        <f>G48*H48</f>
        <v>4236131.70715597</v>
      </c>
      <c r="J48" s="30">
        <f t="shared" ref="J48:L48" si="37">+G48</f>
        <v>3061.56</v>
      </c>
      <c r="K48" s="30">
        <f t="shared" si="37"/>
        <v>1383.65137614679</v>
      </c>
      <c r="L48" s="526">
        <f t="shared" si="37"/>
        <v>4236131.70715597</v>
      </c>
      <c r="M48" s="30">
        <v>3061.56</v>
      </c>
      <c r="N48" s="30">
        <f ca="1">O48/M48</f>
        <v>4537.64007725243</v>
      </c>
      <c r="O48" s="30">
        <f ca="1">(+O49+O50+O51+O52+O53+O54+O55+O56+O57)</f>
        <v>13892257.3549129</v>
      </c>
      <c r="P48" s="30"/>
      <c r="Q48" s="30"/>
      <c r="R48" s="30">
        <f>+P48+J48</f>
        <v>3061.56</v>
      </c>
      <c r="S48" s="30">
        <f>+Q48+L48</f>
        <v>4236131.70715597</v>
      </c>
      <c r="T48" s="30">
        <f>IFERROR(VLOOKUP(A48,产值统计中间表!A:F,7,FALSE),0)</f>
        <v>0</v>
      </c>
      <c r="U48" s="30">
        <f>+T48*H48</f>
        <v>0</v>
      </c>
      <c r="V48" s="30">
        <f>IFERROR(VLOOKUP(A48,产值统计中间表!A:D,4,FALSE),0)</f>
        <v>0</v>
      </c>
      <c r="W48" s="30">
        <f>+V48*H48</f>
        <v>0</v>
      </c>
      <c r="X48" s="30">
        <f>+R48-V48</f>
        <v>3061.56</v>
      </c>
      <c r="Y48" s="30">
        <f>+S48-W48</f>
        <v>4236131.70715597</v>
      </c>
      <c r="Z48" s="30">
        <f>IFERROR(VLOOKUP(A48,业主统计中间表!A:D,4,FALSE),0)</f>
        <v>0</v>
      </c>
      <c r="AA48" s="30">
        <f>+Z48*H48</f>
        <v>0</v>
      </c>
      <c r="AB48" s="30"/>
    </row>
    <row r="49" customHeight="1" outlineLevel="3" spans="1:28">
      <c r="A49" s="514" t="s">
        <v>1337</v>
      </c>
      <c r="B49" s="30"/>
      <c r="C49" s="513" t="s">
        <v>65</v>
      </c>
      <c r="D49" s="30" t="s">
        <v>688</v>
      </c>
      <c r="E49" s="30"/>
      <c r="F49" s="30" t="str">
        <f ca="1" t="shared" ref="F49:F57" si="38">VLOOKUP($D49,INDIRECT($C49),2,0)</f>
        <v>m³</v>
      </c>
      <c r="G49" s="30"/>
      <c r="H49" s="30"/>
      <c r="I49" s="30"/>
      <c r="J49" s="30"/>
      <c r="K49" s="30"/>
      <c r="L49" s="526"/>
      <c r="M49" s="30">
        <v>3061.56</v>
      </c>
      <c r="N49" s="30">
        <f ca="1" t="shared" ref="N49:N57" si="39">VLOOKUP($D49,INDIRECT($C49),3,0)</f>
        <v>390</v>
      </c>
      <c r="O49" s="30">
        <f ca="1" t="shared" ref="O49:O57" si="40">M49*N49</f>
        <v>1194008.4</v>
      </c>
      <c r="P49" s="30"/>
      <c r="Q49" s="30"/>
      <c r="R49" s="30"/>
      <c r="S49" s="30"/>
      <c r="T49" s="30">
        <f ca="1" t="shared" ref="T49:T57" si="41">OFFSET(T49,-RIGHT($A49,LEN($A$6)),,1,1)/OFFSET(T49,-RIGHT($A49,LEN($A$6)),-13,1,1)*$M49</f>
        <v>0</v>
      </c>
      <c r="U49" s="30">
        <f ca="1" t="shared" ref="U49:U57" si="42">+$N49*T49</f>
        <v>0</v>
      </c>
      <c r="V49" s="30">
        <f ca="1" t="shared" ref="V49:V57" si="43">OFFSET(V49,-RIGHT($A49,LEN($A$6)),,1,1)/OFFSET(V49,-RIGHT($A49,LEN($A$6)),-15,1,1)*$M49</f>
        <v>0</v>
      </c>
      <c r="W49" s="30">
        <f ca="1" t="shared" ref="W49:W57" si="44">+$N49*V49</f>
        <v>0</v>
      </c>
      <c r="X49" s="30">
        <f ca="1" t="shared" ref="X49:X57" si="45">+M49-V49</f>
        <v>3061.56</v>
      </c>
      <c r="Y49" s="30">
        <f ca="1" t="shared" ref="Y49:Y57" si="46">+O49-W49</f>
        <v>1194008.4</v>
      </c>
      <c r="Z49" s="30">
        <f ca="1" t="shared" ref="Z49:Z57" si="47">OFFSET(Z49,-RIGHT($A49,LEN($A$6)),,1,1)/OFFSET(Z49,-RIGHT($A49,LEN($A$6)),-19,1,1)*$M49</f>
        <v>0</v>
      </c>
      <c r="AA49" s="30">
        <f ca="1" t="shared" ref="AA49:AA57" si="48">+$N49*Z49</f>
        <v>0</v>
      </c>
      <c r="AB49" s="30"/>
    </row>
    <row r="50" customHeight="1" outlineLevel="3" spans="1:28">
      <c r="A50" s="514" t="s">
        <v>1338</v>
      </c>
      <c r="B50" s="30"/>
      <c r="C50" s="513" t="s">
        <v>59</v>
      </c>
      <c r="D50" s="30" t="s">
        <v>212</v>
      </c>
      <c r="E50" s="30"/>
      <c r="F50" s="30" t="str">
        <f ca="1" t="shared" si="38"/>
        <v>m3</v>
      </c>
      <c r="G50" s="30"/>
      <c r="H50" s="30"/>
      <c r="I50" s="30"/>
      <c r="J50" s="30"/>
      <c r="K50" s="30"/>
      <c r="L50" s="526"/>
      <c r="M50" s="30">
        <v>3538.551048</v>
      </c>
      <c r="N50" s="30">
        <f ca="1" t="shared" si="39"/>
        <v>3125.05203539823</v>
      </c>
      <c r="O50" s="30">
        <f ca="1" t="shared" si="40"/>
        <v>11058156.1549129</v>
      </c>
      <c r="P50" s="30"/>
      <c r="Q50" s="30"/>
      <c r="R50" s="30"/>
      <c r="S50" s="30"/>
      <c r="T50" s="30">
        <f ca="1" t="shared" si="41"/>
        <v>0</v>
      </c>
      <c r="U50" s="30">
        <f ca="1" t="shared" si="42"/>
        <v>0</v>
      </c>
      <c r="V50" s="30">
        <f ca="1" t="shared" si="43"/>
        <v>0</v>
      </c>
      <c r="W50" s="30">
        <f ca="1" t="shared" si="44"/>
        <v>0</v>
      </c>
      <c r="X50" s="30">
        <f ca="1" t="shared" si="45"/>
        <v>3538.551048</v>
      </c>
      <c r="Y50" s="30">
        <f ca="1" t="shared" si="46"/>
        <v>11058156.1549129</v>
      </c>
      <c r="Z50" s="30">
        <f ca="1" t="shared" si="47"/>
        <v>0</v>
      </c>
      <c r="AA50" s="30">
        <f ca="1" t="shared" si="48"/>
        <v>0</v>
      </c>
      <c r="AB50" s="30"/>
    </row>
    <row r="51" customHeight="1" outlineLevel="3" spans="1:28">
      <c r="A51" s="514" t="s">
        <v>1339</v>
      </c>
      <c r="B51" s="30"/>
      <c r="C51" s="513" t="s">
        <v>59</v>
      </c>
      <c r="D51" s="30" t="s">
        <v>789</v>
      </c>
      <c r="E51" s="30" t="str">
        <f ca="1">"含钢量："&amp;ROUND($M$51/$G$48,3)&amp;$F$51&amp;"/"&amp;$F$48</f>
        <v>含钢量：0.108t/m3</v>
      </c>
      <c r="F51" s="30" t="str">
        <f ca="1" t="shared" si="38"/>
        <v>t</v>
      </c>
      <c r="G51" s="30"/>
      <c r="H51" s="30"/>
      <c r="I51" s="30"/>
      <c r="J51" s="30"/>
      <c r="K51" s="30"/>
      <c r="L51" s="526"/>
      <c r="M51" s="30">
        <v>330.15</v>
      </c>
      <c r="N51" s="30">
        <f ca="1" t="shared" si="39"/>
        <v>4000</v>
      </c>
      <c r="O51" s="30">
        <f ca="1" t="shared" si="40"/>
        <v>1320600</v>
      </c>
      <c r="P51" s="30"/>
      <c r="Q51" s="30"/>
      <c r="R51" s="30"/>
      <c r="S51" s="30"/>
      <c r="T51" s="30">
        <f ca="1" t="shared" si="41"/>
        <v>0</v>
      </c>
      <c r="U51" s="30">
        <f ca="1" t="shared" si="42"/>
        <v>0</v>
      </c>
      <c r="V51" s="30">
        <f ca="1" t="shared" si="43"/>
        <v>0</v>
      </c>
      <c r="W51" s="30">
        <f ca="1" t="shared" si="44"/>
        <v>0</v>
      </c>
      <c r="X51" s="30">
        <f ca="1" t="shared" si="45"/>
        <v>330.15</v>
      </c>
      <c r="Y51" s="30">
        <f ca="1" t="shared" si="46"/>
        <v>1320600</v>
      </c>
      <c r="Z51" s="30">
        <f ca="1" t="shared" si="47"/>
        <v>0</v>
      </c>
      <c r="AA51" s="30">
        <f ca="1" t="shared" si="48"/>
        <v>0</v>
      </c>
      <c r="AB51" s="30"/>
    </row>
    <row r="52" customHeight="1" outlineLevel="3" spans="1:28">
      <c r="A52" s="514" t="s">
        <v>1340</v>
      </c>
      <c r="B52" s="30"/>
      <c r="C52" s="513" t="s">
        <v>64</v>
      </c>
      <c r="D52" s="30" t="s">
        <v>1062</v>
      </c>
      <c r="E52" s="30"/>
      <c r="F52" s="30" t="str">
        <f ca="1" t="shared" si="38"/>
        <v>根</v>
      </c>
      <c r="G52" s="30"/>
      <c r="H52" s="30"/>
      <c r="I52" s="30"/>
      <c r="J52" s="30"/>
      <c r="K52" s="30"/>
      <c r="L52" s="526"/>
      <c r="M52" s="30">
        <v>72</v>
      </c>
      <c r="N52" s="30">
        <f ca="1" t="shared" si="39"/>
        <v>200</v>
      </c>
      <c r="O52" s="30">
        <f ca="1" t="shared" si="40"/>
        <v>14400</v>
      </c>
      <c r="P52" s="30"/>
      <c r="Q52" s="30"/>
      <c r="R52" s="30"/>
      <c r="S52" s="30"/>
      <c r="T52" s="30">
        <f ca="1" t="shared" si="41"/>
        <v>0</v>
      </c>
      <c r="U52" s="30">
        <f ca="1" t="shared" si="42"/>
        <v>0</v>
      </c>
      <c r="V52" s="30">
        <f ca="1" t="shared" si="43"/>
        <v>0</v>
      </c>
      <c r="W52" s="30">
        <f ca="1" t="shared" si="44"/>
        <v>0</v>
      </c>
      <c r="X52" s="30">
        <f ca="1" t="shared" si="45"/>
        <v>72</v>
      </c>
      <c r="Y52" s="30">
        <f ca="1" t="shared" si="46"/>
        <v>14400</v>
      </c>
      <c r="Z52" s="30">
        <f ca="1" t="shared" si="47"/>
        <v>0</v>
      </c>
      <c r="AA52" s="30">
        <f ca="1" t="shared" si="48"/>
        <v>0</v>
      </c>
      <c r="AB52" s="30"/>
    </row>
    <row r="53" customHeight="1" outlineLevel="3" spans="1:28">
      <c r="A53" s="514" t="s">
        <v>1341</v>
      </c>
      <c r="B53" s="30"/>
      <c r="C53" s="513" t="s">
        <v>65</v>
      </c>
      <c r="D53" s="30" t="s">
        <v>652</v>
      </c>
      <c r="E53" s="30"/>
      <c r="F53" s="30" t="str">
        <f ca="1" t="shared" si="38"/>
        <v>根</v>
      </c>
      <c r="G53" s="30"/>
      <c r="H53" s="30"/>
      <c r="I53" s="30"/>
      <c r="J53" s="30"/>
      <c r="K53" s="30"/>
      <c r="L53" s="526"/>
      <c r="M53" s="30">
        <v>72</v>
      </c>
      <c r="N53" s="30">
        <f ca="1" t="shared" si="39"/>
        <v>65</v>
      </c>
      <c r="O53" s="30">
        <f ca="1" t="shared" si="40"/>
        <v>4680</v>
      </c>
      <c r="P53" s="30"/>
      <c r="Q53" s="30"/>
      <c r="R53" s="30"/>
      <c r="S53" s="30"/>
      <c r="T53" s="30">
        <f ca="1" t="shared" si="41"/>
        <v>0</v>
      </c>
      <c r="U53" s="30">
        <f ca="1" t="shared" si="42"/>
        <v>0</v>
      </c>
      <c r="V53" s="30">
        <f ca="1" t="shared" si="43"/>
        <v>0</v>
      </c>
      <c r="W53" s="30">
        <f ca="1" t="shared" si="44"/>
        <v>0</v>
      </c>
      <c r="X53" s="30">
        <f ca="1" t="shared" si="45"/>
        <v>72</v>
      </c>
      <c r="Y53" s="30">
        <f ca="1" t="shared" si="46"/>
        <v>4680</v>
      </c>
      <c r="Z53" s="30">
        <f ca="1" t="shared" si="47"/>
        <v>0</v>
      </c>
      <c r="AA53" s="30">
        <f ca="1" t="shared" si="48"/>
        <v>0</v>
      </c>
      <c r="AB53" s="30"/>
    </row>
    <row r="54" customHeight="1" outlineLevel="3" spans="1:28">
      <c r="A54" s="514" t="s">
        <v>2503</v>
      </c>
      <c r="B54" s="30"/>
      <c r="C54" s="513" t="s">
        <v>65</v>
      </c>
      <c r="D54" s="30" t="s">
        <v>656</v>
      </c>
      <c r="E54" s="30"/>
      <c r="F54" s="30" t="str">
        <f ca="1" t="shared" si="38"/>
        <v>根</v>
      </c>
      <c r="G54" s="30"/>
      <c r="H54" s="30"/>
      <c r="I54" s="30"/>
      <c r="J54" s="30"/>
      <c r="K54" s="30"/>
      <c r="L54" s="526"/>
      <c r="M54" s="30">
        <v>72</v>
      </c>
      <c r="N54" s="30">
        <f ca="1" t="shared" si="39"/>
        <v>750</v>
      </c>
      <c r="O54" s="30">
        <f ca="1" t="shared" si="40"/>
        <v>54000</v>
      </c>
      <c r="P54" s="30"/>
      <c r="Q54" s="30"/>
      <c r="R54" s="30"/>
      <c r="S54" s="30"/>
      <c r="T54" s="30">
        <f ca="1" t="shared" si="41"/>
        <v>0</v>
      </c>
      <c r="U54" s="30">
        <f ca="1" t="shared" si="42"/>
        <v>0</v>
      </c>
      <c r="V54" s="30">
        <f ca="1" t="shared" si="43"/>
        <v>0</v>
      </c>
      <c r="W54" s="30">
        <f ca="1" t="shared" si="44"/>
        <v>0</v>
      </c>
      <c r="X54" s="30">
        <f ca="1" t="shared" si="45"/>
        <v>72</v>
      </c>
      <c r="Y54" s="30">
        <f ca="1" t="shared" si="46"/>
        <v>54000</v>
      </c>
      <c r="Z54" s="30">
        <f ca="1" t="shared" si="47"/>
        <v>0</v>
      </c>
      <c r="AA54" s="30">
        <f ca="1" t="shared" si="48"/>
        <v>0</v>
      </c>
      <c r="AB54" s="30"/>
    </row>
    <row r="55" customHeight="1" outlineLevel="3" spans="1:28">
      <c r="A55" s="514" t="s">
        <v>2504</v>
      </c>
      <c r="B55" s="30"/>
      <c r="C55" s="513" t="s">
        <v>59</v>
      </c>
      <c r="D55" s="30" t="s">
        <v>755</v>
      </c>
      <c r="E55" s="30"/>
      <c r="F55" s="30" t="str">
        <f ca="1" t="shared" si="38"/>
        <v>t</v>
      </c>
      <c r="G55" s="30"/>
      <c r="H55" s="30"/>
      <c r="I55" s="30"/>
      <c r="J55" s="30"/>
      <c r="K55" s="30"/>
      <c r="L55" s="526"/>
      <c r="M55" s="30">
        <v>14</v>
      </c>
      <c r="N55" s="30">
        <f ca="1" t="shared" si="39"/>
        <v>0</v>
      </c>
      <c r="O55" s="30">
        <f ca="1" t="shared" si="40"/>
        <v>0</v>
      </c>
      <c r="P55" s="30"/>
      <c r="Q55" s="30"/>
      <c r="R55" s="30"/>
      <c r="S55" s="30"/>
      <c r="T55" s="30">
        <f ca="1" t="shared" si="41"/>
        <v>0</v>
      </c>
      <c r="U55" s="30">
        <f ca="1" t="shared" si="42"/>
        <v>0</v>
      </c>
      <c r="V55" s="30">
        <f ca="1" t="shared" si="43"/>
        <v>0</v>
      </c>
      <c r="W55" s="30">
        <f ca="1" t="shared" si="44"/>
        <v>0</v>
      </c>
      <c r="X55" s="30">
        <f ca="1" t="shared" si="45"/>
        <v>14</v>
      </c>
      <c r="Y55" s="30">
        <f ca="1" t="shared" si="46"/>
        <v>0</v>
      </c>
      <c r="Z55" s="30">
        <f ca="1" t="shared" si="47"/>
        <v>0</v>
      </c>
      <c r="AA55" s="30">
        <f ca="1" t="shared" si="48"/>
        <v>0</v>
      </c>
      <c r="AB55" s="30"/>
    </row>
    <row r="56" customHeight="1" outlineLevel="3" spans="1:28">
      <c r="A56" s="514" t="s">
        <v>2505</v>
      </c>
      <c r="B56" s="30"/>
      <c r="C56" s="513" t="s">
        <v>63</v>
      </c>
      <c r="D56" s="30" t="s">
        <v>345</v>
      </c>
      <c r="E56" s="30" t="s">
        <v>1376</v>
      </c>
      <c r="F56" s="30" t="str">
        <f ca="1" t="shared" si="38"/>
        <v>m3</v>
      </c>
      <c r="G56" s="30"/>
      <c r="H56" s="30"/>
      <c r="I56" s="30"/>
      <c r="J56" s="30"/>
      <c r="K56" s="30"/>
      <c r="L56" s="526"/>
      <c r="M56" s="30">
        <v>3061.56</v>
      </c>
      <c r="N56" s="30">
        <f ca="1" t="shared" si="39"/>
        <v>5</v>
      </c>
      <c r="O56" s="30">
        <f ca="1" t="shared" si="40"/>
        <v>15307.8</v>
      </c>
      <c r="P56" s="30"/>
      <c r="Q56" s="30"/>
      <c r="R56" s="30"/>
      <c r="S56" s="30"/>
      <c r="T56" s="30">
        <f ca="1" t="shared" si="41"/>
        <v>0</v>
      </c>
      <c r="U56" s="30">
        <f ca="1" t="shared" si="42"/>
        <v>0</v>
      </c>
      <c r="V56" s="30">
        <f ca="1" t="shared" si="43"/>
        <v>0</v>
      </c>
      <c r="W56" s="30">
        <f ca="1" t="shared" si="44"/>
        <v>0</v>
      </c>
      <c r="X56" s="30">
        <f ca="1" t="shared" si="45"/>
        <v>3061.56</v>
      </c>
      <c r="Y56" s="30">
        <f ca="1" t="shared" si="46"/>
        <v>15307.8</v>
      </c>
      <c r="Z56" s="30">
        <f ca="1" t="shared" si="47"/>
        <v>0</v>
      </c>
      <c r="AA56" s="30">
        <f ca="1" t="shared" si="48"/>
        <v>0</v>
      </c>
      <c r="AB56" s="30"/>
    </row>
    <row r="57" customHeight="1" outlineLevel="3" spans="1:28">
      <c r="A57" s="514" t="s">
        <v>2506</v>
      </c>
      <c r="B57" s="30"/>
      <c r="C57" s="513" t="s">
        <v>64</v>
      </c>
      <c r="D57" s="30" t="s">
        <v>296</v>
      </c>
      <c r="E57" s="30"/>
      <c r="F57" s="30" t="str">
        <f ca="1" t="shared" si="38"/>
        <v>t</v>
      </c>
      <c r="G57" s="30"/>
      <c r="H57" s="30"/>
      <c r="I57" s="30"/>
      <c r="J57" s="30"/>
      <c r="K57" s="30"/>
      <c r="L57" s="526"/>
      <c r="M57" s="30">
        <v>330.15</v>
      </c>
      <c r="N57" s="30">
        <f ca="1" t="shared" si="39"/>
        <v>700</v>
      </c>
      <c r="O57" s="30">
        <f ca="1" t="shared" si="40"/>
        <v>231105</v>
      </c>
      <c r="P57" s="30"/>
      <c r="Q57" s="30"/>
      <c r="R57" s="30"/>
      <c r="S57" s="30"/>
      <c r="T57" s="30">
        <f ca="1" t="shared" si="41"/>
        <v>0</v>
      </c>
      <c r="U57" s="30">
        <f ca="1" t="shared" si="42"/>
        <v>0</v>
      </c>
      <c r="V57" s="30">
        <f ca="1" t="shared" si="43"/>
        <v>0</v>
      </c>
      <c r="W57" s="30">
        <f ca="1" t="shared" si="44"/>
        <v>0</v>
      </c>
      <c r="X57" s="30">
        <f ca="1" t="shared" si="45"/>
        <v>330.15</v>
      </c>
      <c r="Y57" s="30">
        <f ca="1" t="shared" si="46"/>
        <v>231105</v>
      </c>
      <c r="Z57" s="30">
        <f ca="1" t="shared" si="47"/>
        <v>0</v>
      </c>
      <c r="AA57" s="30">
        <f ca="1" t="shared" si="48"/>
        <v>0</v>
      </c>
      <c r="AB57" s="30"/>
    </row>
    <row r="58" customHeight="1" outlineLevel="2" spans="1:28">
      <c r="A58" s="512" t="s">
        <v>2507</v>
      </c>
      <c r="B58" s="30"/>
      <c r="C58" s="513" t="s">
        <v>1310</v>
      </c>
      <c r="D58" s="30" t="s">
        <v>2508</v>
      </c>
      <c r="E58" s="30" t="s">
        <v>2509</v>
      </c>
      <c r="F58" s="30" t="s">
        <v>69</v>
      </c>
      <c r="G58" s="30">
        <v>4000</v>
      </c>
      <c r="H58" s="30">
        <v>137.339449541284</v>
      </c>
      <c r="I58" s="30">
        <f>G58*H58</f>
        <v>549357.798165136</v>
      </c>
      <c r="J58" s="30">
        <f t="shared" ref="J58:L58" si="49">+G58</f>
        <v>4000</v>
      </c>
      <c r="K58" s="30">
        <f t="shared" si="49"/>
        <v>137.339449541284</v>
      </c>
      <c r="L58" s="526">
        <f t="shared" si="49"/>
        <v>549357.798165136</v>
      </c>
      <c r="M58" s="30">
        <v>4000</v>
      </c>
      <c r="N58" s="30">
        <f ca="1">O58/M58</f>
        <v>140.893915088836</v>
      </c>
      <c r="O58" s="30">
        <f ca="1">(+O59+O60+O61+O62+O63+O64+O65)</f>
        <v>563575.660355345</v>
      </c>
      <c r="P58" s="30"/>
      <c r="Q58" s="30"/>
      <c r="R58" s="30">
        <f>+P58+J58</f>
        <v>4000</v>
      </c>
      <c r="S58" s="30">
        <f>+Q58+L58</f>
        <v>549357.798165136</v>
      </c>
      <c r="T58" s="30">
        <f>IFERROR(VLOOKUP(A58,产值统计中间表!A:F,7,FALSE),0)</f>
        <v>0</v>
      </c>
      <c r="U58" s="30">
        <f>+T58*H58</f>
        <v>0</v>
      </c>
      <c r="V58" s="30">
        <f>IFERROR(VLOOKUP(A58,产值统计中间表!A:D,4,FALSE),0)</f>
        <v>0</v>
      </c>
      <c r="W58" s="30">
        <f>+V58*H58</f>
        <v>0</v>
      </c>
      <c r="X58" s="30">
        <f>+R58-V58</f>
        <v>4000</v>
      </c>
      <c r="Y58" s="30">
        <f>+S58-W58</f>
        <v>549357.798165136</v>
      </c>
      <c r="Z58" s="30">
        <f>IFERROR(VLOOKUP(A58,业主统计中间表!A:D,4,FALSE),0)</f>
        <v>0</v>
      </c>
      <c r="AA58" s="30">
        <f>+Z58*H58</f>
        <v>0</v>
      </c>
      <c r="AB58" s="30"/>
    </row>
    <row r="59" customHeight="1" outlineLevel="3" spans="1:28">
      <c r="A59" s="514" t="s">
        <v>2510</v>
      </c>
      <c r="B59" s="30"/>
      <c r="C59" s="513" t="s">
        <v>63</v>
      </c>
      <c r="D59" s="30" t="s">
        <v>1201</v>
      </c>
      <c r="E59" s="30"/>
      <c r="F59" s="30" t="str">
        <f ca="1" t="shared" ref="F58:F65" si="50">VLOOKUP($D59,INDIRECT($C59),2,0)</f>
        <v>m</v>
      </c>
      <c r="G59" s="30"/>
      <c r="H59" s="30"/>
      <c r="I59" s="30"/>
      <c r="J59" s="30"/>
      <c r="K59" s="30"/>
      <c r="L59" s="526"/>
      <c r="M59" s="30">
        <v>916</v>
      </c>
      <c r="N59" s="30">
        <f ca="1" t="shared" ref="N58:N65" si="51">VLOOKUP($D59,INDIRECT($C59),3,0)</f>
        <v>35</v>
      </c>
      <c r="O59" s="30">
        <f ca="1" t="shared" ref="O59:O65" si="52">M59*N59</f>
        <v>32060</v>
      </c>
      <c r="P59" s="30"/>
      <c r="Q59" s="30"/>
      <c r="R59" s="30"/>
      <c r="S59" s="30"/>
      <c r="T59" s="30">
        <f ca="1" t="shared" ref="T58:T65" si="53">OFFSET(T59,-RIGHT($A59,LEN($A$6)),,1,1)/OFFSET(T59,-RIGHT($A59,LEN($A$6)),-13,1,1)*$M59</f>
        <v>0</v>
      </c>
      <c r="U59" s="30">
        <f ca="1" t="shared" ref="U58:U65" si="54">+$N59*T59</f>
        <v>0</v>
      </c>
      <c r="V59" s="30">
        <f ca="1" t="shared" ref="V58:V65" si="55">OFFSET(V59,-RIGHT($A59,LEN($A$6)),,1,1)/OFFSET(V59,-RIGHT($A59,LEN($A$6)),-15,1,1)*$M59</f>
        <v>0</v>
      </c>
      <c r="W59" s="30">
        <f ca="1" t="shared" ref="W58:W65" si="56">+$N59*V59</f>
        <v>0</v>
      </c>
      <c r="X59" s="30">
        <f ca="1" t="shared" ref="X58:X65" si="57">+M59-V59</f>
        <v>916</v>
      </c>
      <c r="Y59" s="30">
        <f ca="1" t="shared" ref="Y58:Y65" si="58">+O59-W59</f>
        <v>32060</v>
      </c>
      <c r="Z59" s="30">
        <f ca="1" t="shared" ref="Z58:Z65" si="59">OFFSET(Z59,-RIGHT($A59,LEN($A$6)),,1,1)/OFFSET(Z59,-RIGHT($A59,LEN($A$6)),-19,1,1)*$M59</f>
        <v>0</v>
      </c>
      <c r="AA59" s="30">
        <f ca="1" t="shared" ref="AA58:AA65" si="60">+$N59*Z59</f>
        <v>0</v>
      </c>
      <c r="AB59" s="30"/>
    </row>
    <row r="60" customHeight="1" outlineLevel="3" spans="1:28">
      <c r="A60" s="514" t="s">
        <v>2511</v>
      </c>
      <c r="B60" s="30"/>
      <c r="C60" s="513" t="s">
        <v>63</v>
      </c>
      <c r="D60" s="30" t="s">
        <v>1202</v>
      </c>
      <c r="E60" s="30"/>
      <c r="F60" s="30" t="str">
        <f ca="1" t="shared" si="50"/>
        <v>m2</v>
      </c>
      <c r="G60" s="30"/>
      <c r="H60" s="30"/>
      <c r="I60" s="30"/>
      <c r="J60" s="30"/>
      <c r="K60" s="30"/>
      <c r="L60" s="526"/>
      <c r="M60" s="30">
        <v>4000</v>
      </c>
      <c r="N60" s="30">
        <f ca="1" t="shared" si="51"/>
        <v>65</v>
      </c>
      <c r="O60" s="30">
        <f ca="1" t="shared" si="52"/>
        <v>260000</v>
      </c>
      <c r="P60" s="30"/>
      <c r="Q60" s="30"/>
      <c r="R60" s="30"/>
      <c r="S60" s="30"/>
      <c r="T60" s="30">
        <f ca="1" t="shared" si="53"/>
        <v>0</v>
      </c>
      <c r="U60" s="30">
        <f ca="1" t="shared" si="54"/>
        <v>0</v>
      </c>
      <c r="V60" s="30">
        <f ca="1" t="shared" si="55"/>
        <v>0</v>
      </c>
      <c r="W60" s="30">
        <f ca="1" t="shared" si="56"/>
        <v>0</v>
      </c>
      <c r="X60" s="30">
        <f ca="1" t="shared" si="57"/>
        <v>4000</v>
      </c>
      <c r="Y60" s="30">
        <f ca="1" t="shared" si="58"/>
        <v>260000</v>
      </c>
      <c r="Z60" s="30">
        <f ca="1" t="shared" si="59"/>
        <v>0</v>
      </c>
      <c r="AA60" s="30">
        <f ca="1" t="shared" si="60"/>
        <v>0</v>
      </c>
      <c r="AB60" s="30"/>
    </row>
    <row r="61" customHeight="1" outlineLevel="3" spans="1:28">
      <c r="A61" s="514" t="s">
        <v>2512</v>
      </c>
      <c r="B61" s="30"/>
      <c r="C61" s="513" t="s">
        <v>59</v>
      </c>
      <c r="D61" s="30" t="s">
        <v>481</v>
      </c>
      <c r="E61" s="30" t="str">
        <f ca="1">"含钢量："&amp;ROUND($M$61/$G$58,3)&amp;$F$61&amp;"/"&amp;$F$58</f>
        <v>含钢量：0.004t/m2</v>
      </c>
      <c r="F61" s="30" t="str">
        <f ca="1" t="shared" si="50"/>
        <v>t</v>
      </c>
      <c r="G61" s="30"/>
      <c r="H61" s="30"/>
      <c r="I61" s="30"/>
      <c r="J61" s="30"/>
      <c r="K61" s="30"/>
      <c r="L61" s="526"/>
      <c r="M61" s="30">
        <v>17.84</v>
      </c>
      <c r="N61" s="30">
        <f ca="1" t="shared" si="51"/>
        <v>4200</v>
      </c>
      <c r="O61" s="30">
        <f ca="1" t="shared" si="52"/>
        <v>74928</v>
      </c>
      <c r="P61" s="30"/>
      <c r="Q61" s="30"/>
      <c r="R61" s="30"/>
      <c r="S61" s="30"/>
      <c r="T61" s="30">
        <f ca="1" t="shared" si="53"/>
        <v>0</v>
      </c>
      <c r="U61" s="30">
        <f ca="1" t="shared" si="54"/>
        <v>0</v>
      </c>
      <c r="V61" s="30">
        <f ca="1" t="shared" si="55"/>
        <v>0</v>
      </c>
      <c r="W61" s="30">
        <f ca="1" t="shared" si="56"/>
        <v>0</v>
      </c>
      <c r="X61" s="30">
        <f ca="1" t="shared" si="57"/>
        <v>17.84</v>
      </c>
      <c r="Y61" s="30">
        <f ca="1" t="shared" si="58"/>
        <v>74928</v>
      </c>
      <c r="Z61" s="30">
        <f ca="1" t="shared" si="59"/>
        <v>0</v>
      </c>
      <c r="AA61" s="30">
        <f ca="1" t="shared" si="60"/>
        <v>0</v>
      </c>
      <c r="AB61" s="30"/>
    </row>
    <row r="62" customHeight="1" outlineLevel="3" spans="1:28">
      <c r="A62" s="514" t="s">
        <v>2513</v>
      </c>
      <c r="B62" s="30"/>
      <c r="C62" s="513" t="s">
        <v>59</v>
      </c>
      <c r="D62" s="30" t="s">
        <v>489</v>
      </c>
      <c r="E62" s="30"/>
      <c r="F62" s="30" t="str">
        <f ca="1" t="shared" si="50"/>
        <v>m3</v>
      </c>
      <c r="G62" s="30"/>
      <c r="H62" s="30"/>
      <c r="I62" s="30"/>
      <c r="J62" s="30"/>
      <c r="K62" s="30"/>
      <c r="L62" s="526"/>
      <c r="M62" s="30">
        <v>423.48</v>
      </c>
      <c r="N62" s="30">
        <f ca="1" t="shared" si="51"/>
        <v>0</v>
      </c>
      <c r="O62" s="30">
        <f ca="1" t="shared" si="52"/>
        <v>0</v>
      </c>
      <c r="P62" s="30"/>
      <c r="Q62" s="30"/>
      <c r="R62" s="30"/>
      <c r="S62" s="30"/>
      <c r="T62" s="30">
        <f ca="1" t="shared" si="53"/>
        <v>0</v>
      </c>
      <c r="U62" s="30">
        <f ca="1" t="shared" si="54"/>
        <v>0</v>
      </c>
      <c r="V62" s="30">
        <f ca="1" t="shared" si="55"/>
        <v>0</v>
      </c>
      <c r="W62" s="30">
        <f ca="1" t="shared" si="56"/>
        <v>0</v>
      </c>
      <c r="X62" s="30">
        <f ca="1" t="shared" si="57"/>
        <v>423.48</v>
      </c>
      <c r="Y62" s="30">
        <f ca="1" t="shared" si="58"/>
        <v>0</v>
      </c>
      <c r="Z62" s="30">
        <f ca="1" t="shared" si="59"/>
        <v>0</v>
      </c>
      <c r="AA62" s="30">
        <f ca="1" t="shared" si="60"/>
        <v>0</v>
      </c>
      <c r="AB62" s="30"/>
    </row>
    <row r="63" customHeight="1" outlineLevel="3" spans="1:28">
      <c r="A63" s="514" t="s">
        <v>2514</v>
      </c>
      <c r="B63" s="30"/>
      <c r="C63" s="513" t="s">
        <v>59</v>
      </c>
      <c r="D63" s="30" t="s">
        <v>239</v>
      </c>
      <c r="E63" s="30"/>
      <c r="F63" s="30" t="str">
        <f ca="1" t="shared" si="50"/>
        <v>m3</v>
      </c>
      <c r="G63" s="30"/>
      <c r="H63" s="30"/>
      <c r="I63" s="30"/>
      <c r="J63" s="30"/>
      <c r="K63" s="30"/>
      <c r="L63" s="526"/>
      <c r="M63" s="30">
        <v>22.01148</v>
      </c>
      <c r="N63" s="30">
        <f ca="1" t="shared" si="51"/>
        <v>244.76592920354</v>
      </c>
      <c r="O63" s="30">
        <f ca="1" t="shared" si="52"/>
        <v>5387.66035534514</v>
      </c>
      <c r="P63" s="30"/>
      <c r="Q63" s="30"/>
      <c r="R63" s="30"/>
      <c r="S63" s="30"/>
      <c r="T63" s="30">
        <f ca="1" t="shared" si="53"/>
        <v>0</v>
      </c>
      <c r="U63" s="30">
        <f ca="1" t="shared" si="54"/>
        <v>0</v>
      </c>
      <c r="V63" s="30">
        <f ca="1" t="shared" si="55"/>
        <v>0</v>
      </c>
      <c r="W63" s="30">
        <f ca="1" t="shared" si="56"/>
        <v>0</v>
      </c>
      <c r="X63" s="30">
        <f ca="1" t="shared" si="57"/>
        <v>22.01148</v>
      </c>
      <c r="Y63" s="30">
        <f ca="1" t="shared" si="58"/>
        <v>5387.66035534514</v>
      </c>
      <c r="Z63" s="30">
        <f ca="1" t="shared" si="59"/>
        <v>0</v>
      </c>
      <c r="AA63" s="30">
        <f ca="1" t="shared" si="60"/>
        <v>0</v>
      </c>
      <c r="AB63" s="30"/>
    </row>
    <row r="64" customHeight="1" outlineLevel="3" spans="1:28">
      <c r="A64" s="514" t="s">
        <v>2515</v>
      </c>
      <c r="B64" s="30"/>
      <c r="C64" s="513" t="s">
        <v>65</v>
      </c>
      <c r="D64" s="30" t="s">
        <v>709</v>
      </c>
      <c r="E64" s="30"/>
      <c r="F64" s="30" t="str">
        <f ca="1" t="shared" si="50"/>
        <v>m</v>
      </c>
      <c r="G64" s="30"/>
      <c r="H64" s="30"/>
      <c r="I64" s="30"/>
      <c r="J64" s="30"/>
      <c r="K64" s="30"/>
      <c r="L64" s="526"/>
      <c r="M64" s="30">
        <v>500</v>
      </c>
      <c r="N64" s="30">
        <f ca="1" t="shared" si="51"/>
        <v>300</v>
      </c>
      <c r="O64" s="30">
        <f ca="1" t="shared" si="52"/>
        <v>150000</v>
      </c>
      <c r="P64" s="30"/>
      <c r="Q64" s="30"/>
      <c r="R64" s="30"/>
      <c r="S64" s="30"/>
      <c r="T64" s="30">
        <f ca="1" t="shared" si="53"/>
        <v>0</v>
      </c>
      <c r="U64" s="30">
        <f ca="1" t="shared" si="54"/>
        <v>0</v>
      </c>
      <c r="V64" s="30">
        <f ca="1" t="shared" si="55"/>
        <v>0</v>
      </c>
      <c r="W64" s="30">
        <f ca="1" t="shared" si="56"/>
        <v>0</v>
      </c>
      <c r="X64" s="30">
        <f ca="1" t="shared" si="57"/>
        <v>500</v>
      </c>
      <c r="Y64" s="30">
        <f ca="1" t="shared" si="58"/>
        <v>150000</v>
      </c>
      <c r="Z64" s="30">
        <f ca="1" t="shared" si="59"/>
        <v>0</v>
      </c>
      <c r="AA64" s="30">
        <f ca="1" t="shared" si="60"/>
        <v>0</v>
      </c>
      <c r="AB64" s="30"/>
    </row>
    <row r="65" customHeight="1" outlineLevel="3" spans="1:28">
      <c r="A65" s="514" t="s">
        <v>2516</v>
      </c>
      <c r="B65" s="30"/>
      <c r="C65" s="513" t="s">
        <v>59</v>
      </c>
      <c r="D65" s="30" t="s">
        <v>390</v>
      </c>
      <c r="E65" s="30" t="str">
        <f ca="1">"含钢量："&amp;ROUND($M$65/$G$58,3)&amp;$F$65&amp;"/"&amp;$F$58</f>
        <v>含钢量：0.002t/m2</v>
      </c>
      <c r="F65" s="30" t="str">
        <f ca="1" t="shared" si="50"/>
        <v>t</v>
      </c>
      <c r="G65" s="30"/>
      <c r="H65" s="30"/>
      <c r="I65" s="30"/>
      <c r="J65" s="30"/>
      <c r="K65" s="30"/>
      <c r="L65" s="526"/>
      <c r="M65" s="30">
        <v>8.24</v>
      </c>
      <c r="N65" s="30">
        <f ca="1" t="shared" si="51"/>
        <v>5000</v>
      </c>
      <c r="O65" s="30">
        <f ca="1" t="shared" si="52"/>
        <v>41200</v>
      </c>
      <c r="P65" s="30"/>
      <c r="Q65" s="30"/>
      <c r="R65" s="30"/>
      <c r="S65" s="30"/>
      <c r="T65" s="30">
        <f ca="1" t="shared" si="53"/>
        <v>0</v>
      </c>
      <c r="U65" s="30">
        <f ca="1" t="shared" si="54"/>
        <v>0</v>
      </c>
      <c r="V65" s="30">
        <f ca="1" t="shared" si="55"/>
        <v>0</v>
      </c>
      <c r="W65" s="30">
        <f ca="1" t="shared" si="56"/>
        <v>0</v>
      </c>
      <c r="X65" s="30">
        <f ca="1" t="shared" si="57"/>
        <v>8.24</v>
      </c>
      <c r="Y65" s="30">
        <f ca="1" t="shared" si="58"/>
        <v>41200</v>
      </c>
      <c r="Z65" s="30">
        <f ca="1" t="shared" si="59"/>
        <v>0</v>
      </c>
      <c r="AA65" s="30">
        <f ca="1" t="shared" si="60"/>
        <v>0</v>
      </c>
      <c r="AB65" s="30"/>
    </row>
    <row r="66" customHeight="1" outlineLevel="1" spans="1:28">
      <c r="A66" s="515" t="s">
        <v>2517</v>
      </c>
      <c r="B66" s="30"/>
      <c r="C66" s="513" t="s">
        <v>60</v>
      </c>
      <c r="D66" s="30" t="s">
        <v>2518</v>
      </c>
      <c r="E66" s="30"/>
      <c r="F66" s="30"/>
      <c r="G66" s="30"/>
      <c r="H66" s="30"/>
      <c r="I66" s="30">
        <f>(+I67+I69)</f>
        <v>543172.052293578</v>
      </c>
      <c r="J66" s="30"/>
      <c r="K66" s="30"/>
      <c r="L66" s="526">
        <f>(+L67+L69)</f>
        <v>543172.052293578</v>
      </c>
      <c r="M66" s="30"/>
      <c r="N66" s="30"/>
      <c r="O66" s="30">
        <f ca="1">(+O67+O69)</f>
        <v>408554.589</v>
      </c>
      <c r="P66" s="30"/>
      <c r="Q66" s="30"/>
      <c r="R66" s="30"/>
      <c r="S66" s="30"/>
      <c r="T66" s="30"/>
      <c r="U66" s="30"/>
      <c r="V66" s="30"/>
      <c r="W66" s="30"/>
      <c r="X66" s="30"/>
      <c r="Y66" s="30"/>
      <c r="Z66" s="30"/>
      <c r="AA66" s="30"/>
      <c r="AB66" s="30"/>
    </row>
    <row r="67" customHeight="1" outlineLevel="2" spans="1:28">
      <c r="A67" s="512" t="s">
        <v>2519</v>
      </c>
      <c r="B67" s="30"/>
      <c r="C67" s="513" t="s">
        <v>1310</v>
      </c>
      <c r="D67" s="30" t="s">
        <v>2520</v>
      </c>
      <c r="E67" s="30" t="s">
        <v>2521</v>
      </c>
      <c r="F67" s="30" t="s">
        <v>72</v>
      </c>
      <c r="G67" s="30">
        <v>35012</v>
      </c>
      <c r="H67" s="30">
        <v>10.8348623853211</v>
      </c>
      <c r="I67" s="30">
        <f>G67*H67</f>
        <v>379350.201834862</v>
      </c>
      <c r="J67" s="30">
        <f t="shared" ref="J67:L67" si="61">+G67</f>
        <v>35012</v>
      </c>
      <c r="K67" s="30">
        <f t="shared" si="61"/>
        <v>10.8348623853211</v>
      </c>
      <c r="L67" s="526">
        <f t="shared" si="61"/>
        <v>379350.201834862</v>
      </c>
      <c r="M67" s="30">
        <v>35012</v>
      </c>
      <c r="N67" s="30">
        <f ca="1" t="shared" ref="N67:N72" si="62">O67/M67</f>
        <v>7.5</v>
      </c>
      <c r="O67" s="30">
        <f ca="1">(+O68)</f>
        <v>262590</v>
      </c>
      <c r="P67" s="30"/>
      <c r="Q67" s="30"/>
      <c r="R67" s="30">
        <f t="shared" ref="R67:R72" si="63">+P67+J67</f>
        <v>35012</v>
      </c>
      <c r="S67" s="30">
        <f t="shared" ref="S67:S72" si="64">+Q67+L67</f>
        <v>379350.201834862</v>
      </c>
      <c r="T67" s="30">
        <f>IFERROR(VLOOKUP(A67,产值统计中间表!A:F,7,FALSE),0)</f>
        <v>0</v>
      </c>
      <c r="U67" s="30">
        <f t="shared" ref="U67:U72" si="65">+T67*H67</f>
        <v>0</v>
      </c>
      <c r="V67" s="30">
        <f>IFERROR(VLOOKUP(A67,产值统计中间表!A:D,4,FALSE),0)</f>
        <v>0</v>
      </c>
      <c r="W67" s="30">
        <f t="shared" ref="W67:W72" si="66">+V67*H67</f>
        <v>0</v>
      </c>
      <c r="X67" s="30">
        <f t="shared" ref="X67:X72" si="67">+R67-V67</f>
        <v>35012</v>
      </c>
      <c r="Y67" s="30">
        <f t="shared" ref="Y67:Y72" si="68">+S67-W67</f>
        <v>379350.201834862</v>
      </c>
      <c r="Z67" s="30">
        <f>IFERROR(VLOOKUP(A67,业主统计中间表!A:D,4,FALSE),0)</f>
        <v>0</v>
      </c>
      <c r="AA67" s="30">
        <f t="shared" ref="AA67:AA72" si="69">+Z67*H67</f>
        <v>0</v>
      </c>
      <c r="AB67" s="30"/>
    </row>
    <row r="68" customHeight="1" outlineLevel="3" spans="1:28">
      <c r="A68" s="514" t="s">
        <v>2522</v>
      </c>
      <c r="B68" s="30"/>
      <c r="C68" s="513" t="s">
        <v>63</v>
      </c>
      <c r="D68" s="30" t="s">
        <v>1203</v>
      </c>
      <c r="E68" s="30"/>
      <c r="F68" s="30" t="str">
        <f ca="1" t="shared" ref="F68:F74" si="70">VLOOKUP($D68,INDIRECT($C68),2,0)</f>
        <v>m3</v>
      </c>
      <c r="G68" s="30"/>
      <c r="H68" s="30"/>
      <c r="I68" s="30"/>
      <c r="J68" s="30"/>
      <c r="K68" s="30"/>
      <c r="L68" s="526"/>
      <c r="M68" s="30">
        <f>+G67</f>
        <v>35012</v>
      </c>
      <c r="N68" s="30">
        <f ca="1">VLOOKUP($D68,INDIRECT($C68),3,0)</f>
        <v>7.5</v>
      </c>
      <c r="O68" s="30">
        <f ca="1">M68*N68</f>
        <v>262590</v>
      </c>
      <c r="P68" s="30"/>
      <c r="Q68" s="30"/>
      <c r="R68" s="30"/>
      <c r="S68" s="30"/>
      <c r="T68" s="30">
        <f ca="1" t="shared" ref="T68:T74" si="71">OFFSET(T68,-RIGHT($A68,LEN($A$6)),,1,1)/OFFSET(T68,-RIGHT($A68,LEN($A$6)),-13,1,1)*$M68</f>
        <v>0</v>
      </c>
      <c r="U68" s="30">
        <f ca="1" t="shared" ref="U68:U74" si="72">+$N68*T68</f>
        <v>0</v>
      </c>
      <c r="V68" s="30">
        <f ca="1" t="shared" ref="V68:V74" si="73">OFFSET(V68,-RIGHT($A68,LEN($A$6)),,1,1)/OFFSET(V68,-RIGHT($A68,LEN($A$6)),-15,1,1)*$M68</f>
        <v>0</v>
      </c>
      <c r="W68" s="30">
        <f ca="1" t="shared" ref="W68:W74" si="74">+$N68*V68</f>
        <v>0</v>
      </c>
      <c r="X68" s="30">
        <f ca="1" t="shared" ref="X68:X74" si="75">+M68-V68</f>
        <v>35012</v>
      </c>
      <c r="Y68" s="30">
        <f ca="1" t="shared" ref="Y68:Y74" si="76">+O68-W68</f>
        <v>262590</v>
      </c>
      <c r="Z68" s="30">
        <f ca="1" t="shared" ref="Z68:Z74" si="77">OFFSET(Z68,-RIGHT($A68,LEN($A$6)),,1,1)/OFFSET(Z68,-RIGHT($A68,LEN($A$6)),-19,1,1)*$M68</f>
        <v>0</v>
      </c>
      <c r="AA68" s="30">
        <f ca="1" t="shared" ref="AA68:AA74" si="78">+$N68*Z68</f>
        <v>0</v>
      </c>
      <c r="AB68" s="30"/>
    </row>
    <row r="69" customHeight="1" outlineLevel="2" spans="1:28">
      <c r="A69" s="512" t="s">
        <v>2523</v>
      </c>
      <c r="B69" s="30"/>
      <c r="C69" s="513" t="s">
        <v>1310</v>
      </c>
      <c r="D69" s="30" t="s">
        <v>2524</v>
      </c>
      <c r="E69" s="30" t="s">
        <v>2525</v>
      </c>
      <c r="F69" s="30" t="s">
        <v>72</v>
      </c>
      <c r="G69" s="30">
        <v>24697.9</v>
      </c>
      <c r="H69" s="30">
        <v>6.63302752293578</v>
      </c>
      <c r="I69" s="30">
        <f>G69*H69</f>
        <v>163821.850458716</v>
      </c>
      <c r="J69" s="30">
        <f t="shared" ref="J69:L69" si="79">+G69</f>
        <v>24697.9</v>
      </c>
      <c r="K69" s="30">
        <f t="shared" si="79"/>
        <v>6.63302752293578</v>
      </c>
      <c r="L69" s="526">
        <f t="shared" si="79"/>
        <v>163821.850458716</v>
      </c>
      <c r="M69" s="30">
        <v>24697.9</v>
      </c>
      <c r="N69" s="30">
        <f ca="1" t="shared" si="62"/>
        <v>5.91</v>
      </c>
      <c r="O69" s="30">
        <f ca="1">(+O70)</f>
        <v>145964.589</v>
      </c>
      <c r="P69" s="30"/>
      <c r="Q69" s="30"/>
      <c r="R69" s="30">
        <f t="shared" si="63"/>
        <v>24697.9</v>
      </c>
      <c r="S69" s="30">
        <f t="shared" si="64"/>
        <v>163821.850458716</v>
      </c>
      <c r="T69" s="30">
        <f>IFERROR(VLOOKUP(A69,产值统计中间表!A:F,7,FALSE),0)</f>
        <v>0</v>
      </c>
      <c r="U69" s="30">
        <f t="shared" si="65"/>
        <v>0</v>
      </c>
      <c r="V69" s="30">
        <f>IFERROR(VLOOKUP(A69,产值统计中间表!A:D,4,FALSE),0)</f>
        <v>0</v>
      </c>
      <c r="W69" s="30">
        <f t="shared" si="66"/>
        <v>0</v>
      </c>
      <c r="X69" s="30">
        <f t="shared" si="67"/>
        <v>24697.9</v>
      </c>
      <c r="Y69" s="30">
        <f t="shared" si="68"/>
        <v>163821.850458716</v>
      </c>
      <c r="Z69" s="30">
        <f>IFERROR(VLOOKUP(A69,业主统计中间表!A:D,4,FALSE),0)</f>
        <v>0</v>
      </c>
      <c r="AA69" s="30">
        <f t="shared" si="69"/>
        <v>0</v>
      </c>
      <c r="AB69" s="30"/>
    </row>
    <row r="70" customHeight="1" outlineLevel="3" spans="1:28">
      <c r="A70" s="514" t="s">
        <v>2526</v>
      </c>
      <c r="B70" s="30"/>
      <c r="C70" s="513" t="s">
        <v>63</v>
      </c>
      <c r="D70" s="30" t="s">
        <v>802</v>
      </c>
      <c r="E70" s="30"/>
      <c r="F70" s="30" t="str">
        <f ca="1" t="shared" si="70"/>
        <v>m3</v>
      </c>
      <c r="G70" s="30"/>
      <c r="H70" s="30"/>
      <c r="I70" s="30"/>
      <c r="J70" s="30"/>
      <c r="K70" s="30"/>
      <c r="L70" s="526"/>
      <c r="M70" s="30">
        <f>+G69</f>
        <v>24697.9</v>
      </c>
      <c r="N70" s="30">
        <f ca="1">VLOOKUP($D70,INDIRECT($C70),3,0)</f>
        <v>5.91</v>
      </c>
      <c r="O70" s="30">
        <f ca="1">M70*N70</f>
        <v>145964.589</v>
      </c>
      <c r="P70" s="30"/>
      <c r="Q70" s="30"/>
      <c r="R70" s="30"/>
      <c r="S70" s="30"/>
      <c r="T70" s="30">
        <f ca="1" t="shared" si="71"/>
        <v>0</v>
      </c>
      <c r="U70" s="30">
        <f ca="1" t="shared" si="72"/>
        <v>0</v>
      </c>
      <c r="V70" s="30">
        <f ca="1" t="shared" si="73"/>
        <v>0</v>
      </c>
      <c r="W70" s="30">
        <f ca="1" t="shared" si="74"/>
        <v>0</v>
      </c>
      <c r="X70" s="30">
        <f ca="1" t="shared" si="75"/>
        <v>24697.9</v>
      </c>
      <c r="Y70" s="30">
        <f ca="1" t="shared" si="76"/>
        <v>145964.589</v>
      </c>
      <c r="Z70" s="30">
        <f ca="1" t="shared" si="77"/>
        <v>0</v>
      </c>
      <c r="AA70" s="30">
        <f ca="1" t="shared" si="78"/>
        <v>0</v>
      </c>
      <c r="AB70" s="30"/>
    </row>
    <row r="71" customHeight="1" outlineLevel="1" spans="1:28">
      <c r="A71" s="515" t="s">
        <v>2527</v>
      </c>
      <c r="B71" s="30"/>
      <c r="C71" s="513" t="s">
        <v>60</v>
      </c>
      <c r="D71" s="30" t="s">
        <v>2528</v>
      </c>
      <c r="E71" s="30"/>
      <c r="F71" s="30"/>
      <c r="G71" s="30"/>
      <c r="H71" s="30"/>
      <c r="I71" s="30">
        <f>(+I72+I75+I78)</f>
        <v>42893.371559633</v>
      </c>
      <c r="J71" s="30"/>
      <c r="K71" s="30"/>
      <c r="L71" s="526">
        <f>(+L72+L75+L78)</f>
        <v>42893.371559633</v>
      </c>
      <c r="M71" s="30"/>
      <c r="N71" s="30"/>
      <c r="O71" s="30">
        <f ca="1">(+O72+O75+O78)</f>
        <v>38657.14</v>
      </c>
      <c r="P71" s="30"/>
      <c r="Q71" s="30"/>
      <c r="R71" s="30"/>
      <c r="S71" s="30"/>
      <c r="T71" s="30"/>
      <c r="U71" s="30"/>
      <c r="V71" s="30"/>
      <c r="W71" s="30"/>
      <c r="X71" s="30"/>
      <c r="Y71" s="30"/>
      <c r="Z71" s="30"/>
      <c r="AA71" s="30"/>
      <c r="AB71" s="30"/>
    </row>
    <row r="72" customHeight="1" outlineLevel="2" spans="1:28">
      <c r="A72" s="512" t="s">
        <v>2529</v>
      </c>
      <c r="B72" s="30"/>
      <c r="C72" s="513" t="s">
        <v>1310</v>
      </c>
      <c r="D72" s="30" t="s">
        <v>2530</v>
      </c>
      <c r="E72" s="30" t="s">
        <v>2531</v>
      </c>
      <c r="F72" s="30" t="s">
        <v>69</v>
      </c>
      <c r="G72" s="30">
        <v>1141</v>
      </c>
      <c r="H72" s="30">
        <v>21.1284403669725</v>
      </c>
      <c r="I72" s="30">
        <f>G72*H72</f>
        <v>24107.5504587156</v>
      </c>
      <c r="J72" s="30">
        <f t="shared" ref="J72:L72" si="80">+G72</f>
        <v>1141</v>
      </c>
      <c r="K72" s="30">
        <f t="shared" si="80"/>
        <v>21.1284403669725</v>
      </c>
      <c r="L72" s="526">
        <f t="shared" si="80"/>
        <v>24107.5504587156</v>
      </c>
      <c r="M72" s="30">
        <v>1141</v>
      </c>
      <c r="N72" s="30">
        <f ca="1" t="shared" si="62"/>
        <v>30.5690359333918</v>
      </c>
      <c r="O72" s="30">
        <f ca="1">(+O73+O74)</f>
        <v>34879.27</v>
      </c>
      <c r="P72" s="30"/>
      <c r="Q72" s="30"/>
      <c r="R72" s="30">
        <f t="shared" si="63"/>
        <v>1141</v>
      </c>
      <c r="S72" s="30">
        <f t="shared" si="64"/>
        <v>24107.5504587156</v>
      </c>
      <c r="T72" s="30">
        <f>IFERROR(VLOOKUP(A72,产值统计中间表!A:F,7,FALSE),0)</f>
        <v>0</v>
      </c>
      <c r="U72" s="30">
        <f t="shared" si="65"/>
        <v>0</v>
      </c>
      <c r="V72" s="30">
        <f>IFERROR(VLOOKUP(A72,产值统计中间表!A:D,4,FALSE),0)</f>
        <v>0</v>
      </c>
      <c r="W72" s="30">
        <f t="shared" si="66"/>
        <v>0</v>
      </c>
      <c r="X72" s="30">
        <f t="shared" si="67"/>
        <v>1141</v>
      </c>
      <c r="Y72" s="30">
        <f t="shared" si="68"/>
        <v>24107.5504587156</v>
      </c>
      <c r="Z72" s="30">
        <f>IFERROR(VLOOKUP(A72,业主统计中间表!A:D,4,FALSE),0)</f>
        <v>0</v>
      </c>
      <c r="AA72" s="30">
        <f t="shared" si="69"/>
        <v>0</v>
      </c>
      <c r="AB72" s="30"/>
    </row>
    <row r="73" customHeight="1" outlineLevel="3" spans="1:28">
      <c r="A73" s="514" t="s">
        <v>2532</v>
      </c>
      <c r="B73" s="30"/>
      <c r="C73" s="513" t="s">
        <v>63</v>
      </c>
      <c r="D73" s="30" t="s">
        <v>1204</v>
      </c>
      <c r="E73" s="30"/>
      <c r="F73" s="30" t="str">
        <f ca="1" t="shared" si="70"/>
        <v>m3</v>
      </c>
      <c r="G73" s="30"/>
      <c r="H73" s="30"/>
      <c r="I73" s="30"/>
      <c r="J73" s="30"/>
      <c r="K73" s="30"/>
      <c r="L73" s="526"/>
      <c r="M73" s="30">
        <v>912.8</v>
      </c>
      <c r="N73" s="30">
        <v>32.3</v>
      </c>
      <c r="O73" s="30">
        <f>M73*N73</f>
        <v>29483.44</v>
      </c>
      <c r="P73" s="30"/>
      <c r="Q73" s="30"/>
      <c r="R73" s="30"/>
      <c r="S73" s="30"/>
      <c r="T73" s="30">
        <f ca="1" t="shared" si="71"/>
        <v>0</v>
      </c>
      <c r="U73" s="30">
        <f ca="1" t="shared" si="72"/>
        <v>0</v>
      </c>
      <c r="V73" s="30">
        <f ca="1" t="shared" si="73"/>
        <v>0</v>
      </c>
      <c r="W73" s="30">
        <f ca="1" t="shared" si="74"/>
        <v>0</v>
      </c>
      <c r="X73" s="30">
        <f ca="1" t="shared" si="75"/>
        <v>912.8</v>
      </c>
      <c r="Y73" s="30">
        <f ca="1" t="shared" si="76"/>
        <v>29483.44</v>
      </c>
      <c r="Z73" s="30">
        <f ca="1" t="shared" si="77"/>
        <v>0</v>
      </c>
      <c r="AA73" s="30">
        <f ca="1" t="shared" si="78"/>
        <v>0</v>
      </c>
      <c r="AB73" s="30"/>
    </row>
    <row r="74" customHeight="1" outlineLevel="3" spans="1:28">
      <c r="A74" s="514" t="s">
        <v>2533</v>
      </c>
      <c r="B74" s="30"/>
      <c r="C74" s="513" t="s">
        <v>63</v>
      </c>
      <c r="D74" s="30" t="s">
        <v>802</v>
      </c>
      <c r="E74" s="30"/>
      <c r="F74" s="30" t="str">
        <f ca="1" t="shared" si="70"/>
        <v>m3</v>
      </c>
      <c r="G74" s="30"/>
      <c r="H74" s="30"/>
      <c r="I74" s="30"/>
      <c r="J74" s="30"/>
      <c r="K74" s="30"/>
      <c r="L74" s="526"/>
      <c r="M74" s="30">
        <v>913</v>
      </c>
      <c r="N74" s="30">
        <f ca="1">VLOOKUP($D74,INDIRECT($C74),3,0)</f>
        <v>5.91</v>
      </c>
      <c r="O74" s="30">
        <f ca="1">M74*N74</f>
        <v>5395.83</v>
      </c>
      <c r="P74" s="30"/>
      <c r="Q74" s="30"/>
      <c r="R74" s="30"/>
      <c r="S74" s="30"/>
      <c r="T74" s="30">
        <f ca="1" t="shared" si="71"/>
        <v>0</v>
      </c>
      <c r="U74" s="30">
        <f ca="1" t="shared" si="72"/>
        <v>0</v>
      </c>
      <c r="V74" s="30">
        <f ca="1" t="shared" si="73"/>
        <v>0</v>
      </c>
      <c r="W74" s="30">
        <f ca="1" t="shared" si="74"/>
        <v>0</v>
      </c>
      <c r="X74" s="30">
        <f ca="1" t="shared" si="75"/>
        <v>913</v>
      </c>
      <c r="Y74" s="30">
        <f ca="1" t="shared" si="76"/>
        <v>5395.83</v>
      </c>
      <c r="Z74" s="30">
        <f ca="1" t="shared" si="77"/>
        <v>0</v>
      </c>
      <c r="AA74" s="30">
        <f ca="1" t="shared" si="78"/>
        <v>0</v>
      </c>
      <c r="AB74" s="30"/>
    </row>
    <row r="75" customHeight="1" outlineLevel="2" spans="1:28">
      <c r="A75" s="512" t="s">
        <v>2534</v>
      </c>
      <c r="B75" s="30"/>
      <c r="C75" s="513" t="s">
        <v>1310</v>
      </c>
      <c r="D75" s="30" t="s">
        <v>2535</v>
      </c>
      <c r="E75" s="30" t="s">
        <v>2536</v>
      </c>
      <c r="F75" s="30" t="s">
        <v>69</v>
      </c>
      <c r="G75" s="30">
        <v>114</v>
      </c>
      <c r="H75" s="30">
        <v>81</v>
      </c>
      <c r="I75" s="30">
        <f>G75*H75</f>
        <v>9234</v>
      </c>
      <c r="J75" s="30">
        <f t="shared" ref="J75:L75" si="81">+G75</f>
        <v>114</v>
      </c>
      <c r="K75" s="30">
        <f t="shared" si="81"/>
        <v>81</v>
      </c>
      <c r="L75" s="526">
        <f t="shared" si="81"/>
        <v>9234</v>
      </c>
      <c r="M75" s="30">
        <v>114</v>
      </c>
      <c r="N75" s="30">
        <f ca="1">O75/M75</f>
        <v>15</v>
      </c>
      <c r="O75" s="30">
        <f ca="1">(+O76+O77)</f>
        <v>1710</v>
      </c>
      <c r="P75" s="30"/>
      <c r="Q75" s="30"/>
      <c r="R75" s="30">
        <f>+P75+J75</f>
        <v>114</v>
      </c>
      <c r="S75" s="30">
        <f>+Q75+L75</f>
        <v>9234</v>
      </c>
      <c r="T75" s="30">
        <f>IFERROR(VLOOKUP(A75,产值统计中间表!A:F,7,FALSE),0)</f>
        <v>0</v>
      </c>
      <c r="U75" s="30">
        <f>+T75*H75</f>
        <v>0</v>
      </c>
      <c r="V75" s="30">
        <f>IFERROR(VLOOKUP(A75,产值统计中间表!A:D,4,FALSE),0)</f>
        <v>0</v>
      </c>
      <c r="W75" s="30">
        <f>+V75*H75</f>
        <v>0</v>
      </c>
      <c r="X75" s="30">
        <f>+R75-V75</f>
        <v>114</v>
      </c>
      <c r="Y75" s="30">
        <f>+S75-W75</f>
        <v>9234</v>
      </c>
      <c r="Z75" s="30">
        <f>IFERROR(VLOOKUP(A75,业主统计中间表!A:D,4,FALSE),0)</f>
        <v>0</v>
      </c>
      <c r="AA75" s="30">
        <f>+Z75*H75</f>
        <v>0</v>
      </c>
      <c r="AB75" s="30"/>
    </row>
    <row r="76" customHeight="1" outlineLevel="3" spans="1:28">
      <c r="A76" s="514" t="s">
        <v>2537</v>
      </c>
      <c r="B76" s="30"/>
      <c r="C76" s="513" t="s">
        <v>59</v>
      </c>
      <c r="D76" s="30" t="s">
        <v>1087</v>
      </c>
      <c r="E76" s="30"/>
      <c r="F76" s="30" t="str">
        <f ca="1" t="shared" ref="F76:F82" si="82">VLOOKUP($D76,INDIRECT($C76),2,0)</f>
        <v>m3</v>
      </c>
      <c r="G76" s="30"/>
      <c r="H76" s="30"/>
      <c r="I76" s="30"/>
      <c r="J76" s="30"/>
      <c r="K76" s="30"/>
      <c r="L76" s="526"/>
      <c r="M76" s="30">
        <v>5.757</v>
      </c>
      <c r="N76" s="30">
        <f ca="1" t="shared" ref="N76:N82" si="83">VLOOKUP($D76,INDIRECT($C76),3,0)</f>
        <v>0</v>
      </c>
      <c r="O76" s="30">
        <f ca="1">M76*N76</f>
        <v>0</v>
      </c>
      <c r="P76" s="30"/>
      <c r="Q76" s="30"/>
      <c r="R76" s="30"/>
      <c r="S76" s="30"/>
      <c r="T76" s="30">
        <f ca="1" t="shared" ref="T76:T82" si="84">OFFSET(T76,-RIGHT($A76,LEN($A$6)),,1,1)/OFFSET(T76,-RIGHT($A76,LEN($A$6)),-13,1,1)*$M76</f>
        <v>0</v>
      </c>
      <c r="U76" s="30">
        <f ca="1" t="shared" ref="U76:U82" si="85">+$N76*T76</f>
        <v>0</v>
      </c>
      <c r="V76" s="30">
        <f ca="1" t="shared" ref="V76:V82" si="86">OFFSET(V76,-RIGHT($A76,LEN($A$6)),,1,1)/OFFSET(V76,-RIGHT($A76,LEN($A$6)),-15,1,1)*$M76</f>
        <v>0</v>
      </c>
      <c r="W76" s="30">
        <f ca="1" t="shared" ref="W76:W82" si="87">+$N76*V76</f>
        <v>0</v>
      </c>
      <c r="X76" s="30">
        <f ca="1" t="shared" ref="X76:X82" si="88">+M76-V76</f>
        <v>5.757</v>
      </c>
      <c r="Y76" s="30">
        <f ca="1" t="shared" ref="Y76:Y82" si="89">+O76-W76</f>
        <v>0</v>
      </c>
      <c r="Z76" s="30">
        <f ca="1" t="shared" ref="Z76:Z82" si="90">OFFSET(Z76,-RIGHT($A76,LEN($A$6)),,1,1)/OFFSET(Z76,-RIGHT($A76,LEN($A$6)),-19,1,1)*$M76</f>
        <v>0</v>
      </c>
      <c r="AA76" s="30">
        <f ca="1" t="shared" ref="AA76:AA82" si="91">+$N76*Z76</f>
        <v>0</v>
      </c>
      <c r="AB76" s="30"/>
    </row>
    <row r="77" customHeight="1" outlineLevel="3" spans="1:28">
      <c r="A77" s="514" t="s">
        <v>2538</v>
      </c>
      <c r="B77" s="30"/>
      <c r="C77" s="513" t="s">
        <v>64</v>
      </c>
      <c r="D77" s="30" t="s">
        <v>1104</v>
      </c>
      <c r="E77" s="30"/>
      <c r="F77" s="30" t="str">
        <f ca="1" t="shared" si="82"/>
        <v>m2</v>
      </c>
      <c r="G77" s="30"/>
      <c r="H77" s="30"/>
      <c r="I77" s="30"/>
      <c r="J77" s="30"/>
      <c r="K77" s="30"/>
      <c r="L77" s="526"/>
      <c r="M77" s="30">
        <f>+G75</f>
        <v>114</v>
      </c>
      <c r="N77" s="30">
        <f ca="1" t="shared" si="83"/>
        <v>15</v>
      </c>
      <c r="O77" s="30">
        <f ca="1">M77*N77</f>
        <v>1710</v>
      </c>
      <c r="P77" s="30"/>
      <c r="Q77" s="30"/>
      <c r="R77" s="30"/>
      <c r="S77" s="30"/>
      <c r="T77" s="30">
        <f ca="1" t="shared" si="84"/>
        <v>0</v>
      </c>
      <c r="U77" s="30">
        <f ca="1" t="shared" si="85"/>
        <v>0</v>
      </c>
      <c r="V77" s="30">
        <f ca="1" t="shared" si="86"/>
        <v>0</v>
      </c>
      <c r="W77" s="30">
        <f ca="1" t="shared" si="87"/>
        <v>0</v>
      </c>
      <c r="X77" s="30">
        <f ca="1" t="shared" si="88"/>
        <v>114</v>
      </c>
      <c r="Y77" s="30">
        <f ca="1" t="shared" si="89"/>
        <v>1710</v>
      </c>
      <c r="Z77" s="30">
        <f ca="1" t="shared" si="90"/>
        <v>0</v>
      </c>
      <c r="AA77" s="30">
        <f ca="1" t="shared" si="91"/>
        <v>0</v>
      </c>
      <c r="AB77" s="30"/>
    </row>
    <row r="78" customHeight="1" outlineLevel="2" spans="1:28">
      <c r="A78" s="512" t="s">
        <v>2539</v>
      </c>
      <c r="B78" s="30"/>
      <c r="C78" s="513" t="s">
        <v>1310</v>
      </c>
      <c r="D78" s="30" t="s">
        <v>2540</v>
      </c>
      <c r="E78" s="30" t="s">
        <v>2536</v>
      </c>
      <c r="F78" s="30" t="s">
        <v>76</v>
      </c>
      <c r="G78" s="30">
        <v>48.09</v>
      </c>
      <c r="H78" s="30">
        <v>198.623853211009</v>
      </c>
      <c r="I78" s="30">
        <f>G78*H78</f>
        <v>9551.82110091742</v>
      </c>
      <c r="J78" s="30">
        <f t="shared" ref="J78:L78" si="92">+G78</f>
        <v>48.09</v>
      </c>
      <c r="K78" s="30">
        <f t="shared" si="92"/>
        <v>198.623853211009</v>
      </c>
      <c r="L78" s="526">
        <f t="shared" si="92"/>
        <v>9551.82110091742</v>
      </c>
      <c r="M78" s="30">
        <v>48.09</v>
      </c>
      <c r="N78" s="30">
        <f ca="1">O78/M78</f>
        <v>43</v>
      </c>
      <c r="O78" s="30">
        <f ca="1">(+O79+O80+O81+O82)</f>
        <v>2067.87</v>
      </c>
      <c r="P78" s="30"/>
      <c r="Q78" s="30"/>
      <c r="R78" s="30">
        <f>+P78+J78</f>
        <v>48.09</v>
      </c>
      <c r="S78" s="30">
        <f>+Q78+L78</f>
        <v>9551.82110091742</v>
      </c>
      <c r="T78" s="30">
        <f>IFERROR(VLOOKUP(A78,产值统计中间表!A:F,7,FALSE),0)</f>
        <v>0</v>
      </c>
      <c r="U78" s="30">
        <f>+T78*H78</f>
        <v>0</v>
      </c>
      <c r="V78" s="30">
        <f>IFERROR(VLOOKUP(A78,产值统计中间表!A:D,4,FALSE),0)</f>
        <v>0</v>
      </c>
      <c r="W78" s="30">
        <f>+V78*H78</f>
        <v>0</v>
      </c>
      <c r="X78" s="30">
        <f>+R78-V78</f>
        <v>48.09</v>
      </c>
      <c r="Y78" s="30">
        <f>+S78-W78</f>
        <v>9551.82110091742</v>
      </c>
      <c r="Z78" s="30">
        <f>IFERROR(VLOOKUP(A78,业主统计中间表!A:D,4,FALSE),0)</f>
        <v>0</v>
      </c>
      <c r="AA78" s="30">
        <f>+Z78*H78</f>
        <v>0</v>
      </c>
      <c r="AB78" s="30"/>
    </row>
    <row r="79" customHeight="1" outlineLevel="3" spans="1:28">
      <c r="A79" s="514" t="s">
        <v>2541</v>
      </c>
      <c r="B79" s="30"/>
      <c r="C79" s="513" t="s">
        <v>59</v>
      </c>
      <c r="D79" s="30" t="s">
        <v>1045</v>
      </c>
      <c r="E79" s="30"/>
      <c r="F79" s="30" t="str">
        <f ca="1" t="shared" si="82"/>
        <v>m3</v>
      </c>
      <c r="G79" s="30"/>
      <c r="H79" s="30"/>
      <c r="I79" s="30"/>
      <c r="J79" s="30"/>
      <c r="K79" s="30"/>
      <c r="L79" s="526"/>
      <c r="M79" s="30">
        <v>2.324192</v>
      </c>
      <c r="N79" s="30">
        <f ca="1" t="shared" si="83"/>
        <v>0</v>
      </c>
      <c r="O79" s="30">
        <f ca="1">M79*N79</f>
        <v>0</v>
      </c>
      <c r="P79" s="30"/>
      <c r="Q79" s="30"/>
      <c r="R79" s="30"/>
      <c r="S79" s="30"/>
      <c r="T79" s="30">
        <f ca="1" t="shared" si="84"/>
        <v>0</v>
      </c>
      <c r="U79" s="30">
        <f ca="1" t="shared" si="85"/>
        <v>0</v>
      </c>
      <c r="V79" s="30">
        <f ca="1" t="shared" si="86"/>
        <v>0</v>
      </c>
      <c r="W79" s="30">
        <f ca="1" t="shared" si="87"/>
        <v>0</v>
      </c>
      <c r="X79" s="30">
        <f ca="1" t="shared" si="88"/>
        <v>2.324192</v>
      </c>
      <c r="Y79" s="30">
        <f ca="1" t="shared" si="89"/>
        <v>0</v>
      </c>
      <c r="Z79" s="30">
        <f ca="1" t="shared" si="90"/>
        <v>0</v>
      </c>
      <c r="AA79" s="30">
        <f ca="1" t="shared" si="91"/>
        <v>0</v>
      </c>
      <c r="AB79" s="30"/>
    </row>
    <row r="80" customHeight="1" outlineLevel="3" spans="1:28">
      <c r="A80" s="514" t="s">
        <v>2542</v>
      </c>
      <c r="B80" s="30"/>
      <c r="C80" s="513" t="s">
        <v>64</v>
      </c>
      <c r="D80" s="30" t="s">
        <v>1101</v>
      </c>
      <c r="E80" s="30"/>
      <c r="F80" s="30" t="str">
        <f ca="1" t="shared" si="82"/>
        <v>m2</v>
      </c>
      <c r="G80" s="30"/>
      <c r="H80" s="30"/>
      <c r="I80" s="30"/>
      <c r="J80" s="30"/>
      <c r="K80" s="30"/>
      <c r="L80" s="526"/>
      <c r="M80" s="30">
        <v>48.09</v>
      </c>
      <c r="N80" s="30">
        <f ca="1" t="shared" si="83"/>
        <v>43</v>
      </c>
      <c r="O80" s="30">
        <f ca="1">M80*N80</f>
        <v>2067.87</v>
      </c>
      <c r="P80" s="30"/>
      <c r="Q80" s="30"/>
      <c r="R80" s="30"/>
      <c r="S80" s="30"/>
      <c r="T80" s="30">
        <f ca="1" t="shared" si="84"/>
        <v>0</v>
      </c>
      <c r="U80" s="30">
        <f ca="1" t="shared" si="85"/>
        <v>0</v>
      </c>
      <c r="V80" s="30">
        <f ca="1" t="shared" si="86"/>
        <v>0</v>
      </c>
      <c r="W80" s="30">
        <f ca="1" t="shared" si="87"/>
        <v>0</v>
      </c>
      <c r="X80" s="30">
        <f ca="1" t="shared" si="88"/>
        <v>48.09</v>
      </c>
      <c r="Y80" s="30">
        <f ca="1" t="shared" si="89"/>
        <v>2067.87</v>
      </c>
      <c r="Z80" s="30">
        <f ca="1" t="shared" si="90"/>
        <v>0</v>
      </c>
      <c r="AA80" s="30">
        <f ca="1" t="shared" si="91"/>
        <v>0</v>
      </c>
      <c r="AB80" s="30"/>
    </row>
    <row r="81" customHeight="1" outlineLevel="3" spans="1:28">
      <c r="A81" s="514" t="s">
        <v>2543</v>
      </c>
      <c r="B81" s="30"/>
      <c r="C81" s="513" t="s">
        <v>59</v>
      </c>
      <c r="D81" s="30" t="s">
        <v>1090</v>
      </c>
      <c r="E81" s="30"/>
      <c r="F81" s="30" t="str">
        <f ca="1" t="shared" si="82"/>
        <v>m2</v>
      </c>
      <c r="G81" s="30"/>
      <c r="H81" s="30"/>
      <c r="I81" s="30"/>
      <c r="J81" s="30"/>
      <c r="K81" s="30"/>
      <c r="L81" s="526"/>
      <c r="M81" s="30">
        <v>9.393</v>
      </c>
      <c r="N81" s="30">
        <f ca="1" t="shared" si="83"/>
        <v>0</v>
      </c>
      <c r="O81" s="30">
        <f ca="1">M81*N81</f>
        <v>0</v>
      </c>
      <c r="P81" s="30"/>
      <c r="Q81" s="30"/>
      <c r="R81" s="30"/>
      <c r="S81" s="30"/>
      <c r="T81" s="30">
        <f ca="1" t="shared" si="84"/>
        <v>0</v>
      </c>
      <c r="U81" s="30">
        <f ca="1" t="shared" si="85"/>
        <v>0</v>
      </c>
      <c r="V81" s="30">
        <f ca="1" t="shared" si="86"/>
        <v>0</v>
      </c>
      <c r="W81" s="30">
        <f ca="1" t="shared" si="87"/>
        <v>0</v>
      </c>
      <c r="X81" s="30">
        <f ca="1" t="shared" si="88"/>
        <v>9.393</v>
      </c>
      <c r="Y81" s="30">
        <f ca="1" t="shared" si="89"/>
        <v>0</v>
      </c>
      <c r="Z81" s="30">
        <f ca="1" t="shared" si="90"/>
        <v>0</v>
      </c>
      <c r="AA81" s="30">
        <f ca="1" t="shared" si="91"/>
        <v>0</v>
      </c>
      <c r="AB81" s="30"/>
    </row>
    <row r="82" customHeight="1" outlineLevel="3" spans="1:28">
      <c r="A82" s="514" t="s">
        <v>2544</v>
      </c>
      <c r="B82" s="30"/>
      <c r="C82" s="513" t="s">
        <v>59</v>
      </c>
      <c r="D82" s="30" t="s">
        <v>1093</v>
      </c>
      <c r="E82" s="30"/>
      <c r="F82" s="30" t="str">
        <f ca="1" t="shared" si="82"/>
        <v>m2</v>
      </c>
      <c r="G82" s="30"/>
      <c r="H82" s="30"/>
      <c r="I82" s="30"/>
      <c r="J82" s="30"/>
      <c r="K82" s="30"/>
      <c r="L82" s="526"/>
      <c r="M82" s="30">
        <v>39.188</v>
      </c>
      <c r="N82" s="30">
        <f ca="1" t="shared" si="83"/>
        <v>0</v>
      </c>
      <c r="O82" s="30">
        <f ca="1">M82*N82</f>
        <v>0</v>
      </c>
      <c r="P82" s="30"/>
      <c r="Q82" s="30"/>
      <c r="R82" s="30"/>
      <c r="S82" s="30"/>
      <c r="T82" s="30">
        <f ca="1" t="shared" si="84"/>
        <v>0</v>
      </c>
      <c r="U82" s="30">
        <f ca="1" t="shared" si="85"/>
        <v>0</v>
      </c>
      <c r="V82" s="30">
        <f ca="1" t="shared" si="86"/>
        <v>0</v>
      </c>
      <c r="W82" s="30">
        <f ca="1" t="shared" si="87"/>
        <v>0</v>
      </c>
      <c r="X82" s="30">
        <f ca="1" t="shared" si="88"/>
        <v>39.188</v>
      </c>
      <c r="Y82" s="30">
        <f ca="1" t="shared" si="89"/>
        <v>0</v>
      </c>
      <c r="Z82" s="30">
        <f ca="1" t="shared" si="90"/>
        <v>0</v>
      </c>
      <c r="AA82" s="30">
        <f ca="1" t="shared" si="91"/>
        <v>0</v>
      </c>
      <c r="AB82" s="30"/>
    </row>
    <row r="83" customHeight="1" outlineLevel="1" spans="1:28">
      <c r="A83" s="515" t="s">
        <v>2545</v>
      </c>
      <c r="B83" s="30"/>
      <c r="C83" s="513" t="s">
        <v>60</v>
      </c>
      <c r="D83" s="30" t="s">
        <v>2546</v>
      </c>
      <c r="E83" s="30"/>
      <c r="F83" s="30"/>
      <c r="G83" s="30"/>
      <c r="H83" s="30"/>
      <c r="I83" s="30">
        <f>(+I84+I86+I88+I90)</f>
        <v>167207.436146789</v>
      </c>
      <c r="J83" s="30"/>
      <c r="K83" s="30"/>
      <c r="L83" s="526">
        <f>(+L84+L86+L88+L90)</f>
        <v>167207.436146789</v>
      </c>
      <c r="M83" s="30"/>
      <c r="N83" s="30"/>
      <c r="O83" s="30">
        <f>(+O84+O86+O88+O90)</f>
        <v>167207.436146789</v>
      </c>
      <c r="P83" s="30"/>
      <c r="Q83" s="30"/>
      <c r="R83" s="30"/>
      <c r="S83" s="30"/>
      <c r="T83" s="30"/>
      <c r="U83" s="30"/>
      <c r="V83" s="30"/>
      <c r="W83" s="30"/>
      <c r="X83" s="30"/>
      <c r="Y83" s="30"/>
      <c r="Z83" s="30"/>
      <c r="AA83" s="30"/>
      <c r="AB83" s="30"/>
    </row>
    <row r="84" customHeight="1" outlineLevel="2" spans="1:28">
      <c r="A84" s="512" t="s">
        <v>2547</v>
      </c>
      <c r="B84" s="30"/>
      <c r="C84" s="513" t="s">
        <v>1310</v>
      </c>
      <c r="D84" s="30" t="s">
        <v>2548</v>
      </c>
      <c r="E84" s="30" t="s">
        <v>2549</v>
      </c>
      <c r="F84" s="30" t="s">
        <v>76</v>
      </c>
      <c r="G84" s="30">
        <v>286.01</v>
      </c>
      <c r="H84" s="30">
        <v>103.247706422018</v>
      </c>
      <c r="I84" s="30">
        <f>G84*H84</f>
        <v>29529.8765137614</v>
      </c>
      <c r="J84" s="30">
        <f t="shared" ref="J84:L84" si="93">+G84</f>
        <v>286.01</v>
      </c>
      <c r="K84" s="30">
        <f t="shared" si="93"/>
        <v>103.247706422018</v>
      </c>
      <c r="L84" s="526">
        <f t="shared" si="93"/>
        <v>29529.8765137614</v>
      </c>
      <c r="M84" s="30">
        <f t="shared" ref="M84:M88" si="94">+G84</f>
        <v>286.01</v>
      </c>
      <c r="N84" s="30">
        <f t="shared" ref="N84:N88" si="95">O84/G84</f>
        <v>103.247706422018</v>
      </c>
      <c r="O84" s="30">
        <f>(+O85)</f>
        <v>29529.8765137614</v>
      </c>
      <c r="P84" s="30"/>
      <c r="Q84" s="30"/>
      <c r="R84" s="30">
        <f t="shared" ref="R84:R88" si="96">+P84+J84</f>
        <v>286.01</v>
      </c>
      <c r="S84" s="30">
        <f t="shared" ref="S84:S88" si="97">+Q84+L84</f>
        <v>29529.8765137614</v>
      </c>
      <c r="T84" s="30">
        <f>IFERROR(VLOOKUP(A84,产值统计中间表!A:F,7,FALSE),0)</f>
        <v>0</v>
      </c>
      <c r="U84" s="30">
        <f t="shared" ref="U84:U88" si="98">+T84*H84</f>
        <v>0</v>
      </c>
      <c r="V84" s="30">
        <f>IFERROR(VLOOKUP(A84,产值统计中间表!A:D,4,FALSE),0)</f>
        <v>0</v>
      </c>
      <c r="W84" s="30">
        <f t="shared" ref="W84:W88" si="99">+V84*H84</f>
        <v>0</v>
      </c>
      <c r="X84" s="30">
        <f t="shared" ref="X84:X88" si="100">+R84-V84</f>
        <v>286.01</v>
      </c>
      <c r="Y84" s="30">
        <f t="shared" ref="Y84:Y88" si="101">+S84-W84</f>
        <v>29529.8765137614</v>
      </c>
      <c r="Z84" s="30">
        <f>IFERROR(VLOOKUP(A84,业主统计中间表!A:D,4,FALSE),0)</f>
        <v>0</v>
      </c>
      <c r="AA84" s="30">
        <f t="shared" ref="AA84:AA88" si="102">+Z84*H84</f>
        <v>0</v>
      </c>
      <c r="AB84" s="30"/>
    </row>
    <row r="85" customHeight="1" outlineLevel="3" spans="1:28">
      <c r="A85" s="514" t="s">
        <v>2550</v>
      </c>
      <c r="B85" s="30"/>
      <c r="C85" s="513" t="s">
        <v>65</v>
      </c>
      <c r="D85" s="30" t="s">
        <v>680</v>
      </c>
      <c r="E85" s="30"/>
      <c r="F85" s="30"/>
      <c r="G85" s="30"/>
      <c r="H85" s="30"/>
      <c r="I85" s="30"/>
      <c r="J85" s="30"/>
      <c r="K85" s="30"/>
      <c r="L85" s="526"/>
      <c r="M85" s="30">
        <f t="shared" ref="M85:M89" si="103">I84</f>
        <v>29529.8765137614</v>
      </c>
      <c r="N85" s="30">
        <v>1</v>
      </c>
      <c r="O85" s="30">
        <f>M85*N85</f>
        <v>29529.8765137614</v>
      </c>
      <c r="P85" s="30"/>
      <c r="Q85" s="30"/>
      <c r="R85" s="30"/>
      <c r="S85" s="30"/>
      <c r="T85" s="30">
        <f ca="1" t="shared" ref="T85:T89" si="104">OFFSET(T85,-RIGHT($A85,LEN($A$6)),,1,1)/OFFSET(T85,-RIGHT($A85,LEN($A$6)),-13,1,1)*$M85</f>
        <v>0</v>
      </c>
      <c r="U85" s="30">
        <f ca="1" t="shared" ref="U85:U89" si="105">+$N85*T85</f>
        <v>0</v>
      </c>
      <c r="V85" s="30">
        <f ca="1" t="shared" ref="V85:V89" si="106">OFFSET(V85,-RIGHT($A85,LEN($A$6)),,1,1)/OFFSET(V85,-RIGHT($A85,LEN($A$6)),-15,1,1)*$M85</f>
        <v>0</v>
      </c>
      <c r="W85" s="30">
        <f ca="1" t="shared" ref="W85:W89" si="107">+$N85*V85</f>
        <v>0</v>
      </c>
      <c r="X85" s="30">
        <f ca="1" t="shared" ref="X85:X89" si="108">+M85-V85</f>
        <v>29529.8765137614</v>
      </c>
      <c r="Y85" s="30">
        <f ca="1" t="shared" ref="Y85:Y89" si="109">+O85-W85</f>
        <v>29529.8765137614</v>
      </c>
      <c r="Z85" s="30">
        <f ca="1" t="shared" ref="Z85:Z89" si="110">OFFSET(Z85,-RIGHT($A85,LEN($A$6)),,1,1)/OFFSET(Z85,-RIGHT($A85,LEN($A$6)),-19,1,1)*$M85</f>
        <v>0</v>
      </c>
      <c r="AA85" s="30">
        <f ca="1" t="shared" ref="AA85:AA89" si="111">+$N85*Z85</f>
        <v>0</v>
      </c>
      <c r="AB85" s="30"/>
    </row>
    <row r="86" customHeight="1" outlineLevel="2" spans="1:28">
      <c r="A86" s="512" t="s">
        <v>2551</v>
      </c>
      <c r="B86" s="30"/>
      <c r="C86" s="513" t="s">
        <v>1310</v>
      </c>
      <c r="D86" s="30" t="s">
        <v>2552</v>
      </c>
      <c r="E86" s="30" t="s">
        <v>2553</v>
      </c>
      <c r="F86" s="30" t="s">
        <v>185</v>
      </c>
      <c r="G86" s="30">
        <v>1</v>
      </c>
      <c r="H86" s="30">
        <v>2743.4495412844</v>
      </c>
      <c r="I86" s="30">
        <f>G86*H86</f>
        <v>2743.4495412844</v>
      </c>
      <c r="J86" s="30">
        <f t="shared" ref="J86:L86" si="112">+G86</f>
        <v>1</v>
      </c>
      <c r="K86" s="30">
        <f t="shared" si="112"/>
        <v>2743.4495412844</v>
      </c>
      <c r="L86" s="526">
        <f t="shared" si="112"/>
        <v>2743.4495412844</v>
      </c>
      <c r="M86" s="30">
        <f t="shared" si="94"/>
        <v>1</v>
      </c>
      <c r="N86" s="30">
        <f t="shared" si="95"/>
        <v>2743.4495412844</v>
      </c>
      <c r="O86" s="30">
        <f>(+O87)</f>
        <v>2743.4495412844</v>
      </c>
      <c r="P86" s="30"/>
      <c r="Q86" s="30"/>
      <c r="R86" s="30">
        <f t="shared" si="96"/>
        <v>1</v>
      </c>
      <c r="S86" s="30">
        <f t="shared" si="97"/>
        <v>2743.4495412844</v>
      </c>
      <c r="T86" s="30">
        <f>IFERROR(VLOOKUP(A86,产值统计中间表!A:F,7,FALSE),0)</f>
        <v>0</v>
      </c>
      <c r="U86" s="30">
        <f t="shared" si="98"/>
        <v>0</v>
      </c>
      <c r="V86" s="30">
        <f>IFERROR(VLOOKUP(A86,产值统计中间表!A:D,4,FALSE),0)</f>
        <v>0</v>
      </c>
      <c r="W86" s="30">
        <f t="shared" si="99"/>
        <v>0</v>
      </c>
      <c r="X86" s="30">
        <f t="shared" si="100"/>
        <v>1</v>
      </c>
      <c r="Y86" s="30">
        <f t="shared" si="101"/>
        <v>2743.4495412844</v>
      </c>
      <c r="Z86" s="30">
        <f>IFERROR(VLOOKUP(A86,业主统计中间表!A:D,4,FALSE),0)</f>
        <v>0</v>
      </c>
      <c r="AA86" s="30">
        <f t="shared" si="102"/>
        <v>0</v>
      </c>
      <c r="AB86" s="30"/>
    </row>
    <row r="87" customHeight="1" outlineLevel="3" spans="1:28">
      <c r="A87" s="514" t="s">
        <v>2554</v>
      </c>
      <c r="B87" s="30"/>
      <c r="C87" s="513" t="s">
        <v>65</v>
      </c>
      <c r="D87" s="30" t="s">
        <v>680</v>
      </c>
      <c r="E87" s="30"/>
      <c r="F87" s="30"/>
      <c r="G87" s="30"/>
      <c r="H87" s="30"/>
      <c r="I87" s="30"/>
      <c r="J87" s="30"/>
      <c r="K87" s="30"/>
      <c r="L87" s="526"/>
      <c r="M87" s="30">
        <f t="shared" si="103"/>
        <v>2743.4495412844</v>
      </c>
      <c r="N87" s="30">
        <v>1</v>
      </c>
      <c r="O87" s="30">
        <f>M87*N87</f>
        <v>2743.4495412844</v>
      </c>
      <c r="P87" s="30"/>
      <c r="Q87" s="30"/>
      <c r="R87" s="30"/>
      <c r="S87" s="30"/>
      <c r="T87" s="30">
        <f ca="1" t="shared" si="104"/>
        <v>0</v>
      </c>
      <c r="U87" s="30">
        <f ca="1" t="shared" si="105"/>
        <v>0</v>
      </c>
      <c r="V87" s="30">
        <f ca="1" t="shared" si="106"/>
        <v>0</v>
      </c>
      <c r="W87" s="30">
        <f ca="1" t="shared" si="107"/>
        <v>0</v>
      </c>
      <c r="X87" s="30">
        <f ca="1" t="shared" si="108"/>
        <v>2743.4495412844</v>
      </c>
      <c r="Y87" s="30">
        <f ca="1" t="shared" si="109"/>
        <v>2743.4495412844</v>
      </c>
      <c r="Z87" s="30">
        <f ca="1" t="shared" si="110"/>
        <v>0</v>
      </c>
      <c r="AA87" s="30">
        <f ca="1" t="shared" si="111"/>
        <v>0</v>
      </c>
      <c r="AB87" s="30"/>
    </row>
    <row r="88" customHeight="1" outlineLevel="2" spans="1:28">
      <c r="A88" s="512" t="s">
        <v>2555</v>
      </c>
      <c r="B88" s="30"/>
      <c r="C88" s="513" t="s">
        <v>1310</v>
      </c>
      <c r="D88" s="30" t="s">
        <v>2556</v>
      </c>
      <c r="E88" s="30" t="s">
        <v>2553</v>
      </c>
      <c r="F88" s="30" t="s">
        <v>76</v>
      </c>
      <c r="G88" s="30">
        <v>240</v>
      </c>
      <c r="H88" s="30">
        <v>398.211009174312</v>
      </c>
      <c r="I88" s="30">
        <f>G88*H88</f>
        <v>95570.6422018349</v>
      </c>
      <c r="J88" s="30">
        <f t="shared" ref="J88:L88" si="113">+G88</f>
        <v>240</v>
      </c>
      <c r="K88" s="30">
        <f t="shared" si="113"/>
        <v>398.211009174312</v>
      </c>
      <c r="L88" s="526">
        <f t="shared" si="113"/>
        <v>95570.6422018349</v>
      </c>
      <c r="M88" s="30">
        <f t="shared" si="94"/>
        <v>240</v>
      </c>
      <c r="N88" s="30">
        <f t="shared" si="95"/>
        <v>398.211009174312</v>
      </c>
      <c r="O88" s="30">
        <f>(+O89)</f>
        <v>95570.6422018349</v>
      </c>
      <c r="P88" s="30"/>
      <c r="Q88" s="30"/>
      <c r="R88" s="30">
        <f t="shared" si="96"/>
        <v>240</v>
      </c>
      <c r="S88" s="30">
        <f t="shared" si="97"/>
        <v>95570.6422018349</v>
      </c>
      <c r="T88" s="30">
        <f>IFERROR(VLOOKUP(A88,产值统计中间表!A:F,7,FALSE),0)</f>
        <v>0</v>
      </c>
      <c r="U88" s="30">
        <f t="shared" si="98"/>
        <v>0</v>
      </c>
      <c r="V88" s="30">
        <f>IFERROR(VLOOKUP(A88,产值统计中间表!A:D,4,FALSE),0)</f>
        <v>0</v>
      </c>
      <c r="W88" s="30">
        <f t="shared" si="99"/>
        <v>0</v>
      </c>
      <c r="X88" s="30">
        <f t="shared" si="100"/>
        <v>240</v>
      </c>
      <c r="Y88" s="30">
        <f t="shared" si="101"/>
        <v>95570.6422018349</v>
      </c>
      <c r="Z88" s="30">
        <f>IFERROR(VLOOKUP(A88,业主统计中间表!A:D,4,FALSE),0)</f>
        <v>0</v>
      </c>
      <c r="AA88" s="30">
        <f t="shared" si="102"/>
        <v>0</v>
      </c>
      <c r="AB88" s="30"/>
    </row>
    <row r="89" customHeight="1" outlineLevel="3" spans="1:28">
      <c r="A89" s="514" t="s">
        <v>2557</v>
      </c>
      <c r="B89" s="30"/>
      <c r="C89" s="513" t="s">
        <v>65</v>
      </c>
      <c r="D89" s="30" t="s">
        <v>680</v>
      </c>
      <c r="E89" s="30"/>
      <c r="F89" s="30"/>
      <c r="G89" s="30"/>
      <c r="H89" s="30"/>
      <c r="I89" s="30"/>
      <c r="J89" s="30"/>
      <c r="K89" s="30"/>
      <c r="L89" s="526"/>
      <c r="M89" s="30">
        <f t="shared" si="103"/>
        <v>95570.6422018349</v>
      </c>
      <c r="N89" s="30">
        <v>1</v>
      </c>
      <c r="O89" s="30">
        <f>M89*N89</f>
        <v>95570.6422018349</v>
      </c>
      <c r="P89" s="30"/>
      <c r="Q89" s="30"/>
      <c r="R89" s="30"/>
      <c r="S89" s="30"/>
      <c r="T89" s="30">
        <f ca="1" t="shared" si="104"/>
        <v>0</v>
      </c>
      <c r="U89" s="30">
        <f ca="1" t="shared" si="105"/>
        <v>0</v>
      </c>
      <c r="V89" s="30">
        <f ca="1" t="shared" si="106"/>
        <v>0</v>
      </c>
      <c r="W89" s="30">
        <f ca="1" t="shared" si="107"/>
        <v>0</v>
      </c>
      <c r="X89" s="30">
        <f ca="1" t="shared" si="108"/>
        <v>95570.6422018349</v>
      </c>
      <c r="Y89" s="30">
        <f ca="1" t="shared" si="109"/>
        <v>95570.6422018349</v>
      </c>
      <c r="Z89" s="30">
        <f ca="1" t="shared" si="110"/>
        <v>0</v>
      </c>
      <c r="AA89" s="30">
        <f ca="1" t="shared" si="111"/>
        <v>0</v>
      </c>
      <c r="AB89" s="30"/>
    </row>
    <row r="90" customHeight="1" outlineLevel="2" spans="1:28">
      <c r="A90" s="512" t="s">
        <v>2558</v>
      </c>
      <c r="B90" s="30"/>
      <c r="C90" s="513" t="s">
        <v>1310</v>
      </c>
      <c r="D90" s="30" t="s">
        <v>2559</v>
      </c>
      <c r="E90" s="30" t="s">
        <v>2560</v>
      </c>
      <c r="F90" s="30" t="s">
        <v>169</v>
      </c>
      <c r="G90" s="30">
        <v>19</v>
      </c>
      <c r="H90" s="30">
        <v>2071.76146788991</v>
      </c>
      <c r="I90" s="30">
        <f>G90*H90</f>
        <v>39363.4678899083</v>
      </c>
      <c r="J90" s="30">
        <f t="shared" ref="J90:L90" si="114">+G90</f>
        <v>19</v>
      </c>
      <c r="K90" s="30">
        <f t="shared" si="114"/>
        <v>2071.76146788991</v>
      </c>
      <c r="L90" s="526">
        <f t="shared" si="114"/>
        <v>39363.4678899083</v>
      </c>
      <c r="M90" s="30">
        <f t="shared" ref="M90:M96" si="115">+G90</f>
        <v>19</v>
      </c>
      <c r="N90" s="30">
        <f t="shared" ref="N90:N96" si="116">O90/G90</f>
        <v>2071.76146788991</v>
      </c>
      <c r="O90" s="30">
        <f>(+O91)</f>
        <v>39363.4678899083</v>
      </c>
      <c r="P90" s="30"/>
      <c r="Q90" s="30"/>
      <c r="R90" s="30">
        <f t="shared" ref="R90:R96" si="117">+P90+J90</f>
        <v>19</v>
      </c>
      <c r="S90" s="30">
        <f t="shared" ref="S90:S96" si="118">+Q90+L90</f>
        <v>39363.4678899083</v>
      </c>
      <c r="T90" s="30">
        <f>IFERROR(VLOOKUP(A90,产值统计中间表!A:F,7,FALSE),0)</f>
        <v>0</v>
      </c>
      <c r="U90" s="30">
        <f t="shared" ref="U90:U96" si="119">+T90*H90</f>
        <v>0</v>
      </c>
      <c r="V90" s="30">
        <f>IFERROR(VLOOKUP(A90,产值统计中间表!A:D,4,FALSE),0)</f>
        <v>0</v>
      </c>
      <c r="W90" s="30">
        <f t="shared" ref="W90:W96" si="120">+V90*H90</f>
        <v>0</v>
      </c>
      <c r="X90" s="30">
        <f t="shared" ref="X90:X96" si="121">+R90-V90</f>
        <v>19</v>
      </c>
      <c r="Y90" s="30">
        <f t="shared" ref="Y90:Y96" si="122">+S90-W90</f>
        <v>39363.4678899083</v>
      </c>
      <c r="Z90" s="30">
        <f>IFERROR(VLOOKUP(A90,业主统计中间表!A:D,4,FALSE),0)</f>
        <v>0</v>
      </c>
      <c r="AA90" s="30">
        <f t="shared" ref="AA90:AA96" si="123">+Z90*H90</f>
        <v>0</v>
      </c>
      <c r="AB90" s="30"/>
    </row>
    <row r="91" customHeight="1" outlineLevel="3" spans="1:28">
      <c r="A91" s="514" t="s">
        <v>2561</v>
      </c>
      <c r="B91" s="30"/>
      <c r="C91" s="513" t="s">
        <v>65</v>
      </c>
      <c r="D91" s="30" t="s">
        <v>680</v>
      </c>
      <c r="E91" s="30"/>
      <c r="F91" s="30"/>
      <c r="G91" s="30"/>
      <c r="H91" s="30"/>
      <c r="I91" s="30"/>
      <c r="J91" s="30"/>
      <c r="K91" s="30"/>
      <c r="L91" s="526"/>
      <c r="M91" s="30">
        <f>I90</f>
        <v>39363.4678899083</v>
      </c>
      <c r="N91" s="30">
        <v>1</v>
      </c>
      <c r="O91" s="30">
        <f>M91*N91</f>
        <v>39363.4678899083</v>
      </c>
      <c r="P91" s="30"/>
      <c r="Q91" s="30"/>
      <c r="R91" s="30"/>
      <c r="S91" s="30"/>
      <c r="T91" s="30">
        <f ca="1">OFFSET(T91,-RIGHT($A91,LEN($A$6)),,1,1)/OFFSET(T91,-RIGHT($A91,LEN($A$6)),-13,1,1)*$M91</f>
        <v>0</v>
      </c>
      <c r="U91" s="30">
        <f ca="1">+$N91*T91</f>
        <v>0</v>
      </c>
      <c r="V91" s="30">
        <f ca="1">OFFSET(V91,-RIGHT($A91,LEN($A$6)),,1,1)/OFFSET(V91,-RIGHT($A91,LEN($A$6)),-15,1,1)*$M91</f>
        <v>0</v>
      </c>
      <c r="W91" s="30">
        <f ca="1">+$N91*V91</f>
        <v>0</v>
      </c>
      <c r="X91" s="30">
        <f ca="1">+M91-V91</f>
        <v>39363.4678899083</v>
      </c>
      <c r="Y91" s="30">
        <f ca="1">+O91-W91</f>
        <v>39363.4678899083</v>
      </c>
      <c r="Z91" s="30">
        <f ca="1">OFFSET(Z91,-RIGHT($A91,LEN($A$6)),,1,1)/OFFSET(Z91,-RIGHT($A91,LEN($A$6)),-19,1,1)*$M91</f>
        <v>0</v>
      </c>
      <c r="AA91" s="30">
        <f ca="1">+$N91*Z91</f>
        <v>0</v>
      </c>
      <c r="AB91" s="30"/>
    </row>
    <row r="92" customHeight="1" outlineLevel="1" spans="1:28">
      <c r="A92" s="515" t="s">
        <v>2562</v>
      </c>
      <c r="B92" s="30"/>
      <c r="C92" s="513" t="s">
        <v>60</v>
      </c>
      <c r="D92" s="30" t="s">
        <v>2563</v>
      </c>
      <c r="E92" s="30"/>
      <c r="F92" s="30"/>
      <c r="G92" s="30"/>
      <c r="H92" s="30"/>
      <c r="I92" s="30">
        <f>(+I93+I95+I96)</f>
        <v>224809.137614679</v>
      </c>
      <c r="J92" s="30"/>
      <c r="K92" s="30"/>
      <c r="L92" s="526">
        <f>(+L93+L95+L96)</f>
        <v>224809.137614679</v>
      </c>
      <c r="M92" s="30"/>
      <c r="N92" s="30"/>
      <c r="O92" s="30" t="e">
        <f>(+O93+O95+O96)</f>
        <v>#REF!</v>
      </c>
      <c r="P92" s="30"/>
      <c r="Q92" s="30"/>
      <c r="R92" s="30"/>
      <c r="S92" s="30"/>
      <c r="T92" s="30"/>
      <c r="U92" s="30"/>
      <c r="V92" s="30"/>
      <c r="W92" s="30"/>
      <c r="X92" s="30"/>
      <c r="Y92" s="30"/>
      <c r="Z92" s="30"/>
      <c r="AA92" s="30"/>
      <c r="AB92" s="30"/>
    </row>
    <row r="93" customHeight="1" outlineLevel="2" spans="1:28">
      <c r="A93" s="512" t="s">
        <v>2564</v>
      </c>
      <c r="B93" s="30"/>
      <c r="C93" s="513" t="s">
        <v>1310</v>
      </c>
      <c r="D93" s="30" t="s">
        <v>2565</v>
      </c>
      <c r="E93" s="30" t="s">
        <v>2566</v>
      </c>
      <c r="F93" s="30" t="s">
        <v>169</v>
      </c>
      <c r="G93" s="30">
        <v>2</v>
      </c>
      <c r="H93" s="30">
        <v>10644.4862385321</v>
      </c>
      <c r="I93" s="30">
        <f>G93*H93</f>
        <v>21288.9724770642</v>
      </c>
      <c r="J93" s="30">
        <f t="shared" ref="J93:L93" si="124">+G93</f>
        <v>2</v>
      </c>
      <c r="K93" s="30">
        <f t="shared" si="124"/>
        <v>10644.4862385321</v>
      </c>
      <c r="L93" s="526">
        <f t="shared" si="124"/>
        <v>21288.9724770642</v>
      </c>
      <c r="M93" s="30">
        <f t="shared" si="115"/>
        <v>2</v>
      </c>
      <c r="N93" s="30">
        <f t="shared" si="116"/>
        <v>10644.4862385321</v>
      </c>
      <c r="O93" s="30">
        <f>(+O94)</f>
        <v>21288.9724770642</v>
      </c>
      <c r="P93" s="30"/>
      <c r="Q93" s="30"/>
      <c r="R93" s="30">
        <f t="shared" si="117"/>
        <v>2</v>
      </c>
      <c r="S93" s="30">
        <f t="shared" si="118"/>
        <v>21288.9724770642</v>
      </c>
      <c r="T93" s="30">
        <f>IFERROR(VLOOKUP(A93,产值统计中间表!A:F,7,FALSE),0)</f>
        <v>0</v>
      </c>
      <c r="U93" s="30">
        <f t="shared" si="119"/>
        <v>0</v>
      </c>
      <c r="V93" s="30">
        <f>IFERROR(VLOOKUP(A93,产值统计中间表!A:D,4,FALSE),0)</f>
        <v>0</v>
      </c>
      <c r="W93" s="30">
        <f t="shared" si="120"/>
        <v>0</v>
      </c>
      <c r="X93" s="30">
        <f t="shared" si="121"/>
        <v>2</v>
      </c>
      <c r="Y93" s="30">
        <f t="shared" si="122"/>
        <v>21288.9724770642</v>
      </c>
      <c r="Z93" s="30">
        <f>IFERROR(VLOOKUP(A93,业主统计中间表!A:D,4,FALSE),0)</f>
        <v>0</v>
      </c>
      <c r="AA93" s="30">
        <f t="shared" si="123"/>
        <v>0</v>
      </c>
      <c r="AB93" s="30"/>
    </row>
    <row r="94" customHeight="1" outlineLevel="3" spans="1:28">
      <c r="A94" s="514" t="s">
        <v>2567</v>
      </c>
      <c r="B94" s="30"/>
      <c r="C94" s="513" t="s">
        <v>65</v>
      </c>
      <c r="D94" s="30" t="s">
        <v>684</v>
      </c>
      <c r="E94" s="30"/>
      <c r="F94" s="30"/>
      <c r="G94" s="30"/>
      <c r="H94" s="30"/>
      <c r="I94" s="30"/>
      <c r="J94" s="30"/>
      <c r="K94" s="30"/>
      <c r="L94" s="526"/>
      <c r="M94" s="30">
        <f>I93</f>
        <v>21288.9724770642</v>
      </c>
      <c r="N94" s="30">
        <v>1</v>
      </c>
      <c r="O94" s="30">
        <f>M94*N94</f>
        <v>21288.9724770642</v>
      </c>
      <c r="P94" s="30"/>
      <c r="Q94" s="30"/>
      <c r="R94" s="30"/>
      <c r="S94" s="30"/>
      <c r="T94" s="30">
        <f ca="1">OFFSET(T94,-RIGHT($A94,LEN($A$6)),,1,1)/OFFSET(T94,-RIGHT($A94,LEN($A$6)),-13,1,1)*$M94</f>
        <v>0</v>
      </c>
      <c r="U94" s="30">
        <f ca="1">+$N94*T94</f>
        <v>0</v>
      </c>
      <c r="V94" s="30">
        <f ca="1">OFFSET(V94,-RIGHT($A94,LEN($A$6)),,1,1)/OFFSET(V94,-RIGHT($A94,LEN($A$6)),-15,1,1)*$M94</f>
        <v>0</v>
      </c>
      <c r="W94" s="30">
        <f ca="1">+$N94*V94</f>
        <v>0</v>
      </c>
      <c r="X94" s="30">
        <f ca="1">+M94-V94</f>
        <v>21288.9724770642</v>
      </c>
      <c r="Y94" s="30">
        <f ca="1">+O94-W94</f>
        <v>21288.9724770642</v>
      </c>
      <c r="Z94" s="30">
        <f ca="1">OFFSET(Z94,-RIGHT($A94,LEN($A$6)),,1,1)/OFFSET(Z94,-RIGHT($A94,LEN($A$6)),-19,1,1)*$M94</f>
        <v>0</v>
      </c>
      <c r="AA94" s="30">
        <f ca="1">+$N94*Z94</f>
        <v>0</v>
      </c>
      <c r="AB94" s="30"/>
    </row>
    <row r="95" customHeight="1" outlineLevel="2" spans="1:28">
      <c r="A95" s="512" t="s">
        <v>2568</v>
      </c>
      <c r="B95" s="30"/>
      <c r="C95" s="513" t="s">
        <v>1310</v>
      </c>
      <c r="D95" s="30" t="s">
        <v>2569</v>
      </c>
      <c r="E95" s="30" t="s">
        <v>2570</v>
      </c>
      <c r="F95" s="30" t="s">
        <v>169</v>
      </c>
      <c r="G95" s="30">
        <v>9</v>
      </c>
      <c r="H95" s="30">
        <v>22170.1467889908</v>
      </c>
      <c r="I95" s="30">
        <f>G95*H95</f>
        <v>199531.321100917</v>
      </c>
      <c r="J95" s="30">
        <f t="shared" ref="J95:L95" si="125">+G95</f>
        <v>9</v>
      </c>
      <c r="K95" s="30">
        <f t="shared" si="125"/>
        <v>22170.1467889908</v>
      </c>
      <c r="L95" s="526">
        <f t="shared" si="125"/>
        <v>199531.321100917</v>
      </c>
      <c r="M95" s="30">
        <f t="shared" si="115"/>
        <v>9</v>
      </c>
      <c r="N95" s="30" t="e">
        <f t="shared" si="116"/>
        <v>#REF!</v>
      </c>
      <c r="O95" s="30" t="e">
        <f>(+#REF!)</f>
        <v>#REF!</v>
      </c>
      <c r="P95" s="30"/>
      <c r="Q95" s="30"/>
      <c r="R95" s="30">
        <f t="shared" si="117"/>
        <v>9</v>
      </c>
      <c r="S95" s="30">
        <f t="shared" si="118"/>
        <v>199531.321100917</v>
      </c>
      <c r="T95" s="30">
        <f>IFERROR(VLOOKUP(A95,产值统计中间表!A:F,7,FALSE),0)</f>
        <v>0</v>
      </c>
      <c r="U95" s="30">
        <f t="shared" si="119"/>
        <v>0</v>
      </c>
      <c r="V95" s="30">
        <f>IFERROR(VLOOKUP(A95,产值统计中间表!A:D,4,FALSE),0)</f>
        <v>0</v>
      </c>
      <c r="W95" s="30">
        <f t="shared" si="120"/>
        <v>0</v>
      </c>
      <c r="X95" s="30">
        <f t="shared" si="121"/>
        <v>9</v>
      </c>
      <c r="Y95" s="30">
        <f t="shared" si="122"/>
        <v>199531.321100917</v>
      </c>
      <c r="Z95" s="30">
        <f>IFERROR(VLOOKUP(A95,业主统计中间表!A:D,4,FALSE),0)</f>
        <v>0</v>
      </c>
      <c r="AA95" s="30">
        <f t="shared" si="123"/>
        <v>0</v>
      </c>
      <c r="AB95" s="30"/>
    </row>
    <row r="96" customHeight="1" outlineLevel="2" spans="1:28">
      <c r="A96" s="512" t="s">
        <v>2571</v>
      </c>
      <c r="B96" s="30"/>
      <c r="C96" s="513" t="s">
        <v>1310</v>
      </c>
      <c r="D96" s="30" t="s">
        <v>2572</v>
      </c>
      <c r="E96" s="30" t="s">
        <v>2573</v>
      </c>
      <c r="F96" s="30" t="s">
        <v>169</v>
      </c>
      <c r="G96" s="30">
        <v>1</v>
      </c>
      <c r="H96" s="30">
        <v>3988.84403669725</v>
      </c>
      <c r="I96" s="30">
        <f>G96*H96</f>
        <v>3988.84403669725</v>
      </c>
      <c r="J96" s="30">
        <f t="shared" ref="J96:L96" si="126">+G96</f>
        <v>1</v>
      </c>
      <c r="K96" s="30">
        <f t="shared" si="126"/>
        <v>3988.84403669725</v>
      </c>
      <c r="L96" s="526">
        <f t="shared" si="126"/>
        <v>3988.84403669725</v>
      </c>
      <c r="M96" s="30">
        <f t="shared" si="115"/>
        <v>1</v>
      </c>
      <c r="N96" s="30">
        <f t="shared" si="116"/>
        <v>3988.84403669725</v>
      </c>
      <c r="O96" s="30">
        <f>(+O97)</f>
        <v>3988.84403669725</v>
      </c>
      <c r="P96" s="30"/>
      <c r="Q96" s="30"/>
      <c r="R96" s="30">
        <f t="shared" si="117"/>
        <v>1</v>
      </c>
      <c r="S96" s="30">
        <f t="shared" si="118"/>
        <v>3988.84403669725</v>
      </c>
      <c r="T96" s="30">
        <f>IFERROR(VLOOKUP(A96,产值统计中间表!A:F,7,FALSE),0)</f>
        <v>0</v>
      </c>
      <c r="U96" s="30">
        <f t="shared" si="119"/>
        <v>0</v>
      </c>
      <c r="V96" s="30">
        <f>IFERROR(VLOOKUP(A96,产值统计中间表!A:D,4,FALSE),0)</f>
        <v>0</v>
      </c>
      <c r="W96" s="30">
        <f t="shared" si="120"/>
        <v>0</v>
      </c>
      <c r="X96" s="30">
        <f t="shared" si="121"/>
        <v>1</v>
      </c>
      <c r="Y96" s="30">
        <f t="shared" si="122"/>
        <v>3988.84403669725</v>
      </c>
      <c r="Z96" s="30">
        <f>IFERROR(VLOOKUP(A96,业主统计中间表!A:D,4,FALSE),0)</f>
        <v>0</v>
      </c>
      <c r="AA96" s="30">
        <f t="shared" si="123"/>
        <v>0</v>
      </c>
      <c r="AB96" s="30"/>
    </row>
    <row r="97" customHeight="1" outlineLevel="3" spans="1:28">
      <c r="A97" s="514" t="s">
        <v>2574</v>
      </c>
      <c r="B97" s="30"/>
      <c r="C97" s="513" t="s">
        <v>65</v>
      </c>
      <c r="D97" s="30" t="s">
        <v>684</v>
      </c>
      <c r="E97" s="30"/>
      <c r="F97" s="30"/>
      <c r="G97" s="30"/>
      <c r="H97" s="30"/>
      <c r="I97" s="30"/>
      <c r="J97" s="30"/>
      <c r="K97" s="30"/>
      <c r="L97" s="526"/>
      <c r="M97" s="30">
        <f>I96</f>
        <v>3988.84403669725</v>
      </c>
      <c r="N97" s="30">
        <v>1</v>
      </c>
      <c r="O97" s="30">
        <f>M97*N97</f>
        <v>3988.84403669725</v>
      </c>
      <c r="P97" s="30"/>
      <c r="Q97" s="30"/>
      <c r="R97" s="30"/>
      <c r="S97" s="30"/>
      <c r="T97" s="30">
        <f ca="1">OFFSET(T97,-RIGHT($A97,LEN($A$6)),,1,1)/OFFSET(T97,-RIGHT($A97,LEN($A$6)),-13,1,1)*$M97</f>
        <v>0</v>
      </c>
      <c r="U97" s="30">
        <f ca="1">+$N97*T97</f>
        <v>0</v>
      </c>
      <c r="V97" s="30">
        <f ca="1">OFFSET(V97,-RIGHT($A97,LEN($A$6)),,1,1)/OFFSET(V97,-RIGHT($A97,LEN($A$6)),-15,1,1)*$M97</f>
        <v>0</v>
      </c>
      <c r="W97" s="30">
        <f ca="1">+$N97*V97</f>
        <v>0</v>
      </c>
      <c r="X97" s="30">
        <f ca="1">+M97-V97</f>
        <v>3988.84403669725</v>
      </c>
      <c r="Y97" s="30">
        <f ca="1">+O97-W97</f>
        <v>3988.84403669725</v>
      </c>
      <c r="Z97" s="30">
        <f ca="1">OFFSET(Z97,-RIGHT($A97,LEN($A$6)),,1,1)/OFFSET(Z97,-RIGHT($A97,LEN($A$6)),-19,1,1)*$M97</f>
        <v>0</v>
      </c>
      <c r="AA97" s="30">
        <f ca="1">+$N97*Z97</f>
        <v>0</v>
      </c>
      <c r="AB97" s="30"/>
    </row>
    <row r="98" customHeight="1" outlineLevel="1" spans="1:28">
      <c r="A98" s="515" t="s">
        <v>2575</v>
      </c>
      <c r="B98" s="30"/>
      <c r="C98" s="513" t="s">
        <v>60</v>
      </c>
      <c r="D98" s="30" t="s">
        <v>2576</v>
      </c>
      <c r="E98" s="30"/>
      <c r="F98" s="30"/>
      <c r="G98" s="30"/>
      <c r="H98" s="30"/>
      <c r="I98" s="30">
        <f>(+I99+I101)</f>
        <v>83448.3467889908</v>
      </c>
      <c r="J98" s="30"/>
      <c r="K98" s="30"/>
      <c r="L98" s="526">
        <f>(+L99+L101)</f>
        <v>83448.3467889908</v>
      </c>
      <c r="M98" s="30"/>
      <c r="N98" s="30"/>
      <c r="O98" s="30">
        <f>(+O99+O101)</f>
        <v>83448.3467889908</v>
      </c>
      <c r="P98" s="30"/>
      <c r="Q98" s="30"/>
      <c r="R98" s="30"/>
      <c r="S98" s="30"/>
      <c r="T98" s="30"/>
      <c r="U98" s="30"/>
      <c r="V98" s="30"/>
      <c r="W98" s="30"/>
      <c r="X98" s="30"/>
      <c r="Y98" s="30"/>
      <c r="Z98" s="30"/>
      <c r="AA98" s="30"/>
      <c r="AB98" s="30"/>
    </row>
    <row r="99" customHeight="1" outlineLevel="2" spans="1:28">
      <c r="A99" s="512" t="s">
        <v>2577</v>
      </c>
      <c r="B99" s="30"/>
      <c r="C99" s="513" t="s">
        <v>1310</v>
      </c>
      <c r="D99" s="30" t="s">
        <v>2578</v>
      </c>
      <c r="E99" s="30" t="s">
        <v>2579</v>
      </c>
      <c r="F99" s="30" t="s">
        <v>169</v>
      </c>
      <c r="G99" s="30">
        <v>1</v>
      </c>
      <c r="H99" s="30">
        <v>82316.3119266055</v>
      </c>
      <c r="I99" s="30">
        <f>G99*H99</f>
        <v>82316.3119266055</v>
      </c>
      <c r="J99" s="30">
        <f t="shared" ref="J99:L99" si="127">+G99</f>
        <v>1</v>
      </c>
      <c r="K99" s="30">
        <f t="shared" si="127"/>
        <v>82316.3119266055</v>
      </c>
      <c r="L99" s="526">
        <f t="shared" si="127"/>
        <v>82316.3119266055</v>
      </c>
      <c r="M99" s="30">
        <f>+G99</f>
        <v>1</v>
      </c>
      <c r="N99" s="30">
        <f>O99/G99</f>
        <v>82316.3119266055</v>
      </c>
      <c r="O99" s="30">
        <f>(+O100)</f>
        <v>82316.3119266055</v>
      </c>
      <c r="P99" s="30"/>
      <c r="Q99" s="30"/>
      <c r="R99" s="30">
        <f>+P99+J99</f>
        <v>1</v>
      </c>
      <c r="S99" s="30">
        <f>+Q99+L99</f>
        <v>82316.3119266055</v>
      </c>
      <c r="T99" s="30">
        <f>IFERROR(VLOOKUP(A99,产值统计中间表!A:F,7,FALSE),0)</f>
        <v>0</v>
      </c>
      <c r="U99" s="30">
        <f>+T99*H99</f>
        <v>0</v>
      </c>
      <c r="V99" s="30">
        <f>IFERROR(VLOOKUP(A99,产值统计中间表!A:D,4,FALSE),0)</f>
        <v>0</v>
      </c>
      <c r="W99" s="30">
        <f>+V99*H99</f>
        <v>0</v>
      </c>
      <c r="X99" s="30">
        <f>+R99-V99</f>
        <v>1</v>
      </c>
      <c r="Y99" s="30">
        <f>+S99-W99</f>
        <v>82316.3119266055</v>
      </c>
      <c r="Z99" s="30">
        <f>IFERROR(VLOOKUP(A99,业主统计中间表!A:D,4,FALSE),0)</f>
        <v>0</v>
      </c>
      <c r="AA99" s="30">
        <f>+Z99*H99</f>
        <v>0</v>
      </c>
      <c r="AB99" s="30"/>
    </row>
    <row r="100" customHeight="1" outlineLevel="3" spans="1:28">
      <c r="A100" s="514" t="s">
        <v>2580</v>
      </c>
      <c r="B100" s="30"/>
      <c r="C100" s="513" t="s">
        <v>65</v>
      </c>
      <c r="D100" s="30" t="s">
        <v>164</v>
      </c>
      <c r="E100" s="30"/>
      <c r="F100" s="30"/>
      <c r="G100" s="30"/>
      <c r="H100" s="30"/>
      <c r="I100" s="30"/>
      <c r="J100" s="30"/>
      <c r="K100" s="30"/>
      <c r="L100" s="526"/>
      <c r="M100" s="30">
        <f>I99</f>
        <v>82316.3119266055</v>
      </c>
      <c r="N100" s="30">
        <v>1</v>
      </c>
      <c r="O100" s="30">
        <f>M100*N100</f>
        <v>82316.3119266055</v>
      </c>
      <c r="P100" s="30"/>
      <c r="Q100" s="30"/>
      <c r="R100" s="30"/>
      <c r="S100" s="30"/>
      <c r="T100" s="30">
        <f ca="1">OFFSET(T100,-RIGHT($A100,LEN($A$6)),,1,1)/OFFSET(T100,-RIGHT($A100,LEN($A$6)),-13,1,1)*$M100</f>
        <v>0</v>
      </c>
      <c r="U100" s="30">
        <f ca="1">+$N100*T100</f>
        <v>0</v>
      </c>
      <c r="V100" s="30">
        <f ca="1">OFFSET(V100,-RIGHT($A100,LEN($A$6)),,1,1)/OFFSET(V100,-RIGHT($A100,LEN($A$6)),-15,1,1)*$M100</f>
        <v>0</v>
      </c>
      <c r="W100" s="30">
        <f ca="1">+$N100*V100</f>
        <v>0</v>
      </c>
      <c r="X100" s="30">
        <f ca="1">+M100-V100</f>
        <v>82316.3119266055</v>
      </c>
      <c r="Y100" s="30">
        <f ca="1">+O100-W100</f>
        <v>82316.3119266055</v>
      </c>
      <c r="Z100" s="30">
        <f ca="1">OFFSET(Z100,-RIGHT($A100,LEN($A$6)),,1,1)/OFFSET(Z100,-RIGHT($A100,LEN($A$6)),-19,1,1)*$M100</f>
        <v>0</v>
      </c>
      <c r="AA100" s="30">
        <f ca="1">+$N100*Z100</f>
        <v>0</v>
      </c>
      <c r="AB100" s="30"/>
    </row>
    <row r="101" customHeight="1" outlineLevel="2" spans="1:28">
      <c r="A101" s="512" t="s">
        <v>2581</v>
      </c>
      <c r="B101" s="30"/>
      <c r="C101" s="513" t="s">
        <v>1310</v>
      </c>
      <c r="D101" s="30" t="s">
        <v>2582</v>
      </c>
      <c r="E101" s="30" t="s">
        <v>2525</v>
      </c>
      <c r="F101" s="30" t="s">
        <v>72</v>
      </c>
      <c r="G101" s="30">
        <v>9.8</v>
      </c>
      <c r="H101" s="30">
        <v>115.51376146789</v>
      </c>
      <c r="I101" s="30">
        <f>G101*H101</f>
        <v>1132.03486238532</v>
      </c>
      <c r="J101" s="30">
        <f t="shared" ref="J101:L101" si="128">+G101</f>
        <v>9.8</v>
      </c>
      <c r="K101" s="30">
        <f t="shared" si="128"/>
        <v>115.51376146789</v>
      </c>
      <c r="L101" s="526">
        <f t="shared" si="128"/>
        <v>1132.03486238532</v>
      </c>
      <c r="M101" s="30">
        <f>+G101</f>
        <v>9.8</v>
      </c>
      <c r="N101" s="30">
        <f>O101/G101</f>
        <v>115.51376146789</v>
      </c>
      <c r="O101" s="30">
        <f>(+O102)</f>
        <v>1132.03486238532</v>
      </c>
      <c r="P101" s="30"/>
      <c r="Q101" s="30"/>
      <c r="R101" s="30">
        <f>+P101+J101</f>
        <v>9.8</v>
      </c>
      <c r="S101" s="30">
        <f>+Q101+L101</f>
        <v>1132.03486238532</v>
      </c>
      <c r="T101" s="30">
        <f>IFERROR(VLOOKUP(A101,产值统计中间表!A:F,7,FALSE),0)</f>
        <v>0</v>
      </c>
      <c r="U101" s="30">
        <f>+T101*H101</f>
        <v>0</v>
      </c>
      <c r="V101" s="30">
        <f>IFERROR(VLOOKUP(A101,产值统计中间表!A:D,4,FALSE),0)</f>
        <v>0</v>
      </c>
      <c r="W101" s="30">
        <f>+V101*H101</f>
        <v>0</v>
      </c>
      <c r="X101" s="30">
        <f>+R101-V101</f>
        <v>9.8</v>
      </c>
      <c r="Y101" s="30">
        <f>+S101-W101</f>
        <v>1132.03486238532</v>
      </c>
      <c r="Z101" s="30">
        <f>IFERROR(VLOOKUP(A101,业主统计中间表!A:D,4,FALSE),0)</f>
        <v>0</v>
      </c>
      <c r="AA101" s="30">
        <f>+Z101*H101</f>
        <v>0</v>
      </c>
      <c r="AB101" s="30"/>
    </row>
    <row r="102" customHeight="1" outlineLevel="3" spans="1:28">
      <c r="A102" s="514" t="s">
        <v>2583</v>
      </c>
      <c r="B102" s="30"/>
      <c r="C102" s="513" t="s">
        <v>65</v>
      </c>
      <c r="D102" s="30" t="s">
        <v>164</v>
      </c>
      <c r="E102" s="30"/>
      <c r="F102" s="30"/>
      <c r="G102" s="30"/>
      <c r="H102" s="30"/>
      <c r="I102" s="30"/>
      <c r="J102" s="30"/>
      <c r="K102" s="30"/>
      <c r="L102" s="526"/>
      <c r="M102" s="30">
        <f>I101</f>
        <v>1132.03486238532</v>
      </c>
      <c r="N102" s="30">
        <v>1</v>
      </c>
      <c r="O102" s="30">
        <f>M102*N102</f>
        <v>1132.03486238532</v>
      </c>
      <c r="P102" s="30"/>
      <c r="Q102" s="30"/>
      <c r="R102" s="30"/>
      <c r="S102" s="30"/>
      <c r="T102" s="30">
        <f ca="1" t="shared" ref="T101:T108" si="129">OFFSET(T102,-RIGHT($A102,LEN($A$6)),,1,1)/OFFSET(T102,-RIGHT($A102,LEN($A$6)),-13,1,1)*$M102</f>
        <v>0</v>
      </c>
      <c r="U102" s="30">
        <f ca="1" t="shared" ref="U101:U108" si="130">+$N102*T102</f>
        <v>0</v>
      </c>
      <c r="V102" s="30">
        <f ca="1" t="shared" ref="V101:V108" si="131">OFFSET(V102,-RIGHT($A102,LEN($A$6)),,1,1)/OFFSET(V102,-RIGHT($A102,LEN($A$6)),-15,1,1)*$M102</f>
        <v>0</v>
      </c>
      <c r="W102" s="30">
        <f ca="1" t="shared" ref="W101:W108" si="132">+$N102*V102</f>
        <v>0</v>
      </c>
      <c r="X102" s="30">
        <f ca="1" t="shared" ref="X101:X108" si="133">+M102-V102</f>
        <v>1132.03486238532</v>
      </c>
      <c r="Y102" s="30">
        <f ca="1" t="shared" ref="Y101:Y108" si="134">+O102-W102</f>
        <v>1132.03486238532</v>
      </c>
      <c r="Z102" s="30">
        <f ca="1" t="shared" ref="Z101:Z108" si="135">OFFSET(Z102,-RIGHT($A102,LEN($A$6)),,1,1)/OFFSET(Z102,-RIGHT($A102,LEN($A$6)),-19,1,1)*$M102</f>
        <v>0</v>
      </c>
      <c r="AA102" s="30">
        <f ca="1" t="shared" ref="AA101:AA108" si="136">+$N102*Z102</f>
        <v>0</v>
      </c>
      <c r="AB102" s="30"/>
    </row>
    <row r="103" customHeight="1" outlineLevel="1" spans="1:28">
      <c r="A103" s="515" t="s">
        <v>2584</v>
      </c>
      <c r="B103" s="30"/>
      <c r="C103" s="513" t="s">
        <v>60</v>
      </c>
      <c r="D103" s="30" t="s">
        <v>2585</v>
      </c>
      <c r="E103" s="30"/>
      <c r="F103" s="30"/>
      <c r="G103" s="30"/>
      <c r="H103" s="30"/>
      <c r="I103" s="30">
        <f>(+I104+I109)</f>
        <v>18818.575412844</v>
      </c>
      <c r="J103" s="30"/>
      <c r="K103" s="30"/>
      <c r="L103" s="526">
        <f>(+L104+L109)</f>
        <v>18818.575412844</v>
      </c>
      <c r="M103" s="30"/>
      <c r="N103" s="30"/>
      <c r="O103" s="30">
        <f ca="1">(+O104+O109)</f>
        <v>7187.14589</v>
      </c>
      <c r="P103" s="30"/>
      <c r="Q103" s="30"/>
      <c r="R103" s="30"/>
      <c r="S103" s="30"/>
      <c r="T103" s="30"/>
      <c r="U103" s="30"/>
      <c r="V103" s="30"/>
      <c r="W103" s="30"/>
      <c r="X103" s="30"/>
      <c r="Y103" s="30"/>
      <c r="Z103" s="30"/>
      <c r="AA103" s="30"/>
      <c r="AB103" s="30"/>
    </row>
    <row r="104" customHeight="1" outlineLevel="2" spans="1:28">
      <c r="A104" s="512" t="s">
        <v>2586</v>
      </c>
      <c r="B104" s="30"/>
      <c r="C104" s="513" t="s">
        <v>1310</v>
      </c>
      <c r="D104" s="30" t="s">
        <v>2587</v>
      </c>
      <c r="E104" s="30" t="s">
        <v>2521</v>
      </c>
      <c r="F104" s="30" t="s">
        <v>72</v>
      </c>
      <c r="G104" s="30">
        <v>674.33</v>
      </c>
      <c r="H104" s="30">
        <v>12.697247706422</v>
      </c>
      <c r="I104" s="30">
        <f>G104*H104</f>
        <v>8562.13504587155</v>
      </c>
      <c r="J104" s="30">
        <f t="shared" ref="J104:L104" si="137">+G104</f>
        <v>674.33</v>
      </c>
      <c r="K104" s="30">
        <f t="shared" si="137"/>
        <v>12.697247706422</v>
      </c>
      <c r="L104" s="526">
        <f t="shared" si="137"/>
        <v>8562.13504587155</v>
      </c>
      <c r="M104" s="30">
        <v>674.33</v>
      </c>
      <c r="N104" s="30">
        <f ca="1">O104/M104</f>
        <v>7.6922958937019</v>
      </c>
      <c r="O104" s="30">
        <f ca="1">(+O105+O106+O107+O108)</f>
        <v>5187.14589</v>
      </c>
      <c r="P104" s="30"/>
      <c r="Q104" s="30"/>
      <c r="R104" s="30">
        <f>+P104+J104</f>
        <v>674.33</v>
      </c>
      <c r="S104" s="30">
        <f>+Q104+L104</f>
        <v>8562.13504587155</v>
      </c>
      <c r="T104" s="30">
        <f>IFERROR(VLOOKUP(A104,产值统计中间表!A:F,7,FALSE),0)</f>
        <v>0</v>
      </c>
      <c r="U104" s="30">
        <f>+T104*H104</f>
        <v>0</v>
      </c>
      <c r="V104" s="30">
        <f>IFERROR(VLOOKUP(A104,产值统计中间表!A:D,4,FALSE),0)</f>
        <v>0</v>
      </c>
      <c r="W104" s="30">
        <f>+V104*H104</f>
        <v>0</v>
      </c>
      <c r="X104" s="30">
        <f>+R104-V104</f>
        <v>674.33</v>
      </c>
      <c r="Y104" s="30">
        <f>+S104-W104</f>
        <v>8562.13504587155</v>
      </c>
      <c r="Z104" s="30">
        <f>IFERROR(VLOOKUP(A104,业主统计中间表!A:D,4,FALSE),0)</f>
        <v>0</v>
      </c>
      <c r="AA104" s="30">
        <f>+Z104*H104</f>
        <v>0</v>
      </c>
      <c r="AB104" s="30"/>
    </row>
    <row r="105" customHeight="1" outlineLevel="3" spans="1:28">
      <c r="A105" s="514" t="s">
        <v>2588</v>
      </c>
      <c r="B105" s="30"/>
      <c r="C105" s="513" t="s">
        <v>63</v>
      </c>
      <c r="D105" s="30" t="s">
        <v>629</v>
      </c>
      <c r="E105" s="30"/>
      <c r="F105" s="30" t="str">
        <f ca="1" t="shared" ref="F105:F108" si="138">VLOOKUP($D105,INDIRECT($C105),2,0)</f>
        <v>m3</v>
      </c>
      <c r="G105" s="30"/>
      <c r="H105" s="30"/>
      <c r="I105" s="30"/>
      <c r="J105" s="30"/>
      <c r="K105" s="30"/>
      <c r="L105" s="526"/>
      <c r="M105" s="30">
        <v>249.5021</v>
      </c>
      <c r="N105" s="30">
        <f ca="1" t="shared" ref="N105:N108" si="139">VLOOKUP($D105,INDIRECT($C105),3,0)</f>
        <v>0.9</v>
      </c>
      <c r="O105" s="30">
        <f ca="1">M105*N105</f>
        <v>224.55189</v>
      </c>
      <c r="P105" s="30"/>
      <c r="Q105" s="30"/>
      <c r="R105" s="30"/>
      <c r="S105" s="30"/>
      <c r="T105" s="30">
        <f ca="1" t="shared" si="129"/>
        <v>0</v>
      </c>
      <c r="U105" s="30">
        <f ca="1" t="shared" si="130"/>
        <v>0</v>
      </c>
      <c r="V105" s="30">
        <f ca="1" t="shared" si="131"/>
        <v>0</v>
      </c>
      <c r="W105" s="30">
        <f ca="1" t="shared" si="132"/>
        <v>0</v>
      </c>
      <c r="X105" s="30">
        <f ca="1" t="shared" si="133"/>
        <v>249.5021</v>
      </c>
      <c r="Y105" s="30">
        <f ca="1" t="shared" si="134"/>
        <v>224.55189</v>
      </c>
      <c r="Z105" s="30">
        <f ca="1" t="shared" si="135"/>
        <v>0</v>
      </c>
      <c r="AA105" s="30">
        <f ca="1" t="shared" si="136"/>
        <v>0</v>
      </c>
      <c r="AB105" s="30"/>
    </row>
    <row r="106" customHeight="1" outlineLevel="3" spans="1:28">
      <c r="A106" s="514" t="s">
        <v>2589</v>
      </c>
      <c r="B106" s="30"/>
      <c r="C106" s="513" t="s">
        <v>63</v>
      </c>
      <c r="D106" s="30" t="s">
        <v>646</v>
      </c>
      <c r="E106" s="30"/>
      <c r="F106" s="30" t="str">
        <f ca="1" t="shared" si="138"/>
        <v>m3</v>
      </c>
      <c r="G106" s="30"/>
      <c r="H106" s="30"/>
      <c r="I106" s="30"/>
      <c r="J106" s="30"/>
      <c r="K106" s="30"/>
      <c r="L106" s="526"/>
      <c r="M106" s="30">
        <v>424.8279</v>
      </c>
      <c r="N106" s="30">
        <f ca="1" t="shared" si="139"/>
        <v>0</v>
      </c>
      <c r="O106" s="30">
        <f ca="1">M106*N106</f>
        <v>0</v>
      </c>
      <c r="P106" s="30"/>
      <c r="Q106" s="30"/>
      <c r="R106" s="30"/>
      <c r="S106" s="30"/>
      <c r="T106" s="30">
        <f ca="1" t="shared" si="129"/>
        <v>0</v>
      </c>
      <c r="U106" s="30">
        <f ca="1" t="shared" si="130"/>
        <v>0</v>
      </c>
      <c r="V106" s="30">
        <f ca="1" t="shared" si="131"/>
        <v>0</v>
      </c>
      <c r="W106" s="30">
        <f ca="1" t="shared" si="132"/>
        <v>0</v>
      </c>
      <c r="X106" s="30">
        <f ca="1" t="shared" si="133"/>
        <v>424.8279</v>
      </c>
      <c r="Y106" s="30">
        <f ca="1" t="shared" si="134"/>
        <v>0</v>
      </c>
      <c r="Z106" s="30">
        <f ca="1" t="shared" si="135"/>
        <v>0</v>
      </c>
      <c r="AA106" s="30">
        <f ca="1" t="shared" si="136"/>
        <v>0</v>
      </c>
      <c r="AB106" s="30"/>
    </row>
    <row r="107" customHeight="1" outlineLevel="3" spans="1:28">
      <c r="A107" s="514" t="s">
        <v>2590</v>
      </c>
      <c r="B107" s="30"/>
      <c r="C107" s="513" t="s">
        <v>63</v>
      </c>
      <c r="D107" s="30" t="s">
        <v>1213</v>
      </c>
      <c r="E107" s="30"/>
      <c r="F107" s="30" t="str">
        <f ca="1" t="shared" si="138"/>
        <v>m3</v>
      </c>
      <c r="G107" s="30"/>
      <c r="H107" s="30"/>
      <c r="I107" s="30"/>
      <c r="J107" s="30"/>
      <c r="K107" s="30"/>
      <c r="L107" s="526"/>
      <c r="M107" s="30">
        <v>181.78</v>
      </c>
      <c r="N107" s="30">
        <f ca="1" t="shared" si="139"/>
        <v>24.3</v>
      </c>
      <c r="O107" s="30">
        <f ca="1">M107*N107</f>
        <v>4417.254</v>
      </c>
      <c r="P107" s="30"/>
      <c r="Q107" s="30"/>
      <c r="R107" s="30"/>
      <c r="S107" s="30"/>
      <c r="T107" s="30">
        <f ca="1" t="shared" si="129"/>
        <v>0</v>
      </c>
      <c r="U107" s="30">
        <f ca="1" t="shared" si="130"/>
        <v>0</v>
      </c>
      <c r="V107" s="30">
        <f ca="1" t="shared" si="131"/>
        <v>0</v>
      </c>
      <c r="W107" s="30">
        <f ca="1" t="shared" si="132"/>
        <v>0</v>
      </c>
      <c r="X107" s="30">
        <f ca="1" t="shared" si="133"/>
        <v>181.78</v>
      </c>
      <c r="Y107" s="30">
        <f ca="1" t="shared" si="134"/>
        <v>4417.254</v>
      </c>
      <c r="Z107" s="30">
        <f ca="1" t="shared" si="135"/>
        <v>0</v>
      </c>
      <c r="AA107" s="30">
        <f ca="1" t="shared" si="136"/>
        <v>0</v>
      </c>
      <c r="AB107" s="30"/>
    </row>
    <row r="108" customHeight="1" outlineLevel="3" spans="1:28">
      <c r="A108" s="514" t="s">
        <v>2591</v>
      </c>
      <c r="B108" s="30"/>
      <c r="C108" s="513" t="s">
        <v>63</v>
      </c>
      <c r="D108" s="30" t="s">
        <v>1214</v>
      </c>
      <c r="E108" s="30"/>
      <c r="F108" s="30" t="str">
        <f ca="1" t="shared" si="138"/>
        <v>m3</v>
      </c>
      <c r="G108" s="30"/>
      <c r="H108" s="30"/>
      <c r="I108" s="30"/>
      <c r="J108" s="30"/>
      <c r="K108" s="30"/>
      <c r="L108" s="526"/>
      <c r="M108" s="30">
        <v>181.78</v>
      </c>
      <c r="N108" s="30">
        <f ca="1" t="shared" si="139"/>
        <v>3</v>
      </c>
      <c r="O108" s="30">
        <f ca="1">M108*N108</f>
        <v>545.34</v>
      </c>
      <c r="P108" s="30"/>
      <c r="Q108" s="30"/>
      <c r="R108" s="30"/>
      <c r="S108" s="30"/>
      <c r="T108" s="30">
        <f ca="1" t="shared" si="129"/>
        <v>0</v>
      </c>
      <c r="U108" s="30">
        <f ca="1" t="shared" si="130"/>
        <v>0</v>
      </c>
      <c r="V108" s="30">
        <f ca="1" t="shared" si="131"/>
        <v>0</v>
      </c>
      <c r="W108" s="30">
        <f ca="1" t="shared" si="132"/>
        <v>0</v>
      </c>
      <c r="X108" s="30">
        <f ca="1" t="shared" si="133"/>
        <v>181.78</v>
      </c>
      <c r="Y108" s="30">
        <f ca="1" t="shared" si="134"/>
        <v>545.34</v>
      </c>
      <c r="Z108" s="30">
        <f ca="1" t="shared" si="135"/>
        <v>0</v>
      </c>
      <c r="AA108" s="30">
        <f ca="1" t="shared" si="136"/>
        <v>0</v>
      </c>
      <c r="AB108" s="30"/>
    </row>
    <row r="109" customHeight="1" outlineLevel="2" spans="1:28">
      <c r="A109" s="512" t="s">
        <v>2592</v>
      </c>
      <c r="B109" s="30"/>
      <c r="C109" s="513" t="s">
        <v>1310</v>
      </c>
      <c r="D109" s="30" t="s">
        <v>1080</v>
      </c>
      <c r="E109" s="30" t="s">
        <v>2593</v>
      </c>
      <c r="F109" s="30" t="s">
        <v>175</v>
      </c>
      <c r="G109" s="30">
        <v>8</v>
      </c>
      <c r="H109" s="30">
        <v>1282.05504587156</v>
      </c>
      <c r="I109" s="30">
        <f>G109*H109</f>
        <v>10256.4403669725</v>
      </c>
      <c r="J109" s="30">
        <f t="shared" ref="J109:L109" si="140">+G109</f>
        <v>8</v>
      </c>
      <c r="K109" s="30">
        <f t="shared" si="140"/>
        <v>1282.05504587156</v>
      </c>
      <c r="L109" s="526">
        <f t="shared" si="140"/>
        <v>10256.4403669725</v>
      </c>
      <c r="M109" s="30">
        <v>8</v>
      </c>
      <c r="N109" s="30">
        <f ca="1">O109/M109</f>
        <v>250</v>
      </c>
      <c r="O109" s="30">
        <f ca="1">(+O110+O111+O112+O113+O114+O115)</f>
        <v>2000</v>
      </c>
      <c r="P109" s="30"/>
      <c r="Q109" s="30"/>
      <c r="R109" s="30">
        <f>+P109+J109</f>
        <v>8</v>
      </c>
      <c r="S109" s="30">
        <f>+Q109+L109</f>
        <v>10256.4403669725</v>
      </c>
      <c r="T109" s="30">
        <f>IFERROR(VLOOKUP(A109,产值统计中间表!A:F,7,FALSE),0)</f>
        <v>0</v>
      </c>
      <c r="U109" s="30">
        <f>+T109*H109</f>
        <v>0</v>
      </c>
      <c r="V109" s="30">
        <f>IFERROR(VLOOKUP(A109,产值统计中间表!A:D,4,FALSE),0)</f>
        <v>0</v>
      </c>
      <c r="W109" s="30">
        <f>+V109*H109</f>
        <v>0</v>
      </c>
      <c r="X109" s="30">
        <f>+R109-V109</f>
        <v>8</v>
      </c>
      <c r="Y109" s="30">
        <f>+S109-W109</f>
        <v>10256.4403669725</v>
      </c>
      <c r="Z109" s="30">
        <f>IFERROR(VLOOKUP(A109,业主统计中间表!A:D,4,FALSE),0)</f>
        <v>0</v>
      </c>
      <c r="AA109" s="30">
        <f>+Z109*H109</f>
        <v>0</v>
      </c>
      <c r="AB109" s="30"/>
    </row>
    <row r="110" customHeight="1" outlineLevel="3" spans="1:28">
      <c r="A110" s="514" t="s">
        <v>2594</v>
      </c>
      <c r="B110" s="30"/>
      <c r="C110" s="513" t="s">
        <v>64</v>
      </c>
      <c r="D110" s="30" t="s">
        <v>1080</v>
      </c>
      <c r="E110" s="30"/>
      <c r="F110" s="30" t="str">
        <f ca="1" t="shared" ref="F110:F115" si="141">VLOOKUP($D110,INDIRECT($C110),2,0)</f>
        <v>座</v>
      </c>
      <c r="G110" s="30"/>
      <c r="H110" s="30"/>
      <c r="I110" s="30"/>
      <c r="J110" s="30"/>
      <c r="K110" s="30"/>
      <c r="L110" s="526"/>
      <c r="M110" s="30">
        <v>8</v>
      </c>
      <c r="N110" s="30">
        <f ca="1" t="shared" ref="N110:N115" si="142">VLOOKUP($D110,INDIRECT($C110),3,0)</f>
        <v>250</v>
      </c>
      <c r="O110" s="30">
        <f ca="1" t="shared" ref="O110:O115" si="143">M110*N110</f>
        <v>2000</v>
      </c>
      <c r="P110" s="30"/>
      <c r="Q110" s="30"/>
      <c r="R110" s="30"/>
      <c r="S110" s="30"/>
      <c r="T110" s="30">
        <f ca="1" t="shared" ref="T110:T115" si="144">OFFSET(T110,-RIGHT($A110,LEN($A$6)),,1,1)/OFFSET(T110,-RIGHT($A110,LEN($A$6)),-13,1,1)*$M110</f>
        <v>0</v>
      </c>
      <c r="U110" s="30">
        <f ca="1" t="shared" ref="U110:U115" si="145">+$N110*T110</f>
        <v>0</v>
      </c>
      <c r="V110" s="30">
        <f ca="1" t="shared" ref="V110:V115" si="146">OFFSET(V110,-RIGHT($A110,LEN($A$6)),,1,1)/OFFSET(V110,-RIGHT($A110,LEN($A$6)),-15,1,1)*$M110</f>
        <v>0</v>
      </c>
      <c r="W110" s="30">
        <f ca="1" t="shared" ref="W110:W115" si="147">+$N110*V110</f>
        <v>0</v>
      </c>
      <c r="X110" s="30">
        <f ca="1" t="shared" ref="X110:X115" si="148">+M110-V110</f>
        <v>8</v>
      </c>
      <c r="Y110" s="30">
        <f ca="1" t="shared" ref="Y110:Y115" si="149">+O110-W110</f>
        <v>2000</v>
      </c>
      <c r="Z110" s="30">
        <f ca="1" t="shared" ref="Z110:Z115" si="150">OFFSET(Z110,-RIGHT($A110,LEN($A$6)),,1,1)/OFFSET(Z110,-RIGHT($A110,LEN($A$6)),-19,1,1)*$M110</f>
        <v>0</v>
      </c>
      <c r="AA110" s="30">
        <f ca="1" t="shared" ref="AA110:AA115" si="151">+$N110*Z110</f>
        <v>0</v>
      </c>
      <c r="AB110" s="30"/>
    </row>
    <row r="111" customHeight="1" outlineLevel="3" spans="1:28">
      <c r="A111" s="514" t="s">
        <v>2595</v>
      </c>
      <c r="B111" s="30"/>
      <c r="C111" s="513" t="s">
        <v>59</v>
      </c>
      <c r="D111" s="30" t="s">
        <v>1018</v>
      </c>
      <c r="E111" s="30"/>
      <c r="F111" s="30" t="str">
        <f ca="1" t="shared" si="141"/>
        <v>m3</v>
      </c>
      <c r="G111" s="30"/>
      <c r="H111" s="30"/>
      <c r="I111" s="30"/>
      <c r="J111" s="30"/>
      <c r="K111" s="30"/>
      <c r="L111" s="526"/>
      <c r="M111" s="30">
        <v>1.7776</v>
      </c>
      <c r="N111" s="30">
        <f ca="1" t="shared" si="142"/>
        <v>0</v>
      </c>
      <c r="O111" s="30">
        <f ca="1" t="shared" si="143"/>
        <v>0</v>
      </c>
      <c r="P111" s="30"/>
      <c r="Q111" s="30"/>
      <c r="R111" s="30"/>
      <c r="S111" s="30"/>
      <c r="T111" s="30">
        <f ca="1" t="shared" si="144"/>
        <v>0</v>
      </c>
      <c r="U111" s="30">
        <f ca="1" t="shared" si="145"/>
        <v>0</v>
      </c>
      <c r="V111" s="30">
        <f ca="1" t="shared" si="146"/>
        <v>0</v>
      </c>
      <c r="W111" s="30">
        <f ca="1" t="shared" si="147"/>
        <v>0</v>
      </c>
      <c r="X111" s="30">
        <f ca="1" t="shared" si="148"/>
        <v>1.7776</v>
      </c>
      <c r="Y111" s="30">
        <f ca="1" t="shared" si="149"/>
        <v>0</v>
      </c>
      <c r="Z111" s="30">
        <f ca="1" t="shared" si="150"/>
        <v>0</v>
      </c>
      <c r="AA111" s="30">
        <f ca="1" t="shared" si="151"/>
        <v>0</v>
      </c>
      <c r="AB111" s="30"/>
    </row>
    <row r="112" customHeight="1" outlineLevel="3" spans="1:28">
      <c r="A112" s="514" t="s">
        <v>2596</v>
      </c>
      <c r="B112" s="30"/>
      <c r="C112" s="513" t="s">
        <v>59</v>
      </c>
      <c r="D112" s="30" t="s">
        <v>1126</v>
      </c>
      <c r="E112" s="30"/>
      <c r="F112" s="30" t="str">
        <f ca="1" t="shared" si="141"/>
        <v>m3</v>
      </c>
      <c r="G112" s="30"/>
      <c r="H112" s="30"/>
      <c r="I112" s="30"/>
      <c r="J112" s="30"/>
      <c r="K112" s="30"/>
      <c r="L112" s="526"/>
      <c r="M112" s="30">
        <f>4.71296*1000</f>
        <v>4712.96</v>
      </c>
      <c r="N112" s="30">
        <f ca="1" t="shared" si="142"/>
        <v>0</v>
      </c>
      <c r="O112" s="30">
        <f ca="1" t="shared" si="143"/>
        <v>0</v>
      </c>
      <c r="P112" s="30"/>
      <c r="Q112" s="30"/>
      <c r="R112" s="30"/>
      <c r="S112" s="30"/>
      <c r="T112" s="30">
        <f ca="1" t="shared" si="144"/>
        <v>0</v>
      </c>
      <c r="U112" s="30">
        <f ca="1" t="shared" si="145"/>
        <v>0</v>
      </c>
      <c r="V112" s="30">
        <f ca="1" t="shared" si="146"/>
        <v>0</v>
      </c>
      <c r="W112" s="30">
        <f ca="1" t="shared" si="147"/>
        <v>0</v>
      </c>
      <c r="X112" s="30">
        <f ca="1" t="shared" si="148"/>
        <v>4712.96</v>
      </c>
      <c r="Y112" s="30">
        <f ca="1" t="shared" si="149"/>
        <v>0</v>
      </c>
      <c r="Z112" s="30">
        <f ca="1" t="shared" si="150"/>
        <v>0</v>
      </c>
      <c r="AA112" s="30">
        <f ca="1" t="shared" si="151"/>
        <v>0</v>
      </c>
      <c r="AB112" s="30"/>
    </row>
    <row r="113" customHeight="1" outlineLevel="3" spans="1:28">
      <c r="A113" s="514" t="s">
        <v>2597</v>
      </c>
      <c r="B113" s="30"/>
      <c r="C113" s="513" t="s">
        <v>59</v>
      </c>
      <c r="D113" s="30" t="s">
        <v>780</v>
      </c>
      <c r="E113" s="30"/>
      <c r="F113" s="30" t="str">
        <f ca="1" t="shared" si="141"/>
        <v>吨</v>
      </c>
      <c r="G113" s="30"/>
      <c r="H113" s="30"/>
      <c r="I113" s="30"/>
      <c r="J113" s="30"/>
      <c r="K113" s="30"/>
      <c r="L113" s="526"/>
      <c r="M113" s="30">
        <v>4.010496</v>
      </c>
      <c r="N113" s="30">
        <f ca="1" t="shared" si="142"/>
        <v>0</v>
      </c>
      <c r="O113" s="30">
        <f ca="1" t="shared" si="143"/>
        <v>0</v>
      </c>
      <c r="P113" s="30"/>
      <c r="Q113" s="30"/>
      <c r="R113" s="30"/>
      <c r="S113" s="30"/>
      <c r="T113" s="30">
        <f ca="1" t="shared" si="144"/>
        <v>0</v>
      </c>
      <c r="U113" s="30">
        <f ca="1" t="shared" si="145"/>
        <v>0</v>
      </c>
      <c r="V113" s="30">
        <f ca="1" t="shared" si="146"/>
        <v>0</v>
      </c>
      <c r="W113" s="30">
        <f ca="1" t="shared" si="147"/>
        <v>0</v>
      </c>
      <c r="X113" s="30">
        <f ca="1" t="shared" si="148"/>
        <v>4.010496</v>
      </c>
      <c r="Y113" s="30">
        <f ca="1" t="shared" si="149"/>
        <v>0</v>
      </c>
      <c r="Z113" s="30">
        <f ca="1" t="shared" si="150"/>
        <v>0</v>
      </c>
      <c r="AA113" s="30">
        <f ca="1" t="shared" si="151"/>
        <v>0</v>
      </c>
      <c r="AB113" s="30"/>
    </row>
    <row r="114" customHeight="1" outlineLevel="3" spans="1:28">
      <c r="A114" s="514" t="s">
        <v>2598</v>
      </c>
      <c r="B114" s="30"/>
      <c r="C114" s="513" t="s">
        <v>59</v>
      </c>
      <c r="D114" s="30" t="s">
        <v>1129</v>
      </c>
      <c r="E114" s="30"/>
      <c r="F114" s="30" t="str">
        <f ca="1" t="shared" si="141"/>
        <v>m3</v>
      </c>
      <c r="G114" s="30"/>
      <c r="H114" s="30"/>
      <c r="I114" s="30"/>
      <c r="J114" s="30"/>
      <c r="K114" s="30"/>
      <c r="L114" s="526"/>
      <c r="M114" s="30">
        <v>2.134692</v>
      </c>
      <c r="N114" s="30">
        <f ca="1" t="shared" si="142"/>
        <v>0</v>
      </c>
      <c r="O114" s="30">
        <f ca="1" t="shared" si="143"/>
        <v>0</v>
      </c>
      <c r="P114" s="30"/>
      <c r="Q114" s="30"/>
      <c r="R114" s="30"/>
      <c r="S114" s="30"/>
      <c r="T114" s="30">
        <f ca="1" t="shared" si="144"/>
        <v>0</v>
      </c>
      <c r="U114" s="30">
        <f ca="1" t="shared" si="145"/>
        <v>0</v>
      </c>
      <c r="V114" s="30">
        <f ca="1" t="shared" si="146"/>
        <v>0</v>
      </c>
      <c r="W114" s="30">
        <f ca="1" t="shared" si="147"/>
        <v>0</v>
      </c>
      <c r="X114" s="30">
        <f ca="1" t="shared" si="148"/>
        <v>2.134692</v>
      </c>
      <c r="Y114" s="30">
        <f ca="1" t="shared" si="149"/>
        <v>0</v>
      </c>
      <c r="Z114" s="30">
        <f ca="1" t="shared" si="150"/>
        <v>0</v>
      </c>
      <c r="AA114" s="30">
        <f ca="1" t="shared" si="151"/>
        <v>0</v>
      </c>
      <c r="AB114" s="30"/>
    </row>
    <row r="115" customHeight="1" outlineLevel="3" spans="1:28">
      <c r="A115" s="514" t="s">
        <v>2599</v>
      </c>
      <c r="B115" s="30"/>
      <c r="C115" s="513" t="s">
        <v>59</v>
      </c>
      <c r="D115" s="30" t="s">
        <v>1111</v>
      </c>
      <c r="E115" s="30"/>
      <c r="F115" s="30" t="str">
        <f ca="1" t="shared" si="141"/>
        <v>套</v>
      </c>
      <c r="G115" s="30"/>
      <c r="H115" s="30"/>
      <c r="I115" s="30"/>
      <c r="J115" s="30"/>
      <c r="K115" s="30"/>
      <c r="L115" s="526"/>
      <c r="M115" s="30">
        <v>8</v>
      </c>
      <c r="N115" s="30">
        <f ca="1" t="shared" si="142"/>
        <v>0</v>
      </c>
      <c r="O115" s="30">
        <f ca="1" t="shared" si="143"/>
        <v>0</v>
      </c>
      <c r="P115" s="30"/>
      <c r="Q115" s="30"/>
      <c r="R115" s="30"/>
      <c r="S115" s="30"/>
      <c r="T115" s="30">
        <f ca="1" t="shared" si="144"/>
        <v>0</v>
      </c>
      <c r="U115" s="30">
        <f ca="1" t="shared" si="145"/>
        <v>0</v>
      </c>
      <c r="V115" s="30">
        <f ca="1" t="shared" si="146"/>
        <v>0</v>
      </c>
      <c r="W115" s="30">
        <f ca="1" t="shared" si="147"/>
        <v>0</v>
      </c>
      <c r="X115" s="30">
        <f ca="1" t="shared" si="148"/>
        <v>8</v>
      </c>
      <c r="Y115" s="30">
        <f ca="1" t="shared" si="149"/>
        <v>0</v>
      </c>
      <c r="Z115" s="30">
        <f ca="1" t="shared" si="150"/>
        <v>0</v>
      </c>
      <c r="AA115" s="30">
        <f ca="1" t="shared" si="151"/>
        <v>0</v>
      </c>
      <c r="AB115" s="30"/>
    </row>
    <row r="116" customHeight="1" outlineLevel="1" spans="1:28">
      <c r="A116" s="515" t="s">
        <v>2600</v>
      </c>
      <c r="B116" s="30"/>
      <c r="C116" s="513" t="s">
        <v>60</v>
      </c>
      <c r="D116" s="30" t="s">
        <v>2601</v>
      </c>
      <c r="E116" s="30"/>
      <c r="F116" s="30"/>
      <c r="G116" s="30"/>
      <c r="H116" s="30"/>
      <c r="I116" s="30">
        <f>(+I117+I119)</f>
        <v>117806.980458716</v>
      </c>
      <c r="J116" s="30"/>
      <c r="K116" s="30"/>
      <c r="L116" s="526">
        <f>(+L117+L119)</f>
        <v>117806.980458716</v>
      </c>
      <c r="M116" s="30"/>
      <c r="N116" s="30"/>
      <c r="O116" s="30">
        <f>(+O117+O119)</f>
        <v>91889.4447577985</v>
      </c>
      <c r="P116" s="30"/>
      <c r="Q116" s="30"/>
      <c r="R116" s="30"/>
      <c r="S116" s="30"/>
      <c r="T116" s="30"/>
      <c r="U116" s="30"/>
      <c r="V116" s="30"/>
      <c r="W116" s="30"/>
      <c r="X116" s="30"/>
      <c r="Y116" s="30"/>
      <c r="Z116" s="30"/>
      <c r="AA116" s="30"/>
      <c r="AB116" s="30"/>
    </row>
    <row r="117" customHeight="1" outlineLevel="2" spans="1:28">
      <c r="A117" s="512" t="s">
        <v>2602</v>
      </c>
      <c r="B117" s="30"/>
      <c r="C117" s="513" t="s">
        <v>1310</v>
      </c>
      <c r="D117" s="30" t="s">
        <v>1985</v>
      </c>
      <c r="E117" s="30" t="s">
        <v>2603</v>
      </c>
      <c r="F117" s="30" t="s">
        <v>69</v>
      </c>
      <c r="G117" s="30">
        <v>957.99</v>
      </c>
      <c r="H117" s="30">
        <v>102.871559633028</v>
      </c>
      <c r="I117" s="30">
        <f>G117*H117</f>
        <v>98549.9254128445</v>
      </c>
      <c r="J117" s="30">
        <f t="shared" ref="J117:L117" si="152">+G117</f>
        <v>957.99</v>
      </c>
      <c r="K117" s="30">
        <f t="shared" si="152"/>
        <v>102.871559633028</v>
      </c>
      <c r="L117" s="526">
        <f t="shared" si="152"/>
        <v>98549.9254128445</v>
      </c>
      <c r="M117" s="30">
        <f>+G117</f>
        <v>957.99</v>
      </c>
      <c r="N117" s="30">
        <f>O117/M117</f>
        <v>80.2398165137618</v>
      </c>
      <c r="O117" s="30">
        <f>(+O118)</f>
        <v>76868.9418220187</v>
      </c>
      <c r="P117" s="30"/>
      <c r="Q117" s="30"/>
      <c r="R117" s="30">
        <f>+P117+J117</f>
        <v>957.99</v>
      </c>
      <c r="S117" s="30">
        <f>+Q117+L117</f>
        <v>98549.9254128445</v>
      </c>
      <c r="T117" s="30">
        <f>IFERROR(VLOOKUP(A117,产值统计中间表!A:F,7,FALSE),0)</f>
        <v>0</v>
      </c>
      <c r="U117" s="30">
        <f>+T117*H117</f>
        <v>0</v>
      </c>
      <c r="V117" s="30">
        <f>IFERROR(VLOOKUP(A117,产值统计中间表!A:D,4,FALSE),0)</f>
        <v>0</v>
      </c>
      <c r="W117" s="30">
        <f>+V117*H117</f>
        <v>0</v>
      </c>
      <c r="X117" s="30">
        <f>+R117-V117</f>
        <v>957.99</v>
      </c>
      <c r="Y117" s="30">
        <f>+S117-W117</f>
        <v>98549.9254128445</v>
      </c>
      <c r="Z117" s="30">
        <f>IFERROR(VLOOKUP(A117,业主统计中间表!A:D,4,FALSE),0)</f>
        <v>0</v>
      </c>
      <c r="AA117" s="30">
        <f>+Z117*H117</f>
        <v>0</v>
      </c>
      <c r="AB117" s="30"/>
    </row>
    <row r="118" customHeight="1" outlineLevel="3" spans="1:28">
      <c r="A118" s="514" t="s">
        <v>2604</v>
      </c>
      <c r="B118" s="30"/>
      <c r="C118" s="513" t="s">
        <v>65</v>
      </c>
      <c r="D118" s="30" t="s">
        <v>189</v>
      </c>
      <c r="E118" s="30"/>
      <c r="F118" s="30"/>
      <c r="G118" s="30"/>
      <c r="H118" s="30"/>
      <c r="I118" s="30"/>
      <c r="J118" s="30"/>
      <c r="K118" s="30"/>
      <c r="L118" s="526"/>
      <c r="M118" s="30">
        <f>I117</f>
        <v>98549.9254128445</v>
      </c>
      <c r="N118" s="30">
        <f>0.78</f>
        <v>0.78</v>
      </c>
      <c r="O118" s="30">
        <f>M118*N118</f>
        <v>76868.9418220187</v>
      </c>
      <c r="P118" s="30"/>
      <c r="Q118" s="30"/>
      <c r="R118" s="30"/>
      <c r="S118" s="30"/>
      <c r="T118" s="30">
        <f ca="1">OFFSET(T118,-RIGHT($A118,LEN($A$6)),,1,1)/OFFSET(T118,-RIGHT($A118,LEN($A$6)),-13,1,1)*$M118</f>
        <v>0</v>
      </c>
      <c r="U118" s="30">
        <f ca="1">+$N118*T118</f>
        <v>0</v>
      </c>
      <c r="V118" s="30">
        <f ca="1">OFFSET(V118,-RIGHT($A118,LEN($A$6)),,1,1)/OFFSET(V118,-RIGHT($A118,LEN($A$6)),-15,1,1)*$M118</f>
        <v>0</v>
      </c>
      <c r="W118" s="30">
        <f ca="1">+$N118*V118</f>
        <v>0</v>
      </c>
      <c r="X118" s="30">
        <f ca="1">+M118-V118</f>
        <v>98549.9254128445</v>
      </c>
      <c r="Y118" s="30">
        <f ca="1">+O118-W118</f>
        <v>76868.9418220187</v>
      </c>
      <c r="Z118" s="30">
        <f ca="1">OFFSET(Z118,-RIGHT($A118,LEN($A$6)),,1,1)/OFFSET(Z118,-RIGHT($A118,LEN($A$6)),-19,1,1)*$M118</f>
        <v>0</v>
      </c>
      <c r="AA118" s="30">
        <f ca="1">+$N118*Z118</f>
        <v>0</v>
      </c>
      <c r="AB118" s="30"/>
    </row>
    <row r="119" customHeight="1" outlineLevel="2" spans="1:28">
      <c r="A119" s="512" t="s">
        <v>2605</v>
      </c>
      <c r="B119" s="30"/>
      <c r="C119" s="513" t="s">
        <v>1310</v>
      </c>
      <c r="D119" s="30" t="s">
        <v>2606</v>
      </c>
      <c r="E119" s="30" t="s">
        <v>2607</v>
      </c>
      <c r="F119" s="30" t="s">
        <v>69</v>
      </c>
      <c r="G119" s="30">
        <v>6539</v>
      </c>
      <c r="H119" s="30">
        <v>2.94495412844037</v>
      </c>
      <c r="I119" s="30">
        <f>G119*H119</f>
        <v>19257.0550458716</v>
      </c>
      <c r="J119" s="30">
        <f t="shared" ref="J119:L119" si="153">+G119</f>
        <v>6539</v>
      </c>
      <c r="K119" s="30">
        <f t="shared" si="153"/>
        <v>2.94495412844037</v>
      </c>
      <c r="L119" s="526">
        <f t="shared" si="153"/>
        <v>19257.0550458716</v>
      </c>
      <c r="M119" s="30">
        <f>+G119</f>
        <v>6539</v>
      </c>
      <c r="N119" s="30">
        <f>O119/M119</f>
        <v>2.29706422018349</v>
      </c>
      <c r="O119" s="30">
        <f>(+O120)</f>
        <v>15020.5029357798</v>
      </c>
      <c r="P119" s="30"/>
      <c r="Q119" s="30"/>
      <c r="R119" s="30">
        <f>+P119+J119</f>
        <v>6539</v>
      </c>
      <c r="S119" s="30">
        <f>+Q119+L119</f>
        <v>19257.0550458716</v>
      </c>
      <c r="T119" s="30">
        <f>IFERROR(VLOOKUP(A119,产值统计中间表!A:F,7,FALSE),0)</f>
        <v>0</v>
      </c>
      <c r="U119" s="30">
        <f>+T119*H119</f>
        <v>0</v>
      </c>
      <c r="V119" s="30">
        <f>IFERROR(VLOOKUP(A119,产值统计中间表!A:D,4,FALSE),0)</f>
        <v>0</v>
      </c>
      <c r="W119" s="30">
        <f>+V119*H119</f>
        <v>0</v>
      </c>
      <c r="X119" s="30">
        <f>+R119-V119</f>
        <v>6539</v>
      </c>
      <c r="Y119" s="30">
        <f>+S119-W119</f>
        <v>19257.0550458716</v>
      </c>
      <c r="Z119" s="30">
        <f>IFERROR(VLOOKUP(A119,业主统计中间表!A:D,4,FALSE),0)</f>
        <v>0</v>
      </c>
      <c r="AA119" s="30">
        <f>+Z119*H119</f>
        <v>0</v>
      </c>
      <c r="AB119" s="30"/>
    </row>
    <row r="120" customHeight="1" outlineLevel="3" spans="1:28">
      <c r="A120" s="514" t="s">
        <v>2608</v>
      </c>
      <c r="B120" s="30"/>
      <c r="C120" s="513" t="s">
        <v>65</v>
      </c>
      <c r="D120" s="30" t="s">
        <v>189</v>
      </c>
      <c r="E120" s="30"/>
      <c r="F120" s="30"/>
      <c r="G120" s="30"/>
      <c r="H120" s="30"/>
      <c r="I120" s="30"/>
      <c r="J120" s="30"/>
      <c r="K120" s="30"/>
      <c r="L120" s="526"/>
      <c r="M120" s="30">
        <f>I119</f>
        <v>19257.0550458716</v>
      </c>
      <c r="N120" s="30">
        <v>0.78</v>
      </c>
      <c r="O120" s="30">
        <f>M120*N120</f>
        <v>15020.5029357798</v>
      </c>
      <c r="P120" s="30"/>
      <c r="Q120" s="30"/>
      <c r="R120" s="30"/>
      <c r="S120" s="30"/>
      <c r="T120" s="30">
        <f ca="1">OFFSET(T120,-RIGHT($A120,LEN($A$6)),,1,1)/OFFSET(T120,-RIGHT($A120,LEN($A$6)),-13,1,1)*$M120</f>
        <v>0</v>
      </c>
      <c r="U120" s="30">
        <f ca="1">+$N120*T120</f>
        <v>0</v>
      </c>
      <c r="V120" s="30">
        <f ca="1">OFFSET(V120,-RIGHT($A120,LEN($A$6)),,1,1)/OFFSET(V120,-RIGHT($A120,LEN($A$6)),-15,1,1)*$M120</f>
        <v>0</v>
      </c>
      <c r="W120" s="30">
        <f ca="1">+$N120*V120</f>
        <v>0</v>
      </c>
      <c r="X120" s="30">
        <f ca="1">+M120-V120</f>
        <v>19257.0550458716</v>
      </c>
      <c r="Y120" s="30">
        <f ca="1">+O120-W120</f>
        <v>15020.5029357798</v>
      </c>
      <c r="Z120" s="30">
        <f ca="1">OFFSET(Z120,-RIGHT($A120,LEN($A$6)),,1,1)/OFFSET(Z120,-RIGHT($A120,LEN($A$6)),-19,1,1)*$M120</f>
        <v>0</v>
      </c>
      <c r="AA120" s="30">
        <f ca="1">+$N120*Z120</f>
        <v>0</v>
      </c>
      <c r="AB120" s="30"/>
    </row>
    <row r="121" customHeight="1" outlineLevel="1" spans="1:28">
      <c r="A121" s="515" t="s">
        <v>2609</v>
      </c>
      <c r="B121" s="30"/>
      <c r="C121" s="513" t="s">
        <v>60</v>
      </c>
      <c r="D121" s="30" t="s">
        <v>2610</v>
      </c>
      <c r="E121" s="30"/>
      <c r="F121" s="30"/>
      <c r="G121" s="30"/>
      <c r="H121" s="30"/>
      <c r="I121" s="30">
        <f>(+I122+I124)</f>
        <v>86399.0458715596</v>
      </c>
      <c r="J121" s="30"/>
      <c r="K121" s="30"/>
      <c r="L121" s="526">
        <f>(+L122+L124)</f>
        <v>86399.0458715596</v>
      </c>
      <c r="M121" s="30"/>
      <c r="N121" s="30"/>
      <c r="O121" s="30">
        <f>(+O122+O124)</f>
        <v>86399.0458715596</v>
      </c>
      <c r="P121" s="30"/>
      <c r="Q121" s="30"/>
      <c r="R121" s="30"/>
      <c r="S121" s="30"/>
      <c r="T121" s="30"/>
      <c r="U121" s="30"/>
      <c r="V121" s="30"/>
      <c r="W121" s="30"/>
      <c r="X121" s="30"/>
      <c r="Y121" s="30"/>
      <c r="Z121" s="30"/>
      <c r="AA121" s="30"/>
      <c r="AB121" s="30"/>
    </row>
    <row r="122" customHeight="1" outlineLevel="2" spans="1:28">
      <c r="A122" s="512" t="s">
        <v>2611</v>
      </c>
      <c r="B122" s="30"/>
      <c r="C122" s="513" t="s">
        <v>1310</v>
      </c>
      <c r="D122" s="30" t="s">
        <v>2612</v>
      </c>
      <c r="E122" s="30" t="s">
        <v>2613</v>
      </c>
      <c r="F122" s="30" t="s">
        <v>169</v>
      </c>
      <c r="G122" s="30">
        <v>16</v>
      </c>
      <c r="H122" s="30">
        <v>4050.36697247706</v>
      </c>
      <c r="I122" s="30">
        <f>G122*H122</f>
        <v>64805.871559633</v>
      </c>
      <c r="J122" s="30">
        <f t="shared" ref="J122:L122" si="154">+G122</f>
        <v>16</v>
      </c>
      <c r="K122" s="30">
        <f t="shared" si="154"/>
        <v>4050.36697247706</v>
      </c>
      <c r="L122" s="526">
        <f t="shared" si="154"/>
        <v>64805.871559633</v>
      </c>
      <c r="M122" s="30">
        <f>+G122</f>
        <v>16</v>
      </c>
      <c r="N122" s="30">
        <f>O122/M122</f>
        <v>4050.36697247706</v>
      </c>
      <c r="O122" s="30">
        <f>(+O123)</f>
        <v>64805.871559633</v>
      </c>
      <c r="P122" s="30"/>
      <c r="Q122" s="30"/>
      <c r="R122" s="30">
        <f>+P122+J122</f>
        <v>16</v>
      </c>
      <c r="S122" s="30">
        <f>+Q122+L122</f>
        <v>64805.871559633</v>
      </c>
      <c r="T122" s="30">
        <f>IFERROR(VLOOKUP(A122,产值统计中间表!A:F,7,FALSE),0)</f>
        <v>0</v>
      </c>
      <c r="U122" s="30">
        <f>+T122*H122</f>
        <v>0</v>
      </c>
      <c r="V122" s="30">
        <f>IFERROR(VLOOKUP(A122,产值统计中间表!A:D,4,FALSE),0)</f>
        <v>0</v>
      </c>
      <c r="W122" s="30">
        <f>+V122*H122</f>
        <v>0</v>
      </c>
      <c r="X122" s="30">
        <f>+R122-V122</f>
        <v>16</v>
      </c>
      <c r="Y122" s="30">
        <f>+S122-W122</f>
        <v>64805.871559633</v>
      </c>
      <c r="Z122" s="30">
        <f>IFERROR(VLOOKUP(A122,业主统计中间表!A:D,4,FALSE),0)</f>
        <v>0</v>
      </c>
      <c r="AA122" s="30">
        <f>+Z122*H122</f>
        <v>0</v>
      </c>
      <c r="AB122" s="30"/>
    </row>
    <row r="123" customHeight="1" outlineLevel="3" spans="1:28">
      <c r="A123" s="514" t="s">
        <v>2614</v>
      </c>
      <c r="B123" s="30"/>
      <c r="C123" s="513" t="s">
        <v>65</v>
      </c>
      <c r="D123" s="30" t="s">
        <v>684</v>
      </c>
      <c r="E123" s="30"/>
      <c r="F123" s="30"/>
      <c r="G123" s="30"/>
      <c r="H123" s="30"/>
      <c r="I123" s="30"/>
      <c r="J123" s="30"/>
      <c r="K123" s="30"/>
      <c r="L123" s="526"/>
      <c r="M123" s="30">
        <f>I122</f>
        <v>64805.871559633</v>
      </c>
      <c r="N123" s="30">
        <f>1</f>
        <v>1</v>
      </c>
      <c r="O123" s="30">
        <f>M123*N123</f>
        <v>64805.871559633</v>
      </c>
      <c r="P123" s="30"/>
      <c r="Q123" s="30"/>
      <c r="R123" s="30"/>
      <c r="S123" s="30"/>
      <c r="T123" s="30">
        <f ca="1">OFFSET(T123,-RIGHT($A123,LEN($A$6)),,1,1)/OFFSET(T123,-RIGHT($A123,LEN($A$6)),-13,1,1)*$M123</f>
        <v>0</v>
      </c>
      <c r="U123" s="30">
        <f ca="1">+$N123*T123</f>
        <v>0</v>
      </c>
      <c r="V123" s="30">
        <f ca="1">OFFSET(V123,-RIGHT($A123,LEN($A$6)),,1,1)/OFFSET(V123,-RIGHT($A123,LEN($A$6)),-15,1,1)*$M123</f>
        <v>0</v>
      </c>
      <c r="W123" s="30">
        <f ca="1">+$N123*V123</f>
        <v>0</v>
      </c>
      <c r="X123" s="30">
        <f ca="1">+M123-V123</f>
        <v>64805.871559633</v>
      </c>
      <c r="Y123" s="30">
        <f ca="1">+O123-W123</f>
        <v>64805.871559633</v>
      </c>
      <c r="Z123" s="30">
        <f ca="1">OFFSET(Z123,-RIGHT($A123,LEN($A$6)),,1,1)/OFFSET(Z123,-RIGHT($A123,LEN($A$6)),-19,1,1)*$M123</f>
        <v>0</v>
      </c>
      <c r="AA123" s="30">
        <f ca="1">+$N123*Z123</f>
        <v>0</v>
      </c>
      <c r="AB123" s="30"/>
    </row>
    <row r="124" customHeight="1" outlineLevel="2" spans="1:28">
      <c r="A124" s="512" t="s">
        <v>2615</v>
      </c>
      <c r="B124" s="30"/>
      <c r="C124" s="513" t="s">
        <v>1310</v>
      </c>
      <c r="D124" s="30" t="s">
        <v>2572</v>
      </c>
      <c r="E124" s="30" t="s">
        <v>2573</v>
      </c>
      <c r="F124" s="30" t="s">
        <v>169</v>
      </c>
      <c r="G124" s="30">
        <v>1</v>
      </c>
      <c r="H124" s="30">
        <v>21593.1743119266</v>
      </c>
      <c r="I124" s="30">
        <f>G124*H124</f>
        <v>21593.1743119266</v>
      </c>
      <c r="J124" s="30">
        <f t="shared" ref="J124:L124" si="155">+G124</f>
        <v>1</v>
      </c>
      <c r="K124" s="30">
        <f t="shared" si="155"/>
        <v>21593.1743119266</v>
      </c>
      <c r="L124" s="526">
        <f t="shared" si="155"/>
        <v>21593.1743119266</v>
      </c>
      <c r="M124" s="30">
        <f>+G124</f>
        <v>1</v>
      </c>
      <c r="N124" s="30">
        <f>O124/M124</f>
        <v>21593.1743119266</v>
      </c>
      <c r="O124" s="30">
        <f>(+O125)</f>
        <v>21593.1743119266</v>
      </c>
      <c r="P124" s="30"/>
      <c r="Q124" s="30"/>
      <c r="R124" s="30">
        <f>+P124+J124</f>
        <v>1</v>
      </c>
      <c r="S124" s="30">
        <f>+Q124+L124</f>
        <v>21593.1743119266</v>
      </c>
      <c r="T124" s="30">
        <f>IFERROR(VLOOKUP(A124,产值统计中间表!A:F,7,FALSE),0)</f>
        <v>0</v>
      </c>
      <c r="U124" s="30">
        <f>+T124*H124</f>
        <v>0</v>
      </c>
      <c r="V124" s="30">
        <f>IFERROR(VLOOKUP(A124,产值统计中间表!A:D,4,FALSE),0)</f>
        <v>0</v>
      </c>
      <c r="W124" s="30">
        <f>+V124*H124</f>
        <v>0</v>
      </c>
      <c r="X124" s="30">
        <f>+R124-V124</f>
        <v>1</v>
      </c>
      <c r="Y124" s="30">
        <f>+S124-W124</f>
        <v>21593.1743119266</v>
      </c>
      <c r="Z124" s="30">
        <f>IFERROR(VLOOKUP(A124,业主统计中间表!A:D,4,FALSE),0)</f>
        <v>0</v>
      </c>
      <c r="AA124" s="30">
        <f>+Z124*H124</f>
        <v>0</v>
      </c>
      <c r="AB124" s="30"/>
    </row>
    <row r="125" customHeight="1" outlineLevel="3" spans="1:28">
      <c r="A125" s="514" t="s">
        <v>2616</v>
      </c>
      <c r="B125" s="30"/>
      <c r="C125" s="513" t="s">
        <v>65</v>
      </c>
      <c r="D125" s="30" t="s">
        <v>684</v>
      </c>
      <c r="E125" s="30"/>
      <c r="F125" s="30"/>
      <c r="G125" s="30"/>
      <c r="H125" s="30"/>
      <c r="I125" s="30"/>
      <c r="J125" s="30"/>
      <c r="K125" s="30"/>
      <c r="L125" s="526"/>
      <c r="M125" s="30">
        <f>I124</f>
        <v>21593.1743119266</v>
      </c>
      <c r="N125" s="30">
        <v>1</v>
      </c>
      <c r="O125" s="30">
        <f>M125*N125</f>
        <v>21593.1743119266</v>
      </c>
      <c r="P125" s="30"/>
      <c r="Q125" s="30"/>
      <c r="R125" s="30"/>
      <c r="S125" s="30"/>
      <c r="T125" s="30">
        <f ca="1" t="shared" ref="T125:T134" si="156">OFFSET(T125,-RIGHT($A125,LEN($A$6)),,1,1)/OFFSET(T125,-RIGHT($A125,LEN($A$6)),-13,1,1)*$M125</f>
        <v>0</v>
      </c>
      <c r="U125" s="30">
        <f ca="1" t="shared" ref="U125:U134" si="157">+$N125*T125</f>
        <v>0</v>
      </c>
      <c r="V125" s="30">
        <f ca="1" t="shared" ref="V125:V134" si="158">OFFSET(V125,-RIGHT($A125,LEN($A$6)),,1,1)/OFFSET(V125,-RIGHT($A125,LEN($A$6)),-15,1,1)*$M125</f>
        <v>0</v>
      </c>
      <c r="W125" s="30">
        <f ca="1" t="shared" ref="W125:W134" si="159">+$N125*V125</f>
        <v>0</v>
      </c>
      <c r="X125" s="30">
        <f ca="1" t="shared" ref="X125:X134" si="160">+M125-V125</f>
        <v>21593.1743119266</v>
      </c>
      <c r="Y125" s="30">
        <f ca="1" t="shared" ref="Y125:Y134" si="161">+O125-W125</f>
        <v>21593.1743119266</v>
      </c>
      <c r="Z125" s="30">
        <f ca="1" t="shared" ref="Z125:Z134" si="162">OFFSET(Z125,-RIGHT($A125,LEN($A$6)),,1,1)/OFFSET(Z125,-RIGHT($A125,LEN($A$6)),-19,1,1)*$M125</f>
        <v>0</v>
      </c>
      <c r="AA125" s="30">
        <f ca="1" t="shared" ref="AA125:AA134" si="163">+$N125*Z125</f>
        <v>0</v>
      </c>
      <c r="AB125" s="30"/>
    </row>
    <row r="126" customHeight="1" outlineLevel="1" spans="1:28">
      <c r="A126" s="515" t="s">
        <v>2617</v>
      </c>
      <c r="B126" s="30"/>
      <c r="C126" s="513" t="s">
        <v>60</v>
      </c>
      <c r="D126" s="30" t="s">
        <v>2618</v>
      </c>
      <c r="E126" s="30"/>
      <c r="F126" s="30"/>
      <c r="G126" s="30"/>
      <c r="H126" s="30"/>
      <c r="I126" s="30">
        <f>(+I127+I135+I142)</f>
        <v>1268714.6759633</v>
      </c>
      <c r="J126" s="30"/>
      <c r="K126" s="30"/>
      <c r="L126" s="526">
        <f>(+L127+L135+L142)</f>
        <v>1268714.6759633</v>
      </c>
      <c r="M126" s="30"/>
      <c r="N126" s="30"/>
      <c r="O126" s="30">
        <f ca="1">(+O127+O135+O142)</f>
        <v>904684.8716</v>
      </c>
      <c r="P126" s="30"/>
      <c r="Q126" s="30"/>
      <c r="R126" s="30"/>
      <c r="S126" s="30"/>
      <c r="T126" s="30"/>
      <c r="U126" s="30"/>
      <c r="V126" s="30"/>
      <c r="W126" s="30"/>
      <c r="X126" s="30"/>
      <c r="Y126" s="30"/>
      <c r="Z126" s="30"/>
      <c r="AA126" s="30"/>
      <c r="AB126" s="30"/>
    </row>
    <row r="127" customHeight="1" outlineLevel="2" spans="1:28">
      <c r="A127" s="512" t="s">
        <v>2619</v>
      </c>
      <c r="B127" s="30"/>
      <c r="C127" s="513" t="s">
        <v>1310</v>
      </c>
      <c r="D127" s="30" t="s">
        <v>2620</v>
      </c>
      <c r="E127" s="30" t="s">
        <v>1366</v>
      </c>
      <c r="F127" s="30" t="s">
        <v>72</v>
      </c>
      <c r="G127" s="30">
        <v>403.88</v>
      </c>
      <c r="H127" s="30">
        <v>1778.54128440367</v>
      </c>
      <c r="I127" s="30">
        <f>G127*H127</f>
        <v>718317.253944954</v>
      </c>
      <c r="J127" s="30">
        <f t="shared" ref="J127:L127" si="164">+G127</f>
        <v>403.88</v>
      </c>
      <c r="K127" s="30">
        <f t="shared" si="164"/>
        <v>1778.54128440367</v>
      </c>
      <c r="L127" s="526">
        <f t="shared" si="164"/>
        <v>718317.253944954</v>
      </c>
      <c r="M127" s="30">
        <v>403.88</v>
      </c>
      <c r="N127" s="30">
        <f ca="1">O127/M127</f>
        <v>1562.92166386055</v>
      </c>
      <c r="O127" s="30">
        <f ca="1">(+O128+O129+O130+O131+O132+O133+O134)</f>
        <v>631232.8016</v>
      </c>
      <c r="P127" s="30"/>
      <c r="Q127" s="30"/>
      <c r="R127" s="30">
        <f>+P127+J127</f>
        <v>403.88</v>
      </c>
      <c r="S127" s="30">
        <f>+Q127+L127</f>
        <v>718317.253944954</v>
      </c>
      <c r="T127" s="30">
        <f>IFERROR(VLOOKUP(A127,产值统计中间表!A:F,7,FALSE),0)</f>
        <v>0</v>
      </c>
      <c r="U127" s="30">
        <f>+T127*H127</f>
        <v>0</v>
      </c>
      <c r="V127" s="30">
        <f>IFERROR(VLOOKUP(A127,产值统计中间表!A:D,4,FALSE),0)</f>
        <v>0</v>
      </c>
      <c r="W127" s="30">
        <f>+V127*H127</f>
        <v>0</v>
      </c>
      <c r="X127" s="30">
        <f>+R127-V127</f>
        <v>403.88</v>
      </c>
      <c r="Y127" s="30">
        <f>+S127-W127</f>
        <v>718317.253944954</v>
      </c>
      <c r="Z127" s="30">
        <f>IFERROR(VLOOKUP(A127,业主统计中间表!A:D,4,FALSE),0)</f>
        <v>0</v>
      </c>
      <c r="AA127" s="30">
        <f>+Z127*H127</f>
        <v>0</v>
      </c>
      <c r="AB127" s="30"/>
    </row>
    <row r="128" customHeight="1" outlineLevel="3" spans="1:28">
      <c r="A128" s="514" t="s">
        <v>2621</v>
      </c>
      <c r="B128" s="30"/>
      <c r="C128" s="513" t="s">
        <v>59</v>
      </c>
      <c r="D128" s="30" t="s">
        <v>785</v>
      </c>
      <c r="E128" s="30"/>
      <c r="F128" s="30" t="str">
        <f ca="1" t="shared" ref="F128:F134" si="165">VLOOKUP($D128,INDIRECT($C128),2,0)</f>
        <v>m³</v>
      </c>
      <c r="G128" s="30"/>
      <c r="H128" s="30"/>
      <c r="I128" s="30"/>
      <c r="J128" s="30"/>
      <c r="K128" s="30"/>
      <c r="L128" s="526"/>
      <c r="M128" s="30">
        <v>466.804504</v>
      </c>
      <c r="N128" s="30">
        <f ca="1" t="shared" ref="N128:N134" si="166">VLOOKUP($D128,INDIRECT($C128),3,0)</f>
        <v>400</v>
      </c>
      <c r="O128" s="30">
        <f ca="1" t="shared" ref="O128:O134" si="167">M128*N128</f>
        <v>186721.8016</v>
      </c>
      <c r="P128" s="30"/>
      <c r="Q128" s="30"/>
      <c r="R128" s="30"/>
      <c r="S128" s="30"/>
      <c r="T128" s="30">
        <f ca="1" t="shared" si="156"/>
        <v>0</v>
      </c>
      <c r="U128" s="30">
        <f ca="1" t="shared" si="157"/>
        <v>0</v>
      </c>
      <c r="V128" s="30">
        <f ca="1" t="shared" si="158"/>
        <v>0</v>
      </c>
      <c r="W128" s="30">
        <f ca="1" t="shared" si="159"/>
        <v>0</v>
      </c>
      <c r="X128" s="30">
        <f ca="1" t="shared" si="160"/>
        <v>466.804504</v>
      </c>
      <c r="Y128" s="30">
        <f ca="1" t="shared" si="161"/>
        <v>186721.8016</v>
      </c>
      <c r="Z128" s="30">
        <f ca="1" t="shared" si="162"/>
        <v>0</v>
      </c>
      <c r="AA128" s="30">
        <f ca="1" t="shared" si="163"/>
        <v>0</v>
      </c>
      <c r="AB128" s="30"/>
    </row>
    <row r="129" customHeight="1" outlineLevel="3" spans="1:28">
      <c r="A129" s="514" t="s">
        <v>2622</v>
      </c>
      <c r="B129" s="30"/>
      <c r="C129" s="513" t="s">
        <v>59</v>
      </c>
      <c r="D129" s="30" t="s">
        <v>789</v>
      </c>
      <c r="E129" s="30" t="str">
        <f ca="1">"含钢量："&amp;ROUND($M$129/$G$127,3)&amp;$F$129&amp;"/"&amp;$F$127</f>
        <v>含钢量：0.127t/m3</v>
      </c>
      <c r="F129" s="30" t="str">
        <f ca="1" t="shared" si="165"/>
        <v>t</v>
      </c>
      <c r="G129" s="30"/>
      <c r="H129" s="30"/>
      <c r="I129" s="30"/>
      <c r="J129" s="30"/>
      <c r="K129" s="30"/>
      <c r="L129" s="526"/>
      <c r="M129" s="30">
        <v>51.11</v>
      </c>
      <c r="N129" s="30">
        <f ca="1" t="shared" si="166"/>
        <v>4000</v>
      </c>
      <c r="O129" s="30">
        <f ca="1" t="shared" si="167"/>
        <v>204440</v>
      </c>
      <c r="P129" s="30"/>
      <c r="Q129" s="30"/>
      <c r="R129" s="30"/>
      <c r="S129" s="30"/>
      <c r="T129" s="30">
        <f ca="1" t="shared" si="156"/>
        <v>0</v>
      </c>
      <c r="U129" s="30">
        <f ca="1" t="shared" si="157"/>
        <v>0</v>
      </c>
      <c r="V129" s="30">
        <f ca="1" t="shared" si="158"/>
        <v>0</v>
      </c>
      <c r="W129" s="30">
        <f ca="1" t="shared" si="159"/>
        <v>0</v>
      </c>
      <c r="X129" s="30">
        <f ca="1" t="shared" si="160"/>
        <v>51.11</v>
      </c>
      <c r="Y129" s="30">
        <f ca="1" t="shared" si="161"/>
        <v>204440</v>
      </c>
      <c r="Z129" s="30">
        <f ca="1" t="shared" si="162"/>
        <v>0</v>
      </c>
      <c r="AA129" s="30">
        <f ca="1" t="shared" si="163"/>
        <v>0</v>
      </c>
      <c r="AB129" s="30"/>
    </row>
    <row r="130" customHeight="1" outlineLevel="3" spans="1:28">
      <c r="A130" s="514" t="s">
        <v>2623</v>
      </c>
      <c r="B130" s="30"/>
      <c r="C130" s="513" t="s">
        <v>64</v>
      </c>
      <c r="D130" s="30" t="s">
        <v>1056</v>
      </c>
      <c r="E130" s="30" t="s">
        <v>2468</v>
      </c>
      <c r="F130" s="30" t="str">
        <f ca="1" t="shared" si="165"/>
        <v>根</v>
      </c>
      <c r="G130" s="30"/>
      <c r="H130" s="30"/>
      <c r="I130" s="30"/>
      <c r="J130" s="30"/>
      <c r="K130" s="30"/>
      <c r="L130" s="526"/>
      <c r="M130" s="30">
        <v>19</v>
      </c>
      <c r="N130" s="30">
        <f ca="1" t="shared" si="166"/>
        <v>180</v>
      </c>
      <c r="O130" s="30">
        <f ca="1" t="shared" si="167"/>
        <v>3420</v>
      </c>
      <c r="P130" s="30"/>
      <c r="Q130" s="30"/>
      <c r="R130" s="30"/>
      <c r="S130" s="30"/>
      <c r="T130" s="30">
        <f ca="1" t="shared" si="156"/>
        <v>0</v>
      </c>
      <c r="U130" s="30">
        <f ca="1" t="shared" si="157"/>
        <v>0</v>
      </c>
      <c r="V130" s="30">
        <f ca="1" t="shared" si="158"/>
        <v>0</v>
      </c>
      <c r="W130" s="30">
        <f ca="1" t="shared" si="159"/>
        <v>0</v>
      </c>
      <c r="X130" s="30">
        <f ca="1" t="shared" si="160"/>
        <v>19</v>
      </c>
      <c r="Y130" s="30">
        <f ca="1" t="shared" si="161"/>
        <v>3420</v>
      </c>
      <c r="Z130" s="30">
        <f ca="1" t="shared" si="162"/>
        <v>0</v>
      </c>
      <c r="AA130" s="30">
        <f ca="1" t="shared" si="163"/>
        <v>0</v>
      </c>
      <c r="AB130" s="30"/>
    </row>
    <row r="131" customHeight="1" outlineLevel="3" spans="1:28">
      <c r="A131" s="514" t="s">
        <v>2624</v>
      </c>
      <c r="B131" s="30"/>
      <c r="C131" s="513" t="s">
        <v>64</v>
      </c>
      <c r="D131" s="30" t="s">
        <v>1062</v>
      </c>
      <c r="E131" s="30" t="s">
        <v>2468</v>
      </c>
      <c r="F131" s="30" t="str">
        <f ca="1" t="shared" si="165"/>
        <v>根</v>
      </c>
      <c r="G131" s="30"/>
      <c r="H131" s="30"/>
      <c r="I131" s="30"/>
      <c r="J131" s="30"/>
      <c r="K131" s="30"/>
      <c r="L131" s="526"/>
      <c r="M131" s="30">
        <v>5</v>
      </c>
      <c r="N131" s="30">
        <f ca="1" t="shared" si="166"/>
        <v>200</v>
      </c>
      <c r="O131" s="30">
        <f ca="1" t="shared" si="167"/>
        <v>1000</v>
      </c>
      <c r="P131" s="30"/>
      <c r="Q131" s="30"/>
      <c r="R131" s="30"/>
      <c r="S131" s="30"/>
      <c r="T131" s="30">
        <f ca="1" t="shared" si="156"/>
        <v>0</v>
      </c>
      <c r="U131" s="30">
        <f ca="1" t="shared" si="157"/>
        <v>0</v>
      </c>
      <c r="V131" s="30">
        <f ca="1" t="shared" si="158"/>
        <v>0</v>
      </c>
      <c r="W131" s="30">
        <f ca="1" t="shared" si="159"/>
        <v>0</v>
      </c>
      <c r="X131" s="30">
        <f ca="1" t="shared" si="160"/>
        <v>5</v>
      </c>
      <c r="Y131" s="30">
        <f ca="1" t="shared" si="161"/>
        <v>1000</v>
      </c>
      <c r="Z131" s="30">
        <f ca="1" t="shared" si="162"/>
        <v>0</v>
      </c>
      <c r="AA131" s="30">
        <f ca="1" t="shared" si="163"/>
        <v>0</v>
      </c>
      <c r="AB131" s="30"/>
    </row>
    <row r="132" customHeight="1" outlineLevel="3" spans="1:28">
      <c r="A132" s="514" t="s">
        <v>2625</v>
      </c>
      <c r="B132" s="30"/>
      <c r="C132" s="513" t="s">
        <v>65</v>
      </c>
      <c r="D132" s="30" t="s">
        <v>688</v>
      </c>
      <c r="E132" s="30" t="s">
        <v>2626</v>
      </c>
      <c r="F132" s="30" t="str">
        <f ca="1" t="shared" si="165"/>
        <v>m³</v>
      </c>
      <c r="G132" s="30"/>
      <c r="H132" s="30"/>
      <c r="I132" s="30"/>
      <c r="J132" s="30"/>
      <c r="K132" s="30"/>
      <c r="L132" s="526"/>
      <c r="M132" s="30">
        <v>519.05</v>
      </c>
      <c r="N132" s="30">
        <f ca="1" t="shared" si="166"/>
        <v>390</v>
      </c>
      <c r="O132" s="30">
        <f ca="1" t="shared" si="167"/>
        <v>202429.5</v>
      </c>
      <c r="P132" s="30"/>
      <c r="Q132" s="30"/>
      <c r="R132" s="30"/>
      <c r="S132" s="30"/>
      <c r="T132" s="30">
        <f ca="1" t="shared" si="156"/>
        <v>0</v>
      </c>
      <c r="U132" s="30">
        <f ca="1" t="shared" si="157"/>
        <v>0</v>
      </c>
      <c r="V132" s="30">
        <f ca="1" t="shared" si="158"/>
        <v>0</v>
      </c>
      <c r="W132" s="30">
        <f ca="1" t="shared" si="159"/>
        <v>0</v>
      </c>
      <c r="X132" s="30">
        <f ca="1" t="shared" si="160"/>
        <v>519.05</v>
      </c>
      <c r="Y132" s="30">
        <f ca="1" t="shared" si="161"/>
        <v>202429.5</v>
      </c>
      <c r="Z132" s="30">
        <f ca="1" t="shared" si="162"/>
        <v>0</v>
      </c>
      <c r="AA132" s="30">
        <f ca="1" t="shared" si="163"/>
        <v>0</v>
      </c>
      <c r="AB132" s="30"/>
    </row>
    <row r="133" customHeight="1" outlineLevel="3" spans="1:28">
      <c r="A133" s="514" t="s">
        <v>2627</v>
      </c>
      <c r="B133" s="30"/>
      <c r="C133" s="513" t="s">
        <v>59</v>
      </c>
      <c r="D133" s="30" t="s">
        <v>1132</v>
      </c>
      <c r="E133" s="30"/>
      <c r="F133" s="30" t="str">
        <f ca="1" t="shared" si="165"/>
        <v>m</v>
      </c>
      <c r="G133" s="30"/>
      <c r="H133" s="30"/>
      <c r="I133" s="30"/>
      <c r="J133" s="30"/>
      <c r="K133" s="30"/>
      <c r="L133" s="526"/>
      <c r="M133" s="30">
        <v>1030.32</v>
      </c>
      <c r="N133" s="30">
        <f ca="1" t="shared" si="166"/>
        <v>0</v>
      </c>
      <c r="O133" s="30">
        <f ca="1" t="shared" si="167"/>
        <v>0</v>
      </c>
      <c r="P133" s="30"/>
      <c r="Q133" s="30"/>
      <c r="R133" s="30"/>
      <c r="S133" s="30"/>
      <c r="T133" s="30">
        <f ca="1" t="shared" si="156"/>
        <v>0</v>
      </c>
      <c r="U133" s="30">
        <f ca="1" t="shared" si="157"/>
        <v>0</v>
      </c>
      <c r="V133" s="30">
        <f ca="1" t="shared" si="158"/>
        <v>0</v>
      </c>
      <c r="W133" s="30">
        <f ca="1" t="shared" si="159"/>
        <v>0</v>
      </c>
      <c r="X133" s="30">
        <f ca="1" t="shared" si="160"/>
        <v>1030.32</v>
      </c>
      <c r="Y133" s="30">
        <f ca="1" t="shared" si="161"/>
        <v>0</v>
      </c>
      <c r="Z133" s="30">
        <f ca="1" t="shared" si="162"/>
        <v>0</v>
      </c>
      <c r="AA133" s="30">
        <f ca="1" t="shared" si="163"/>
        <v>0</v>
      </c>
      <c r="AB133" s="30"/>
    </row>
    <row r="134" customHeight="1" outlineLevel="3" spans="1:28">
      <c r="A134" s="514" t="s">
        <v>2628</v>
      </c>
      <c r="B134" s="30"/>
      <c r="C134" s="513" t="s">
        <v>64</v>
      </c>
      <c r="D134" s="30" t="s">
        <v>1041</v>
      </c>
      <c r="E134" s="30"/>
      <c r="F134" s="30" t="str">
        <f ca="1" t="shared" si="165"/>
        <v>t</v>
      </c>
      <c r="G134" s="30"/>
      <c r="H134" s="30"/>
      <c r="I134" s="30"/>
      <c r="J134" s="30"/>
      <c r="K134" s="30"/>
      <c r="L134" s="526"/>
      <c r="M134" s="30">
        <v>51.11</v>
      </c>
      <c r="N134" s="30">
        <f ca="1" t="shared" si="166"/>
        <v>650</v>
      </c>
      <c r="O134" s="30">
        <f ca="1" t="shared" si="167"/>
        <v>33221.5</v>
      </c>
      <c r="P134" s="30"/>
      <c r="Q134" s="30"/>
      <c r="R134" s="30"/>
      <c r="S134" s="30"/>
      <c r="T134" s="30">
        <f ca="1" t="shared" si="156"/>
        <v>0</v>
      </c>
      <c r="U134" s="30">
        <f ca="1" t="shared" si="157"/>
        <v>0</v>
      </c>
      <c r="V134" s="30">
        <f ca="1" t="shared" si="158"/>
        <v>0</v>
      </c>
      <c r="W134" s="30">
        <f ca="1" t="shared" si="159"/>
        <v>0</v>
      </c>
      <c r="X134" s="30">
        <f ca="1" t="shared" si="160"/>
        <v>51.11</v>
      </c>
      <c r="Y134" s="30">
        <f ca="1" t="shared" si="161"/>
        <v>33221.5</v>
      </c>
      <c r="Z134" s="30">
        <f ca="1" t="shared" si="162"/>
        <v>0</v>
      </c>
      <c r="AA134" s="30">
        <f ca="1" t="shared" si="163"/>
        <v>0</v>
      </c>
      <c r="AB134" s="30"/>
    </row>
    <row r="135" customHeight="1" outlineLevel="2" spans="1:28">
      <c r="A135" s="512" t="s">
        <v>2629</v>
      </c>
      <c r="B135" s="30"/>
      <c r="C135" s="513" t="s">
        <v>1310</v>
      </c>
      <c r="D135" s="30" t="s">
        <v>2630</v>
      </c>
      <c r="E135" s="30" t="s">
        <v>2631</v>
      </c>
      <c r="F135" s="30" t="s">
        <v>69</v>
      </c>
      <c r="G135" s="30">
        <v>934.3</v>
      </c>
      <c r="H135" s="30">
        <v>322.266055045871</v>
      </c>
      <c r="I135" s="30">
        <f>G135*H135</f>
        <v>301093.175229357</v>
      </c>
      <c r="J135" s="30">
        <f t="shared" ref="J135:L135" si="168">+G135</f>
        <v>934.3</v>
      </c>
      <c r="K135" s="30">
        <f t="shared" si="168"/>
        <v>322.266055045871</v>
      </c>
      <c r="L135" s="526">
        <f t="shared" si="168"/>
        <v>301093.175229357</v>
      </c>
      <c r="M135" s="30">
        <v>934.3</v>
      </c>
      <c r="N135" s="30">
        <f ca="1">O135/M135</f>
        <v>169.276806165043</v>
      </c>
      <c r="O135" s="30">
        <f ca="1">(+O136+O137+O138+O139+O140+O141)</f>
        <v>158155.32</v>
      </c>
      <c r="P135" s="30"/>
      <c r="Q135" s="30"/>
      <c r="R135" s="30">
        <f>+P135+J135</f>
        <v>934.3</v>
      </c>
      <c r="S135" s="30">
        <f>+Q135+L135</f>
        <v>301093.175229357</v>
      </c>
      <c r="T135" s="30">
        <f>IFERROR(VLOOKUP(A135,产值统计中间表!A:F,7,FALSE),0)</f>
        <v>0</v>
      </c>
      <c r="U135" s="30">
        <f>+T135*H135</f>
        <v>0</v>
      </c>
      <c r="V135" s="30">
        <f>IFERROR(VLOOKUP(A135,产值统计中间表!A:D,4,FALSE),0)</f>
        <v>0</v>
      </c>
      <c r="W135" s="30">
        <f>+V135*H135</f>
        <v>0</v>
      </c>
      <c r="X135" s="30">
        <f>+R135-V135</f>
        <v>934.3</v>
      </c>
      <c r="Y135" s="30">
        <f>+S135-W135</f>
        <v>301093.175229357</v>
      </c>
      <c r="Z135" s="30">
        <f>IFERROR(VLOOKUP(A135,业主统计中间表!A:D,4,FALSE),0)</f>
        <v>0</v>
      </c>
      <c r="AA135" s="30">
        <f>+Z135*H135</f>
        <v>0</v>
      </c>
      <c r="AB135" s="30"/>
    </row>
    <row r="136" customHeight="1" outlineLevel="3" spans="1:28">
      <c r="A136" s="514" t="s">
        <v>2632</v>
      </c>
      <c r="B136" s="30"/>
      <c r="C136" s="513" t="s">
        <v>64</v>
      </c>
      <c r="D136" s="30" t="s">
        <v>663</v>
      </c>
      <c r="E136" s="30"/>
      <c r="F136" s="30" t="str">
        <f ca="1" t="shared" ref="F136:F141" si="169">VLOOKUP($D136,INDIRECT($C136),2,0)</f>
        <v>m3</v>
      </c>
      <c r="G136" s="30"/>
      <c r="H136" s="30"/>
      <c r="I136" s="30"/>
      <c r="J136" s="30"/>
      <c r="K136" s="30"/>
      <c r="L136" s="526"/>
      <c r="M136" s="30">
        <f>116.8+38.91</f>
        <v>155.71</v>
      </c>
      <c r="N136" s="30">
        <f ca="1" t="shared" ref="N136:N141" si="170">VLOOKUP($D136,INDIRECT($C136),3,0)</f>
        <v>2</v>
      </c>
      <c r="O136" s="30">
        <f ca="1" t="shared" ref="O136:O141" si="171">M136*N136</f>
        <v>311.42</v>
      </c>
      <c r="P136" s="30"/>
      <c r="Q136" s="30"/>
      <c r="R136" s="30"/>
      <c r="S136" s="30"/>
      <c r="T136" s="30">
        <f ca="1" t="shared" ref="T136:T141" si="172">OFFSET(T136,-RIGHT($A136,LEN($A$6)),,1,1)/OFFSET(T136,-RIGHT($A136,LEN($A$6)),-13,1,1)*$M136</f>
        <v>0</v>
      </c>
      <c r="U136" s="30">
        <f ca="1" t="shared" ref="U136:U141" si="173">+$N136*T136</f>
        <v>0</v>
      </c>
      <c r="V136" s="30">
        <f ca="1" t="shared" ref="V136:V141" si="174">OFFSET(V136,-RIGHT($A136,LEN($A$6)),,1,1)/OFFSET(V136,-RIGHT($A136,LEN($A$6)),-15,1,1)*$M136</f>
        <v>0</v>
      </c>
      <c r="W136" s="30">
        <f ca="1" t="shared" ref="W136:W141" si="175">+$N136*V136</f>
        <v>0</v>
      </c>
      <c r="X136" s="30">
        <f ca="1" t="shared" ref="X136:X141" si="176">+M136-V136</f>
        <v>155.71</v>
      </c>
      <c r="Y136" s="30">
        <f ca="1" t="shared" ref="Y136:Y141" si="177">+O136-W136</f>
        <v>311.42</v>
      </c>
      <c r="Z136" s="30">
        <f ca="1" t="shared" ref="Z136:Z141" si="178">OFFSET(Z136,-RIGHT($A136,LEN($A$6)),,1,1)/OFFSET(Z136,-RIGHT($A136,LEN($A$6)),-19,1,1)*$M136</f>
        <v>0</v>
      </c>
      <c r="AA136" s="30">
        <f ca="1" t="shared" ref="AA136:AA141" si="179">+$N136*Z136</f>
        <v>0</v>
      </c>
      <c r="AB136" s="30"/>
    </row>
    <row r="137" customHeight="1" outlineLevel="3" spans="1:28">
      <c r="A137" s="514" t="s">
        <v>2633</v>
      </c>
      <c r="B137" s="30"/>
      <c r="C137" s="513" t="s">
        <v>59</v>
      </c>
      <c r="D137" s="30" t="s">
        <v>1018</v>
      </c>
      <c r="E137" s="30"/>
      <c r="F137" s="30" t="str">
        <f ca="1" t="shared" si="169"/>
        <v>m3</v>
      </c>
      <c r="G137" s="30"/>
      <c r="H137" s="30"/>
      <c r="I137" s="30"/>
      <c r="J137" s="30"/>
      <c r="K137" s="30"/>
      <c r="L137" s="526"/>
      <c r="M137" s="30">
        <v>122.07205</v>
      </c>
      <c r="N137" s="30">
        <f ca="1" t="shared" si="170"/>
        <v>0</v>
      </c>
      <c r="O137" s="30">
        <f ca="1" t="shared" si="171"/>
        <v>0</v>
      </c>
      <c r="P137" s="30"/>
      <c r="Q137" s="30"/>
      <c r="R137" s="30"/>
      <c r="S137" s="30"/>
      <c r="T137" s="30">
        <f ca="1" t="shared" si="172"/>
        <v>0</v>
      </c>
      <c r="U137" s="30">
        <f ca="1" t="shared" si="173"/>
        <v>0</v>
      </c>
      <c r="V137" s="30">
        <f ca="1" t="shared" si="174"/>
        <v>0</v>
      </c>
      <c r="W137" s="30">
        <f ca="1" t="shared" si="175"/>
        <v>0</v>
      </c>
      <c r="X137" s="30">
        <f ca="1" t="shared" si="176"/>
        <v>122.07205</v>
      </c>
      <c r="Y137" s="30">
        <f ca="1" t="shared" si="177"/>
        <v>0</v>
      </c>
      <c r="Z137" s="30">
        <f ca="1" t="shared" si="178"/>
        <v>0</v>
      </c>
      <c r="AA137" s="30">
        <f ca="1" t="shared" si="179"/>
        <v>0</v>
      </c>
      <c r="AB137" s="30"/>
    </row>
    <row r="138" customHeight="1" outlineLevel="3" spans="1:28">
      <c r="A138" s="514" t="s">
        <v>2634</v>
      </c>
      <c r="B138" s="30"/>
      <c r="C138" s="513" t="s">
        <v>59</v>
      </c>
      <c r="D138" s="30" t="s">
        <v>348</v>
      </c>
      <c r="E138" s="30"/>
      <c r="F138" s="30" t="str">
        <f ca="1" t="shared" si="169"/>
        <v>m3</v>
      </c>
      <c r="G138" s="30"/>
      <c r="H138" s="30"/>
      <c r="I138" s="30"/>
      <c r="J138" s="30"/>
      <c r="K138" s="30"/>
      <c r="L138" s="526"/>
      <c r="M138" s="30">
        <v>38.9125</v>
      </c>
      <c r="N138" s="30">
        <f ca="1" t="shared" si="170"/>
        <v>120</v>
      </c>
      <c r="O138" s="30">
        <f ca="1" t="shared" si="171"/>
        <v>4669.5</v>
      </c>
      <c r="P138" s="30"/>
      <c r="Q138" s="30"/>
      <c r="R138" s="30"/>
      <c r="S138" s="30"/>
      <c r="T138" s="30">
        <f ca="1" t="shared" si="172"/>
        <v>0</v>
      </c>
      <c r="U138" s="30">
        <f ca="1" t="shared" si="173"/>
        <v>0</v>
      </c>
      <c r="V138" s="30">
        <f ca="1" t="shared" si="174"/>
        <v>0</v>
      </c>
      <c r="W138" s="30">
        <f ca="1" t="shared" si="175"/>
        <v>0</v>
      </c>
      <c r="X138" s="30">
        <f ca="1" t="shared" si="176"/>
        <v>38.9125</v>
      </c>
      <c r="Y138" s="30">
        <f ca="1" t="shared" si="177"/>
        <v>4669.5</v>
      </c>
      <c r="Z138" s="30">
        <f ca="1" t="shared" si="178"/>
        <v>0</v>
      </c>
      <c r="AA138" s="30">
        <f ca="1" t="shared" si="179"/>
        <v>0</v>
      </c>
      <c r="AB138" s="30"/>
    </row>
    <row r="139" customHeight="1" outlineLevel="3" spans="1:28">
      <c r="A139" s="514" t="s">
        <v>2635</v>
      </c>
      <c r="B139" s="30"/>
      <c r="C139" s="513" t="s">
        <v>59</v>
      </c>
      <c r="D139" s="30" t="s">
        <v>493</v>
      </c>
      <c r="E139" s="30"/>
      <c r="F139" s="30" t="str">
        <f ca="1" t="shared" si="169"/>
        <v>m3</v>
      </c>
      <c r="G139" s="30"/>
      <c r="H139" s="30"/>
      <c r="I139" s="30"/>
      <c r="J139" s="30"/>
      <c r="K139" s="30"/>
      <c r="L139" s="526"/>
      <c r="M139" s="30">
        <v>116.8</v>
      </c>
      <c r="N139" s="30">
        <f ca="1" t="shared" si="170"/>
        <v>600</v>
      </c>
      <c r="O139" s="30">
        <f ca="1" t="shared" si="171"/>
        <v>70080</v>
      </c>
      <c r="P139" s="30"/>
      <c r="Q139" s="30"/>
      <c r="R139" s="30"/>
      <c r="S139" s="30"/>
      <c r="T139" s="30">
        <f ca="1" t="shared" si="172"/>
        <v>0</v>
      </c>
      <c r="U139" s="30">
        <f ca="1" t="shared" si="173"/>
        <v>0</v>
      </c>
      <c r="V139" s="30">
        <f ca="1" t="shared" si="174"/>
        <v>0</v>
      </c>
      <c r="W139" s="30">
        <f ca="1" t="shared" si="175"/>
        <v>0</v>
      </c>
      <c r="X139" s="30">
        <f ca="1" t="shared" si="176"/>
        <v>116.8</v>
      </c>
      <c r="Y139" s="30">
        <f ca="1" t="shared" si="177"/>
        <v>70080</v>
      </c>
      <c r="Z139" s="30">
        <f ca="1" t="shared" si="178"/>
        <v>0</v>
      </c>
      <c r="AA139" s="30">
        <f ca="1" t="shared" si="179"/>
        <v>0</v>
      </c>
      <c r="AB139" s="30"/>
    </row>
    <row r="140" customHeight="1" outlineLevel="3" spans="1:28">
      <c r="A140" s="514" t="s">
        <v>2636</v>
      </c>
      <c r="B140" s="30"/>
      <c r="C140" s="513" t="s">
        <v>65</v>
      </c>
      <c r="D140" s="30" t="s">
        <v>668</v>
      </c>
      <c r="E140" s="30"/>
      <c r="F140" s="30" t="str">
        <f ca="1" t="shared" si="169"/>
        <v>m2</v>
      </c>
      <c r="G140" s="30"/>
      <c r="H140" s="30"/>
      <c r="I140" s="30"/>
      <c r="J140" s="30"/>
      <c r="K140" s="30"/>
      <c r="L140" s="526"/>
      <c r="M140" s="30">
        <v>934.3</v>
      </c>
      <c r="N140" s="30">
        <f ca="1" t="shared" si="170"/>
        <v>20</v>
      </c>
      <c r="O140" s="30">
        <f ca="1" t="shared" si="171"/>
        <v>18686</v>
      </c>
      <c r="P140" s="30"/>
      <c r="Q140" s="30"/>
      <c r="R140" s="30"/>
      <c r="S140" s="30"/>
      <c r="T140" s="30">
        <f ca="1" t="shared" si="172"/>
        <v>0</v>
      </c>
      <c r="U140" s="30">
        <f ca="1" t="shared" si="173"/>
        <v>0</v>
      </c>
      <c r="V140" s="30">
        <f ca="1" t="shared" si="174"/>
        <v>0</v>
      </c>
      <c r="W140" s="30">
        <f ca="1" t="shared" si="175"/>
        <v>0</v>
      </c>
      <c r="X140" s="30">
        <f ca="1" t="shared" si="176"/>
        <v>934.3</v>
      </c>
      <c r="Y140" s="30">
        <f ca="1" t="shared" si="177"/>
        <v>18686</v>
      </c>
      <c r="Z140" s="30">
        <f ca="1" t="shared" si="178"/>
        <v>0</v>
      </c>
      <c r="AA140" s="30">
        <f ca="1" t="shared" si="179"/>
        <v>0</v>
      </c>
      <c r="AB140" s="30"/>
    </row>
    <row r="141" customHeight="1" outlineLevel="3" spans="1:28">
      <c r="A141" s="514" t="s">
        <v>2637</v>
      </c>
      <c r="B141" s="30"/>
      <c r="C141" s="513" t="s">
        <v>64</v>
      </c>
      <c r="D141" s="30" t="s">
        <v>326</v>
      </c>
      <c r="E141" s="30" t="s">
        <v>2638</v>
      </c>
      <c r="F141" s="30" t="str">
        <f ca="1" t="shared" si="169"/>
        <v>m3</v>
      </c>
      <c r="G141" s="30"/>
      <c r="H141" s="30"/>
      <c r="I141" s="30"/>
      <c r="J141" s="30"/>
      <c r="K141" s="30"/>
      <c r="L141" s="526"/>
      <c r="M141" s="30">
        <v>1288.168</v>
      </c>
      <c r="N141" s="30">
        <f ca="1" t="shared" si="170"/>
        <v>50</v>
      </c>
      <c r="O141" s="30">
        <f ca="1" t="shared" si="171"/>
        <v>64408.4</v>
      </c>
      <c r="P141" s="30"/>
      <c r="Q141" s="30"/>
      <c r="R141" s="30"/>
      <c r="S141" s="30"/>
      <c r="T141" s="30">
        <f ca="1" t="shared" si="172"/>
        <v>0</v>
      </c>
      <c r="U141" s="30">
        <f ca="1" t="shared" si="173"/>
        <v>0</v>
      </c>
      <c r="V141" s="30">
        <f ca="1" t="shared" si="174"/>
        <v>0</v>
      </c>
      <c r="W141" s="30">
        <f ca="1" t="shared" si="175"/>
        <v>0</v>
      </c>
      <c r="X141" s="30">
        <f ca="1" t="shared" si="176"/>
        <v>1288.168</v>
      </c>
      <c r="Y141" s="30">
        <f ca="1" t="shared" si="177"/>
        <v>64408.4</v>
      </c>
      <c r="Z141" s="30">
        <f ca="1" t="shared" si="178"/>
        <v>0</v>
      </c>
      <c r="AA141" s="30">
        <f ca="1" t="shared" si="179"/>
        <v>0</v>
      </c>
      <c r="AB141" s="30"/>
    </row>
    <row r="142" customHeight="1" outlineLevel="2" spans="1:28">
      <c r="A142" s="512" t="s">
        <v>2639</v>
      </c>
      <c r="B142" s="30"/>
      <c r="C142" s="513" t="s">
        <v>1310</v>
      </c>
      <c r="D142" s="30" t="s">
        <v>2640</v>
      </c>
      <c r="E142" s="30" t="s">
        <v>2641</v>
      </c>
      <c r="F142" s="30" t="s">
        <v>69</v>
      </c>
      <c r="G142" s="30">
        <v>2562.15</v>
      </c>
      <c r="H142" s="30">
        <v>97.302752293578</v>
      </c>
      <c r="I142" s="30">
        <f>G142*H142</f>
        <v>249304.246788991</v>
      </c>
      <c r="J142" s="30">
        <f t="shared" ref="J142:L142" si="180">+G142</f>
        <v>2562.15</v>
      </c>
      <c r="K142" s="30">
        <f t="shared" si="180"/>
        <v>97.302752293578</v>
      </c>
      <c r="L142" s="526">
        <f t="shared" si="180"/>
        <v>249304.246788991</v>
      </c>
      <c r="M142" s="30">
        <v>2562.15</v>
      </c>
      <c r="N142" s="30">
        <f ca="1">O142/M142</f>
        <v>45</v>
      </c>
      <c r="O142" s="30">
        <f ca="1">(+O143)</f>
        <v>115296.75</v>
      </c>
      <c r="P142" s="30"/>
      <c r="Q142" s="30"/>
      <c r="R142" s="30">
        <f>+P142+J142</f>
        <v>2562.15</v>
      </c>
      <c r="S142" s="30">
        <f>+Q142+L142</f>
        <v>249304.246788991</v>
      </c>
      <c r="T142" s="30">
        <f>IFERROR(VLOOKUP(A142,产值统计中间表!A:F,7,FALSE),0)</f>
        <v>0</v>
      </c>
      <c r="U142" s="30">
        <f>+T142*H142</f>
        <v>0</v>
      </c>
      <c r="V142" s="30">
        <f>IFERROR(VLOOKUP(A142,产值统计中间表!A:D,4,FALSE),0)</f>
        <v>0</v>
      </c>
      <c r="W142" s="30">
        <f>+V142*H142</f>
        <v>0</v>
      </c>
      <c r="X142" s="30">
        <f>+R142-V142</f>
        <v>2562.15</v>
      </c>
      <c r="Y142" s="30">
        <f>+S142-W142</f>
        <v>249304.246788991</v>
      </c>
      <c r="Z142" s="30">
        <f>IFERROR(VLOOKUP(A142,业主统计中间表!A:D,4,FALSE),0)</f>
        <v>0</v>
      </c>
      <c r="AA142" s="30">
        <f>+Z142*H142</f>
        <v>0</v>
      </c>
      <c r="AB142" s="30"/>
    </row>
    <row r="143" customHeight="1" outlineLevel="3" spans="1:28">
      <c r="A143" s="514" t="s">
        <v>2642</v>
      </c>
      <c r="B143" s="30"/>
      <c r="C143" s="513" t="s">
        <v>65</v>
      </c>
      <c r="D143" s="30" t="s">
        <v>664</v>
      </c>
      <c r="E143" s="30"/>
      <c r="F143" s="30" t="str">
        <f ca="1" t="shared" ref="F143:F155" si="181">VLOOKUP($D143,INDIRECT($C143),2,0)</f>
        <v>m2</v>
      </c>
      <c r="G143" s="30"/>
      <c r="H143" s="30"/>
      <c r="I143" s="30"/>
      <c r="J143" s="30"/>
      <c r="K143" s="30"/>
      <c r="L143" s="526"/>
      <c r="M143" s="30">
        <v>2562.15</v>
      </c>
      <c r="N143" s="30">
        <f ca="1" t="shared" ref="N143:N155" si="182">VLOOKUP($D143,INDIRECT($C143),3,0)</f>
        <v>45</v>
      </c>
      <c r="O143" s="30">
        <f ca="1">M143*N143</f>
        <v>115296.75</v>
      </c>
      <c r="P143" s="30"/>
      <c r="Q143" s="30"/>
      <c r="R143" s="30"/>
      <c r="S143" s="30"/>
      <c r="T143" s="30">
        <f ca="1" t="shared" ref="T143:T155" si="183">OFFSET(T143,-RIGHT($A143,LEN($A$6)),,1,1)/OFFSET(T143,-RIGHT($A143,LEN($A$6)),-13,1,1)*$M143</f>
        <v>0</v>
      </c>
      <c r="U143" s="30">
        <f ca="1" t="shared" ref="U143:U155" si="184">+$N143*T143</f>
        <v>0</v>
      </c>
      <c r="V143" s="30">
        <f ca="1" t="shared" ref="V143:V155" si="185">OFFSET(V143,-RIGHT($A143,LEN($A$6)),,1,1)/OFFSET(V143,-RIGHT($A143,LEN($A$6)),-15,1,1)*$M143</f>
        <v>0</v>
      </c>
      <c r="W143" s="30">
        <f ca="1" t="shared" ref="W143:W155" si="186">+$N143*V143</f>
        <v>0</v>
      </c>
      <c r="X143" s="30">
        <f ca="1" t="shared" ref="X143:X155" si="187">+M143-V143</f>
        <v>2562.15</v>
      </c>
      <c r="Y143" s="30">
        <f ca="1" t="shared" ref="Y143:Y155" si="188">+O143-W143</f>
        <v>115296.75</v>
      </c>
      <c r="Z143" s="30">
        <f ca="1" t="shared" ref="Z143:Z155" si="189">OFFSET(Z143,-RIGHT($A143,LEN($A$6)),,1,1)/OFFSET(Z143,-RIGHT($A143,LEN($A$6)),-19,1,1)*$M143</f>
        <v>0</v>
      </c>
      <c r="AA143" s="30">
        <f ca="1" t="shared" ref="AA143:AA155" si="190">+$N143*Z143</f>
        <v>0</v>
      </c>
      <c r="AB143" s="30"/>
    </row>
    <row r="144" customHeight="1" outlineLevel="1" spans="1:28">
      <c r="A144" s="515" t="s">
        <v>2643</v>
      </c>
      <c r="B144" s="30"/>
      <c r="C144" s="513" t="s">
        <v>60</v>
      </c>
      <c r="D144" s="30" t="s">
        <v>2644</v>
      </c>
      <c r="E144" s="30"/>
      <c r="F144" s="30"/>
      <c r="G144" s="30"/>
      <c r="H144" s="30"/>
      <c r="I144" s="30">
        <f>(+I145+I156)</f>
        <v>3260214.63642202</v>
      </c>
      <c r="J144" s="30"/>
      <c r="K144" s="30"/>
      <c r="L144" s="526">
        <f>(+L145+L156)</f>
        <v>3260214.63642202</v>
      </c>
      <c r="M144" s="30"/>
      <c r="N144" s="30"/>
      <c r="O144" s="30">
        <f ca="1">(+O145+O156)</f>
        <v>2553151.0504</v>
      </c>
      <c r="P144" s="30"/>
      <c r="Q144" s="30"/>
      <c r="R144" s="30"/>
      <c r="S144" s="30"/>
      <c r="T144" s="30"/>
      <c r="U144" s="30"/>
      <c r="V144" s="30"/>
      <c r="W144" s="30"/>
      <c r="X144" s="30"/>
      <c r="Y144" s="30"/>
      <c r="Z144" s="30"/>
      <c r="AA144" s="30"/>
      <c r="AB144" s="30"/>
    </row>
    <row r="145" customHeight="1" outlineLevel="2" spans="1:28">
      <c r="A145" s="512" t="s">
        <v>2645</v>
      </c>
      <c r="B145" s="30"/>
      <c r="C145" s="513" t="s">
        <v>1310</v>
      </c>
      <c r="D145" s="30" t="s">
        <v>2620</v>
      </c>
      <c r="E145" s="30" t="s">
        <v>1366</v>
      </c>
      <c r="F145" s="30" t="s">
        <v>72</v>
      </c>
      <c r="G145" s="30">
        <v>1668.47</v>
      </c>
      <c r="H145" s="30">
        <v>1693.22018348624</v>
      </c>
      <c r="I145" s="30">
        <f>G145*H145</f>
        <v>2825087.07954129</v>
      </c>
      <c r="J145" s="30">
        <f t="shared" ref="J145:L145" si="191">+G145</f>
        <v>1668.47</v>
      </c>
      <c r="K145" s="30">
        <f t="shared" si="191"/>
        <v>1693.22018348624</v>
      </c>
      <c r="L145" s="526">
        <f t="shared" si="191"/>
        <v>2825087.07954129</v>
      </c>
      <c r="M145" s="30">
        <v>1668.47</v>
      </c>
      <c r="N145" s="30">
        <f ca="1">O145/M145</f>
        <v>1447.24451167836</v>
      </c>
      <c r="O145" s="30">
        <f ca="1">(+O146+O147+O148+O149+O150+O151+O152+O153+O154)</f>
        <v>2414684.0504</v>
      </c>
      <c r="P145" s="30"/>
      <c r="Q145" s="30"/>
      <c r="R145" s="30">
        <f>+P145+J145</f>
        <v>1668.47</v>
      </c>
      <c r="S145" s="30">
        <f>+Q145+L145</f>
        <v>2825087.07954129</v>
      </c>
      <c r="T145" s="30">
        <f>IFERROR(VLOOKUP(A145,产值统计中间表!A:F,7,FALSE),0)</f>
        <v>0</v>
      </c>
      <c r="U145" s="30">
        <f>+T145*H145</f>
        <v>0</v>
      </c>
      <c r="V145" s="30">
        <f>IFERROR(VLOOKUP(A145,产值统计中间表!A:D,4,FALSE),0)</f>
        <v>0</v>
      </c>
      <c r="W145" s="30">
        <f>+V145*H145</f>
        <v>0</v>
      </c>
      <c r="X145" s="30">
        <f>+R145-V145</f>
        <v>1668.47</v>
      </c>
      <c r="Y145" s="30">
        <f>+S145-W145</f>
        <v>2825087.07954129</v>
      </c>
      <c r="Z145" s="30">
        <f>IFERROR(VLOOKUP(A145,业主统计中间表!A:D,4,FALSE),0)</f>
        <v>0</v>
      </c>
      <c r="AA145" s="30">
        <f>+Z145*H145</f>
        <v>0</v>
      </c>
      <c r="AB145" s="30"/>
    </row>
    <row r="146" customHeight="1" outlineLevel="3" spans="1:28">
      <c r="A146" s="514" t="s">
        <v>2646</v>
      </c>
      <c r="B146" s="30"/>
      <c r="C146" s="513" t="s">
        <v>65</v>
      </c>
      <c r="D146" s="30" t="s">
        <v>688</v>
      </c>
      <c r="E146" s="30" t="s">
        <v>2626</v>
      </c>
      <c r="F146" s="30" t="str">
        <f ca="1" t="shared" si="181"/>
        <v>m³</v>
      </c>
      <c r="G146" s="30"/>
      <c r="H146" s="30"/>
      <c r="I146" s="30"/>
      <c r="J146" s="30"/>
      <c r="K146" s="30"/>
      <c r="L146" s="526"/>
      <c r="M146" s="30">
        <v>1668.47</v>
      </c>
      <c r="N146" s="30">
        <f ca="1" t="shared" si="182"/>
        <v>390</v>
      </c>
      <c r="O146" s="30">
        <f ca="1" t="shared" ref="O146:O155" si="192">M146*N146</f>
        <v>650703.3</v>
      </c>
      <c r="P146" s="30"/>
      <c r="Q146" s="30"/>
      <c r="R146" s="30"/>
      <c r="S146" s="30"/>
      <c r="T146" s="30">
        <f ca="1" t="shared" si="183"/>
        <v>0</v>
      </c>
      <c r="U146" s="30">
        <f ca="1" t="shared" si="184"/>
        <v>0</v>
      </c>
      <c r="V146" s="30">
        <f ca="1" t="shared" si="185"/>
        <v>0</v>
      </c>
      <c r="W146" s="30">
        <f ca="1" t="shared" si="186"/>
        <v>0</v>
      </c>
      <c r="X146" s="30">
        <f ca="1" t="shared" si="187"/>
        <v>1668.47</v>
      </c>
      <c r="Y146" s="30">
        <f ca="1" t="shared" si="188"/>
        <v>650703.3</v>
      </c>
      <c r="Z146" s="30">
        <f ca="1" t="shared" si="189"/>
        <v>0</v>
      </c>
      <c r="AA146" s="30">
        <f ca="1" t="shared" si="190"/>
        <v>0</v>
      </c>
      <c r="AB146" s="30"/>
    </row>
    <row r="147" customHeight="1" outlineLevel="3" spans="1:28">
      <c r="A147" s="514" t="s">
        <v>2647</v>
      </c>
      <c r="B147" s="30"/>
      <c r="C147" s="513" t="s">
        <v>59</v>
      </c>
      <c r="D147" s="30" t="s">
        <v>785</v>
      </c>
      <c r="E147" s="30"/>
      <c r="F147" s="30" t="str">
        <f ca="1" t="shared" si="181"/>
        <v>m³</v>
      </c>
      <c r="G147" s="30"/>
      <c r="H147" s="30"/>
      <c r="I147" s="30"/>
      <c r="J147" s="30"/>
      <c r="K147" s="30"/>
      <c r="L147" s="526"/>
      <c r="M147" s="30">
        <v>1928.417626</v>
      </c>
      <c r="N147" s="30">
        <f ca="1" t="shared" si="182"/>
        <v>400</v>
      </c>
      <c r="O147" s="30">
        <f ca="1" t="shared" si="192"/>
        <v>771367.0504</v>
      </c>
      <c r="P147" s="30"/>
      <c r="Q147" s="30"/>
      <c r="R147" s="30"/>
      <c r="S147" s="30"/>
      <c r="T147" s="30">
        <f ca="1" t="shared" si="183"/>
        <v>0</v>
      </c>
      <c r="U147" s="30">
        <f ca="1" t="shared" si="184"/>
        <v>0</v>
      </c>
      <c r="V147" s="30">
        <f ca="1" t="shared" si="185"/>
        <v>0</v>
      </c>
      <c r="W147" s="30">
        <f ca="1" t="shared" si="186"/>
        <v>0</v>
      </c>
      <c r="X147" s="30">
        <f ca="1" t="shared" si="187"/>
        <v>1928.417626</v>
      </c>
      <c r="Y147" s="30">
        <f ca="1" t="shared" si="188"/>
        <v>771367.0504</v>
      </c>
      <c r="Z147" s="30">
        <f ca="1" t="shared" si="189"/>
        <v>0</v>
      </c>
      <c r="AA147" s="30">
        <f ca="1" t="shared" si="190"/>
        <v>0</v>
      </c>
      <c r="AB147" s="30"/>
    </row>
    <row r="148" customHeight="1" outlineLevel="3" spans="1:28">
      <c r="A148" s="514" t="s">
        <v>2648</v>
      </c>
      <c r="B148" s="30"/>
      <c r="C148" s="513" t="s">
        <v>59</v>
      </c>
      <c r="D148" s="30" t="s">
        <v>789</v>
      </c>
      <c r="E148" s="30" t="str">
        <f ca="1">"含钢量："&amp;ROUND($M$148/$G$145,3)&amp;$F$148&amp;"/"&amp;$F$145</f>
        <v>含钢量：0.124t/m3</v>
      </c>
      <c r="F148" s="30" t="str">
        <f ca="1" t="shared" si="181"/>
        <v>t</v>
      </c>
      <c r="G148" s="30"/>
      <c r="H148" s="30"/>
      <c r="I148" s="30"/>
      <c r="J148" s="30"/>
      <c r="K148" s="30"/>
      <c r="L148" s="526"/>
      <c r="M148" s="30">
        <v>206.618</v>
      </c>
      <c r="N148" s="30">
        <f ca="1" t="shared" si="182"/>
        <v>4000</v>
      </c>
      <c r="O148" s="30">
        <f ca="1" t="shared" si="192"/>
        <v>826472</v>
      </c>
      <c r="P148" s="30"/>
      <c r="Q148" s="30"/>
      <c r="R148" s="30"/>
      <c r="S148" s="30"/>
      <c r="T148" s="30">
        <f ca="1" t="shared" si="183"/>
        <v>0</v>
      </c>
      <c r="U148" s="30">
        <f ca="1" t="shared" si="184"/>
        <v>0</v>
      </c>
      <c r="V148" s="30">
        <f ca="1" t="shared" si="185"/>
        <v>0</v>
      </c>
      <c r="W148" s="30">
        <f ca="1" t="shared" si="186"/>
        <v>0</v>
      </c>
      <c r="X148" s="30">
        <f ca="1" t="shared" si="187"/>
        <v>206.618</v>
      </c>
      <c r="Y148" s="30">
        <f ca="1" t="shared" si="188"/>
        <v>826472</v>
      </c>
      <c r="Z148" s="30">
        <f ca="1" t="shared" si="189"/>
        <v>0</v>
      </c>
      <c r="AA148" s="30">
        <f ca="1" t="shared" si="190"/>
        <v>0</v>
      </c>
      <c r="AB148" s="30"/>
    </row>
    <row r="149" customHeight="1" outlineLevel="3" spans="1:28">
      <c r="A149" s="514" t="s">
        <v>2649</v>
      </c>
      <c r="B149" s="30"/>
      <c r="C149" s="513" t="s">
        <v>64</v>
      </c>
      <c r="D149" s="30" t="s">
        <v>1056</v>
      </c>
      <c r="E149" s="30" t="s">
        <v>2468</v>
      </c>
      <c r="F149" s="30" t="str">
        <f ca="1" t="shared" si="181"/>
        <v>根</v>
      </c>
      <c r="G149" s="30"/>
      <c r="H149" s="30"/>
      <c r="I149" s="30"/>
      <c r="J149" s="30"/>
      <c r="K149" s="30"/>
      <c r="L149" s="526"/>
      <c r="M149" s="30">
        <v>16</v>
      </c>
      <c r="N149" s="30">
        <f ca="1" t="shared" si="182"/>
        <v>180</v>
      </c>
      <c r="O149" s="30">
        <f ca="1" t="shared" si="192"/>
        <v>2880</v>
      </c>
      <c r="P149" s="30"/>
      <c r="Q149" s="30"/>
      <c r="R149" s="30"/>
      <c r="S149" s="30"/>
      <c r="T149" s="30">
        <f ca="1" t="shared" si="183"/>
        <v>0</v>
      </c>
      <c r="U149" s="30">
        <f ca="1" t="shared" si="184"/>
        <v>0</v>
      </c>
      <c r="V149" s="30">
        <f ca="1" t="shared" si="185"/>
        <v>0</v>
      </c>
      <c r="W149" s="30">
        <f ca="1" t="shared" si="186"/>
        <v>0</v>
      </c>
      <c r="X149" s="30">
        <f ca="1" t="shared" si="187"/>
        <v>16</v>
      </c>
      <c r="Y149" s="30">
        <f ca="1" t="shared" si="188"/>
        <v>2880</v>
      </c>
      <c r="Z149" s="30">
        <f ca="1" t="shared" si="189"/>
        <v>0</v>
      </c>
      <c r="AA149" s="30">
        <f ca="1" t="shared" si="190"/>
        <v>0</v>
      </c>
      <c r="AB149" s="30"/>
    </row>
    <row r="150" customHeight="1" outlineLevel="3" spans="1:28">
      <c r="A150" s="514" t="s">
        <v>2650</v>
      </c>
      <c r="B150" s="30"/>
      <c r="C150" s="513" t="s">
        <v>64</v>
      </c>
      <c r="D150" s="30" t="s">
        <v>1056</v>
      </c>
      <c r="E150" s="30" t="s">
        <v>2468</v>
      </c>
      <c r="F150" s="30" t="str">
        <f ca="1" t="shared" si="181"/>
        <v>根</v>
      </c>
      <c r="G150" s="30"/>
      <c r="H150" s="30"/>
      <c r="I150" s="30"/>
      <c r="J150" s="30"/>
      <c r="K150" s="30"/>
      <c r="L150" s="526"/>
      <c r="M150" s="30">
        <v>16</v>
      </c>
      <c r="N150" s="30">
        <f ca="1" t="shared" si="182"/>
        <v>180</v>
      </c>
      <c r="O150" s="30">
        <f ca="1" t="shared" si="192"/>
        <v>2880</v>
      </c>
      <c r="P150" s="30"/>
      <c r="Q150" s="30"/>
      <c r="R150" s="30"/>
      <c r="S150" s="30"/>
      <c r="T150" s="30">
        <f ca="1" t="shared" si="183"/>
        <v>0</v>
      </c>
      <c r="U150" s="30">
        <f ca="1" t="shared" si="184"/>
        <v>0</v>
      </c>
      <c r="V150" s="30">
        <f ca="1" t="shared" si="185"/>
        <v>0</v>
      </c>
      <c r="W150" s="30">
        <f ca="1" t="shared" si="186"/>
        <v>0</v>
      </c>
      <c r="X150" s="30">
        <f ca="1" t="shared" si="187"/>
        <v>16</v>
      </c>
      <c r="Y150" s="30">
        <f ca="1" t="shared" si="188"/>
        <v>2880</v>
      </c>
      <c r="Z150" s="30">
        <f ca="1" t="shared" si="189"/>
        <v>0</v>
      </c>
      <c r="AA150" s="30">
        <f ca="1" t="shared" si="190"/>
        <v>0</v>
      </c>
      <c r="AB150" s="30"/>
    </row>
    <row r="151" customHeight="1" outlineLevel="3" spans="1:28">
      <c r="A151" s="514" t="s">
        <v>2651</v>
      </c>
      <c r="B151" s="30"/>
      <c r="C151" s="513" t="s">
        <v>65</v>
      </c>
      <c r="D151" s="30" t="s">
        <v>652</v>
      </c>
      <c r="E151" s="30"/>
      <c r="F151" s="30" t="str">
        <f ca="1" t="shared" si="181"/>
        <v>根</v>
      </c>
      <c r="G151" s="30"/>
      <c r="H151" s="30"/>
      <c r="I151" s="30"/>
      <c r="J151" s="30"/>
      <c r="K151" s="30"/>
      <c r="L151" s="526"/>
      <c r="M151" s="30">
        <v>32</v>
      </c>
      <c r="N151" s="30">
        <f ca="1" t="shared" si="182"/>
        <v>65</v>
      </c>
      <c r="O151" s="30">
        <f ca="1" t="shared" si="192"/>
        <v>2080</v>
      </c>
      <c r="P151" s="30"/>
      <c r="Q151" s="30"/>
      <c r="R151" s="30"/>
      <c r="S151" s="30"/>
      <c r="T151" s="30">
        <f ca="1" t="shared" si="183"/>
        <v>0</v>
      </c>
      <c r="U151" s="30">
        <f ca="1" t="shared" si="184"/>
        <v>0</v>
      </c>
      <c r="V151" s="30">
        <f ca="1" t="shared" si="185"/>
        <v>0</v>
      </c>
      <c r="W151" s="30">
        <f ca="1" t="shared" si="186"/>
        <v>0</v>
      </c>
      <c r="X151" s="30">
        <f ca="1" t="shared" si="187"/>
        <v>32</v>
      </c>
      <c r="Y151" s="30">
        <f ca="1" t="shared" si="188"/>
        <v>2080</v>
      </c>
      <c r="Z151" s="30">
        <f ca="1" t="shared" si="189"/>
        <v>0</v>
      </c>
      <c r="AA151" s="30">
        <f ca="1" t="shared" si="190"/>
        <v>0</v>
      </c>
      <c r="AB151" s="30"/>
    </row>
    <row r="152" customHeight="1" outlineLevel="3" spans="1:28">
      <c r="A152" s="514" t="s">
        <v>2652</v>
      </c>
      <c r="B152" s="30"/>
      <c r="C152" s="513" t="s">
        <v>65</v>
      </c>
      <c r="D152" s="30" t="s">
        <v>656</v>
      </c>
      <c r="E152" s="30"/>
      <c r="F152" s="30" t="str">
        <f ca="1" t="shared" si="181"/>
        <v>根</v>
      </c>
      <c r="G152" s="30"/>
      <c r="H152" s="30"/>
      <c r="I152" s="30"/>
      <c r="J152" s="30"/>
      <c r="K152" s="30"/>
      <c r="L152" s="526"/>
      <c r="M152" s="30">
        <v>32</v>
      </c>
      <c r="N152" s="30">
        <f ca="1" t="shared" si="182"/>
        <v>750</v>
      </c>
      <c r="O152" s="30">
        <f ca="1" t="shared" si="192"/>
        <v>24000</v>
      </c>
      <c r="P152" s="30"/>
      <c r="Q152" s="30"/>
      <c r="R152" s="30"/>
      <c r="S152" s="30"/>
      <c r="T152" s="30">
        <f ca="1" t="shared" si="183"/>
        <v>0</v>
      </c>
      <c r="U152" s="30">
        <f ca="1" t="shared" si="184"/>
        <v>0</v>
      </c>
      <c r="V152" s="30">
        <f ca="1" t="shared" si="185"/>
        <v>0</v>
      </c>
      <c r="W152" s="30">
        <f ca="1" t="shared" si="186"/>
        <v>0</v>
      </c>
      <c r="X152" s="30">
        <f ca="1" t="shared" si="187"/>
        <v>32</v>
      </c>
      <c r="Y152" s="30">
        <f ca="1" t="shared" si="188"/>
        <v>24000</v>
      </c>
      <c r="Z152" s="30">
        <f ca="1" t="shared" si="189"/>
        <v>0</v>
      </c>
      <c r="AA152" s="30">
        <f ca="1" t="shared" si="190"/>
        <v>0</v>
      </c>
      <c r="AB152" s="30"/>
    </row>
    <row r="153" customHeight="1" outlineLevel="3" spans="1:28">
      <c r="A153" s="514" t="s">
        <v>2653</v>
      </c>
      <c r="B153" s="30"/>
      <c r="C153" s="513" t="s">
        <v>59</v>
      </c>
      <c r="D153" s="30" t="s">
        <v>1132</v>
      </c>
      <c r="E153" s="30"/>
      <c r="F153" s="30" t="str">
        <f ca="1" t="shared" si="181"/>
        <v>m</v>
      </c>
      <c r="G153" s="30"/>
      <c r="H153" s="30"/>
      <c r="I153" s="30"/>
      <c r="J153" s="30"/>
      <c r="K153" s="30"/>
      <c r="L153" s="526"/>
      <c r="M153" s="30">
        <v>2849.28</v>
      </c>
      <c r="N153" s="30">
        <f ca="1" t="shared" si="182"/>
        <v>0</v>
      </c>
      <c r="O153" s="30">
        <f ca="1" t="shared" si="192"/>
        <v>0</v>
      </c>
      <c r="P153" s="30"/>
      <c r="Q153" s="30"/>
      <c r="R153" s="30"/>
      <c r="S153" s="30"/>
      <c r="T153" s="30">
        <f ca="1" t="shared" si="183"/>
        <v>0</v>
      </c>
      <c r="U153" s="30">
        <f ca="1" t="shared" si="184"/>
        <v>0</v>
      </c>
      <c r="V153" s="30">
        <f ca="1" t="shared" si="185"/>
        <v>0</v>
      </c>
      <c r="W153" s="30">
        <f ca="1" t="shared" si="186"/>
        <v>0</v>
      </c>
      <c r="X153" s="30">
        <f ca="1" t="shared" si="187"/>
        <v>2849.28</v>
      </c>
      <c r="Y153" s="30">
        <f ca="1" t="shared" si="188"/>
        <v>0</v>
      </c>
      <c r="Z153" s="30">
        <f ca="1" t="shared" si="189"/>
        <v>0</v>
      </c>
      <c r="AA153" s="30">
        <f ca="1" t="shared" si="190"/>
        <v>0</v>
      </c>
      <c r="AB153" s="30"/>
    </row>
    <row r="154" customHeight="1" outlineLevel="3" spans="1:28">
      <c r="A154" s="514" t="s">
        <v>2654</v>
      </c>
      <c r="B154" s="30"/>
      <c r="C154" s="513" t="s">
        <v>64</v>
      </c>
      <c r="D154" s="30" t="s">
        <v>1041</v>
      </c>
      <c r="E154" s="30"/>
      <c r="F154" s="30" t="str">
        <f ca="1" t="shared" si="181"/>
        <v>t</v>
      </c>
      <c r="G154" s="30"/>
      <c r="H154" s="30"/>
      <c r="I154" s="30"/>
      <c r="J154" s="30"/>
      <c r="K154" s="30"/>
      <c r="L154" s="526"/>
      <c r="M154" s="30">
        <v>206.618</v>
      </c>
      <c r="N154" s="30">
        <f ca="1" t="shared" si="182"/>
        <v>650</v>
      </c>
      <c r="O154" s="30">
        <f ca="1" t="shared" si="192"/>
        <v>134301.7</v>
      </c>
      <c r="P154" s="30"/>
      <c r="Q154" s="30"/>
      <c r="R154" s="30"/>
      <c r="S154" s="30"/>
      <c r="T154" s="30">
        <f ca="1" t="shared" si="183"/>
        <v>0</v>
      </c>
      <c r="U154" s="30">
        <f ca="1" t="shared" si="184"/>
        <v>0</v>
      </c>
      <c r="V154" s="30">
        <f ca="1" t="shared" si="185"/>
        <v>0</v>
      </c>
      <c r="W154" s="30">
        <f ca="1" t="shared" si="186"/>
        <v>0</v>
      </c>
      <c r="X154" s="30">
        <f ca="1" t="shared" si="187"/>
        <v>206.618</v>
      </c>
      <c r="Y154" s="30">
        <f ca="1" t="shared" si="188"/>
        <v>134301.7</v>
      </c>
      <c r="Z154" s="30">
        <f ca="1" t="shared" si="189"/>
        <v>0</v>
      </c>
      <c r="AA154" s="30">
        <f ca="1" t="shared" si="190"/>
        <v>0</v>
      </c>
      <c r="AB154" s="30"/>
    </row>
    <row r="155" customHeight="1" outlineLevel="3" spans="1:28">
      <c r="A155" s="514" t="s">
        <v>2655</v>
      </c>
      <c r="B155" s="30"/>
      <c r="C155" s="513" t="s">
        <v>64</v>
      </c>
      <c r="D155" s="30" t="s">
        <v>80</v>
      </c>
      <c r="E155" s="30"/>
      <c r="F155" s="30" t="str">
        <f ca="1" t="shared" si="181"/>
        <v>m3</v>
      </c>
      <c r="G155" s="30"/>
      <c r="H155" s="30"/>
      <c r="I155" s="30"/>
      <c r="J155" s="30"/>
      <c r="K155" s="30"/>
      <c r="L155" s="526"/>
      <c r="M155" s="30">
        <v>3000</v>
      </c>
      <c r="N155" s="30">
        <f ca="1" t="shared" si="182"/>
        <v>45</v>
      </c>
      <c r="O155" s="30">
        <f ca="1" t="shared" si="192"/>
        <v>135000</v>
      </c>
      <c r="P155" s="30"/>
      <c r="Q155" s="30"/>
      <c r="R155" s="30"/>
      <c r="S155" s="30"/>
      <c r="T155" s="30">
        <f ca="1" t="shared" si="183"/>
        <v>0</v>
      </c>
      <c r="U155" s="30">
        <f ca="1" t="shared" si="184"/>
        <v>0</v>
      </c>
      <c r="V155" s="30">
        <f ca="1" t="shared" si="185"/>
        <v>0</v>
      </c>
      <c r="W155" s="30">
        <f ca="1" t="shared" si="186"/>
        <v>0</v>
      </c>
      <c r="X155" s="30">
        <f ca="1" t="shared" si="187"/>
        <v>3000</v>
      </c>
      <c r="Y155" s="30">
        <f ca="1" t="shared" si="188"/>
        <v>135000</v>
      </c>
      <c r="Z155" s="30">
        <f ca="1" t="shared" si="189"/>
        <v>0</v>
      </c>
      <c r="AA155" s="30">
        <f ca="1" t="shared" si="190"/>
        <v>0</v>
      </c>
      <c r="AB155" s="30"/>
    </row>
    <row r="156" customHeight="1" outlineLevel="2" spans="1:28">
      <c r="A156" s="512" t="s">
        <v>2656</v>
      </c>
      <c r="B156" s="30"/>
      <c r="C156" s="513" t="s">
        <v>1310</v>
      </c>
      <c r="D156" s="30" t="s">
        <v>2657</v>
      </c>
      <c r="E156" s="30" t="s">
        <v>2536</v>
      </c>
      <c r="F156" s="30" t="s">
        <v>69</v>
      </c>
      <c r="G156" s="30">
        <v>1978.1</v>
      </c>
      <c r="H156" s="30">
        <v>219.97247706422</v>
      </c>
      <c r="I156" s="30">
        <f>G156*H156</f>
        <v>435127.556880734</v>
      </c>
      <c r="J156" s="30">
        <f t="shared" ref="J156:L156" si="193">+G156</f>
        <v>1978.1</v>
      </c>
      <c r="K156" s="30">
        <f t="shared" si="193"/>
        <v>219.97247706422</v>
      </c>
      <c r="L156" s="526">
        <f t="shared" si="193"/>
        <v>435127.556880734</v>
      </c>
      <c r="M156" s="30">
        <v>1978.1</v>
      </c>
      <c r="N156" s="30">
        <f ca="1">O156/M156</f>
        <v>70</v>
      </c>
      <c r="O156" s="30">
        <f ca="1">(+O157)</f>
        <v>138467</v>
      </c>
      <c r="P156" s="30"/>
      <c r="Q156" s="30"/>
      <c r="R156" s="30">
        <f>+P156+J156</f>
        <v>1978.1</v>
      </c>
      <c r="S156" s="30">
        <f>+Q156+L156</f>
        <v>435127.556880734</v>
      </c>
      <c r="T156" s="30">
        <f>IFERROR(VLOOKUP(A156,产值统计中间表!A:F,7,FALSE),0)</f>
        <v>0</v>
      </c>
      <c r="U156" s="30">
        <f>+T156*H156</f>
        <v>0</v>
      </c>
      <c r="V156" s="30">
        <f>IFERROR(VLOOKUP(A156,产值统计中间表!A:D,4,FALSE),0)</f>
        <v>0</v>
      </c>
      <c r="W156" s="30">
        <f>+V156*H156</f>
        <v>0</v>
      </c>
      <c r="X156" s="30">
        <f>+R156-V156</f>
        <v>1978.1</v>
      </c>
      <c r="Y156" s="30">
        <f>+S156-W156</f>
        <v>435127.556880734</v>
      </c>
      <c r="Z156" s="30">
        <f>IFERROR(VLOOKUP(A156,业主统计中间表!A:D,4,FALSE),0)</f>
        <v>0</v>
      </c>
      <c r="AA156" s="30">
        <f>+Z156*H156</f>
        <v>0</v>
      </c>
      <c r="AB156" s="30"/>
    </row>
    <row r="157" customHeight="1" outlineLevel="3" spans="1:28">
      <c r="A157" s="514" t="s">
        <v>2658</v>
      </c>
      <c r="B157" s="30"/>
      <c r="C157" s="513" t="s">
        <v>65</v>
      </c>
      <c r="D157" s="30" t="s">
        <v>788</v>
      </c>
      <c r="E157" s="30" t="s">
        <v>65</v>
      </c>
      <c r="F157" s="30" t="str">
        <f ca="1" t="shared" ref="F157:F168" si="194">VLOOKUP($D157,INDIRECT($C157),2,0)</f>
        <v>m2</v>
      </c>
      <c r="G157" s="30"/>
      <c r="H157" s="30"/>
      <c r="I157" s="30"/>
      <c r="J157" s="30"/>
      <c r="K157" s="30"/>
      <c r="L157" s="526"/>
      <c r="M157" s="30">
        <v>1978.1</v>
      </c>
      <c r="N157" s="30">
        <f ca="1" t="shared" ref="N157:N168" si="195">VLOOKUP($D157,INDIRECT($C157),3,0)</f>
        <v>70</v>
      </c>
      <c r="O157" s="30">
        <f ca="1">M157*N157</f>
        <v>138467</v>
      </c>
      <c r="P157" s="30"/>
      <c r="Q157" s="30"/>
      <c r="R157" s="30"/>
      <c r="S157" s="30"/>
      <c r="T157" s="30">
        <f ca="1" t="shared" ref="T157:T168" si="196">OFFSET(T157,-RIGHT($A157,LEN($A$6)),,1,1)/OFFSET(T157,-RIGHT($A157,LEN($A$6)),-13,1,1)*$M157</f>
        <v>0</v>
      </c>
      <c r="U157" s="30">
        <f ca="1" t="shared" ref="U157:U168" si="197">+$N157*T157</f>
        <v>0</v>
      </c>
      <c r="V157" s="30">
        <f ca="1" t="shared" ref="V157:V168" si="198">OFFSET(V157,-RIGHT($A157,LEN($A$6)),,1,1)/OFFSET(V157,-RIGHT($A157,LEN($A$6)),-15,1,1)*$M157</f>
        <v>0</v>
      </c>
      <c r="W157" s="30">
        <f ca="1" t="shared" ref="W157:W168" si="199">+$N157*V157</f>
        <v>0</v>
      </c>
      <c r="X157" s="30">
        <f ca="1" t="shared" ref="X157:X168" si="200">+M157-V157</f>
        <v>1978.1</v>
      </c>
      <c r="Y157" s="30">
        <f ca="1" t="shared" ref="Y157:Y168" si="201">+O157-W157</f>
        <v>138467</v>
      </c>
      <c r="Z157" s="30">
        <f ca="1" t="shared" ref="Z157:Z168" si="202">OFFSET(Z157,-RIGHT($A157,LEN($A$6)),,1,1)/OFFSET(Z157,-RIGHT($A157,LEN($A$6)),-19,1,1)*$M157</f>
        <v>0</v>
      </c>
      <c r="AA157" s="30">
        <f ca="1" t="shared" ref="AA157:AA168" si="203">+$N157*Z157</f>
        <v>0</v>
      </c>
      <c r="AB157" s="30"/>
    </row>
    <row r="158" customHeight="1" outlineLevel="1" spans="1:28">
      <c r="A158" s="515" t="s">
        <v>2659</v>
      </c>
      <c r="B158" s="30"/>
      <c r="C158" s="513" t="s">
        <v>60</v>
      </c>
      <c r="D158" s="30" t="s">
        <v>2660</v>
      </c>
      <c r="E158" s="30"/>
      <c r="F158" s="30"/>
      <c r="G158" s="30"/>
      <c r="H158" s="30"/>
      <c r="I158" s="30">
        <f>(+I159+I169+I171)</f>
        <v>137024.390348624</v>
      </c>
      <c r="J158" s="30"/>
      <c r="K158" s="30"/>
      <c r="L158" s="526">
        <f>(+L159+L169+L171)</f>
        <v>137024.390348624</v>
      </c>
      <c r="M158" s="30"/>
      <c r="N158" s="30"/>
      <c r="O158" s="30">
        <f ca="1">(+O159+O169+O171)</f>
        <v>146268.5522</v>
      </c>
      <c r="P158" s="30"/>
      <c r="Q158" s="30"/>
      <c r="R158" s="30"/>
      <c r="S158" s="30"/>
      <c r="T158" s="30"/>
      <c r="U158" s="30"/>
      <c r="V158" s="30"/>
      <c r="W158" s="30"/>
      <c r="X158" s="30"/>
      <c r="Y158" s="30"/>
      <c r="Z158" s="30"/>
      <c r="AA158" s="30"/>
      <c r="AB158" s="30"/>
    </row>
    <row r="159" customHeight="1" outlineLevel="2" spans="1:28">
      <c r="A159" s="512" t="s">
        <v>2661</v>
      </c>
      <c r="B159" s="30"/>
      <c r="C159" s="513" t="s">
        <v>1310</v>
      </c>
      <c r="D159" s="30" t="s">
        <v>2620</v>
      </c>
      <c r="E159" s="30" t="s">
        <v>1366</v>
      </c>
      <c r="F159" s="30" t="s">
        <v>72</v>
      </c>
      <c r="G159" s="30">
        <v>44.16</v>
      </c>
      <c r="H159" s="30">
        <v>1447.55963302752</v>
      </c>
      <c r="I159" s="30">
        <f>G159*H159</f>
        <v>63924.2333944953</v>
      </c>
      <c r="J159" s="30">
        <f t="shared" ref="J159:L159" si="204">+G159</f>
        <v>44.16</v>
      </c>
      <c r="K159" s="30">
        <f t="shared" si="204"/>
        <v>1447.55963302752</v>
      </c>
      <c r="L159" s="526">
        <f t="shared" si="204"/>
        <v>63924.2333944953</v>
      </c>
      <c r="M159" s="30">
        <v>44.16</v>
      </c>
      <c r="N159" s="30">
        <f ca="1">O159/M159</f>
        <v>1763.05688858696</v>
      </c>
      <c r="O159" s="30">
        <f ca="1">(+O160+O161+O162+O163+O164+O165+O166+O167+O168)</f>
        <v>77856.5922</v>
      </c>
      <c r="P159" s="30"/>
      <c r="Q159" s="30"/>
      <c r="R159" s="30">
        <f>+P159+J159</f>
        <v>44.16</v>
      </c>
      <c r="S159" s="30">
        <f>+Q159+L159</f>
        <v>63924.2333944953</v>
      </c>
      <c r="T159" s="30">
        <f>IFERROR(VLOOKUP(A159,产值统计中间表!A:F,7,FALSE),0)</f>
        <v>0</v>
      </c>
      <c r="U159" s="30">
        <f>+T159*H159</f>
        <v>0</v>
      </c>
      <c r="V159" s="30">
        <f>IFERROR(VLOOKUP(A159,产值统计中间表!A:D,4,FALSE),0)</f>
        <v>0</v>
      </c>
      <c r="W159" s="30">
        <f>+V159*H159</f>
        <v>0</v>
      </c>
      <c r="X159" s="30">
        <f>+R159-V159</f>
        <v>44.16</v>
      </c>
      <c r="Y159" s="30">
        <f>+S159-W159</f>
        <v>63924.2333944953</v>
      </c>
      <c r="Z159" s="30">
        <f>IFERROR(VLOOKUP(A159,业主统计中间表!A:D,4,FALSE),0)</f>
        <v>0</v>
      </c>
      <c r="AA159" s="30">
        <f>+Z159*H159</f>
        <v>0</v>
      </c>
      <c r="AB159" s="30"/>
    </row>
    <row r="160" customHeight="1" outlineLevel="3" spans="1:28">
      <c r="A160" s="514" t="s">
        <v>2662</v>
      </c>
      <c r="B160" s="30"/>
      <c r="C160" s="513" t="s">
        <v>65</v>
      </c>
      <c r="D160" s="30" t="s">
        <v>688</v>
      </c>
      <c r="E160" s="30" t="s">
        <v>2626</v>
      </c>
      <c r="F160" s="30" t="str">
        <f ca="1" t="shared" si="194"/>
        <v>m³</v>
      </c>
      <c r="G160" s="30"/>
      <c r="H160" s="30"/>
      <c r="I160" s="30"/>
      <c r="J160" s="30"/>
      <c r="K160" s="30"/>
      <c r="L160" s="526"/>
      <c r="M160" s="30">
        <v>88.32</v>
      </c>
      <c r="N160" s="30">
        <f ca="1" t="shared" si="195"/>
        <v>390</v>
      </c>
      <c r="O160" s="30">
        <f ca="1" t="shared" ref="O160:O168" si="205">M160*N160</f>
        <v>34444.8</v>
      </c>
      <c r="P160" s="30"/>
      <c r="Q160" s="30"/>
      <c r="R160" s="30"/>
      <c r="S160" s="30"/>
      <c r="T160" s="30">
        <f ca="1" t="shared" si="196"/>
        <v>0</v>
      </c>
      <c r="U160" s="30">
        <f ca="1" t="shared" si="197"/>
        <v>0</v>
      </c>
      <c r="V160" s="30">
        <f ca="1" t="shared" si="198"/>
        <v>0</v>
      </c>
      <c r="W160" s="30">
        <f ca="1" t="shared" si="199"/>
        <v>0</v>
      </c>
      <c r="X160" s="30">
        <f ca="1" t="shared" si="200"/>
        <v>88.32</v>
      </c>
      <c r="Y160" s="30">
        <f ca="1" t="shared" si="201"/>
        <v>34444.8</v>
      </c>
      <c r="Z160" s="30">
        <f ca="1" t="shared" si="202"/>
        <v>0</v>
      </c>
      <c r="AA160" s="30">
        <f ca="1" t="shared" si="203"/>
        <v>0</v>
      </c>
      <c r="AB160" s="30"/>
    </row>
    <row r="161" customHeight="1" outlineLevel="3" spans="1:28">
      <c r="A161" s="514" t="s">
        <v>2663</v>
      </c>
      <c r="B161" s="30"/>
      <c r="C161" s="513" t="s">
        <v>59</v>
      </c>
      <c r="D161" s="30" t="s">
        <v>785</v>
      </c>
      <c r="E161" s="30"/>
      <c r="F161" s="30" t="str">
        <f ca="1" t="shared" si="194"/>
        <v>m³</v>
      </c>
      <c r="G161" s="30"/>
      <c r="H161" s="30"/>
      <c r="I161" s="30"/>
      <c r="J161" s="30"/>
      <c r="K161" s="30"/>
      <c r="L161" s="526"/>
      <c r="M161" s="30">
        <v>51.040128</v>
      </c>
      <c r="N161" s="30">
        <f ca="1" t="shared" si="195"/>
        <v>400</v>
      </c>
      <c r="O161" s="30">
        <f ca="1" t="shared" si="205"/>
        <v>20416.0512</v>
      </c>
      <c r="P161" s="30"/>
      <c r="Q161" s="30"/>
      <c r="R161" s="30"/>
      <c r="S161" s="30"/>
      <c r="T161" s="30">
        <f ca="1" t="shared" si="196"/>
        <v>0</v>
      </c>
      <c r="U161" s="30">
        <f ca="1" t="shared" si="197"/>
        <v>0</v>
      </c>
      <c r="V161" s="30">
        <f ca="1" t="shared" si="198"/>
        <v>0</v>
      </c>
      <c r="W161" s="30">
        <f ca="1" t="shared" si="199"/>
        <v>0</v>
      </c>
      <c r="X161" s="30">
        <f ca="1" t="shared" si="200"/>
        <v>51.040128</v>
      </c>
      <c r="Y161" s="30">
        <f ca="1" t="shared" si="201"/>
        <v>20416.0512</v>
      </c>
      <c r="Z161" s="30">
        <f ca="1" t="shared" si="202"/>
        <v>0</v>
      </c>
      <c r="AA161" s="30">
        <f ca="1" t="shared" si="203"/>
        <v>0</v>
      </c>
      <c r="AB161" s="30"/>
    </row>
    <row r="162" customHeight="1" outlineLevel="3" spans="1:28">
      <c r="A162" s="514" t="s">
        <v>2664</v>
      </c>
      <c r="B162" s="30"/>
      <c r="C162" s="513" t="s">
        <v>59</v>
      </c>
      <c r="D162" s="30" t="s">
        <v>789</v>
      </c>
      <c r="E162" s="30" t="str">
        <f ca="1">"含钢量："&amp;ROUND($M$162/$G$159,3)&amp;$F$162&amp;"/"&amp;$F$159</f>
        <v>含钢量：0.014t/m3</v>
      </c>
      <c r="F162" s="30" t="str">
        <f ca="1" t="shared" si="194"/>
        <v>t</v>
      </c>
      <c r="G162" s="30"/>
      <c r="H162" s="30"/>
      <c r="I162" s="30"/>
      <c r="J162" s="30"/>
      <c r="K162" s="30"/>
      <c r="L162" s="526"/>
      <c r="M162" s="30">
        <v>0.62274</v>
      </c>
      <c r="N162" s="30">
        <f ca="1" t="shared" si="195"/>
        <v>4000</v>
      </c>
      <c r="O162" s="30">
        <f ca="1" t="shared" si="205"/>
        <v>2490.96</v>
      </c>
      <c r="P162" s="30"/>
      <c r="Q162" s="30"/>
      <c r="R162" s="30"/>
      <c r="S162" s="30"/>
      <c r="T162" s="30">
        <f ca="1" t="shared" si="196"/>
        <v>0</v>
      </c>
      <c r="U162" s="30">
        <f ca="1" t="shared" si="197"/>
        <v>0</v>
      </c>
      <c r="V162" s="30">
        <f ca="1" t="shared" si="198"/>
        <v>0</v>
      </c>
      <c r="W162" s="30">
        <f ca="1" t="shared" si="199"/>
        <v>0</v>
      </c>
      <c r="X162" s="30">
        <f ca="1" t="shared" si="200"/>
        <v>0.62274</v>
      </c>
      <c r="Y162" s="30">
        <f ca="1" t="shared" si="201"/>
        <v>2490.96</v>
      </c>
      <c r="Z162" s="30">
        <f ca="1" t="shared" si="202"/>
        <v>0</v>
      </c>
      <c r="AA162" s="30">
        <f ca="1" t="shared" si="203"/>
        <v>0</v>
      </c>
      <c r="AB162" s="30"/>
    </row>
    <row r="163" customHeight="1" outlineLevel="3" spans="1:28">
      <c r="A163" s="514" t="s">
        <v>2665</v>
      </c>
      <c r="B163" s="30"/>
      <c r="C163" s="513" t="s">
        <v>64</v>
      </c>
      <c r="D163" s="30" t="s">
        <v>1056</v>
      </c>
      <c r="E163" s="30" t="s">
        <v>2468</v>
      </c>
      <c r="F163" s="30" t="str">
        <f ca="1" t="shared" si="194"/>
        <v>根</v>
      </c>
      <c r="G163" s="30"/>
      <c r="H163" s="30"/>
      <c r="I163" s="30"/>
      <c r="J163" s="30"/>
      <c r="K163" s="30"/>
      <c r="L163" s="526"/>
      <c r="M163" s="30">
        <v>10</v>
      </c>
      <c r="N163" s="30">
        <f ca="1" t="shared" si="195"/>
        <v>180</v>
      </c>
      <c r="O163" s="30">
        <f ca="1" t="shared" si="205"/>
        <v>1800</v>
      </c>
      <c r="P163" s="30"/>
      <c r="Q163" s="30"/>
      <c r="R163" s="30"/>
      <c r="S163" s="30"/>
      <c r="T163" s="30">
        <f ca="1" t="shared" si="196"/>
        <v>0</v>
      </c>
      <c r="U163" s="30">
        <f ca="1" t="shared" si="197"/>
        <v>0</v>
      </c>
      <c r="V163" s="30">
        <f ca="1" t="shared" si="198"/>
        <v>0</v>
      </c>
      <c r="W163" s="30">
        <f ca="1" t="shared" si="199"/>
        <v>0</v>
      </c>
      <c r="X163" s="30">
        <f ca="1" t="shared" si="200"/>
        <v>10</v>
      </c>
      <c r="Y163" s="30">
        <f ca="1" t="shared" si="201"/>
        <v>1800</v>
      </c>
      <c r="Z163" s="30">
        <f ca="1" t="shared" si="202"/>
        <v>0</v>
      </c>
      <c r="AA163" s="30">
        <f ca="1" t="shared" si="203"/>
        <v>0</v>
      </c>
      <c r="AB163" s="30"/>
    </row>
    <row r="164" customHeight="1" outlineLevel="3" spans="1:28">
      <c r="A164" s="514" t="s">
        <v>2666</v>
      </c>
      <c r="B164" s="30"/>
      <c r="C164" s="513" t="s">
        <v>64</v>
      </c>
      <c r="D164" s="30" t="s">
        <v>1062</v>
      </c>
      <c r="E164" s="30" t="s">
        <v>2468</v>
      </c>
      <c r="F164" s="30" t="str">
        <f ca="1" t="shared" si="194"/>
        <v>根</v>
      </c>
      <c r="G164" s="30"/>
      <c r="H164" s="30"/>
      <c r="I164" s="30"/>
      <c r="J164" s="30"/>
      <c r="K164" s="30"/>
      <c r="L164" s="526"/>
      <c r="M164" s="30">
        <v>10</v>
      </c>
      <c r="N164" s="30">
        <f ca="1" t="shared" si="195"/>
        <v>200</v>
      </c>
      <c r="O164" s="30">
        <f ca="1" t="shared" si="205"/>
        <v>2000</v>
      </c>
      <c r="P164" s="30"/>
      <c r="Q164" s="30"/>
      <c r="R164" s="30"/>
      <c r="S164" s="30"/>
      <c r="T164" s="30">
        <f ca="1" t="shared" si="196"/>
        <v>0</v>
      </c>
      <c r="U164" s="30">
        <f ca="1" t="shared" si="197"/>
        <v>0</v>
      </c>
      <c r="V164" s="30">
        <f ca="1" t="shared" si="198"/>
        <v>0</v>
      </c>
      <c r="W164" s="30">
        <f ca="1" t="shared" si="199"/>
        <v>0</v>
      </c>
      <c r="X164" s="30">
        <f ca="1" t="shared" si="200"/>
        <v>10</v>
      </c>
      <c r="Y164" s="30">
        <f ca="1" t="shared" si="201"/>
        <v>2000</v>
      </c>
      <c r="Z164" s="30">
        <f ca="1" t="shared" si="202"/>
        <v>0</v>
      </c>
      <c r="AA164" s="30">
        <f ca="1" t="shared" si="203"/>
        <v>0</v>
      </c>
      <c r="AB164" s="30"/>
    </row>
    <row r="165" customHeight="1" outlineLevel="3" spans="1:28">
      <c r="A165" s="514" t="s">
        <v>2667</v>
      </c>
      <c r="B165" s="30"/>
      <c r="C165" s="513" t="s">
        <v>65</v>
      </c>
      <c r="D165" s="30" t="s">
        <v>652</v>
      </c>
      <c r="E165" s="30"/>
      <c r="F165" s="30" t="str">
        <f ca="1" t="shared" si="194"/>
        <v>根</v>
      </c>
      <c r="G165" s="30"/>
      <c r="H165" s="30"/>
      <c r="I165" s="30"/>
      <c r="J165" s="30"/>
      <c r="K165" s="30"/>
      <c r="L165" s="526"/>
      <c r="M165" s="30">
        <v>20</v>
      </c>
      <c r="N165" s="30">
        <f ca="1" t="shared" si="195"/>
        <v>65</v>
      </c>
      <c r="O165" s="30">
        <f ca="1" t="shared" si="205"/>
        <v>1300</v>
      </c>
      <c r="P165" s="30"/>
      <c r="Q165" s="30"/>
      <c r="R165" s="30"/>
      <c r="S165" s="30"/>
      <c r="T165" s="30">
        <f ca="1" t="shared" si="196"/>
        <v>0</v>
      </c>
      <c r="U165" s="30">
        <f ca="1" t="shared" si="197"/>
        <v>0</v>
      </c>
      <c r="V165" s="30">
        <f ca="1" t="shared" si="198"/>
        <v>0</v>
      </c>
      <c r="W165" s="30">
        <f ca="1" t="shared" si="199"/>
        <v>0</v>
      </c>
      <c r="X165" s="30">
        <f ca="1" t="shared" si="200"/>
        <v>20</v>
      </c>
      <c r="Y165" s="30">
        <f ca="1" t="shared" si="201"/>
        <v>1300</v>
      </c>
      <c r="Z165" s="30">
        <f ca="1" t="shared" si="202"/>
        <v>0</v>
      </c>
      <c r="AA165" s="30">
        <f ca="1" t="shared" si="203"/>
        <v>0</v>
      </c>
      <c r="AB165" s="30"/>
    </row>
    <row r="166" customHeight="1" outlineLevel="3" spans="1:28">
      <c r="A166" s="514" t="s">
        <v>2668</v>
      </c>
      <c r="B166" s="30"/>
      <c r="C166" s="513" t="s">
        <v>65</v>
      </c>
      <c r="D166" s="30" t="s">
        <v>656</v>
      </c>
      <c r="E166" s="30"/>
      <c r="F166" s="30" t="str">
        <f ca="1" t="shared" si="194"/>
        <v>根</v>
      </c>
      <c r="G166" s="30"/>
      <c r="H166" s="30"/>
      <c r="I166" s="30"/>
      <c r="J166" s="30"/>
      <c r="K166" s="30"/>
      <c r="L166" s="526"/>
      <c r="M166" s="30">
        <v>20</v>
      </c>
      <c r="N166" s="30">
        <f ca="1" t="shared" si="195"/>
        <v>750</v>
      </c>
      <c r="O166" s="30">
        <f ca="1" t="shared" si="205"/>
        <v>15000</v>
      </c>
      <c r="P166" s="30"/>
      <c r="Q166" s="30"/>
      <c r="R166" s="30"/>
      <c r="S166" s="30"/>
      <c r="T166" s="30">
        <f ca="1" t="shared" si="196"/>
        <v>0</v>
      </c>
      <c r="U166" s="30">
        <f ca="1" t="shared" si="197"/>
        <v>0</v>
      </c>
      <c r="V166" s="30">
        <f ca="1" t="shared" si="198"/>
        <v>0</v>
      </c>
      <c r="W166" s="30">
        <f ca="1" t="shared" si="199"/>
        <v>0</v>
      </c>
      <c r="X166" s="30">
        <f ca="1" t="shared" si="200"/>
        <v>20</v>
      </c>
      <c r="Y166" s="30">
        <f ca="1" t="shared" si="201"/>
        <v>15000</v>
      </c>
      <c r="Z166" s="30">
        <f ca="1" t="shared" si="202"/>
        <v>0</v>
      </c>
      <c r="AA166" s="30">
        <f ca="1" t="shared" si="203"/>
        <v>0</v>
      </c>
      <c r="AB166" s="30"/>
    </row>
    <row r="167" customHeight="1" outlineLevel="3" spans="1:28">
      <c r="A167" s="514" t="s">
        <v>2669</v>
      </c>
      <c r="B167" s="30"/>
      <c r="C167" s="513" t="s">
        <v>59</v>
      </c>
      <c r="D167" s="30" t="s">
        <v>1132</v>
      </c>
      <c r="E167" s="30"/>
      <c r="F167" s="30" t="str">
        <f ca="1" t="shared" si="194"/>
        <v>m</v>
      </c>
      <c r="G167" s="30"/>
      <c r="H167" s="30"/>
      <c r="I167" s="30"/>
      <c r="J167" s="30"/>
      <c r="K167" s="30"/>
      <c r="L167" s="526"/>
      <c r="M167" s="30">
        <v>83.316</v>
      </c>
      <c r="N167" s="30">
        <f ca="1" t="shared" si="195"/>
        <v>0</v>
      </c>
      <c r="O167" s="30">
        <f ca="1" t="shared" si="205"/>
        <v>0</v>
      </c>
      <c r="P167" s="30"/>
      <c r="Q167" s="30"/>
      <c r="R167" s="30"/>
      <c r="S167" s="30"/>
      <c r="T167" s="30">
        <f ca="1" t="shared" si="196"/>
        <v>0</v>
      </c>
      <c r="U167" s="30">
        <f ca="1" t="shared" si="197"/>
        <v>0</v>
      </c>
      <c r="V167" s="30">
        <f ca="1" t="shared" si="198"/>
        <v>0</v>
      </c>
      <c r="W167" s="30">
        <f ca="1" t="shared" si="199"/>
        <v>0</v>
      </c>
      <c r="X167" s="30">
        <f ca="1" t="shared" si="200"/>
        <v>83.316</v>
      </c>
      <c r="Y167" s="30">
        <f ca="1" t="shared" si="201"/>
        <v>0</v>
      </c>
      <c r="Z167" s="30">
        <f ca="1" t="shared" si="202"/>
        <v>0</v>
      </c>
      <c r="AA167" s="30">
        <f ca="1" t="shared" si="203"/>
        <v>0</v>
      </c>
      <c r="AB167" s="30"/>
    </row>
    <row r="168" customHeight="1" outlineLevel="3" spans="1:28">
      <c r="A168" s="514" t="s">
        <v>2670</v>
      </c>
      <c r="B168" s="30"/>
      <c r="C168" s="513" t="s">
        <v>64</v>
      </c>
      <c r="D168" s="30" t="s">
        <v>1041</v>
      </c>
      <c r="E168" s="30"/>
      <c r="F168" s="30" t="str">
        <f ca="1" t="shared" si="194"/>
        <v>t</v>
      </c>
      <c r="G168" s="30"/>
      <c r="H168" s="30"/>
      <c r="I168" s="30"/>
      <c r="J168" s="30"/>
      <c r="K168" s="30"/>
      <c r="L168" s="526"/>
      <c r="M168" s="30">
        <v>0.62274</v>
      </c>
      <c r="N168" s="30">
        <f ca="1" t="shared" si="195"/>
        <v>650</v>
      </c>
      <c r="O168" s="30">
        <f ca="1" t="shared" si="205"/>
        <v>404.781</v>
      </c>
      <c r="P168" s="30"/>
      <c r="Q168" s="30"/>
      <c r="R168" s="30"/>
      <c r="S168" s="30"/>
      <c r="T168" s="30">
        <f ca="1" t="shared" si="196"/>
        <v>0</v>
      </c>
      <c r="U168" s="30">
        <f ca="1" t="shared" si="197"/>
        <v>0</v>
      </c>
      <c r="V168" s="30">
        <f ca="1" t="shared" si="198"/>
        <v>0</v>
      </c>
      <c r="W168" s="30">
        <f ca="1" t="shared" si="199"/>
        <v>0</v>
      </c>
      <c r="X168" s="30">
        <f ca="1" t="shared" si="200"/>
        <v>0.62274</v>
      </c>
      <c r="Y168" s="30">
        <f ca="1" t="shared" si="201"/>
        <v>404.781</v>
      </c>
      <c r="Z168" s="30">
        <f ca="1" t="shared" si="202"/>
        <v>0</v>
      </c>
      <c r="AA168" s="30">
        <f ca="1" t="shared" si="203"/>
        <v>0</v>
      </c>
      <c r="AB168" s="30"/>
    </row>
    <row r="169" customHeight="1" outlineLevel="2" spans="1:28">
      <c r="A169" s="512" t="s">
        <v>2671</v>
      </c>
      <c r="B169" s="30"/>
      <c r="C169" s="513" t="s">
        <v>1310</v>
      </c>
      <c r="D169" s="30" t="s">
        <v>1858</v>
      </c>
      <c r="E169" s="30" t="s">
        <v>2672</v>
      </c>
      <c r="F169" s="30" t="s">
        <v>82</v>
      </c>
      <c r="G169" s="30">
        <v>6.592</v>
      </c>
      <c r="H169" s="30">
        <v>6774.53211009174</v>
      </c>
      <c r="I169" s="30">
        <f>G169*H169</f>
        <v>44657.7156697247</v>
      </c>
      <c r="J169" s="30">
        <f t="shared" ref="J169:L169" si="206">+G169</f>
        <v>6.592</v>
      </c>
      <c r="K169" s="30">
        <f t="shared" si="206"/>
        <v>6774.53211009174</v>
      </c>
      <c r="L169" s="526">
        <f t="shared" si="206"/>
        <v>44657.7156697247</v>
      </c>
      <c r="M169" s="30">
        <v>6.592</v>
      </c>
      <c r="N169" s="30">
        <f ca="1">O169/M169</f>
        <v>9005</v>
      </c>
      <c r="O169" s="30">
        <f ca="1">(+O170)</f>
        <v>59360.96</v>
      </c>
      <c r="P169" s="30"/>
      <c r="Q169" s="30"/>
      <c r="R169" s="30">
        <f>+P169+J169</f>
        <v>6.592</v>
      </c>
      <c r="S169" s="30">
        <f>+Q169+L169</f>
        <v>44657.7156697247</v>
      </c>
      <c r="T169" s="30">
        <f>IFERROR(VLOOKUP(A169,产值统计中间表!A:F,7,FALSE),0)</f>
        <v>0</v>
      </c>
      <c r="U169" s="30">
        <f>+T169*H169</f>
        <v>0</v>
      </c>
      <c r="V169" s="30">
        <f>IFERROR(VLOOKUP(A169,产值统计中间表!A:D,4,FALSE),0)</f>
        <v>0</v>
      </c>
      <c r="W169" s="30">
        <f>+V169*H169</f>
        <v>0</v>
      </c>
      <c r="X169" s="30">
        <f>+R169-V169</f>
        <v>6.592</v>
      </c>
      <c r="Y169" s="30">
        <f>+S169-W169</f>
        <v>44657.7156697247</v>
      </c>
      <c r="Z169" s="30">
        <f>IFERROR(VLOOKUP(A169,业主统计中间表!A:D,4,FALSE),0)</f>
        <v>0</v>
      </c>
      <c r="AA169" s="30">
        <f>+Z169*H169</f>
        <v>0</v>
      </c>
      <c r="AB169" s="30"/>
    </row>
    <row r="170" customHeight="1" outlineLevel="3" spans="1:28">
      <c r="A170" s="514" t="s">
        <v>2673</v>
      </c>
      <c r="B170" s="30"/>
      <c r="C170" s="513" t="s">
        <v>65</v>
      </c>
      <c r="D170" s="30" t="s">
        <v>827</v>
      </c>
      <c r="E170" s="30"/>
      <c r="F170" s="30" t="str">
        <f ca="1">VLOOKUP($D170,INDIRECT($C170),2,0)</f>
        <v>t</v>
      </c>
      <c r="G170" s="30"/>
      <c r="H170" s="30"/>
      <c r="I170" s="30"/>
      <c r="J170" s="30"/>
      <c r="K170" s="30"/>
      <c r="L170" s="526"/>
      <c r="M170" s="30">
        <v>6.592</v>
      </c>
      <c r="N170" s="30">
        <f ca="1" t="shared" ref="N170:N179" si="207">VLOOKUP($D170,INDIRECT($C170),3,0)</f>
        <v>9005</v>
      </c>
      <c r="O170" s="30">
        <f ca="1">M170*N170</f>
        <v>59360.96</v>
      </c>
      <c r="P170" s="30"/>
      <c r="Q170" s="30"/>
      <c r="R170" s="30"/>
      <c r="S170" s="30"/>
      <c r="T170" s="30">
        <f ca="1">OFFSET(T170,-RIGHT($A170,LEN($A$6)),,1,1)/OFFSET(T170,-RIGHT($A170,LEN($A$6)),-13,1,1)*$M170</f>
        <v>0</v>
      </c>
      <c r="U170" s="30">
        <f ca="1">+$N170*T170</f>
        <v>0</v>
      </c>
      <c r="V170" s="30">
        <f ca="1">OFFSET(V170,-RIGHT($A170,LEN($A$6)),,1,1)/OFFSET(V170,-RIGHT($A170,LEN($A$6)),-15,1,1)*$M170</f>
        <v>0</v>
      </c>
      <c r="W170" s="30">
        <f ca="1">+$N170*V170</f>
        <v>0</v>
      </c>
      <c r="X170" s="30">
        <f ca="1">+M170-V170</f>
        <v>6.592</v>
      </c>
      <c r="Y170" s="30">
        <f ca="1">+O170-W170</f>
        <v>59360.96</v>
      </c>
      <c r="Z170" s="30">
        <f ca="1">OFFSET(Z170,-RIGHT($A170,LEN($A$6)),,1,1)/OFFSET(Z170,-RIGHT($A170,LEN($A$6)),-19,1,1)*$M170</f>
        <v>0</v>
      </c>
      <c r="AA170" s="30">
        <f ca="1">+$N170*Z170</f>
        <v>0</v>
      </c>
      <c r="AB170" s="30"/>
    </row>
    <row r="171" customHeight="1" outlineLevel="2" spans="1:28">
      <c r="A171" s="512" t="s">
        <v>2674</v>
      </c>
      <c r="B171" s="30"/>
      <c r="C171" s="513" t="s">
        <v>1310</v>
      </c>
      <c r="D171" s="30" t="s">
        <v>2657</v>
      </c>
      <c r="E171" s="30" t="s">
        <v>2536</v>
      </c>
      <c r="F171" s="30" t="s">
        <v>69</v>
      </c>
      <c r="G171" s="30">
        <v>129.3</v>
      </c>
      <c r="H171" s="30">
        <v>219.97247706422</v>
      </c>
      <c r="I171" s="30">
        <f>G171*H171</f>
        <v>28442.4412844036</v>
      </c>
      <c r="J171" s="30">
        <f t="shared" ref="J171:L171" si="208">+G171</f>
        <v>129.3</v>
      </c>
      <c r="K171" s="30">
        <f t="shared" si="208"/>
        <v>219.97247706422</v>
      </c>
      <c r="L171" s="526">
        <f t="shared" si="208"/>
        <v>28442.4412844036</v>
      </c>
      <c r="M171" s="30">
        <v>129.3</v>
      </c>
      <c r="N171" s="30">
        <f ca="1">O171/M171</f>
        <v>70</v>
      </c>
      <c r="O171" s="30">
        <f ca="1">(+O172)</f>
        <v>9051</v>
      </c>
      <c r="P171" s="30"/>
      <c r="Q171" s="30"/>
      <c r="R171" s="30">
        <f>+P171+J171</f>
        <v>129.3</v>
      </c>
      <c r="S171" s="30">
        <f>+Q171+L171</f>
        <v>28442.4412844036</v>
      </c>
      <c r="T171" s="30">
        <f>IFERROR(VLOOKUP(A171,产值统计中间表!A:F,7,FALSE),0)</f>
        <v>0</v>
      </c>
      <c r="U171" s="30">
        <f>+T171*H171</f>
        <v>0</v>
      </c>
      <c r="V171" s="30">
        <f>IFERROR(VLOOKUP(A171,产值统计中间表!A:D,4,FALSE),0)</f>
        <v>0</v>
      </c>
      <c r="W171" s="30">
        <f>+V171*H171</f>
        <v>0</v>
      </c>
      <c r="X171" s="30">
        <f>+R171-V171</f>
        <v>129.3</v>
      </c>
      <c r="Y171" s="30">
        <f>+S171-W171</f>
        <v>28442.4412844036</v>
      </c>
      <c r="Z171" s="30">
        <f>IFERROR(VLOOKUP(A171,业主统计中间表!A:D,4,FALSE),0)</f>
        <v>0</v>
      </c>
      <c r="AA171" s="30">
        <f>+Z171*H171</f>
        <v>0</v>
      </c>
      <c r="AB171" s="30"/>
    </row>
    <row r="172" customHeight="1" outlineLevel="3" spans="1:28">
      <c r="A172" s="514" t="s">
        <v>2675</v>
      </c>
      <c r="B172" s="30"/>
      <c r="C172" s="513" t="s">
        <v>65</v>
      </c>
      <c r="D172" s="30" t="s">
        <v>788</v>
      </c>
      <c r="E172" s="30"/>
      <c r="F172" s="30" t="str">
        <f ca="1" t="shared" ref="F172:F179" si="209">VLOOKUP($D172,INDIRECT($C172),2,0)</f>
        <v>m2</v>
      </c>
      <c r="G172" s="30"/>
      <c r="H172" s="30"/>
      <c r="I172" s="30"/>
      <c r="J172" s="30"/>
      <c r="K172" s="30"/>
      <c r="L172" s="526"/>
      <c r="M172" s="30">
        <v>129.3</v>
      </c>
      <c r="N172" s="30">
        <f ca="1" t="shared" si="207"/>
        <v>70</v>
      </c>
      <c r="O172" s="30">
        <f ca="1">M172*N172</f>
        <v>9051</v>
      </c>
      <c r="P172" s="30"/>
      <c r="Q172" s="30"/>
      <c r="R172" s="30"/>
      <c r="S172" s="30"/>
      <c r="T172" s="30">
        <f ca="1" t="shared" ref="T172:T179" si="210">OFFSET(T172,-RIGHT($A172,LEN($A$6)),,1,1)/OFFSET(T172,-RIGHT($A172,LEN($A$6)),-13,1,1)*$M172</f>
        <v>0</v>
      </c>
      <c r="U172" s="30">
        <f ca="1" t="shared" ref="U172:U179" si="211">+$N172*T172</f>
        <v>0</v>
      </c>
      <c r="V172" s="30">
        <f ca="1" t="shared" ref="V172:V179" si="212">OFFSET(V172,-RIGHT($A172,LEN($A$6)),,1,1)/OFFSET(V172,-RIGHT($A172,LEN($A$6)),-15,1,1)*$M172</f>
        <v>0</v>
      </c>
      <c r="W172" s="30">
        <f ca="1" t="shared" ref="W172:W179" si="213">+$N172*V172</f>
        <v>0</v>
      </c>
      <c r="X172" s="30">
        <f ca="1" t="shared" ref="X172:X179" si="214">+M172-V172</f>
        <v>129.3</v>
      </c>
      <c r="Y172" s="30">
        <f ca="1" t="shared" ref="Y172:Y179" si="215">+O172-W172</f>
        <v>9051</v>
      </c>
      <c r="Z172" s="30">
        <f ca="1" t="shared" ref="Z172:Z179" si="216">OFFSET(Z172,-RIGHT($A172,LEN($A$6)),,1,1)/OFFSET(Z172,-RIGHT($A172,LEN($A$6)),-19,1,1)*$M172</f>
        <v>0</v>
      </c>
      <c r="AA172" s="30">
        <f ca="1" t="shared" ref="AA172:AA179" si="217">+$N172*Z172</f>
        <v>0</v>
      </c>
      <c r="AB172" s="30"/>
    </row>
    <row r="173" customHeight="1" outlineLevel="1" spans="1:28">
      <c r="A173" s="515" t="s">
        <v>2676</v>
      </c>
      <c r="B173" s="30"/>
      <c r="C173" s="513" t="s">
        <v>60</v>
      </c>
      <c r="D173" s="30" t="s">
        <v>2677</v>
      </c>
      <c r="E173" s="30"/>
      <c r="F173" s="30"/>
      <c r="G173" s="30"/>
      <c r="H173" s="30"/>
      <c r="I173" s="30">
        <f>(+I174+I180)</f>
        <v>50663.8908256881</v>
      </c>
      <c r="J173" s="30"/>
      <c r="K173" s="30"/>
      <c r="L173" s="526">
        <f>(+L174+L180)</f>
        <v>50663.8908256881</v>
      </c>
      <c r="M173" s="30"/>
      <c r="N173" s="30"/>
      <c r="O173" s="30">
        <f ca="1">(+O174+O180)</f>
        <v>32956.73</v>
      </c>
      <c r="P173" s="30"/>
      <c r="Q173" s="30"/>
      <c r="R173" s="30"/>
      <c r="S173" s="30"/>
      <c r="T173" s="30"/>
      <c r="U173" s="30"/>
      <c r="V173" s="30"/>
      <c r="W173" s="30"/>
      <c r="X173" s="30"/>
      <c r="Y173" s="30"/>
      <c r="Z173" s="30"/>
      <c r="AA173" s="30"/>
      <c r="AB173" s="30"/>
    </row>
    <row r="174" customHeight="1" outlineLevel="2" spans="1:28">
      <c r="A174" s="512" t="s">
        <v>2678</v>
      </c>
      <c r="B174" s="30"/>
      <c r="C174" s="513" t="s">
        <v>1310</v>
      </c>
      <c r="D174" s="30" t="s">
        <v>2679</v>
      </c>
      <c r="E174" s="30" t="s">
        <v>2473</v>
      </c>
      <c r="F174" s="30" t="s">
        <v>72</v>
      </c>
      <c r="G174" s="30">
        <v>12.7</v>
      </c>
      <c r="H174" s="30">
        <v>2016.45871559633</v>
      </c>
      <c r="I174" s="30">
        <f>G174*H174</f>
        <v>25609.0256880734</v>
      </c>
      <c r="J174" s="30">
        <f t="shared" ref="J174:L174" si="218">+G174</f>
        <v>12.7</v>
      </c>
      <c r="K174" s="30">
        <f t="shared" si="218"/>
        <v>2016.45871559633</v>
      </c>
      <c r="L174" s="526">
        <f t="shared" si="218"/>
        <v>25609.0256880734</v>
      </c>
      <c r="M174" s="30">
        <v>12.7</v>
      </c>
      <c r="N174" s="30">
        <f ca="1">O174/M174</f>
        <v>1967.22283464567</v>
      </c>
      <c r="O174" s="30">
        <f ca="1">(+O175+O176+O177+O178+O179)</f>
        <v>24983.73</v>
      </c>
      <c r="P174" s="30"/>
      <c r="Q174" s="30"/>
      <c r="R174" s="30">
        <f>+P174+J174</f>
        <v>12.7</v>
      </c>
      <c r="S174" s="30">
        <f>+Q174+L174</f>
        <v>25609.0256880734</v>
      </c>
      <c r="T174" s="30">
        <f>IFERROR(VLOOKUP(A174,产值统计中间表!A:F,7,FALSE),0)</f>
        <v>0</v>
      </c>
      <c r="U174" s="30">
        <f>+T174*H174</f>
        <v>0</v>
      </c>
      <c r="V174" s="30">
        <f>IFERROR(VLOOKUP(A174,产值统计中间表!A:D,4,FALSE),0)</f>
        <v>0</v>
      </c>
      <c r="W174" s="30">
        <f>+V174*H174</f>
        <v>0</v>
      </c>
      <c r="X174" s="30">
        <f>+R174-V174</f>
        <v>12.7</v>
      </c>
      <c r="Y174" s="30">
        <f>+S174-W174</f>
        <v>25609.0256880734</v>
      </c>
      <c r="Z174" s="30">
        <f>IFERROR(VLOOKUP(A174,业主统计中间表!A:D,4,FALSE),0)</f>
        <v>0</v>
      </c>
      <c r="AA174" s="30">
        <f>+Z174*H174</f>
        <v>0</v>
      </c>
      <c r="AB174" s="30"/>
    </row>
    <row r="175" customHeight="1" outlineLevel="3" spans="1:28">
      <c r="A175" s="514" t="s">
        <v>2680</v>
      </c>
      <c r="B175" s="30"/>
      <c r="C175" s="513" t="s">
        <v>64</v>
      </c>
      <c r="D175" s="30" t="s">
        <v>753</v>
      </c>
      <c r="E175" s="30"/>
      <c r="F175" s="30" t="str">
        <f ca="1" t="shared" si="209"/>
        <v>m3</v>
      </c>
      <c r="G175" s="30"/>
      <c r="H175" s="30"/>
      <c r="I175" s="30"/>
      <c r="J175" s="30"/>
      <c r="K175" s="30"/>
      <c r="L175" s="526"/>
      <c r="M175" s="30">
        <v>12.7635</v>
      </c>
      <c r="N175" s="30">
        <f ca="1" t="shared" si="207"/>
        <v>30</v>
      </c>
      <c r="O175" s="30">
        <f ca="1">M175*N175</f>
        <v>382.905</v>
      </c>
      <c r="P175" s="30"/>
      <c r="Q175" s="30"/>
      <c r="R175" s="30"/>
      <c r="S175" s="30"/>
      <c r="T175" s="30">
        <f ca="1" t="shared" si="210"/>
        <v>0</v>
      </c>
      <c r="U175" s="30">
        <f ca="1" t="shared" si="211"/>
        <v>0</v>
      </c>
      <c r="V175" s="30">
        <f ca="1" t="shared" si="212"/>
        <v>0</v>
      </c>
      <c r="W175" s="30">
        <f ca="1" t="shared" si="213"/>
        <v>0</v>
      </c>
      <c r="X175" s="30">
        <f ca="1" t="shared" si="214"/>
        <v>12.7635</v>
      </c>
      <c r="Y175" s="30">
        <f ca="1" t="shared" si="215"/>
        <v>382.905</v>
      </c>
      <c r="Z175" s="30">
        <f ca="1" t="shared" si="216"/>
        <v>0</v>
      </c>
      <c r="AA175" s="30">
        <f ca="1" t="shared" si="217"/>
        <v>0</v>
      </c>
      <c r="AB175" s="30"/>
    </row>
    <row r="176" customHeight="1" outlineLevel="3" spans="1:28">
      <c r="A176" s="514" t="s">
        <v>2681</v>
      </c>
      <c r="B176" s="30"/>
      <c r="C176" s="513" t="s">
        <v>64</v>
      </c>
      <c r="D176" s="30" t="s">
        <v>262</v>
      </c>
      <c r="E176" s="30" t="s">
        <v>2474</v>
      </c>
      <c r="F176" s="30" t="str">
        <f ca="1" t="shared" si="209"/>
        <v>m2</v>
      </c>
      <c r="G176" s="30"/>
      <c r="H176" s="30"/>
      <c r="I176" s="30"/>
      <c r="J176" s="30"/>
      <c r="K176" s="30"/>
      <c r="L176" s="526"/>
      <c r="M176" s="30">
        <v>43.87</v>
      </c>
      <c r="N176" s="30">
        <f ca="1" t="shared" si="207"/>
        <v>55</v>
      </c>
      <c r="O176" s="30">
        <f ca="1">M176*N176</f>
        <v>2412.85</v>
      </c>
      <c r="P176" s="30"/>
      <c r="Q176" s="30"/>
      <c r="R176" s="30"/>
      <c r="S176" s="30"/>
      <c r="T176" s="30">
        <f ca="1" t="shared" si="210"/>
        <v>0</v>
      </c>
      <c r="U176" s="30">
        <f ca="1" t="shared" si="211"/>
        <v>0</v>
      </c>
      <c r="V176" s="30">
        <f ca="1" t="shared" si="212"/>
        <v>0</v>
      </c>
      <c r="W176" s="30">
        <f ca="1" t="shared" si="213"/>
        <v>0</v>
      </c>
      <c r="X176" s="30">
        <f ca="1" t="shared" si="214"/>
        <v>43.87</v>
      </c>
      <c r="Y176" s="30">
        <f ca="1" t="shared" si="215"/>
        <v>2412.85</v>
      </c>
      <c r="Z176" s="30">
        <f ca="1" t="shared" si="216"/>
        <v>0</v>
      </c>
      <c r="AA176" s="30">
        <f ca="1" t="shared" si="217"/>
        <v>0</v>
      </c>
      <c r="AB176" s="30"/>
    </row>
    <row r="177" customHeight="1" outlineLevel="3" spans="1:28">
      <c r="A177" s="514" t="s">
        <v>2682</v>
      </c>
      <c r="B177" s="30"/>
      <c r="C177" s="513" t="s">
        <v>64</v>
      </c>
      <c r="D177" s="30" t="s">
        <v>296</v>
      </c>
      <c r="E177" s="30"/>
      <c r="F177" s="30" t="str">
        <f ca="1" t="shared" si="209"/>
        <v>t</v>
      </c>
      <c r="G177" s="30"/>
      <c r="H177" s="30"/>
      <c r="I177" s="30"/>
      <c r="J177" s="30"/>
      <c r="K177" s="30"/>
      <c r="L177" s="526"/>
      <c r="M177" s="30">
        <v>3.356</v>
      </c>
      <c r="N177" s="30">
        <f ca="1" t="shared" si="207"/>
        <v>700</v>
      </c>
      <c r="O177" s="30">
        <f ca="1">M177*N177</f>
        <v>2349.2</v>
      </c>
      <c r="P177" s="30"/>
      <c r="Q177" s="30"/>
      <c r="R177" s="30"/>
      <c r="S177" s="30"/>
      <c r="T177" s="30">
        <f ca="1" t="shared" si="210"/>
        <v>0</v>
      </c>
      <c r="U177" s="30">
        <f ca="1" t="shared" si="211"/>
        <v>0</v>
      </c>
      <c r="V177" s="30">
        <f ca="1" t="shared" si="212"/>
        <v>0</v>
      </c>
      <c r="W177" s="30">
        <f ca="1" t="shared" si="213"/>
        <v>0</v>
      </c>
      <c r="X177" s="30">
        <f ca="1" t="shared" si="214"/>
        <v>3.356</v>
      </c>
      <c r="Y177" s="30">
        <f ca="1" t="shared" si="215"/>
        <v>2349.2</v>
      </c>
      <c r="Z177" s="30">
        <f ca="1" t="shared" si="216"/>
        <v>0</v>
      </c>
      <c r="AA177" s="30">
        <f ca="1" t="shared" si="217"/>
        <v>0</v>
      </c>
      <c r="AB177" s="30"/>
    </row>
    <row r="178" customHeight="1" outlineLevel="3" spans="1:28">
      <c r="A178" s="514" t="s">
        <v>2683</v>
      </c>
      <c r="B178" s="30"/>
      <c r="C178" s="513" t="s">
        <v>59</v>
      </c>
      <c r="D178" s="30" t="s">
        <v>793</v>
      </c>
      <c r="E178" s="30"/>
      <c r="F178" s="30" t="str">
        <f ca="1" t="shared" si="209"/>
        <v>m³</v>
      </c>
      <c r="G178" s="30"/>
      <c r="H178" s="30"/>
      <c r="I178" s="30"/>
      <c r="J178" s="30"/>
      <c r="K178" s="30"/>
      <c r="L178" s="526"/>
      <c r="M178" s="30">
        <v>12.7635</v>
      </c>
      <c r="N178" s="30">
        <f ca="1" t="shared" si="207"/>
        <v>450</v>
      </c>
      <c r="O178" s="30">
        <f ca="1">M178*N178</f>
        <v>5743.575</v>
      </c>
      <c r="P178" s="30"/>
      <c r="Q178" s="30"/>
      <c r="R178" s="30"/>
      <c r="S178" s="30"/>
      <c r="T178" s="30">
        <f ca="1" t="shared" si="210"/>
        <v>0</v>
      </c>
      <c r="U178" s="30">
        <f ca="1" t="shared" si="211"/>
        <v>0</v>
      </c>
      <c r="V178" s="30">
        <f ca="1" t="shared" si="212"/>
        <v>0</v>
      </c>
      <c r="W178" s="30">
        <f ca="1" t="shared" si="213"/>
        <v>0</v>
      </c>
      <c r="X178" s="30">
        <f ca="1" t="shared" si="214"/>
        <v>12.7635</v>
      </c>
      <c r="Y178" s="30">
        <f ca="1" t="shared" si="215"/>
        <v>5743.575</v>
      </c>
      <c r="Z178" s="30">
        <f ca="1" t="shared" si="216"/>
        <v>0</v>
      </c>
      <c r="AA178" s="30">
        <f ca="1" t="shared" si="217"/>
        <v>0</v>
      </c>
      <c r="AB178" s="30"/>
    </row>
    <row r="179" customHeight="1" outlineLevel="3" spans="1:28">
      <c r="A179" s="514" t="s">
        <v>2684</v>
      </c>
      <c r="B179" s="30"/>
      <c r="C179" s="513" t="s">
        <v>59</v>
      </c>
      <c r="D179" s="30" t="s">
        <v>481</v>
      </c>
      <c r="E179" s="30" t="str">
        <f ca="1">"含钢量："&amp;ROUND($M$179/$G$174,3)&amp;$F$179&amp;"/"&amp;$F$174</f>
        <v>含钢量：0.264t/m3</v>
      </c>
      <c r="F179" s="30" t="str">
        <f ca="1" t="shared" si="209"/>
        <v>t</v>
      </c>
      <c r="G179" s="30"/>
      <c r="H179" s="30"/>
      <c r="I179" s="30"/>
      <c r="J179" s="30"/>
      <c r="K179" s="30"/>
      <c r="L179" s="526"/>
      <c r="M179" s="30">
        <v>3.356</v>
      </c>
      <c r="N179" s="30">
        <f ca="1" t="shared" si="207"/>
        <v>4200</v>
      </c>
      <c r="O179" s="30">
        <f ca="1">M179*N179</f>
        <v>14095.2</v>
      </c>
      <c r="P179" s="30"/>
      <c r="Q179" s="30"/>
      <c r="R179" s="30"/>
      <c r="S179" s="30"/>
      <c r="T179" s="30">
        <f ca="1" t="shared" si="210"/>
        <v>0</v>
      </c>
      <c r="U179" s="30">
        <f ca="1" t="shared" si="211"/>
        <v>0</v>
      </c>
      <c r="V179" s="30">
        <f ca="1" t="shared" si="212"/>
        <v>0</v>
      </c>
      <c r="W179" s="30">
        <f ca="1" t="shared" si="213"/>
        <v>0</v>
      </c>
      <c r="X179" s="30">
        <f ca="1" t="shared" si="214"/>
        <v>3.356</v>
      </c>
      <c r="Y179" s="30">
        <f ca="1" t="shared" si="215"/>
        <v>14095.2</v>
      </c>
      <c r="Z179" s="30">
        <f ca="1" t="shared" si="216"/>
        <v>0</v>
      </c>
      <c r="AA179" s="30">
        <f ca="1" t="shared" si="217"/>
        <v>0</v>
      </c>
      <c r="AB179" s="30"/>
    </row>
    <row r="180" customHeight="1" outlineLevel="2" spans="1:28">
      <c r="A180" s="512" t="s">
        <v>2685</v>
      </c>
      <c r="B180" s="30"/>
      <c r="C180" s="513" t="s">
        <v>1310</v>
      </c>
      <c r="D180" s="30" t="s">
        <v>2657</v>
      </c>
      <c r="E180" s="30" t="s">
        <v>2536</v>
      </c>
      <c r="F180" s="30" t="s">
        <v>69</v>
      </c>
      <c r="G180" s="30">
        <v>113.9</v>
      </c>
      <c r="H180" s="30">
        <v>219.97247706422</v>
      </c>
      <c r="I180" s="30">
        <f>G180*H180</f>
        <v>25054.8651376147</v>
      </c>
      <c r="J180" s="30">
        <f t="shared" ref="J180:L180" si="219">+G180</f>
        <v>113.9</v>
      </c>
      <c r="K180" s="30">
        <f t="shared" si="219"/>
        <v>219.97247706422</v>
      </c>
      <c r="L180" s="526">
        <f t="shared" si="219"/>
        <v>25054.8651376147</v>
      </c>
      <c r="M180" s="30">
        <v>113.9</v>
      </c>
      <c r="N180" s="30">
        <f ca="1">O180/M180</f>
        <v>70</v>
      </c>
      <c r="O180" s="30">
        <f ca="1">(+O181)</f>
        <v>7973</v>
      </c>
      <c r="P180" s="30"/>
      <c r="Q180" s="30"/>
      <c r="R180" s="30">
        <f>+P180+J180</f>
        <v>113.9</v>
      </c>
      <c r="S180" s="30">
        <f>+Q180+L180</f>
        <v>25054.8651376147</v>
      </c>
      <c r="T180" s="30">
        <f>IFERROR(VLOOKUP(A180,产值统计中间表!A:F,7,FALSE),0)</f>
        <v>0</v>
      </c>
      <c r="U180" s="30">
        <f>+T180*H180</f>
        <v>0</v>
      </c>
      <c r="V180" s="30">
        <f>IFERROR(VLOOKUP(A180,产值统计中间表!A:D,4,FALSE),0)</f>
        <v>0</v>
      </c>
      <c r="W180" s="30">
        <f>+V180*H180</f>
        <v>0</v>
      </c>
      <c r="X180" s="30">
        <f>+R180-V180</f>
        <v>113.9</v>
      </c>
      <c r="Y180" s="30">
        <f>+S180-W180</f>
        <v>25054.8651376147</v>
      </c>
      <c r="Z180" s="30">
        <f>IFERROR(VLOOKUP(A180,业主统计中间表!A:D,4,FALSE),0)</f>
        <v>0</v>
      </c>
      <c r="AA180" s="30">
        <f>+Z180*H180</f>
        <v>0</v>
      </c>
      <c r="AB180" s="30"/>
    </row>
    <row r="181" customHeight="1" outlineLevel="3" spans="1:28">
      <c r="A181" s="514" t="s">
        <v>2686</v>
      </c>
      <c r="B181" s="30"/>
      <c r="C181" s="513" t="s">
        <v>65</v>
      </c>
      <c r="D181" s="30" t="s">
        <v>788</v>
      </c>
      <c r="E181" s="30"/>
      <c r="F181" s="30" t="str">
        <f ca="1" t="shared" ref="F181:F186" si="220">VLOOKUP($D181,INDIRECT($C181),2,0)</f>
        <v>m2</v>
      </c>
      <c r="G181" s="30"/>
      <c r="H181" s="30"/>
      <c r="I181" s="30"/>
      <c r="J181" s="30"/>
      <c r="K181" s="30"/>
      <c r="L181" s="526"/>
      <c r="M181" s="30">
        <v>113.9</v>
      </c>
      <c r="N181" s="30">
        <f ca="1" t="shared" ref="N181:N186" si="221">VLOOKUP($D181,INDIRECT($C181),3,0)</f>
        <v>70</v>
      </c>
      <c r="O181" s="30">
        <f ca="1">M181*N181</f>
        <v>7973</v>
      </c>
      <c r="P181" s="30"/>
      <c r="Q181" s="30"/>
      <c r="R181" s="30"/>
      <c r="S181" s="30"/>
      <c r="T181" s="30">
        <f ca="1" t="shared" ref="T181:T186" si="222">OFFSET(T181,-RIGHT($A181,LEN($A$6)),,1,1)/OFFSET(T181,-RIGHT($A181,LEN($A$6)),-13,1,1)*$M181</f>
        <v>0</v>
      </c>
      <c r="U181" s="30">
        <f ca="1" t="shared" ref="U181:U186" si="223">+$N181*T181</f>
        <v>0</v>
      </c>
      <c r="V181" s="30">
        <f ca="1" t="shared" ref="V181:V186" si="224">OFFSET(V181,-RIGHT($A181,LEN($A$6)),,1,1)/OFFSET(V181,-RIGHT($A181,LEN($A$6)),-15,1,1)*$M181</f>
        <v>0</v>
      </c>
      <c r="W181" s="30">
        <f ca="1" t="shared" ref="W181:W186" si="225">+$N181*V181</f>
        <v>0</v>
      </c>
      <c r="X181" s="30">
        <f ca="1" t="shared" ref="X181:X186" si="226">+M181-V181</f>
        <v>113.9</v>
      </c>
      <c r="Y181" s="30">
        <f ca="1" t="shared" ref="Y181:Y186" si="227">+O181-W181</f>
        <v>7973</v>
      </c>
      <c r="Z181" s="30">
        <f ca="1" t="shared" ref="Z181:Z186" si="228">OFFSET(Z181,-RIGHT($A181,LEN($A$6)),,1,1)/OFFSET(Z181,-RIGHT($A181,LEN($A$6)),-19,1,1)*$M181</f>
        <v>0</v>
      </c>
      <c r="AA181" s="30">
        <f ca="1" t="shared" ref="AA181:AA186" si="229">+$N181*Z181</f>
        <v>0</v>
      </c>
      <c r="AB181" s="30"/>
    </row>
    <row r="182" customHeight="1" outlineLevel="1" spans="1:28">
      <c r="A182" s="515" t="s">
        <v>2687</v>
      </c>
      <c r="B182" s="30"/>
      <c r="C182" s="513" t="s">
        <v>60</v>
      </c>
      <c r="D182" s="30" t="s">
        <v>2688</v>
      </c>
      <c r="E182" s="30"/>
      <c r="F182" s="30"/>
      <c r="G182" s="30"/>
      <c r="H182" s="30"/>
      <c r="I182" s="30">
        <f>(+I183+I187)</f>
        <v>239337.25853211</v>
      </c>
      <c r="J182" s="30"/>
      <c r="K182" s="30"/>
      <c r="L182" s="526">
        <f>(+L183+L187)</f>
        <v>239337.25853211</v>
      </c>
      <c r="M182" s="30"/>
      <c r="N182" s="30"/>
      <c r="O182" s="30">
        <f ca="1">(+O183+O187)</f>
        <v>156453.731495575</v>
      </c>
      <c r="P182" s="30"/>
      <c r="Q182" s="30"/>
      <c r="R182" s="30"/>
      <c r="S182" s="30"/>
      <c r="T182" s="30"/>
      <c r="U182" s="30"/>
      <c r="V182" s="30"/>
      <c r="W182" s="30"/>
      <c r="X182" s="30"/>
      <c r="Y182" s="30"/>
      <c r="Z182" s="30"/>
      <c r="AA182" s="30"/>
      <c r="AB182" s="30"/>
    </row>
    <row r="183" customHeight="1" outlineLevel="2" spans="1:28">
      <c r="A183" s="512" t="s">
        <v>2689</v>
      </c>
      <c r="B183" s="30"/>
      <c r="C183" s="513" t="s">
        <v>1310</v>
      </c>
      <c r="D183" s="30" t="s">
        <v>2690</v>
      </c>
      <c r="E183" s="30" t="s">
        <v>2691</v>
      </c>
      <c r="F183" s="30" t="s">
        <v>76</v>
      </c>
      <c r="G183" s="30">
        <v>2341.5</v>
      </c>
      <c r="H183" s="30">
        <v>92.5504587155963</v>
      </c>
      <c r="I183" s="30">
        <f>G183*H183</f>
        <v>216706.899082569</v>
      </c>
      <c r="J183" s="30">
        <f t="shared" ref="J183:L183" si="230">+G183</f>
        <v>2341.5</v>
      </c>
      <c r="K183" s="30">
        <f t="shared" si="230"/>
        <v>92.5504587155963</v>
      </c>
      <c r="L183" s="526">
        <f t="shared" si="230"/>
        <v>216706.899082569</v>
      </c>
      <c r="M183" s="30">
        <v>2341.5</v>
      </c>
      <c r="N183" s="30">
        <f ca="1">O183/M183</f>
        <v>57.8768851144887</v>
      </c>
      <c r="O183" s="30">
        <f ca="1">(+O184+O185+O186)</f>
        <v>135518.726495575</v>
      </c>
      <c r="P183" s="30"/>
      <c r="Q183" s="30"/>
      <c r="R183" s="30">
        <f>+P183+J183</f>
        <v>2341.5</v>
      </c>
      <c r="S183" s="30">
        <f>+Q183+L183</f>
        <v>216706.899082569</v>
      </c>
      <c r="T183" s="30">
        <f>IFERROR(VLOOKUP(A183,产值统计中间表!A:F,7,FALSE),0)</f>
        <v>0</v>
      </c>
      <c r="U183" s="30">
        <f>+T183*H183</f>
        <v>0</v>
      </c>
      <c r="V183" s="30">
        <f>IFERROR(VLOOKUP(A183,产值统计中间表!A:D,4,FALSE),0)</f>
        <v>0</v>
      </c>
      <c r="W183" s="30">
        <f>+V183*H183</f>
        <v>0</v>
      </c>
      <c r="X183" s="30">
        <f>+R183-V183</f>
        <v>2341.5</v>
      </c>
      <c r="Y183" s="30">
        <f>+S183-W183</f>
        <v>216706.899082569</v>
      </c>
      <c r="Z183" s="30">
        <f>IFERROR(VLOOKUP(A183,业主统计中间表!A:D,4,FALSE),0)</f>
        <v>0</v>
      </c>
      <c r="AA183" s="30">
        <f>+Z183*H183</f>
        <v>0</v>
      </c>
      <c r="AB183" s="30"/>
    </row>
    <row r="184" customHeight="1" outlineLevel="3" spans="1:28">
      <c r="A184" s="514" t="s">
        <v>2692</v>
      </c>
      <c r="B184" s="30"/>
      <c r="C184" s="513" t="s">
        <v>63</v>
      </c>
      <c r="D184" s="30" t="s">
        <v>1201</v>
      </c>
      <c r="E184" s="30" t="s">
        <v>2693</v>
      </c>
      <c r="F184" s="30" t="str">
        <f ca="1" t="shared" si="220"/>
        <v>m</v>
      </c>
      <c r="G184" s="30"/>
      <c r="H184" s="30"/>
      <c r="I184" s="30"/>
      <c r="J184" s="30"/>
      <c r="K184" s="30"/>
      <c r="L184" s="526"/>
      <c r="M184" s="30">
        <v>2341.5</v>
      </c>
      <c r="N184" s="30">
        <f ca="1" t="shared" si="221"/>
        <v>35</v>
      </c>
      <c r="O184" s="30">
        <f ca="1">M184*N184</f>
        <v>81952.5</v>
      </c>
      <c r="P184" s="30"/>
      <c r="Q184" s="30"/>
      <c r="R184" s="30"/>
      <c r="S184" s="30"/>
      <c r="T184" s="30">
        <f ca="1" t="shared" si="222"/>
        <v>0</v>
      </c>
      <c r="U184" s="30">
        <f ca="1" t="shared" si="223"/>
        <v>0</v>
      </c>
      <c r="V184" s="30">
        <f ca="1" t="shared" si="224"/>
        <v>0</v>
      </c>
      <c r="W184" s="30">
        <f ca="1" t="shared" si="225"/>
        <v>0</v>
      </c>
      <c r="X184" s="30">
        <f ca="1" t="shared" si="226"/>
        <v>2341.5</v>
      </c>
      <c r="Y184" s="30">
        <f ca="1" t="shared" si="227"/>
        <v>81952.5</v>
      </c>
      <c r="Z184" s="30">
        <f ca="1" t="shared" si="228"/>
        <v>0</v>
      </c>
      <c r="AA184" s="30">
        <f ca="1" t="shared" si="229"/>
        <v>0</v>
      </c>
      <c r="AB184" s="30"/>
    </row>
    <row r="185" customHeight="1" outlineLevel="3" spans="1:28">
      <c r="A185" s="514" t="s">
        <v>2694</v>
      </c>
      <c r="B185" s="30"/>
      <c r="C185" s="513" t="s">
        <v>59</v>
      </c>
      <c r="D185" s="30" t="s">
        <v>481</v>
      </c>
      <c r="E185" s="30" t="str">
        <f ca="1">"含钢量："&amp;ROUND($M$185/$G$183,3)&amp;$F$185&amp;"/"&amp;$F$183</f>
        <v>含钢量：0.004t/m</v>
      </c>
      <c r="F185" s="30" t="str">
        <f ca="1" t="shared" si="220"/>
        <v>t</v>
      </c>
      <c r="G185" s="30"/>
      <c r="H185" s="30"/>
      <c r="I185" s="30"/>
      <c r="J185" s="30"/>
      <c r="K185" s="30"/>
      <c r="L185" s="526"/>
      <c r="M185" s="30">
        <v>9.474</v>
      </c>
      <c r="N185" s="30">
        <f ca="1" t="shared" si="221"/>
        <v>4200</v>
      </c>
      <c r="O185" s="30">
        <f ca="1">M185*N185</f>
        <v>39790.8</v>
      </c>
      <c r="P185" s="30"/>
      <c r="Q185" s="30"/>
      <c r="R185" s="30"/>
      <c r="S185" s="30"/>
      <c r="T185" s="30">
        <f ca="1" t="shared" si="222"/>
        <v>0</v>
      </c>
      <c r="U185" s="30">
        <f ca="1" t="shared" si="223"/>
        <v>0</v>
      </c>
      <c r="V185" s="30">
        <f ca="1" t="shared" si="224"/>
        <v>0</v>
      </c>
      <c r="W185" s="30">
        <f ca="1" t="shared" si="225"/>
        <v>0</v>
      </c>
      <c r="X185" s="30">
        <f ca="1" t="shared" si="226"/>
        <v>9.474</v>
      </c>
      <c r="Y185" s="30">
        <f ca="1" t="shared" si="227"/>
        <v>39790.8</v>
      </c>
      <c r="Z185" s="30">
        <f ca="1" t="shared" si="228"/>
        <v>0</v>
      </c>
      <c r="AA185" s="30">
        <f ca="1" t="shared" si="229"/>
        <v>0</v>
      </c>
      <c r="AB185" s="30"/>
    </row>
    <row r="186" customHeight="1" outlineLevel="3" spans="1:28">
      <c r="A186" s="514" t="s">
        <v>2695</v>
      </c>
      <c r="B186" s="30"/>
      <c r="C186" s="513" t="s">
        <v>59</v>
      </c>
      <c r="D186" s="30" t="s">
        <v>239</v>
      </c>
      <c r="E186" s="30"/>
      <c r="F186" s="30" t="str">
        <f ca="1" t="shared" si="220"/>
        <v>m3</v>
      </c>
      <c r="G186" s="30"/>
      <c r="H186" s="30"/>
      <c r="I186" s="30"/>
      <c r="J186" s="30"/>
      <c r="K186" s="30"/>
      <c r="L186" s="526"/>
      <c r="M186" s="30">
        <v>56.28</v>
      </c>
      <c r="N186" s="30">
        <f ca="1" t="shared" si="221"/>
        <v>244.76592920354</v>
      </c>
      <c r="O186" s="30">
        <f ca="1">M186*N186</f>
        <v>13775.4264955752</v>
      </c>
      <c r="P186" s="30"/>
      <c r="Q186" s="30"/>
      <c r="R186" s="30"/>
      <c r="S186" s="30"/>
      <c r="T186" s="30">
        <f ca="1" t="shared" si="222"/>
        <v>0</v>
      </c>
      <c r="U186" s="30">
        <f ca="1" t="shared" si="223"/>
        <v>0</v>
      </c>
      <c r="V186" s="30">
        <f ca="1" t="shared" si="224"/>
        <v>0</v>
      </c>
      <c r="W186" s="30">
        <f ca="1" t="shared" si="225"/>
        <v>0</v>
      </c>
      <c r="X186" s="30">
        <f ca="1" t="shared" si="226"/>
        <v>56.28</v>
      </c>
      <c r="Y186" s="30">
        <f ca="1" t="shared" si="227"/>
        <v>13775.4264955752</v>
      </c>
      <c r="Z186" s="30">
        <f ca="1" t="shared" si="228"/>
        <v>0</v>
      </c>
      <c r="AA186" s="30">
        <f ca="1" t="shared" si="229"/>
        <v>0</v>
      </c>
      <c r="AB186" s="30"/>
    </row>
    <row r="187" customHeight="1" outlineLevel="2" spans="1:28">
      <c r="A187" s="512" t="s">
        <v>2696</v>
      </c>
      <c r="B187" s="30"/>
      <c r="C187" s="513" t="s">
        <v>1310</v>
      </c>
      <c r="D187" s="30" t="s">
        <v>516</v>
      </c>
      <c r="E187" s="30" t="s">
        <v>2697</v>
      </c>
      <c r="F187" s="30" t="s">
        <v>82</v>
      </c>
      <c r="G187" s="30">
        <v>4.069</v>
      </c>
      <c r="H187" s="30">
        <v>5561.65137614679</v>
      </c>
      <c r="I187" s="30">
        <f>G187*H187</f>
        <v>22630.3594495413</v>
      </c>
      <c r="J187" s="30">
        <f t="shared" ref="J187:L187" si="231">+G187</f>
        <v>4.069</v>
      </c>
      <c r="K187" s="30">
        <f t="shared" si="231"/>
        <v>5561.65137614679</v>
      </c>
      <c r="L187" s="526">
        <f t="shared" si="231"/>
        <v>22630.3594495413</v>
      </c>
      <c r="M187" s="30">
        <v>4.069</v>
      </c>
      <c r="N187" s="30">
        <f ca="1">O187/M187</f>
        <v>5145</v>
      </c>
      <c r="O187" s="30">
        <f ca="1">(+O188+O189)</f>
        <v>20935.005</v>
      </c>
      <c r="P187" s="30"/>
      <c r="Q187" s="30"/>
      <c r="R187" s="30">
        <f>+P187+J187</f>
        <v>4.069</v>
      </c>
      <c r="S187" s="30">
        <f>+Q187+L187</f>
        <v>22630.3594495413</v>
      </c>
      <c r="T187" s="30">
        <f>IFERROR(VLOOKUP(A187,产值统计中间表!A:F,7,FALSE),0)</f>
        <v>0</v>
      </c>
      <c r="U187" s="30">
        <f>+T187*H187</f>
        <v>0</v>
      </c>
      <c r="V187" s="30">
        <f>IFERROR(VLOOKUP(A187,产值统计中间表!A:D,4,FALSE),0)</f>
        <v>0</v>
      </c>
      <c r="W187" s="30">
        <f>+V187*H187</f>
        <v>0</v>
      </c>
      <c r="X187" s="30">
        <f>+R187-V187</f>
        <v>4.069</v>
      </c>
      <c r="Y187" s="30">
        <f>+S187-W187</f>
        <v>22630.3594495413</v>
      </c>
      <c r="Z187" s="30">
        <f>IFERROR(VLOOKUP(A187,业主统计中间表!A:D,4,FALSE),0)</f>
        <v>0</v>
      </c>
      <c r="AA187" s="30">
        <f>+Z187*H187</f>
        <v>0</v>
      </c>
      <c r="AB187" s="30"/>
    </row>
    <row r="188" customHeight="1" outlineLevel="3" spans="1:28">
      <c r="A188" s="514" t="s">
        <v>2698</v>
      </c>
      <c r="B188" s="30"/>
      <c r="C188" s="513" t="s">
        <v>59</v>
      </c>
      <c r="D188" s="30" t="s">
        <v>481</v>
      </c>
      <c r="E188" s="30" t="str">
        <f ca="1">"含钢量："&amp;ROUND($M$188/$G$187,3)&amp;$F$188&amp;"/"&amp;$F$187</f>
        <v>含钢量：1.05t/t</v>
      </c>
      <c r="F188" s="30" t="str">
        <f ca="1">VLOOKUP($D188,INDIRECT($C188),2,0)</f>
        <v>t</v>
      </c>
      <c r="G188" s="30"/>
      <c r="H188" s="30"/>
      <c r="I188" s="30"/>
      <c r="J188" s="30"/>
      <c r="K188" s="30"/>
      <c r="L188" s="526"/>
      <c r="M188" s="30">
        <v>4.27245</v>
      </c>
      <c r="N188" s="30">
        <f ca="1" t="shared" ref="N188:N192" si="232">VLOOKUP($D188,INDIRECT($C188),3,0)</f>
        <v>4200</v>
      </c>
      <c r="O188" s="30">
        <f ca="1">M188*N188</f>
        <v>17944.29</v>
      </c>
      <c r="P188" s="30"/>
      <c r="Q188" s="30"/>
      <c r="R188" s="30"/>
      <c r="S188" s="30"/>
      <c r="T188" s="30">
        <f ca="1" t="shared" ref="T188:T192" si="233">OFFSET(T188,-RIGHT($A188,LEN($A$6)),,1,1)/OFFSET(T188,-RIGHT($A188,LEN($A$6)),-13,1,1)*$M188</f>
        <v>0</v>
      </c>
      <c r="U188" s="30">
        <f ca="1" t="shared" ref="U188:U192" si="234">+$N188*T188</f>
        <v>0</v>
      </c>
      <c r="V188" s="30">
        <f ca="1" t="shared" ref="V188:V192" si="235">OFFSET(V188,-RIGHT($A188,LEN($A$6)),,1,1)/OFFSET(V188,-RIGHT($A188,LEN($A$6)),-15,1,1)*$M188</f>
        <v>0</v>
      </c>
      <c r="W188" s="30">
        <f ca="1" t="shared" ref="W188:W192" si="236">+$N188*V188</f>
        <v>0</v>
      </c>
      <c r="X188" s="30">
        <f ca="1" t="shared" ref="X188:X192" si="237">+M188-V188</f>
        <v>4.27245</v>
      </c>
      <c r="Y188" s="30">
        <f ca="1" t="shared" ref="Y188:Y192" si="238">+O188-W188</f>
        <v>17944.29</v>
      </c>
      <c r="Z188" s="30">
        <f ca="1" t="shared" ref="Z188:Z192" si="239">OFFSET(Z188,-RIGHT($A188,LEN($A$6)),,1,1)/OFFSET(Z188,-RIGHT($A188,LEN($A$6)),-19,1,1)*$M188</f>
        <v>0</v>
      </c>
      <c r="AA188" s="30">
        <f ca="1" t="shared" ref="AA188:AA192" si="240">+$N188*Z188</f>
        <v>0</v>
      </c>
      <c r="AB188" s="30"/>
    </row>
    <row r="189" customHeight="1" outlineLevel="3" spans="1:28">
      <c r="A189" s="514" t="s">
        <v>2699</v>
      </c>
      <c r="B189" s="30"/>
      <c r="C189" s="513" t="s">
        <v>64</v>
      </c>
      <c r="D189" s="30" t="s">
        <v>296</v>
      </c>
      <c r="E189" s="30"/>
      <c r="F189" s="30" t="str">
        <f ca="1">VLOOKUP($D189,INDIRECT($C189),2,0)</f>
        <v>t</v>
      </c>
      <c r="G189" s="30"/>
      <c r="H189" s="30"/>
      <c r="I189" s="30"/>
      <c r="J189" s="30"/>
      <c r="K189" s="30"/>
      <c r="L189" s="526"/>
      <c r="M189" s="30">
        <v>4.27245</v>
      </c>
      <c r="N189" s="30">
        <f ca="1" t="shared" si="232"/>
        <v>700</v>
      </c>
      <c r="O189" s="30">
        <f ca="1">M189*N189</f>
        <v>2990.715</v>
      </c>
      <c r="P189" s="30"/>
      <c r="Q189" s="30"/>
      <c r="R189" s="30"/>
      <c r="S189" s="30"/>
      <c r="T189" s="30">
        <f ca="1" t="shared" si="233"/>
        <v>0</v>
      </c>
      <c r="U189" s="30">
        <f ca="1" t="shared" si="234"/>
        <v>0</v>
      </c>
      <c r="V189" s="30">
        <f ca="1" t="shared" si="235"/>
        <v>0</v>
      </c>
      <c r="W189" s="30">
        <f ca="1" t="shared" si="236"/>
        <v>0</v>
      </c>
      <c r="X189" s="30">
        <f ca="1" t="shared" si="237"/>
        <v>4.27245</v>
      </c>
      <c r="Y189" s="30">
        <f ca="1" t="shared" si="238"/>
        <v>2990.715</v>
      </c>
      <c r="Z189" s="30">
        <f ca="1" t="shared" si="239"/>
        <v>0</v>
      </c>
      <c r="AA189" s="30">
        <f ca="1" t="shared" si="240"/>
        <v>0</v>
      </c>
      <c r="AB189" s="30"/>
    </row>
    <row r="190" customHeight="1" outlineLevel="1" spans="1:28">
      <c r="A190" s="515" t="s">
        <v>2700</v>
      </c>
      <c r="B190" s="30"/>
      <c r="C190" s="513" t="s">
        <v>60</v>
      </c>
      <c r="D190" s="30" t="s">
        <v>2701</v>
      </c>
      <c r="E190" s="30"/>
      <c r="F190" s="30"/>
      <c r="G190" s="30"/>
      <c r="H190" s="30"/>
      <c r="I190" s="30">
        <f>(+I191+I193)</f>
        <v>73881.4752660551</v>
      </c>
      <c r="J190" s="30"/>
      <c r="K190" s="30"/>
      <c r="L190" s="526">
        <f>(+L191+L193)</f>
        <v>73881.4752660551</v>
      </c>
      <c r="M190" s="30"/>
      <c r="N190" s="30"/>
      <c r="O190" s="30">
        <f ca="1">(+O191+O193)</f>
        <v>0</v>
      </c>
      <c r="P190" s="30"/>
      <c r="Q190" s="30"/>
      <c r="R190" s="30"/>
      <c r="S190" s="30"/>
      <c r="T190" s="30"/>
      <c r="U190" s="30"/>
      <c r="V190" s="30"/>
      <c r="W190" s="30"/>
      <c r="X190" s="30"/>
      <c r="Y190" s="30"/>
      <c r="Z190" s="30"/>
      <c r="AA190" s="30"/>
      <c r="AB190" s="30"/>
    </row>
    <row r="191" customHeight="1" outlineLevel="2" spans="1:28">
      <c r="A191" s="512" t="s">
        <v>2702</v>
      </c>
      <c r="B191" s="30"/>
      <c r="C191" s="513" t="s">
        <v>1310</v>
      </c>
      <c r="D191" s="30" t="s">
        <v>1848</v>
      </c>
      <c r="E191" s="30" t="s">
        <v>2703</v>
      </c>
      <c r="F191" s="30" t="s">
        <v>82</v>
      </c>
      <c r="G191" s="30">
        <v>121.486</v>
      </c>
      <c r="H191" s="30">
        <v>354.302752293578</v>
      </c>
      <c r="I191" s="30">
        <f>G191*H191</f>
        <v>43042.8241651376</v>
      </c>
      <c r="J191" s="30">
        <f t="shared" ref="J191:L191" si="241">+G191</f>
        <v>121.486</v>
      </c>
      <c r="K191" s="30">
        <f t="shared" si="241"/>
        <v>354.302752293578</v>
      </c>
      <c r="L191" s="526">
        <f t="shared" si="241"/>
        <v>43042.8241651376</v>
      </c>
      <c r="M191" s="30">
        <v>121.486</v>
      </c>
      <c r="N191" s="30">
        <f ca="1">O191/M191</f>
        <v>0</v>
      </c>
      <c r="O191" s="30">
        <f ca="1">(+O192)</f>
        <v>0</v>
      </c>
      <c r="P191" s="30"/>
      <c r="Q191" s="30"/>
      <c r="R191" s="30">
        <f>+P191+J191</f>
        <v>121.486</v>
      </c>
      <c r="S191" s="30">
        <f>+Q191+L191</f>
        <v>43042.8241651376</v>
      </c>
      <c r="T191" s="30">
        <f>IFERROR(VLOOKUP(A191,产值统计中间表!A:F,7,FALSE),0)</f>
        <v>0</v>
      </c>
      <c r="U191" s="30">
        <f>+T191*H191</f>
        <v>0</v>
      </c>
      <c r="V191" s="30">
        <f>IFERROR(VLOOKUP(A191,产值统计中间表!A:D,4,FALSE),0)</f>
        <v>0</v>
      </c>
      <c r="W191" s="30">
        <f>+V191*H191</f>
        <v>0</v>
      </c>
      <c r="X191" s="30">
        <f>+R191-V191</f>
        <v>121.486</v>
      </c>
      <c r="Y191" s="30">
        <f>+S191-W191</f>
        <v>43042.8241651376</v>
      </c>
      <c r="Z191" s="30">
        <f>IFERROR(VLOOKUP(A191,业主统计中间表!A:D,4,FALSE),0)</f>
        <v>0</v>
      </c>
      <c r="AA191" s="30">
        <f>+Z191*H191</f>
        <v>0</v>
      </c>
      <c r="AB191" s="30"/>
    </row>
    <row r="192" customHeight="1" outlineLevel="3" spans="1:28">
      <c r="A192" s="514" t="s">
        <v>2704</v>
      </c>
      <c r="B192" s="30"/>
      <c r="C192" s="513" t="s">
        <v>63</v>
      </c>
      <c r="D192" s="30" t="s">
        <v>1215</v>
      </c>
      <c r="E192" s="30"/>
      <c r="F192" s="30" t="s">
        <v>82</v>
      </c>
      <c r="G192" s="30"/>
      <c r="H192" s="30"/>
      <c r="I192" s="30"/>
      <c r="J192" s="30"/>
      <c r="K192" s="30"/>
      <c r="L192" s="526"/>
      <c r="M192" s="30">
        <v>0</v>
      </c>
      <c r="N192" s="30">
        <f ca="1" t="shared" si="232"/>
        <v>2378</v>
      </c>
      <c r="O192" s="30">
        <f ca="1">M192*N192</f>
        <v>0</v>
      </c>
      <c r="P192" s="30"/>
      <c r="Q192" s="30"/>
      <c r="R192" s="30"/>
      <c r="S192" s="30"/>
      <c r="T192" s="30">
        <f ca="1" t="shared" si="233"/>
        <v>0</v>
      </c>
      <c r="U192" s="30">
        <f ca="1" t="shared" si="234"/>
        <v>0</v>
      </c>
      <c r="V192" s="30">
        <f ca="1" t="shared" si="235"/>
        <v>0</v>
      </c>
      <c r="W192" s="30">
        <f ca="1" t="shared" si="236"/>
        <v>0</v>
      </c>
      <c r="X192" s="30">
        <f ca="1" t="shared" si="237"/>
        <v>0</v>
      </c>
      <c r="Y192" s="30">
        <f ca="1" t="shared" si="238"/>
        <v>0</v>
      </c>
      <c r="Z192" s="30">
        <f ca="1" t="shared" si="239"/>
        <v>0</v>
      </c>
      <c r="AA192" s="30">
        <f ca="1" t="shared" si="240"/>
        <v>0</v>
      </c>
      <c r="AB192" s="30"/>
    </row>
    <row r="193" customHeight="1" outlineLevel="2" spans="1:28">
      <c r="A193" s="512" t="s">
        <v>2705</v>
      </c>
      <c r="B193" s="30"/>
      <c r="C193" s="513" t="s">
        <v>1310</v>
      </c>
      <c r="D193" s="30" t="s">
        <v>1173</v>
      </c>
      <c r="E193" s="30" t="s">
        <v>2706</v>
      </c>
      <c r="F193" s="30" t="s">
        <v>82</v>
      </c>
      <c r="G193" s="30">
        <v>8.243</v>
      </c>
      <c r="H193" s="30">
        <v>3741.19266055046</v>
      </c>
      <c r="I193" s="30">
        <f>G193*H193</f>
        <v>30838.6511009174</v>
      </c>
      <c r="J193" s="30">
        <f t="shared" ref="J193:L193" si="242">+G193</f>
        <v>8.243</v>
      </c>
      <c r="K193" s="30">
        <f t="shared" si="242"/>
        <v>3741.19266055046</v>
      </c>
      <c r="L193" s="526">
        <f t="shared" si="242"/>
        <v>30838.6511009174</v>
      </c>
      <c r="M193" s="30">
        <v>8.243</v>
      </c>
      <c r="N193" s="30">
        <f ca="1">O193/M193</f>
        <v>0</v>
      </c>
      <c r="O193" s="30">
        <f ca="1">(+O194)</f>
        <v>0</v>
      </c>
      <c r="P193" s="30"/>
      <c r="Q193" s="30"/>
      <c r="R193" s="30">
        <f>+P193+J193</f>
        <v>8.243</v>
      </c>
      <c r="S193" s="30">
        <f>+Q193+L193</f>
        <v>30838.6511009174</v>
      </c>
      <c r="T193" s="30">
        <f>IFERROR(VLOOKUP(A193,产值统计中间表!A:F,7,FALSE),0)</f>
        <v>0</v>
      </c>
      <c r="U193" s="30">
        <f>+T193*H193</f>
        <v>0</v>
      </c>
      <c r="V193" s="30">
        <f>IFERROR(VLOOKUP(A193,产值统计中间表!A:D,4,FALSE),0)</f>
        <v>0</v>
      </c>
      <c r="W193" s="30">
        <f>+V193*H193</f>
        <v>0</v>
      </c>
      <c r="X193" s="30">
        <f>+R193-V193</f>
        <v>8.243</v>
      </c>
      <c r="Y193" s="30">
        <f>+S193-W193</f>
        <v>30838.6511009174</v>
      </c>
      <c r="Z193" s="30">
        <f>IFERROR(VLOOKUP(A193,业主统计中间表!A:D,4,FALSE),0)</f>
        <v>0</v>
      </c>
      <c r="AA193" s="30">
        <f>+Z193*H193</f>
        <v>0</v>
      </c>
      <c r="AB193" s="30"/>
    </row>
    <row r="194" customHeight="1" outlineLevel="3" spans="1:28">
      <c r="A194" s="514" t="s">
        <v>2707</v>
      </c>
      <c r="B194" s="30"/>
      <c r="C194" s="513" t="s">
        <v>59</v>
      </c>
      <c r="D194" s="30" t="s">
        <v>1173</v>
      </c>
      <c r="E194" s="30"/>
      <c r="F194" s="30" t="str">
        <f ca="1">VLOOKUP($D194,INDIRECT($C194),2,0)</f>
        <v>t</v>
      </c>
      <c r="G194" s="30"/>
      <c r="H194" s="30"/>
      <c r="I194" s="30"/>
      <c r="J194" s="30"/>
      <c r="K194" s="30"/>
      <c r="L194" s="526"/>
      <c r="M194" s="30">
        <v>8.243</v>
      </c>
      <c r="N194" s="30">
        <f ca="1">VLOOKUP($D194,INDIRECT($C194),3,0)</f>
        <v>0</v>
      </c>
      <c r="O194" s="30">
        <f ca="1">M194*N194</f>
        <v>0</v>
      </c>
      <c r="P194" s="30"/>
      <c r="Q194" s="30"/>
      <c r="R194" s="30"/>
      <c r="S194" s="30"/>
      <c r="T194" s="30">
        <f ca="1">OFFSET(T194,-RIGHT($A194,LEN($A$6)),,1,1)/OFFSET(T194,-RIGHT($A194,LEN($A$6)),-13,1,1)*$M194</f>
        <v>0</v>
      </c>
      <c r="U194" s="30">
        <f ca="1">+$N194*T194</f>
        <v>0</v>
      </c>
      <c r="V194" s="30">
        <f ca="1">OFFSET(V194,-RIGHT($A194,LEN($A$6)),,1,1)/OFFSET(V194,-RIGHT($A194,LEN($A$6)),-15,1,1)*$M194</f>
        <v>0</v>
      </c>
      <c r="W194" s="30">
        <f ca="1">+$N194*V194</f>
        <v>0</v>
      </c>
      <c r="X194" s="30">
        <f ca="1">+M194-V194</f>
        <v>8.243</v>
      </c>
      <c r="Y194" s="30">
        <f ca="1">+O194-W194</f>
        <v>0</v>
      </c>
      <c r="Z194" s="30">
        <f ca="1">OFFSET(Z194,-RIGHT($A194,LEN($A$6)),,1,1)/OFFSET(Z194,-RIGHT($A194,LEN($A$6)),-19,1,1)*$M194</f>
        <v>0</v>
      </c>
      <c r="AA194" s="30">
        <f ca="1">+$N194*Z194</f>
        <v>0</v>
      </c>
      <c r="AB194" s="30"/>
    </row>
    <row r="195" customHeight="1" spans="1:28">
      <c r="A195" s="30" t="s">
        <v>1378</v>
      </c>
      <c r="B195" s="30"/>
      <c r="C195" s="513" t="s">
        <v>1306</v>
      </c>
      <c r="D195" s="30" t="s">
        <v>1384</v>
      </c>
      <c r="E195" s="30" t="s">
        <v>1380</v>
      </c>
      <c r="F195" s="30" t="s">
        <v>195</v>
      </c>
      <c r="G195" s="30"/>
      <c r="H195" s="30"/>
      <c r="I195" s="30">
        <f>(+I196+I197+I198)</f>
        <v>4889165.57</v>
      </c>
      <c r="J195" s="30"/>
      <c r="K195" s="30"/>
      <c r="L195" s="526">
        <f>(+L196+L197+L198)</f>
        <v>0</v>
      </c>
      <c r="M195" s="30"/>
      <c r="N195" s="30"/>
      <c r="O195" s="30">
        <f>(+O196+O197+O198)</f>
        <v>0</v>
      </c>
      <c r="P195" s="30"/>
      <c r="Q195" s="30"/>
      <c r="R195" s="30"/>
      <c r="S195" s="30"/>
      <c r="T195" s="30"/>
      <c r="U195" s="30"/>
      <c r="V195" s="30"/>
      <c r="W195" s="30"/>
      <c r="X195" s="30"/>
      <c r="Y195" s="30"/>
      <c r="Z195" s="30"/>
      <c r="AA195" s="30"/>
      <c r="AB195" s="30"/>
    </row>
    <row r="196" customHeight="1" outlineLevel="1" spans="1:28">
      <c r="A196" s="515" t="s">
        <v>1381</v>
      </c>
      <c r="B196" s="30"/>
      <c r="C196" s="513" t="s">
        <v>60</v>
      </c>
      <c r="D196" s="30" t="s">
        <v>1308</v>
      </c>
      <c r="E196" s="30"/>
      <c r="F196" s="30" t="s">
        <v>195</v>
      </c>
      <c r="G196" s="30">
        <v>1</v>
      </c>
      <c r="H196" s="30">
        <v>742771.63</v>
      </c>
      <c r="I196" s="30">
        <v>742771.63</v>
      </c>
      <c r="J196" s="30"/>
      <c r="K196" s="30"/>
      <c r="L196" s="526"/>
      <c r="M196" s="30"/>
      <c r="N196" s="30"/>
      <c r="O196" s="30"/>
      <c r="P196" s="30"/>
      <c r="Q196" s="30"/>
      <c r="R196" s="30"/>
      <c r="S196" s="30"/>
      <c r="T196" s="30"/>
      <c r="U196" s="30"/>
      <c r="V196" s="30"/>
      <c r="W196" s="30"/>
      <c r="X196" s="30"/>
      <c r="Y196" s="30"/>
      <c r="Z196" s="30"/>
      <c r="AA196" s="30"/>
      <c r="AB196" s="30"/>
    </row>
    <row r="197" customHeight="1" outlineLevel="1" spans="1:28">
      <c r="A197" s="515" t="s">
        <v>1385</v>
      </c>
      <c r="B197" s="30"/>
      <c r="C197" s="513" t="s">
        <v>60</v>
      </c>
      <c r="D197" s="30" t="s">
        <v>2502</v>
      </c>
      <c r="E197" s="30"/>
      <c r="F197" s="30" t="s">
        <v>195</v>
      </c>
      <c r="G197" s="30">
        <v>1</v>
      </c>
      <c r="H197" s="30">
        <v>1217546.08</v>
      </c>
      <c r="I197" s="30">
        <v>1217546.08</v>
      </c>
      <c r="J197" s="30"/>
      <c r="K197" s="30"/>
      <c r="L197" s="526"/>
      <c r="M197" s="30"/>
      <c r="N197" s="30"/>
      <c r="O197" s="30"/>
      <c r="P197" s="30"/>
      <c r="Q197" s="30"/>
      <c r="R197" s="30"/>
      <c r="S197" s="30"/>
      <c r="T197" s="30"/>
      <c r="U197" s="30"/>
      <c r="V197" s="30"/>
      <c r="W197" s="30"/>
      <c r="X197" s="30"/>
      <c r="Y197" s="30"/>
      <c r="Z197" s="30"/>
      <c r="AA197" s="30"/>
      <c r="AB197" s="30"/>
    </row>
    <row r="198" customHeight="1" outlineLevel="1" spans="1:28">
      <c r="A198" s="515" t="s">
        <v>2708</v>
      </c>
      <c r="B198" s="30"/>
      <c r="C198" s="513" t="s">
        <v>60</v>
      </c>
      <c r="D198" s="30" t="s">
        <v>2709</v>
      </c>
      <c r="E198" s="30"/>
      <c r="F198" s="30" t="s">
        <v>195</v>
      </c>
      <c r="G198" s="30">
        <v>1</v>
      </c>
      <c r="H198" s="30">
        <v>2928847.86</v>
      </c>
      <c r="I198" s="30">
        <v>2928847.86</v>
      </c>
      <c r="J198" s="30"/>
      <c r="K198" s="30"/>
      <c r="L198" s="526"/>
      <c r="M198" s="30"/>
      <c r="N198" s="30"/>
      <c r="O198" s="30"/>
      <c r="P198" s="30"/>
      <c r="Q198" s="30"/>
      <c r="R198" s="30"/>
      <c r="S198" s="30"/>
      <c r="T198" s="30"/>
      <c r="U198" s="30"/>
      <c r="V198" s="30"/>
      <c r="W198" s="30"/>
      <c r="X198" s="30"/>
      <c r="Y198" s="30"/>
      <c r="Z198" s="30"/>
      <c r="AA198" s="30"/>
      <c r="AB198" s="30"/>
    </row>
    <row r="199" customHeight="1" spans="1:28">
      <c r="A199" s="30" t="s">
        <v>1388</v>
      </c>
      <c r="B199" s="30"/>
      <c r="C199" s="513" t="s">
        <v>1306</v>
      </c>
      <c r="D199" s="30" t="s">
        <v>2710</v>
      </c>
      <c r="E199" s="30" t="s">
        <v>1387</v>
      </c>
      <c r="F199" s="30" t="s">
        <v>195</v>
      </c>
      <c r="G199" s="30"/>
      <c r="H199" s="30"/>
      <c r="I199" s="30">
        <f>(+I200+I201+I212)</f>
        <v>5371206.0443</v>
      </c>
      <c r="J199" s="30"/>
      <c r="K199" s="30"/>
      <c r="L199" s="526">
        <f>(+L200+L201+L212)</f>
        <v>3771590.8743</v>
      </c>
      <c r="M199" s="30"/>
      <c r="N199" s="30"/>
      <c r="O199" s="30">
        <f ca="1">(+O200+O201+O212)</f>
        <v>1492975.19948</v>
      </c>
      <c r="P199" s="30"/>
      <c r="Q199" s="30"/>
      <c r="R199" s="30"/>
      <c r="S199" s="30"/>
      <c r="T199" s="30"/>
      <c r="U199" s="30"/>
      <c r="V199" s="30"/>
      <c r="W199" s="30"/>
      <c r="X199" s="30"/>
      <c r="Y199" s="30"/>
      <c r="Z199" s="30"/>
      <c r="AA199" s="30"/>
      <c r="AB199" s="30"/>
    </row>
    <row r="200" customHeight="1" outlineLevel="1" spans="1:28">
      <c r="A200" s="515" t="s">
        <v>1390</v>
      </c>
      <c r="B200" s="30"/>
      <c r="C200" s="513" t="s">
        <v>60</v>
      </c>
      <c r="D200" s="30" t="s">
        <v>1308</v>
      </c>
      <c r="E200" s="30" t="s">
        <v>1387</v>
      </c>
      <c r="F200" s="30" t="s">
        <v>195</v>
      </c>
      <c r="G200" s="30">
        <v>1</v>
      </c>
      <c r="H200" s="30">
        <v>1599615.17</v>
      </c>
      <c r="I200" s="30">
        <v>1599615.17</v>
      </c>
      <c r="J200" s="30"/>
      <c r="K200" s="30"/>
      <c r="L200" s="526"/>
      <c r="M200" s="30"/>
      <c r="N200" s="30"/>
      <c r="O200" s="30"/>
      <c r="P200" s="30"/>
      <c r="Q200" s="30"/>
      <c r="R200" s="30"/>
      <c r="S200" s="30"/>
      <c r="T200" s="30"/>
      <c r="U200" s="30"/>
      <c r="V200" s="30"/>
      <c r="W200" s="30"/>
      <c r="X200" s="30"/>
      <c r="Y200" s="30"/>
      <c r="Z200" s="30"/>
      <c r="AA200" s="30"/>
      <c r="AB200" s="30"/>
    </row>
    <row r="201" customHeight="1" outlineLevel="1" spans="1:28">
      <c r="A201" s="515" t="s">
        <v>1391</v>
      </c>
      <c r="B201" s="30"/>
      <c r="C201" s="513" t="s">
        <v>60</v>
      </c>
      <c r="D201" s="30" t="s">
        <v>2502</v>
      </c>
      <c r="E201" s="30" t="s">
        <v>1387</v>
      </c>
      <c r="F201" s="30" t="s">
        <v>195</v>
      </c>
      <c r="G201" s="30">
        <v>1</v>
      </c>
      <c r="H201" s="30">
        <v>3487635.7</v>
      </c>
      <c r="I201" s="30">
        <f>(+I202+I210)</f>
        <v>3487635.7</v>
      </c>
      <c r="J201" s="30"/>
      <c r="K201" s="30"/>
      <c r="L201" s="526">
        <f>(+L202+L210)</f>
        <v>3487635.7</v>
      </c>
      <c r="M201" s="30">
        <v>1</v>
      </c>
      <c r="N201" s="30">
        <f ca="1">O201/M201</f>
        <v>1473145.6</v>
      </c>
      <c r="O201" s="30">
        <f ca="1">(+O202+O210)</f>
        <v>1473145.6</v>
      </c>
      <c r="P201" s="30"/>
      <c r="Q201" s="30"/>
      <c r="R201" s="30"/>
      <c r="S201" s="30"/>
      <c r="T201" s="30"/>
      <c r="U201" s="30"/>
      <c r="V201" s="30"/>
      <c r="W201" s="30"/>
      <c r="X201" s="30"/>
      <c r="Y201" s="30"/>
      <c r="Z201" s="30"/>
      <c r="AA201" s="30"/>
      <c r="AB201" s="30"/>
    </row>
    <row r="202" customHeight="1" outlineLevel="2" spans="1:28">
      <c r="A202" s="512" t="s">
        <v>2711</v>
      </c>
      <c r="B202" s="30"/>
      <c r="C202" s="513" t="s">
        <v>1310</v>
      </c>
      <c r="D202" s="30" t="s">
        <v>713</v>
      </c>
      <c r="E202" s="30" t="s">
        <v>2706</v>
      </c>
      <c r="F202" s="30" t="s">
        <v>72</v>
      </c>
      <c r="G202" s="30"/>
      <c r="H202" s="30"/>
      <c r="I202" s="30">
        <v>3487635.7</v>
      </c>
      <c r="J202" s="30">
        <f t="shared" ref="J202:L202" si="243">+G202</f>
        <v>0</v>
      </c>
      <c r="K202" s="30">
        <f t="shared" si="243"/>
        <v>0</v>
      </c>
      <c r="L202" s="526">
        <f t="shared" si="243"/>
        <v>3487635.7</v>
      </c>
      <c r="M202" s="30">
        <v>39695</v>
      </c>
      <c r="N202" s="30">
        <f ca="1">O202/M202</f>
        <v>32.11426124197</v>
      </c>
      <c r="O202" s="30">
        <f ca="1">(+O203+O204+O205+O206+O207+O208+O209)</f>
        <v>1274775.6</v>
      </c>
      <c r="P202" s="30"/>
      <c r="Q202" s="30"/>
      <c r="R202" s="30">
        <f>+P202+J202</f>
        <v>0</v>
      </c>
      <c r="S202" s="30">
        <f>+Q202+L202</f>
        <v>3487635.7</v>
      </c>
      <c r="T202" s="30">
        <f>IFERROR(VLOOKUP(A202,产值统计中间表!A:F,7,FALSE),0)</f>
        <v>0</v>
      </c>
      <c r="U202" s="30">
        <f>+T202*H202</f>
        <v>0</v>
      </c>
      <c r="V202" s="30">
        <f>IFERROR(VLOOKUP(A202,产值统计中间表!A:D,4,FALSE),0)</f>
        <v>0</v>
      </c>
      <c r="W202" s="30">
        <f>+V202*H202</f>
        <v>0</v>
      </c>
      <c r="X202" s="30">
        <f>+R202-V202</f>
        <v>0</v>
      </c>
      <c r="Y202" s="30">
        <f>+S202-W202</f>
        <v>3487635.7</v>
      </c>
      <c r="Z202" s="30">
        <f>IFERROR(VLOOKUP(A202,业主统计中间表!A:D,4,FALSE),0)</f>
        <v>0</v>
      </c>
      <c r="AA202" s="30">
        <f>+Z202*H202</f>
        <v>0</v>
      </c>
      <c r="AB202" s="30"/>
    </row>
    <row r="203" customHeight="1" outlineLevel="3" spans="1:28">
      <c r="A203" s="514" t="s">
        <v>2712</v>
      </c>
      <c r="B203" s="30"/>
      <c r="C203" s="513" t="s">
        <v>65</v>
      </c>
      <c r="D203" s="30" t="s">
        <v>713</v>
      </c>
      <c r="E203" s="30"/>
      <c r="F203" s="30" t="str">
        <f ca="1" t="shared" ref="F203:F209" si="244">VLOOKUP($D203,INDIRECT($C203),2,0)</f>
        <v>m2</v>
      </c>
      <c r="G203" s="30"/>
      <c r="H203" s="30"/>
      <c r="I203" s="30"/>
      <c r="J203" s="30"/>
      <c r="K203" s="30"/>
      <c r="L203" s="526"/>
      <c r="M203" s="30">
        <v>39695</v>
      </c>
      <c r="N203" s="30">
        <f ca="1" t="shared" ref="N203:N209" si="245">VLOOKUP($D203,INDIRECT($C203),3,0)</f>
        <v>30</v>
      </c>
      <c r="O203" s="30">
        <f ca="1" t="shared" ref="O203:O209" si="246">M203*N203</f>
        <v>1190850</v>
      </c>
      <c r="P203" s="30"/>
      <c r="Q203" s="30"/>
      <c r="R203" s="30"/>
      <c r="S203" s="30"/>
      <c r="T203" s="30" t="e">
        <f ca="1">OFFSET(T203,-RIGHT($A203,LEN($A$6)),,1,1)/OFFSET(T203,-RIGHT($A203,LEN($A$6)),-13,1,1)*$M203</f>
        <v>#DIV/0!</v>
      </c>
      <c r="U203" s="30" t="e">
        <f ca="1" t="shared" ref="U203:U209" si="247">+$N203*T203</f>
        <v>#DIV/0!</v>
      </c>
      <c r="V203" s="30" t="e">
        <f ca="1" t="shared" ref="V203:V209" si="248">OFFSET(V203,-RIGHT($A203,LEN($A$6)),,1,1)/OFFSET(V203,-RIGHT($A203,LEN($A$6)),-15,1,1)*$M203</f>
        <v>#DIV/0!</v>
      </c>
      <c r="W203" s="30" t="e">
        <f ca="1" t="shared" ref="W203:W209" si="249">+$N203*V203</f>
        <v>#DIV/0!</v>
      </c>
      <c r="X203" s="30" t="e">
        <f ca="1" t="shared" ref="X203:X209" si="250">+M203-V203</f>
        <v>#DIV/0!</v>
      </c>
      <c r="Y203" s="30" t="e">
        <f ca="1" t="shared" ref="Y203:Y209" si="251">+O203-W203</f>
        <v>#DIV/0!</v>
      </c>
      <c r="Z203" s="30" t="e">
        <f ca="1" t="shared" ref="Z203:Z209" si="252">OFFSET(Z203,-RIGHT($A203,LEN($A$6)),,1,1)/OFFSET(Z203,-RIGHT($A203,LEN($A$6)),-19,1,1)*$M203</f>
        <v>#DIV/0!</v>
      </c>
      <c r="AA203" s="30" t="e">
        <f ca="1" t="shared" ref="AA203:AA209" si="253">+$N203*Z203</f>
        <v>#DIV/0!</v>
      </c>
      <c r="AB203" s="30"/>
    </row>
    <row r="204" customHeight="1" outlineLevel="3" spans="1:28">
      <c r="A204" s="514" t="s">
        <v>2713</v>
      </c>
      <c r="B204" s="30"/>
      <c r="C204" s="513" t="s">
        <v>64</v>
      </c>
      <c r="D204" s="30" t="s">
        <v>753</v>
      </c>
      <c r="E204" s="30"/>
      <c r="F204" s="30" t="str">
        <f ca="1" t="shared" si="244"/>
        <v>m3</v>
      </c>
      <c r="G204" s="30"/>
      <c r="H204" s="30"/>
      <c r="I204" s="30"/>
      <c r="J204" s="30"/>
      <c r="K204" s="30"/>
      <c r="L204" s="526"/>
      <c r="M204" s="30">
        <v>1452</v>
      </c>
      <c r="N204" s="30">
        <f ca="1" t="shared" si="245"/>
        <v>30</v>
      </c>
      <c r="O204" s="30">
        <f ca="1" t="shared" si="246"/>
        <v>43560</v>
      </c>
      <c r="P204" s="30"/>
      <c r="Q204" s="30"/>
      <c r="R204" s="30"/>
      <c r="S204" s="30"/>
      <c r="T204" s="30" t="e">
        <f ca="1" t="shared" ref="T203:T209" si="254">OFFSET(T204,-RIGHT($A204,LEN($A$6)),,1,1)/OFFSET(T204,-RIGHT($A204,LEN($A$6)),-13,1,1)*$M204</f>
        <v>#DIV/0!</v>
      </c>
      <c r="U204" s="30" t="e">
        <f ca="1" t="shared" si="247"/>
        <v>#DIV/0!</v>
      </c>
      <c r="V204" s="30" t="e">
        <f ca="1" t="shared" si="248"/>
        <v>#DIV/0!</v>
      </c>
      <c r="W204" s="30" t="e">
        <f ca="1" t="shared" si="249"/>
        <v>#DIV/0!</v>
      </c>
      <c r="X204" s="30" t="e">
        <f ca="1" t="shared" si="250"/>
        <v>#DIV/0!</v>
      </c>
      <c r="Y204" s="30" t="e">
        <f ca="1" t="shared" si="251"/>
        <v>#DIV/0!</v>
      </c>
      <c r="Z204" s="30" t="e">
        <f ca="1" t="shared" si="252"/>
        <v>#DIV/0!</v>
      </c>
      <c r="AA204" s="30" t="e">
        <f ca="1" t="shared" si="253"/>
        <v>#DIV/0!</v>
      </c>
      <c r="AB204" s="30"/>
    </row>
    <row r="205" customHeight="1" outlineLevel="3" spans="1:28">
      <c r="A205" s="514" t="s">
        <v>2714</v>
      </c>
      <c r="B205" s="30"/>
      <c r="C205" s="513" t="s">
        <v>59</v>
      </c>
      <c r="D205" s="30" t="s">
        <v>1018</v>
      </c>
      <c r="E205" s="30"/>
      <c r="F205" s="30" t="str">
        <f ca="1" t="shared" si="244"/>
        <v>m3</v>
      </c>
      <c r="G205" s="30"/>
      <c r="H205" s="30"/>
      <c r="I205" s="30"/>
      <c r="J205" s="30"/>
      <c r="K205" s="30"/>
      <c r="L205" s="526"/>
      <c r="M205" s="30">
        <v>1452</v>
      </c>
      <c r="N205" s="30">
        <f ca="1" t="shared" si="245"/>
        <v>0</v>
      </c>
      <c r="O205" s="30">
        <f ca="1" t="shared" si="246"/>
        <v>0</v>
      </c>
      <c r="P205" s="30"/>
      <c r="Q205" s="30"/>
      <c r="R205" s="30"/>
      <c r="S205" s="30"/>
      <c r="T205" s="30" t="e">
        <f ca="1" t="shared" si="254"/>
        <v>#DIV/0!</v>
      </c>
      <c r="U205" s="30" t="e">
        <f ca="1" t="shared" si="247"/>
        <v>#DIV/0!</v>
      </c>
      <c r="V205" s="30" t="e">
        <f ca="1" t="shared" si="248"/>
        <v>#DIV/0!</v>
      </c>
      <c r="W205" s="30" t="e">
        <f ca="1" t="shared" si="249"/>
        <v>#DIV/0!</v>
      </c>
      <c r="X205" s="30" t="e">
        <f ca="1" t="shared" si="250"/>
        <v>#DIV/0!</v>
      </c>
      <c r="Y205" s="30" t="e">
        <f ca="1" t="shared" si="251"/>
        <v>#DIV/0!</v>
      </c>
      <c r="Z205" s="30" t="e">
        <f ca="1" t="shared" si="252"/>
        <v>#DIV/0!</v>
      </c>
      <c r="AA205" s="30" t="e">
        <f ca="1" t="shared" si="253"/>
        <v>#DIV/0!</v>
      </c>
      <c r="AB205" s="30"/>
    </row>
    <row r="206" customHeight="1" outlineLevel="3" spans="1:28">
      <c r="A206" s="514" t="s">
        <v>2715</v>
      </c>
      <c r="B206" s="30"/>
      <c r="C206" s="513" t="s">
        <v>63</v>
      </c>
      <c r="D206" s="30" t="s">
        <v>564</v>
      </c>
      <c r="E206" s="30"/>
      <c r="F206" s="30" t="str">
        <f ca="1" t="shared" si="244"/>
        <v>m2</v>
      </c>
      <c r="G206" s="30"/>
      <c r="H206" s="30"/>
      <c r="I206" s="30"/>
      <c r="J206" s="30"/>
      <c r="K206" s="30"/>
      <c r="L206" s="526"/>
      <c r="M206" s="30">
        <v>7260</v>
      </c>
      <c r="N206" s="30">
        <f ca="1" t="shared" si="245"/>
        <v>1.8</v>
      </c>
      <c r="O206" s="30">
        <f ca="1" t="shared" si="246"/>
        <v>13068</v>
      </c>
      <c r="P206" s="30"/>
      <c r="Q206" s="30"/>
      <c r="R206" s="30"/>
      <c r="S206" s="30"/>
      <c r="T206" s="30" t="e">
        <f ca="1" t="shared" si="254"/>
        <v>#DIV/0!</v>
      </c>
      <c r="U206" s="30" t="e">
        <f ca="1" t="shared" si="247"/>
        <v>#DIV/0!</v>
      </c>
      <c r="V206" s="30" t="e">
        <f ca="1" t="shared" si="248"/>
        <v>#DIV/0!</v>
      </c>
      <c r="W206" s="30" t="e">
        <f ca="1" t="shared" si="249"/>
        <v>#DIV/0!</v>
      </c>
      <c r="X206" s="30" t="e">
        <f ca="1" t="shared" si="250"/>
        <v>#DIV/0!</v>
      </c>
      <c r="Y206" s="30" t="e">
        <f ca="1" t="shared" si="251"/>
        <v>#DIV/0!</v>
      </c>
      <c r="Z206" s="30" t="e">
        <f ca="1" t="shared" si="252"/>
        <v>#DIV/0!</v>
      </c>
      <c r="AA206" s="30" t="e">
        <f ca="1" t="shared" si="253"/>
        <v>#DIV/0!</v>
      </c>
      <c r="AB206" s="30"/>
    </row>
    <row r="207" customHeight="1" outlineLevel="3" spans="1:28">
      <c r="A207" s="514" t="s">
        <v>2716</v>
      </c>
      <c r="B207" s="30"/>
      <c r="C207" s="513" t="s">
        <v>63</v>
      </c>
      <c r="D207" s="30" t="s">
        <v>658</v>
      </c>
      <c r="E207" s="30"/>
      <c r="F207" s="30" t="str">
        <f ca="1" t="shared" si="244"/>
        <v>m3</v>
      </c>
      <c r="G207" s="30"/>
      <c r="H207" s="30"/>
      <c r="I207" s="30"/>
      <c r="J207" s="30"/>
      <c r="K207" s="30"/>
      <c r="L207" s="526"/>
      <c r="M207" s="30">
        <v>1452</v>
      </c>
      <c r="N207" s="30">
        <f ca="1" t="shared" si="245"/>
        <v>6</v>
      </c>
      <c r="O207" s="30">
        <f ca="1" t="shared" si="246"/>
        <v>8712</v>
      </c>
      <c r="P207" s="30"/>
      <c r="Q207" s="30"/>
      <c r="R207" s="30"/>
      <c r="S207" s="30"/>
      <c r="T207" s="30" t="e">
        <f ca="1" t="shared" si="254"/>
        <v>#DIV/0!</v>
      </c>
      <c r="U207" s="30" t="e">
        <f ca="1" t="shared" si="247"/>
        <v>#DIV/0!</v>
      </c>
      <c r="V207" s="30" t="e">
        <f ca="1" t="shared" si="248"/>
        <v>#DIV/0!</v>
      </c>
      <c r="W207" s="30" t="e">
        <f ca="1" t="shared" si="249"/>
        <v>#DIV/0!</v>
      </c>
      <c r="X207" s="30" t="e">
        <f ca="1" t="shared" si="250"/>
        <v>#DIV/0!</v>
      </c>
      <c r="Y207" s="30" t="e">
        <f ca="1" t="shared" si="251"/>
        <v>#DIV/0!</v>
      </c>
      <c r="Z207" s="30" t="e">
        <f ca="1" t="shared" si="252"/>
        <v>#DIV/0!</v>
      </c>
      <c r="AA207" s="30" t="e">
        <f ca="1" t="shared" si="253"/>
        <v>#DIV/0!</v>
      </c>
      <c r="AB207" s="30"/>
    </row>
    <row r="208" customHeight="1" outlineLevel="3" spans="1:28">
      <c r="A208" s="514" t="s">
        <v>2717</v>
      </c>
      <c r="B208" s="30"/>
      <c r="C208" s="513" t="s">
        <v>63</v>
      </c>
      <c r="D208" s="30" t="s">
        <v>722</v>
      </c>
      <c r="E208" s="30"/>
      <c r="F208" s="30" t="str">
        <f ca="1" t="shared" si="244"/>
        <v>m3</v>
      </c>
      <c r="G208" s="30"/>
      <c r="H208" s="30"/>
      <c r="I208" s="30"/>
      <c r="J208" s="30"/>
      <c r="K208" s="30"/>
      <c r="L208" s="526"/>
      <c r="M208" s="30">
        <v>1452</v>
      </c>
      <c r="N208" s="30">
        <f ca="1" t="shared" si="245"/>
        <v>0</v>
      </c>
      <c r="O208" s="30">
        <f ca="1" t="shared" si="246"/>
        <v>0</v>
      </c>
      <c r="P208" s="30"/>
      <c r="Q208" s="30"/>
      <c r="R208" s="30"/>
      <c r="S208" s="30"/>
      <c r="T208" s="30" t="e">
        <f ca="1" t="shared" si="254"/>
        <v>#DIV/0!</v>
      </c>
      <c r="U208" s="30" t="e">
        <f ca="1" t="shared" si="247"/>
        <v>#DIV/0!</v>
      </c>
      <c r="V208" s="30" t="e">
        <f ca="1" t="shared" si="248"/>
        <v>#DIV/0!</v>
      </c>
      <c r="W208" s="30" t="e">
        <f ca="1" t="shared" si="249"/>
        <v>#DIV/0!</v>
      </c>
      <c r="X208" s="30" t="e">
        <f ca="1" t="shared" si="250"/>
        <v>#DIV/0!</v>
      </c>
      <c r="Y208" s="30" t="e">
        <f ca="1" t="shared" si="251"/>
        <v>#DIV/0!</v>
      </c>
      <c r="Z208" s="30" t="e">
        <f ca="1" t="shared" si="252"/>
        <v>#DIV/0!</v>
      </c>
      <c r="AA208" s="30" t="e">
        <f ca="1" t="shared" si="253"/>
        <v>#DIV/0!</v>
      </c>
      <c r="AB208" s="30"/>
    </row>
    <row r="209" customHeight="1" outlineLevel="3" spans="1:28">
      <c r="A209" s="514" t="s">
        <v>2718</v>
      </c>
      <c r="B209" s="30"/>
      <c r="C209" s="513" t="s">
        <v>63</v>
      </c>
      <c r="D209" s="30" t="s">
        <v>349</v>
      </c>
      <c r="E209" s="30"/>
      <c r="F209" s="30" t="str">
        <f ca="1" t="shared" si="244"/>
        <v>m3</v>
      </c>
      <c r="G209" s="30"/>
      <c r="H209" s="30"/>
      <c r="I209" s="30"/>
      <c r="J209" s="30"/>
      <c r="K209" s="30"/>
      <c r="L209" s="526"/>
      <c r="M209" s="30">
        <v>11616</v>
      </c>
      <c r="N209" s="30">
        <f ca="1" t="shared" si="245"/>
        <v>1.6</v>
      </c>
      <c r="O209" s="30">
        <f ca="1" t="shared" si="246"/>
        <v>18585.6</v>
      </c>
      <c r="P209" s="30"/>
      <c r="Q209" s="30"/>
      <c r="R209" s="30"/>
      <c r="S209" s="30"/>
      <c r="T209" s="30" t="e">
        <f ca="1" t="shared" si="254"/>
        <v>#DIV/0!</v>
      </c>
      <c r="U209" s="30" t="e">
        <f ca="1" t="shared" si="247"/>
        <v>#DIV/0!</v>
      </c>
      <c r="V209" s="30" t="e">
        <f ca="1" t="shared" si="248"/>
        <v>#DIV/0!</v>
      </c>
      <c r="W209" s="30" t="e">
        <f ca="1" t="shared" si="249"/>
        <v>#DIV/0!</v>
      </c>
      <c r="X209" s="30" t="e">
        <f ca="1" t="shared" si="250"/>
        <v>#DIV/0!</v>
      </c>
      <c r="Y209" s="30" t="e">
        <f ca="1" t="shared" si="251"/>
        <v>#DIV/0!</v>
      </c>
      <c r="Z209" s="30" t="e">
        <f ca="1" t="shared" si="252"/>
        <v>#DIV/0!</v>
      </c>
      <c r="AA209" s="30" t="e">
        <f ca="1" t="shared" si="253"/>
        <v>#DIV/0!</v>
      </c>
      <c r="AB209" s="30"/>
    </row>
    <row r="210" customHeight="1" outlineLevel="2" spans="1:28">
      <c r="A210" s="512" t="s">
        <v>2719</v>
      </c>
      <c r="B210" s="30"/>
      <c r="C210" s="513" t="s">
        <v>1310</v>
      </c>
      <c r="D210" s="30" t="s">
        <v>717</v>
      </c>
      <c r="E210" s="30"/>
      <c r="F210" s="30" t="s">
        <v>82</v>
      </c>
      <c r="G210" s="30"/>
      <c r="H210" s="30"/>
      <c r="I210" s="30"/>
      <c r="J210" s="30">
        <f t="shared" ref="J210:L210" si="255">+G210</f>
        <v>0</v>
      </c>
      <c r="K210" s="30">
        <f t="shared" si="255"/>
        <v>0</v>
      </c>
      <c r="L210" s="526">
        <f t="shared" si="255"/>
        <v>0</v>
      </c>
      <c r="M210" s="30">
        <v>19837</v>
      </c>
      <c r="N210" s="30">
        <f ca="1">O210/M210</f>
        <v>10</v>
      </c>
      <c r="O210" s="30">
        <f ca="1">(+O211)</f>
        <v>198370</v>
      </c>
      <c r="P210" s="30"/>
      <c r="Q210" s="30"/>
      <c r="R210" s="30">
        <f>+P210+J210</f>
        <v>0</v>
      </c>
      <c r="S210" s="30">
        <f>+Q210+L210</f>
        <v>0</v>
      </c>
      <c r="T210" s="30">
        <f>IFERROR(VLOOKUP(A210,产值统计中间表!A:F,7,FALSE),0)</f>
        <v>0</v>
      </c>
      <c r="U210" s="30">
        <f>+T210*H210</f>
        <v>0</v>
      </c>
      <c r="V210" s="30">
        <f>IFERROR(VLOOKUP(A210,产值统计中间表!A:D,4,FALSE),0)</f>
        <v>0</v>
      </c>
      <c r="W210" s="30">
        <f>+V210*H210</f>
        <v>0</v>
      </c>
      <c r="X210" s="30">
        <f>+R210-V210</f>
        <v>0</v>
      </c>
      <c r="Y210" s="30">
        <f>+S210-W210</f>
        <v>0</v>
      </c>
      <c r="Z210" s="30">
        <f>IFERROR(VLOOKUP(A210,业主统计中间表!A:D,4,FALSE),0)</f>
        <v>0</v>
      </c>
      <c r="AA210" s="30">
        <f>+Z210*H210</f>
        <v>0</v>
      </c>
      <c r="AB210" s="30"/>
    </row>
    <row r="211" customHeight="1" outlineLevel="3" spans="1:28">
      <c r="A211" s="514" t="s">
        <v>2720</v>
      </c>
      <c r="B211" s="30"/>
      <c r="C211" s="513" t="s">
        <v>65</v>
      </c>
      <c r="D211" s="30" t="s">
        <v>717</v>
      </c>
      <c r="E211" s="30"/>
      <c r="F211" s="30" t="str">
        <f ca="1" t="shared" ref="F211:F218" si="256">VLOOKUP($D211,INDIRECT($C211),2,0)</f>
        <v>t</v>
      </c>
      <c r="G211" s="30"/>
      <c r="H211" s="30"/>
      <c r="I211" s="30"/>
      <c r="J211" s="30"/>
      <c r="K211" s="30"/>
      <c r="L211" s="526"/>
      <c r="M211" s="30">
        <v>19837</v>
      </c>
      <c r="N211" s="30">
        <f ca="1" t="shared" ref="N211:N218" si="257">VLOOKUP($D211,INDIRECT($C211),3,0)</f>
        <v>10</v>
      </c>
      <c r="O211" s="30">
        <f ca="1">M211*N211</f>
        <v>198370</v>
      </c>
      <c r="P211" s="30"/>
      <c r="Q211" s="30"/>
      <c r="R211" s="30"/>
      <c r="S211" s="30"/>
      <c r="T211" s="30" t="e">
        <f ca="1" t="shared" ref="T211:T218" si="258">OFFSET(T211,-RIGHT($A211,LEN($A$6)),,1,1)/OFFSET(T211,-RIGHT($A211,LEN($A$6)),-13,1,1)*$M211</f>
        <v>#DIV/0!</v>
      </c>
      <c r="U211" s="30" t="e">
        <f ca="1" t="shared" ref="U211:U218" si="259">+$N211*T211</f>
        <v>#DIV/0!</v>
      </c>
      <c r="V211" s="30" t="e">
        <f ca="1" t="shared" ref="V211:V218" si="260">OFFSET(V211,-RIGHT($A211,LEN($A$6)),,1,1)/OFFSET(V211,-RIGHT($A211,LEN($A$6)),-15,1,1)*$M211</f>
        <v>#DIV/0!</v>
      </c>
      <c r="W211" s="30" t="e">
        <f ca="1" t="shared" ref="W211:W218" si="261">+$N211*V211</f>
        <v>#DIV/0!</v>
      </c>
      <c r="X211" s="30" t="e">
        <f ca="1" t="shared" ref="X211:X218" si="262">+M211-V211</f>
        <v>#DIV/0!</v>
      </c>
      <c r="Y211" s="30" t="e">
        <f ca="1" t="shared" ref="Y211:Y218" si="263">+O211-W211</f>
        <v>#DIV/0!</v>
      </c>
      <c r="Z211" s="30" t="e">
        <f ca="1" t="shared" ref="Z211:Z218" si="264">OFFSET(Z211,-RIGHT($A211,LEN($A$6)),,1,1)/OFFSET(Z211,-RIGHT($A211,LEN($A$6)),-19,1,1)*$M211</f>
        <v>#DIV/0!</v>
      </c>
      <c r="AA211" s="30" t="e">
        <f ca="1" t="shared" ref="AA211:AA218" si="265">+$N211*Z211</f>
        <v>#DIV/0!</v>
      </c>
      <c r="AB211" s="30"/>
    </row>
    <row r="212" customHeight="1" outlineLevel="1" spans="1:28">
      <c r="A212" s="515" t="s">
        <v>2721</v>
      </c>
      <c r="B212" s="30"/>
      <c r="C212" s="513" t="s">
        <v>60</v>
      </c>
      <c r="D212" s="30" t="s">
        <v>2709</v>
      </c>
      <c r="E212" s="30" t="s">
        <v>1387</v>
      </c>
      <c r="F212" s="30" t="s">
        <v>195</v>
      </c>
      <c r="G212" s="30">
        <v>1</v>
      </c>
      <c r="H212" s="30">
        <v>283955.1743</v>
      </c>
      <c r="I212" s="30">
        <f>(+I213)</f>
        <v>283955.1743</v>
      </c>
      <c r="J212" s="30"/>
      <c r="K212" s="30"/>
      <c r="L212" s="526">
        <f>(+L213)</f>
        <v>283955.1743</v>
      </c>
      <c r="M212" s="30">
        <v>1</v>
      </c>
      <c r="N212" s="30">
        <f ca="1">O212/M212</f>
        <v>19829.59948</v>
      </c>
      <c r="O212" s="30">
        <f ca="1">(+O213)</f>
        <v>19829.59948</v>
      </c>
      <c r="P212" s="30"/>
      <c r="Q212" s="30"/>
      <c r="R212" s="30"/>
      <c r="S212" s="30"/>
      <c r="T212" s="30"/>
      <c r="U212" s="30"/>
      <c r="V212" s="30"/>
      <c r="W212" s="30"/>
      <c r="X212" s="30"/>
      <c r="Y212" s="30"/>
      <c r="Z212" s="30"/>
      <c r="AA212" s="30"/>
      <c r="AB212" s="30"/>
    </row>
    <row r="213" customHeight="1" outlineLevel="2" spans="1:28">
      <c r="A213" s="512" t="s">
        <v>2722</v>
      </c>
      <c r="B213" s="30"/>
      <c r="C213" s="513" t="s">
        <v>1310</v>
      </c>
      <c r="D213" s="30" t="s">
        <v>1379</v>
      </c>
      <c r="E213" s="30"/>
      <c r="F213" s="30"/>
      <c r="G213" s="30"/>
      <c r="H213" s="30"/>
      <c r="I213" s="30">
        <v>283955.1743</v>
      </c>
      <c r="J213" s="30">
        <f t="shared" ref="J213:L213" si="266">+G213</f>
        <v>0</v>
      </c>
      <c r="K213" s="30">
        <f t="shared" si="266"/>
        <v>0</v>
      </c>
      <c r="L213" s="526">
        <f t="shared" si="266"/>
        <v>283955.1743</v>
      </c>
      <c r="M213" s="30"/>
      <c r="N213" s="30"/>
      <c r="O213" s="30">
        <f ca="1">(+O214+O215+O216+O217+O218)</f>
        <v>19829.59948</v>
      </c>
      <c r="P213" s="30"/>
      <c r="Q213" s="30"/>
      <c r="R213" s="30">
        <f>+P213+J213</f>
        <v>0</v>
      </c>
      <c r="S213" s="30">
        <f>+Q213+L213</f>
        <v>283955.1743</v>
      </c>
      <c r="T213" s="30">
        <f>IFERROR(VLOOKUP(A213,产值统计中间表!A:F,7,FALSE),0)</f>
        <v>0</v>
      </c>
      <c r="U213" s="30">
        <f>+T213*H213</f>
        <v>0</v>
      </c>
      <c r="V213" s="30">
        <f>IFERROR(VLOOKUP(A213,产值统计中间表!A:D,4,FALSE),0)</f>
        <v>0</v>
      </c>
      <c r="W213" s="30">
        <f>+V213*H213</f>
        <v>0</v>
      </c>
      <c r="X213" s="30">
        <f>+R213-V213</f>
        <v>0</v>
      </c>
      <c r="Y213" s="30">
        <f>+S213-W213</f>
        <v>283955.1743</v>
      </c>
      <c r="Z213" s="30">
        <f>IFERROR(VLOOKUP(A213,业主统计中间表!A:D,4,FALSE),0)</f>
        <v>0</v>
      </c>
      <c r="AA213" s="30">
        <f>+Z213*H213</f>
        <v>0</v>
      </c>
      <c r="AB213" s="30"/>
    </row>
    <row r="214" customHeight="1" outlineLevel="3" spans="1:28">
      <c r="A214" s="514" t="s">
        <v>2723</v>
      </c>
      <c r="B214" s="30"/>
      <c r="C214" s="513" t="s">
        <v>63</v>
      </c>
      <c r="D214" s="30" t="s">
        <v>1207</v>
      </c>
      <c r="E214" s="30"/>
      <c r="F214" s="30" t="str">
        <f ca="1" t="shared" si="256"/>
        <v>m3</v>
      </c>
      <c r="G214" s="30"/>
      <c r="H214" s="30"/>
      <c r="I214" s="30"/>
      <c r="J214" s="30"/>
      <c r="K214" s="30"/>
      <c r="L214" s="526"/>
      <c r="M214" s="30">
        <v>335.2204</v>
      </c>
      <c r="N214" s="30">
        <f ca="1" t="shared" si="257"/>
        <v>28</v>
      </c>
      <c r="O214" s="30">
        <f ca="1">M214*N214</f>
        <v>9386.1712</v>
      </c>
      <c r="P214" s="30"/>
      <c r="Q214" s="30"/>
      <c r="R214" s="30"/>
      <c r="S214" s="30"/>
      <c r="T214" s="30" t="e">
        <f ca="1" t="shared" si="258"/>
        <v>#DIV/0!</v>
      </c>
      <c r="U214" s="30" t="e">
        <f ca="1" t="shared" si="259"/>
        <v>#DIV/0!</v>
      </c>
      <c r="V214" s="30" t="e">
        <f ca="1" t="shared" si="260"/>
        <v>#DIV/0!</v>
      </c>
      <c r="W214" s="30" t="e">
        <f ca="1" t="shared" si="261"/>
        <v>#DIV/0!</v>
      </c>
      <c r="X214" s="30" t="e">
        <f ca="1" t="shared" si="262"/>
        <v>#DIV/0!</v>
      </c>
      <c r="Y214" s="30" t="e">
        <f ca="1" t="shared" si="263"/>
        <v>#DIV/0!</v>
      </c>
      <c r="Z214" s="30" t="e">
        <f ca="1" t="shared" si="264"/>
        <v>#DIV/0!</v>
      </c>
      <c r="AA214" s="30" t="e">
        <f ca="1" t="shared" si="265"/>
        <v>#DIV/0!</v>
      </c>
      <c r="AB214" s="30"/>
    </row>
    <row r="215" customHeight="1" outlineLevel="3" spans="1:28">
      <c r="A215" s="514" t="s">
        <v>2724</v>
      </c>
      <c r="B215" s="30"/>
      <c r="C215" s="513" t="s">
        <v>63</v>
      </c>
      <c r="D215" s="30" t="s">
        <v>1211</v>
      </c>
      <c r="E215" s="30" t="s">
        <v>1376</v>
      </c>
      <c r="F215" s="30" t="str">
        <f ca="1" t="shared" si="256"/>
        <v>m3</v>
      </c>
      <c r="G215" s="30"/>
      <c r="H215" s="30"/>
      <c r="I215" s="30"/>
      <c r="J215" s="30"/>
      <c r="K215" s="30"/>
      <c r="L215" s="526"/>
      <c r="M215" s="30">
        <v>68.6596</v>
      </c>
      <c r="N215" s="30">
        <f ca="1" t="shared" si="257"/>
        <v>24.3</v>
      </c>
      <c r="O215" s="30">
        <f ca="1">M215*N215</f>
        <v>1668.42828</v>
      </c>
      <c r="P215" s="30"/>
      <c r="Q215" s="30"/>
      <c r="R215" s="30"/>
      <c r="S215" s="30"/>
      <c r="T215" s="30" t="e">
        <f ca="1" t="shared" si="258"/>
        <v>#DIV/0!</v>
      </c>
      <c r="U215" s="30" t="e">
        <f ca="1" t="shared" si="259"/>
        <v>#DIV/0!</v>
      </c>
      <c r="V215" s="30" t="e">
        <f ca="1" t="shared" si="260"/>
        <v>#DIV/0!</v>
      </c>
      <c r="W215" s="30" t="e">
        <f ca="1" t="shared" si="261"/>
        <v>#DIV/0!</v>
      </c>
      <c r="X215" s="30" t="e">
        <f ca="1" t="shared" si="262"/>
        <v>#DIV/0!</v>
      </c>
      <c r="Y215" s="30" t="e">
        <f ca="1" t="shared" si="263"/>
        <v>#DIV/0!</v>
      </c>
      <c r="Z215" s="30" t="e">
        <f ca="1" t="shared" si="264"/>
        <v>#DIV/0!</v>
      </c>
      <c r="AA215" s="30" t="e">
        <f ca="1" t="shared" si="265"/>
        <v>#DIV/0!</v>
      </c>
      <c r="AB215" s="30"/>
    </row>
    <row r="216" customHeight="1" outlineLevel="3" spans="1:28">
      <c r="A216" s="514" t="s">
        <v>2725</v>
      </c>
      <c r="B216" s="30"/>
      <c r="C216" s="513" t="s">
        <v>59</v>
      </c>
      <c r="D216" s="30" t="s">
        <v>1175</v>
      </c>
      <c r="E216" s="30"/>
      <c r="F216" s="30" t="str">
        <f ca="1" t="shared" si="256"/>
        <v>t</v>
      </c>
      <c r="G216" s="30"/>
      <c r="H216" s="30"/>
      <c r="I216" s="30"/>
      <c r="J216" s="30"/>
      <c r="K216" s="30"/>
      <c r="L216" s="526"/>
      <c r="M216" s="30">
        <v>36</v>
      </c>
      <c r="N216" s="30">
        <f ca="1" t="shared" si="257"/>
        <v>0</v>
      </c>
      <c r="O216" s="30">
        <f ca="1">M216*N216</f>
        <v>0</v>
      </c>
      <c r="P216" s="30"/>
      <c r="Q216" s="30"/>
      <c r="R216" s="30"/>
      <c r="S216" s="30"/>
      <c r="T216" s="30" t="e">
        <f ca="1" t="shared" si="258"/>
        <v>#DIV/0!</v>
      </c>
      <c r="U216" s="30" t="e">
        <f ca="1" t="shared" si="259"/>
        <v>#DIV/0!</v>
      </c>
      <c r="V216" s="30" t="e">
        <f ca="1" t="shared" si="260"/>
        <v>#DIV/0!</v>
      </c>
      <c r="W216" s="30" t="e">
        <f ca="1" t="shared" si="261"/>
        <v>#DIV/0!</v>
      </c>
      <c r="X216" s="30" t="e">
        <f ca="1" t="shared" si="262"/>
        <v>#DIV/0!</v>
      </c>
      <c r="Y216" s="30" t="e">
        <f ca="1" t="shared" si="263"/>
        <v>#DIV/0!</v>
      </c>
      <c r="Z216" s="30" t="e">
        <f ca="1" t="shared" si="264"/>
        <v>#DIV/0!</v>
      </c>
      <c r="AA216" s="30" t="e">
        <f ca="1" t="shared" si="265"/>
        <v>#DIV/0!</v>
      </c>
      <c r="AB216" s="30"/>
    </row>
    <row r="217" customHeight="1" outlineLevel="3" spans="1:28">
      <c r="A217" s="514" t="s">
        <v>2726</v>
      </c>
      <c r="B217" s="30"/>
      <c r="C217" s="513" t="s">
        <v>63</v>
      </c>
      <c r="D217" s="30" t="s">
        <v>345</v>
      </c>
      <c r="E217" s="30" t="s">
        <v>1376</v>
      </c>
      <c r="F217" s="30" t="str">
        <f ca="1" t="shared" si="256"/>
        <v>m3</v>
      </c>
      <c r="G217" s="30"/>
      <c r="H217" s="30"/>
      <c r="I217" s="30"/>
      <c r="J217" s="30"/>
      <c r="K217" s="30"/>
      <c r="L217" s="526"/>
      <c r="M217" s="30">
        <v>1710</v>
      </c>
      <c r="N217" s="30">
        <f ca="1" t="shared" si="257"/>
        <v>5</v>
      </c>
      <c r="O217" s="30">
        <f ca="1">M217*N217</f>
        <v>8550</v>
      </c>
      <c r="P217" s="30"/>
      <c r="Q217" s="30"/>
      <c r="R217" s="30"/>
      <c r="S217" s="30"/>
      <c r="T217" s="30" t="e">
        <f ca="1" t="shared" si="258"/>
        <v>#DIV/0!</v>
      </c>
      <c r="U217" s="30" t="e">
        <f ca="1" t="shared" si="259"/>
        <v>#DIV/0!</v>
      </c>
      <c r="V217" s="30" t="e">
        <f ca="1" t="shared" si="260"/>
        <v>#DIV/0!</v>
      </c>
      <c r="W217" s="30" t="e">
        <f ca="1" t="shared" si="261"/>
        <v>#DIV/0!</v>
      </c>
      <c r="X217" s="30" t="e">
        <f ca="1" t="shared" si="262"/>
        <v>#DIV/0!</v>
      </c>
      <c r="Y217" s="30" t="e">
        <f ca="1" t="shared" si="263"/>
        <v>#DIV/0!</v>
      </c>
      <c r="Z217" s="30" t="e">
        <f ca="1" t="shared" si="264"/>
        <v>#DIV/0!</v>
      </c>
      <c r="AA217" s="30" t="e">
        <f ca="1" t="shared" si="265"/>
        <v>#DIV/0!</v>
      </c>
      <c r="AB217" s="30"/>
    </row>
    <row r="218" customHeight="1" outlineLevel="3" spans="1:28">
      <c r="A218" s="514" t="s">
        <v>2727</v>
      </c>
      <c r="B218" s="30"/>
      <c r="C218" s="513" t="s">
        <v>63</v>
      </c>
      <c r="D218" s="30" t="s">
        <v>345</v>
      </c>
      <c r="E218" s="30" t="s">
        <v>1376</v>
      </c>
      <c r="F218" s="30" t="str">
        <f ca="1" t="shared" si="256"/>
        <v>m3</v>
      </c>
      <c r="G218" s="30"/>
      <c r="H218" s="30"/>
      <c r="I218" s="30"/>
      <c r="J218" s="30"/>
      <c r="K218" s="30"/>
      <c r="L218" s="526"/>
      <c r="M218" s="30">
        <v>45</v>
      </c>
      <c r="N218" s="30">
        <f ca="1" t="shared" si="257"/>
        <v>5</v>
      </c>
      <c r="O218" s="30">
        <f ca="1">M218*N218</f>
        <v>225</v>
      </c>
      <c r="P218" s="30"/>
      <c r="Q218" s="30"/>
      <c r="R218" s="30"/>
      <c r="S218" s="30"/>
      <c r="T218" s="30" t="e">
        <f ca="1" t="shared" si="258"/>
        <v>#DIV/0!</v>
      </c>
      <c r="U218" s="30" t="e">
        <f ca="1" t="shared" si="259"/>
        <v>#DIV/0!</v>
      </c>
      <c r="V218" s="30" t="e">
        <f ca="1" t="shared" si="260"/>
        <v>#DIV/0!</v>
      </c>
      <c r="W218" s="30" t="e">
        <f ca="1" t="shared" si="261"/>
        <v>#DIV/0!</v>
      </c>
      <c r="X218" s="30" t="e">
        <f ca="1" t="shared" si="262"/>
        <v>#DIV/0!</v>
      </c>
      <c r="Y218" s="30" t="e">
        <f ca="1" t="shared" si="263"/>
        <v>#DIV/0!</v>
      </c>
      <c r="Z218" s="30" t="e">
        <f ca="1" t="shared" si="264"/>
        <v>#DIV/0!</v>
      </c>
      <c r="AA218" s="30" t="e">
        <f ca="1" t="shared" si="265"/>
        <v>#DIV/0!</v>
      </c>
      <c r="AB218" s="30"/>
    </row>
    <row r="219" customHeight="1" spans="1:28">
      <c r="A219" s="30" t="s">
        <v>1393</v>
      </c>
      <c r="B219" s="30"/>
      <c r="C219" s="513" t="s">
        <v>1306</v>
      </c>
      <c r="D219" s="30" t="s">
        <v>2728</v>
      </c>
      <c r="E219" s="30"/>
      <c r="F219" s="30" t="s">
        <v>195</v>
      </c>
      <c r="G219" s="30">
        <v>1</v>
      </c>
      <c r="H219" s="30"/>
      <c r="I219" s="30">
        <v>11745150.44</v>
      </c>
      <c r="J219" s="30"/>
      <c r="K219" s="30"/>
      <c r="L219" s="526">
        <v>0</v>
      </c>
      <c r="M219" s="30"/>
      <c r="N219" s="30"/>
      <c r="O219" s="30">
        <v>0</v>
      </c>
      <c r="P219" s="30"/>
      <c r="Q219" s="30"/>
      <c r="R219" s="30"/>
      <c r="S219" s="30"/>
      <c r="T219" s="30"/>
      <c r="U219" s="30"/>
      <c r="V219" s="30"/>
      <c r="W219" s="30"/>
      <c r="X219" s="30"/>
      <c r="Y219" s="30"/>
      <c r="Z219" s="30"/>
      <c r="AA219" s="30"/>
      <c r="AB219" s="30"/>
    </row>
    <row r="220" customHeight="1" spans="1:28">
      <c r="A220" s="30" t="s">
        <v>1395</v>
      </c>
      <c r="B220" s="30"/>
      <c r="C220" s="513" t="s">
        <v>1306</v>
      </c>
      <c r="D220" s="30" t="s">
        <v>2729</v>
      </c>
      <c r="E220" s="30"/>
      <c r="F220" s="30" t="s">
        <v>195</v>
      </c>
      <c r="G220" s="30">
        <v>1</v>
      </c>
      <c r="H220" s="30"/>
      <c r="I220" s="30"/>
      <c r="J220" s="30"/>
      <c r="K220" s="30"/>
      <c r="L220" s="526"/>
      <c r="M220" s="30"/>
      <c r="N220" s="30"/>
      <c r="O220" s="30">
        <v>0</v>
      </c>
      <c r="P220" s="30"/>
      <c r="Q220" s="30"/>
      <c r="R220" s="30"/>
      <c r="S220" s="30"/>
      <c r="T220" s="30"/>
      <c r="U220" s="30"/>
      <c r="V220" s="30"/>
      <c r="W220" s="30"/>
      <c r="X220" s="30"/>
      <c r="Y220" s="30"/>
      <c r="Z220" s="30"/>
      <c r="AA220" s="30"/>
      <c r="AB220" s="30"/>
    </row>
    <row r="221" customHeight="1" spans="1:28">
      <c r="A221" s="30" t="s">
        <v>2730</v>
      </c>
      <c r="B221" s="30"/>
      <c r="C221" s="513" t="s">
        <v>1306</v>
      </c>
      <c r="D221" s="30" t="s">
        <v>1394</v>
      </c>
      <c r="E221" s="30" t="s">
        <v>2731</v>
      </c>
      <c r="F221" s="30"/>
      <c r="G221" s="30"/>
      <c r="H221" s="30"/>
      <c r="I221" s="30">
        <v>0</v>
      </c>
      <c r="J221" s="30"/>
      <c r="K221" s="30"/>
      <c r="L221" s="526"/>
      <c r="M221" s="30"/>
      <c r="N221" s="30"/>
      <c r="O221" s="30">
        <v>0</v>
      </c>
      <c r="P221" s="30"/>
      <c r="Q221" s="30"/>
      <c r="R221" s="30"/>
      <c r="S221" s="30"/>
      <c r="T221" s="30"/>
      <c r="U221" s="30"/>
      <c r="V221" s="30"/>
      <c r="W221" s="30"/>
      <c r="X221" s="30"/>
      <c r="Y221" s="30"/>
      <c r="Z221" s="30"/>
      <c r="AA221" s="30"/>
      <c r="AB221" s="30"/>
    </row>
    <row r="222" customHeight="1" spans="1:28">
      <c r="A222" s="30" t="s">
        <v>2732</v>
      </c>
      <c r="B222" s="30"/>
      <c r="C222" s="513" t="s">
        <v>1306</v>
      </c>
      <c r="D222" s="30" t="s">
        <v>1286</v>
      </c>
      <c r="E222" s="30"/>
      <c r="F222" s="30"/>
      <c r="G222" s="30"/>
      <c r="H222" s="30"/>
      <c r="I222" s="30">
        <f>(I199+I195+I6)*0.09</f>
        <v>2291271.31622535</v>
      </c>
      <c r="J222" s="30"/>
      <c r="K222" s="30"/>
      <c r="L222" s="526">
        <v>0</v>
      </c>
      <c r="M222" s="30"/>
      <c r="N222" s="30"/>
      <c r="O222" s="30">
        <v>0</v>
      </c>
      <c r="P222" s="30"/>
      <c r="Q222" s="30"/>
      <c r="R222" s="30"/>
      <c r="S222" s="30"/>
      <c r="T222" s="30"/>
      <c r="U222" s="30"/>
      <c r="V222" s="30"/>
      <c r="W222" s="30"/>
      <c r="X222" s="30"/>
      <c r="Y222" s="30"/>
      <c r="Z222" s="30"/>
      <c r="AA222" s="30"/>
      <c r="AB222" s="30"/>
    </row>
  </sheetData>
  <sheetProtection formatCells="0" formatColumns="0" formatRows="0" insertRows="0" deleteRows="0" autoFilter="0"/>
  <autoFilter ref="A4:P222">
    <extLst/>
  </autoFilter>
  <conditionalFormatting sqref="V9">
    <cfRule type="expression" dxfId="53" priority="2">
      <formula>$C9="单位"</formula>
    </cfRule>
    <cfRule type="expression" dxfId="52" priority="1">
      <formula>$C9="分项"</formula>
    </cfRule>
  </conditionalFormatting>
  <conditionalFormatting sqref="A6:AB8 A9:U9 W9:AB9 A10:AB222">
    <cfRule type="expression" dxfId="52" priority="3">
      <formula>$C6="分项"</formula>
    </cfRule>
    <cfRule type="expression" dxfId="53" priority="4">
      <formula>$C6="单位"</formula>
    </cfRule>
  </conditionalFormatting>
  <dataValidations count="2">
    <dataValidation type="list" allowBlank="1" showInputMessage="1" showErrorMessage="1" sqref="D68 D70 D85 D87 D89 D91 D94 D97 D100 D102 D118 D120 D123 D125 D143 D157 D170 D172 D181 D192 D194 D211 D9:D17 D19:D24 D26:D46 D49:D57 D59:D65 D73:D74 D76:D77 D79:D82 D105:D108 D110:D115 D128:D134 D136:D141 D146:D155 D160:D168 D175:D179 D184:D186 D188:D189 D203:D209 D214:D218">
      <formula1>INDIRECT(C9&amp;"下拉")</formula1>
    </dataValidation>
    <dataValidation type="list" allowBlank="1" showInputMessage="1" showErrorMessage="1" sqref="C6:C222">
      <formula1>"单项,单位,分项,人工,材料,机械,分包,其它"</formula1>
    </dataValidation>
  </dataValidations>
  <pageMargins left="0.55" right="0.354166666666667" top="0.393055555555556" bottom="0.393055555555556" header="0.511805555555556" footer="0.511805555555556"/>
  <pageSetup paperSize="9" orientation="landscape" horizontalDpi="300" verticalDpi="300"/>
  <headerFooter alignWithMargins="0"/>
  <drawing r:id="rId1"/>
  <legacyDrawing r:id="rId2"/>
  <controls>
    <mc:AlternateContent xmlns:mc="http://schemas.openxmlformats.org/markup-compatibility/2006">
      <mc:Choice Requires="x14">
        <control shapeId="24577" r:id="rId3" name="产值表">
          <controlPr defaultSize="0" r:id="rId4">
            <anchor moveWithCells="1">
              <from>
                <xdr:col>0</xdr:col>
                <xdr:colOff>28575</xdr:colOff>
                <xdr:row>0</xdr:row>
                <xdr:rowOff>47625</xdr:rowOff>
              </from>
              <to>
                <xdr:col>0</xdr:col>
                <xdr:colOff>1504950</xdr:colOff>
                <xdr:row>1</xdr:row>
                <xdr:rowOff>28575</xdr:rowOff>
              </to>
            </anchor>
          </controlPr>
        </control>
      </mc:Choice>
      <mc:Fallback>
        <control shapeId="24577" r:id="rId3" name="产值表"/>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FF0000"/>
    <outlinePr summaryBelow="0" summaryRight="0"/>
  </sheetPr>
  <dimension ref="A1:AB227"/>
  <sheetViews>
    <sheetView zoomScale="85" zoomScaleNormal="85" workbookViewId="0">
      <pane xSplit="12" ySplit="6" topLeftCell="R47" activePane="bottomRight" state="frozen"/>
      <selection/>
      <selection pane="topRight"/>
      <selection pane="bottomLeft"/>
      <selection pane="bottomRight" activeCell="L43" sqref="L43"/>
    </sheetView>
  </sheetViews>
  <sheetFormatPr defaultColWidth="8.875" defaultRowHeight="15.75"/>
  <cols>
    <col min="1" max="1" width="5.375" style="27" customWidth="1"/>
    <col min="2" max="2" width="16.875" style="27" customWidth="1"/>
    <col min="3" max="3" width="9" style="27" hidden="1" customWidth="1"/>
    <col min="4" max="4" width="5.875" style="27" hidden="1" customWidth="1"/>
    <col min="5" max="5" width="7.125" style="27" hidden="1" customWidth="1"/>
    <col min="6" max="6" width="14" style="266" customWidth="1"/>
    <col min="7" max="7" width="12.625" style="27" customWidth="1"/>
    <col min="8" max="8" width="15" style="27" customWidth="1"/>
    <col min="9" max="9" width="10.5" style="27" customWidth="1"/>
    <col min="10" max="10" width="11.625" style="27" customWidth="1"/>
    <col min="11" max="11" width="18.25" style="27" customWidth="1"/>
    <col min="12" max="12" width="26.625" style="27" customWidth="1"/>
    <col min="13" max="13" width="7.25" style="27" customWidth="1"/>
    <col min="14" max="14" width="12.25" style="27" customWidth="1"/>
    <col min="15" max="15" width="12.625" style="27" customWidth="1"/>
    <col min="16" max="17" width="11.625" style="27" customWidth="1"/>
    <col min="18" max="18" width="13.875" style="27" customWidth="1"/>
    <col min="19" max="19" width="7.875" style="27" customWidth="1"/>
    <col min="20" max="20" width="11.625" style="27" customWidth="1"/>
    <col min="21" max="21" width="13" style="27" customWidth="1"/>
    <col min="22" max="22" width="9" style="27" hidden="1" customWidth="1"/>
    <col min="23" max="23" width="5.875" style="27" hidden="1" customWidth="1"/>
    <col min="24" max="24" width="11.375" style="27" hidden="1" customWidth="1"/>
    <col min="25" max="25" width="6.125" style="27" customWidth="1"/>
    <col min="26" max="26" width="12.875" style="27" customWidth="1" outlineLevel="1"/>
    <col min="27" max="28" width="9.375" style="27" customWidth="1" outlineLevel="1"/>
    <col min="29" max="16384" width="8.875" style="27"/>
  </cols>
  <sheetData>
    <row r="1" ht="25.15" customHeight="1" spans="2:28">
      <c r="B1" s="345"/>
      <c r="C1" s="345"/>
      <c r="D1" s="345"/>
      <c r="E1" s="345"/>
      <c r="F1" s="346"/>
      <c r="G1" s="345"/>
      <c r="H1" s="345"/>
      <c r="I1" s="345"/>
      <c r="J1" s="345"/>
      <c r="K1" s="345"/>
      <c r="L1" s="390" t="s">
        <v>2733</v>
      </c>
      <c r="M1" s="345"/>
      <c r="N1" s="345"/>
      <c r="O1" s="345"/>
      <c r="P1" s="345"/>
      <c r="Q1" s="345"/>
      <c r="R1" s="345"/>
      <c r="S1" s="345"/>
      <c r="T1" s="439"/>
      <c r="U1" s="345"/>
      <c r="V1" s="345"/>
      <c r="W1" s="345"/>
      <c r="X1" s="345"/>
      <c r="Y1" s="345"/>
      <c r="Z1" s="345"/>
      <c r="AA1" s="345"/>
      <c r="AB1" s="345"/>
    </row>
    <row r="2" ht="24" spans="1:26">
      <c r="A2" s="347"/>
      <c r="B2" s="348"/>
      <c r="C2" s="348"/>
      <c r="D2" s="348"/>
      <c r="E2" s="348"/>
      <c r="F2" s="349"/>
      <c r="G2" s="348"/>
      <c r="H2" s="350"/>
      <c r="I2" s="350"/>
      <c r="J2" s="350"/>
      <c r="K2" s="391"/>
      <c r="L2" s="348"/>
      <c r="P2" s="392"/>
      <c r="Q2" s="440"/>
      <c r="R2" s="440"/>
      <c r="S2" s="440"/>
      <c r="T2" s="441"/>
      <c r="U2" s="392" t="s">
        <v>2734</v>
      </c>
      <c r="V2" s="440"/>
      <c r="Z2" s="464" t="s">
        <v>2735</v>
      </c>
    </row>
    <row r="3" ht="21" customHeight="1" spans="1:28">
      <c r="A3" s="351" t="s">
        <v>2736</v>
      </c>
      <c r="B3" s="352"/>
      <c r="C3" s="352"/>
      <c r="D3" s="352"/>
      <c r="E3" s="352"/>
      <c r="F3" s="353"/>
      <c r="G3" s="352"/>
      <c r="H3" s="352"/>
      <c r="I3" s="352"/>
      <c r="J3" s="352"/>
      <c r="K3" s="352"/>
      <c r="L3" s="352"/>
      <c r="M3" s="352"/>
      <c r="N3" s="352"/>
      <c r="O3" s="393"/>
      <c r="P3" s="394" t="s">
        <v>2737</v>
      </c>
      <c r="Q3" s="394"/>
      <c r="R3" s="394"/>
      <c r="S3" s="394"/>
      <c r="T3" s="442" t="s">
        <v>2738</v>
      </c>
      <c r="U3" s="442"/>
      <c r="V3" s="394" t="s">
        <v>2739</v>
      </c>
      <c r="W3" s="394"/>
      <c r="X3" s="394"/>
      <c r="Y3" s="465" t="s">
        <v>2740</v>
      </c>
      <c r="Z3" s="465" t="s">
        <v>2741</v>
      </c>
      <c r="AA3" s="465"/>
      <c r="AB3" s="465"/>
    </row>
    <row r="4" ht="17.1" customHeight="1" spans="1:28">
      <c r="A4" s="354"/>
      <c r="B4" s="355"/>
      <c r="C4" s="355"/>
      <c r="D4" s="355"/>
      <c r="E4" s="355"/>
      <c r="F4" s="356"/>
      <c r="G4" s="355"/>
      <c r="H4" s="355"/>
      <c r="I4" s="355"/>
      <c r="J4" s="355"/>
      <c r="K4" s="355"/>
      <c r="L4" s="355"/>
      <c r="M4" s="355"/>
      <c r="N4" s="355"/>
      <c r="O4" s="395"/>
      <c r="P4" s="396"/>
      <c r="Q4" s="396"/>
      <c r="R4" s="396"/>
      <c r="S4" s="396"/>
      <c r="T4" s="443"/>
      <c r="U4" s="443"/>
      <c r="V4" s="396"/>
      <c r="W4" s="396"/>
      <c r="X4" s="396"/>
      <c r="Y4" s="466"/>
      <c r="Z4" s="466"/>
      <c r="AA4" s="467">
        <v>45536</v>
      </c>
      <c r="AB4" s="396"/>
    </row>
    <row r="5" ht="33" customHeight="1" spans="1:28">
      <c r="A5" s="357" t="s">
        <v>1254</v>
      </c>
      <c r="B5" s="358" t="s">
        <v>2742</v>
      </c>
      <c r="C5" s="358" t="s">
        <v>2743</v>
      </c>
      <c r="D5" s="358" t="s">
        <v>2744</v>
      </c>
      <c r="E5" s="358" t="s">
        <v>2745</v>
      </c>
      <c r="F5" s="358" t="s">
        <v>2746</v>
      </c>
      <c r="G5" s="358" t="s">
        <v>2736</v>
      </c>
      <c r="H5" s="358" t="s">
        <v>2747</v>
      </c>
      <c r="I5" s="358" t="s">
        <v>2748</v>
      </c>
      <c r="J5" s="358" t="s">
        <v>2749</v>
      </c>
      <c r="K5" s="397" t="s">
        <v>2750</v>
      </c>
      <c r="L5" s="358" t="s">
        <v>2751</v>
      </c>
      <c r="M5" s="358" t="s">
        <v>60</v>
      </c>
      <c r="N5" s="398" t="s">
        <v>2752</v>
      </c>
      <c r="O5" s="358" t="s">
        <v>2753</v>
      </c>
      <c r="P5" s="358" t="s">
        <v>2450</v>
      </c>
      <c r="Q5" s="444" t="s">
        <v>2754</v>
      </c>
      <c r="R5" s="358" t="s">
        <v>2755</v>
      </c>
      <c r="S5" s="445" t="s">
        <v>2756</v>
      </c>
      <c r="T5" s="446" t="s">
        <v>2757</v>
      </c>
      <c r="U5" s="358" t="s">
        <v>2758</v>
      </c>
      <c r="V5" s="447" t="s">
        <v>2759</v>
      </c>
      <c r="W5" s="447" t="s">
        <v>2450</v>
      </c>
      <c r="X5" s="447" t="s">
        <v>2754</v>
      </c>
      <c r="Y5" s="468"/>
      <c r="Z5" s="468"/>
      <c r="AA5" s="447" t="s">
        <v>2450</v>
      </c>
      <c r="AB5" s="447" t="s">
        <v>2754</v>
      </c>
    </row>
    <row r="6" ht="27" customHeight="1" spans="1:28">
      <c r="A6" s="359"/>
      <c r="B6" s="360"/>
      <c r="C6" s="360"/>
      <c r="D6" s="360"/>
      <c r="E6" s="360"/>
      <c r="F6" s="360"/>
      <c r="G6" s="360"/>
      <c r="H6" s="360"/>
      <c r="I6" s="360"/>
      <c r="J6" s="360"/>
      <c r="K6" s="399"/>
      <c r="L6" s="399"/>
      <c r="M6" s="360"/>
      <c r="N6" s="400" t="s">
        <v>2760</v>
      </c>
      <c r="O6" s="401" t="s">
        <v>2761</v>
      </c>
      <c r="P6" s="359" t="s">
        <v>2762</v>
      </c>
      <c r="Q6" s="448"/>
      <c r="R6" s="360" t="s">
        <v>2763</v>
      </c>
      <c r="S6" s="449" t="s">
        <v>2764</v>
      </c>
      <c r="T6" s="450" t="s">
        <v>2765</v>
      </c>
      <c r="U6" s="450"/>
      <c r="V6" s="360"/>
      <c r="W6" s="360"/>
      <c r="X6" s="360"/>
      <c r="Y6" s="360"/>
      <c r="Z6" s="360"/>
      <c r="AA6" s="360"/>
      <c r="AB6" s="360"/>
    </row>
    <row r="7" s="343" customFormat="1" ht="24.95" customHeight="1" spans="1:28">
      <c r="A7" s="361"/>
      <c r="B7" s="362" t="s">
        <v>2766</v>
      </c>
      <c r="C7" s="362"/>
      <c r="D7" s="363"/>
      <c r="E7" s="363"/>
      <c r="F7" s="362"/>
      <c r="G7" s="362"/>
      <c r="H7" s="362">
        <f>+H8+H26+H31</f>
        <v>4309658</v>
      </c>
      <c r="I7" s="362"/>
      <c r="J7" s="362"/>
      <c r="K7" s="402"/>
      <c r="L7" s="402"/>
      <c r="M7" s="362"/>
      <c r="N7" s="403"/>
      <c r="O7" s="404"/>
      <c r="P7" s="405"/>
      <c r="Q7" s="362">
        <f>+Q8+Q26+Q31</f>
        <v>1330257.4</v>
      </c>
      <c r="R7" s="405"/>
      <c r="S7" s="451"/>
      <c r="T7" s="452"/>
      <c r="U7" s="362">
        <f ca="1">+U8+U26+U31</f>
        <v>975857.458168757</v>
      </c>
      <c r="V7" s="363"/>
      <c r="W7" s="363"/>
      <c r="X7" s="362">
        <f>+X8+X26+X31</f>
        <v>0</v>
      </c>
      <c r="Y7" s="363"/>
      <c r="Z7" s="363"/>
      <c r="AA7" s="363"/>
      <c r="AB7" s="363"/>
    </row>
    <row r="8" s="344" customFormat="1" ht="30.95" customHeight="1" outlineLevel="1" spans="1:28">
      <c r="A8" s="364">
        <v>1</v>
      </c>
      <c r="B8" s="365" t="s">
        <v>2767</v>
      </c>
      <c r="C8" s="365"/>
      <c r="D8" s="366"/>
      <c r="E8" s="366"/>
      <c r="F8" s="365" t="s">
        <v>2768</v>
      </c>
      <c r="G8" s="365" t="s">
        <v>2769</v>
      </c>
      <c r="H8" s="365">
        <f>SUM(H9:H25)</f>
        <v>1013358</v>
      </c>
      <c r="I8" s="365"/>
      <c r="J8" s="365"/>
      <c r="K8" s="406" t="s">
        <v>2770</v>
      </c>
      <c r="L8" s="406"/>
      <c r="M8" s="365"/>
      <c r="N8" s="407"/>
      <c r="O8" s="408"/>
      <c r="P8" s="409"/>
      <c r="Q8" s="409">
        <f>SUM(Q9:Q25)</f>
        <v>304007.4</v>
      </c>
      <c r="R8" s="409"/>
      <c r="S8" s="453"/>
      <c r="T8" s="454"/>
      <c r="U8" s="409">
        <f>SUM(U9:U25)</f>
        <v>304007.4</v>
      </c>
      <c r="V8" s="366"/>
      <c r="W8" s="366"/>
      <c r="X8" s="455">
        <f>SUM(X9:X25)</f>
        <v>0</v>
      </c>
      <c r="Y8" s="366"/>
      <c r="Z8" s="366"/>
      <c r="AA8" s="366"/>
      <c r="AB8" s="455">
        <f>SUM(AB9:AB25)</f>
        <v>304007.4</v>
      </c>
    </row>
    <row r="9" ht="24.95" customHeight="1" outlineLevel="4" spans="1:28">
      <c r="A9" s="367"/>
      <c r="B9" s="368" t="s">
        <v>2771</v>
      </c>
      <c r="C9" s="368"/>
      <c r="D9" s="369"/>
      <c r="E9" s="369"/>
      <c r="F9" s="367" t="s">
        <v>1614</v>
      </c>
      <c r="G9" s="367"/>
      <c r="H9" s="367">
        <f t="shared" ref="H9:H25" si="0">+O9*N9</f>
        <v>80000</v>
      </c>
      <c r="I9" s="368"/>
      <c r="J9" s="410">
        <f>COUNTIFS(K:K,K9,E:E,E9)</f>
        <v>0</v>
      </c>
      <c r="K9" s="411" t="s">
        <v>1616</v>
      </c>
      <c r="L9" s="412" t="s">
        <v>2772</v>
      </c>
      <c r="M9" s="413" t="s">
        <v>72</v>
      </c>
      <c r="N9" s="413">
        <v>400</v>
      </c>
      <c r="O9" s="413">
        <v>200</v>
      </c>
      <c r="P9" s="414">
        <f t="shared" ref="P9:P25" si="1">SUMIF($Z$5:$AB$5,P$5,Z9:AB9)</f>
        <v>60</v>
      </c>
      <c r="Q9" s="414">
        <f t="shared" ref="Q9:Q25" si="2">SUMIF($Z$5:$AB$5,Q$5,Z9:AC9)</f>
        <v>24000</v>
      </c>
      <c r="R9" s="414">
        <f t="shared" ref="R9:R25" si="3">IFERROR(-P9+O9,"")</f>
        <v>140</v>
      </c>
      <c r="S9" s="456">
        <f>IFERROR(+P9/O9,"")</f>
        <v>0.3</v>
      </c>
      <c r="T9" s="457">
        <f>+P9</f>
        <v>60</v>
      </c>
      <c r="U9" s="458">
        <f t="shared" ref="U9:U25" si="4">T9*N9</f>
        <v>24000</v>
      </c>
      <c r="V9" s="369"/>
      <c r="W9" s="369"/>
      <c r="X9" s="369"/>
      <c r="Y9" s="369"/>
      <c r="Z9" s="369"/>
      <c r="AA9" s="369">
        <f>+O9*0.3</f>
        <v>60</v>
      </c>
      <c r="AB9" s="369">
        <f>+AA9*N9</f>
        <v>24000</v>
      </c>
    </row>
    <row r="10" ht="24.95" customHeight="1" outlineLevel="4" spans="1:28">
      <c r="A10" s="367"/>
      <c r="B10" s="368"/>
      <c r="C10" s="370"/>
      <c r="D10" s="370"/>
      <c r="E10" s="370"/>
      <c r="F10" s="367" t="s">
        <v>1614</v>
      </c>
      <c r="G10" s="367"/>
      <c r="H10" s="367">
        <f t="shared" si="0"/>
        <v>80000</v>
      </c>
      <c r="I10" s="370"/>
      <c r="J10" s="415"/>
      <c r="K10" s="411" t="s">
        <v>1616</v>
      </c>
      <c r="L10" s="416" t="s">
        <v>2773</v>
      </c>
      <c r="M10" s="413" t="s">
        <v>2774</v>
      </c>
      <c r="N10" s="413">
        <v>200</v>
      </c>
      <c r="O10" s="413">
        <v>400</v>
      </c>
      <c r="P10" s="414">
        <f t="shared" si="1"/>
        <v>120</v>
      </c>
      <c r="Q10" s="414">
        <f t="shared" si="2"/>
        <v>24000</v>
      </c>
      <c r="R10" s="414">
        <f t="shared" si="3"/>
        <v>280</v>
      </c>
      <c r="S10" s="456">
        <f t="shared" ref="S10:S25" si="5">IFERROR(+P10/O10,"")</f>
        <v>0.3</v>
      </c>
      <c r="T10" s="457">
        <f t="shared" ref="T10:T25" si="6">+P10</f>
        <v>120</v>
      </c>
      <c r="U10" s="458">
        <f t="shared" si="4"/>
        <v>24000</v>
      </c>
      <c r="V10" s="370"/>
      <c r="W10" s="370"/>
      <c r="X10" s="370"/>
      <c r="Y10" s="370"/>
      <c r="Z10" s="370"/>
      <c r="AA10" s="369">
        <f t="shared" ref="AA10:AA25" si="7">+O10*0.3</f>
        <v>120</v>
      </c>
      <c r="AB10" s="369">
        <f t="shared" ref="AB10:AB40" si="8">+AA10*N10</f>
        <v>24000</v>
      </c>
    </row>
    <row r="11" ht="24.95" customHeight="1" outlineLevel="4" spans="1:28">
      <c r="A11" s="367"/>
      <c r="B11" s="368"/>
      <c r="C11" s="370"/>
      <c r="D11" s="370"/>
      <c r="E11" s="370"/>
      <c r="F11" s="367" t="s">
        <v>1614</v>
      </c>
      <c r="G11" s="367"/>
      <c r="H11" s="367">
        <f t="shared" si="0"/>
        <v>12600</v>
      </c>
      <c r="I11" s="370"/>
      <c r="J11" s="415"/>
      <c r="K11" s="411" t="s">
        <v>1616</v>
      </c>
      <c r="L11" s="412" t="s">
        <v>2775</v>
      </c>
      <c r="M11" s="413" t="s">
        <v>69</v>
      </c>
      <c r="N11" s="413">
        <v>35</v>
      </c>
      <c r="O11" s="413">
        <v>360</v>
      </c>
      <c r="P11" s="414">
        <f t="shared" si="1"/>
        <v>108</v>
      </c>
      <c r="Q11" s="414">
        <f t="shared" si="2"/>
        <v>3780</v>
      </c>
      <c r="R11" s="414">
        <f t="shared" si="3"/>
        <v>252</v>
      </c>
      <c r="S11" s="456">
        <f t="shared" si="5"/>
        <v>0.3</v>
      </c>
      <c r="T11" s="457">
        <f t="shared" si="6"/>
        <v>108</v>
      </c>
      <c r="U11" s="458">
        <f t="shared" si="4"/>
        <v>3780</v>
      </c>
      <c r="V11" s="370"/>
      <c r="W11" s="370"/>
      <c r="X11" s="370"/>
      <c r="Y11" s="370"/>
      <c r="Z11" s="370"/>
      <c r="AA11" s="369">
        <f t="shared" si="7"/>
        <v>108</v>
      </c>
      <c r="AB11" s="369">
        <f t="shared" si="8"/>
        <v>3780</v>
      </c>
    </row>
    <row r="12" ht="24.95" customHeight="1" outlineLevel="4" spans="1:28">
      <c r="A12" s="367"/>
      <c r="B12" s="368"/>
      <c r="C12" s="370"/>
      <c r="D12" s="370"/>
      <c r="E12" s="370"/>
      <c r="F12" s="367" t="s">
        <v>1614</v>
      </c>
      <c r="G12" s="367"/>
      <c r="H12" s="367">
        <f t="shared" si="0"/>
        <v>9390</v>
      </c>
      <c r="I12" s="370"/>
      <c r="J12" s="415"/>
      <c r="K12" s="411" t="s">
        <v>1616</v>
      </c>
      <c r="L12" s="412" t="s">
        <v>2776</v>
      </c>
      <c r="M12" s="413" t="s">
        <v>76</v>
      </c>
      <c r="N12" s="413">
        <v>15</v>
      </c>
      <c r="O12" s="413">
        <v>626</v>
      </c>
      <c r="P12" s="414">
        <f t="shared" si="1"/>
        <v>187.8</v>
      </c>
      <c r="Q12" s="414">
        <f t="shared" si="2"/>
        <v>2817</v>
      </c>
      <c r="R12" s="414">
        <f t="shared" si="3"/>
        <v>438.2</v>
      </c>
      <c r="S12" s="456">
        <f t="shared" si="5"/>
        <v>0.3</v>
      </c>
      <c r="T12" s="457">
        <f t="shared" si="6"/>
        <v>187.8</v>
      </c>
      <c r="U12" s="458">
        <f t="shared" si="4"/>
        <v>2817</v>
      </c>
      <c r="V12" s="370"/>
      <c r="W12" s="370"/>
      <c r="X12" s="370"/>
      <c r="Y12" s="370"/>
      <c r="Z12" s="370"/>
      <c r="AA12" s="369">
        <f t="shared" si="7"/>
        <v>187.8</v>
      </c>
      <c r="AB12" s="369">
        <f t="shared" si="8"/>
        <v>2817</v>
      </c>
    </row>
    <row r="13" ht="24.95" customHeight="1" outlineLevel="4" spans="1:28">
      <c r="A13" s="367"/>
      <c r="B13" s="368"/>
      <c r="C13" s="370"/>
      <c r="D13" s="370"/>
      <c r="E13" s="370"/>
      <c r="F13" s="367" t="s">
        <v>1614</v>
      </c>
      <c r="G13" s="367"/>
      <c r="H13" s="367">
        <f t="shared" si="0"/>
        <v>26310</v>
      </c>
      <c r="I13" s="370"/>
      <c r="J13" s="415"/>
      <c r="K13" s="411" t="s">
        <v>1616</v>
      </c>
      <c r="L13" s="412" t="s">
        <v>1844</v>
      </c>
      <c r="M13" s="413" t="s">
        <v>69</v>
      </c>
      <c r="N13" s="413">
        <v>30</v>
      </c>
      <c r="O13" s="413">
        <v>877</v>
      </c>
      <c r="P13" s="414">
        <f t="shared" si="1"/>
        <v>263.1</v>
      </c>
      <c r="Q13" s="414">
        <f t="shared" si="2"/>
        <v>7893</v>
      </c>
      <c r="R13" s="414">
        <f t="shared" si="3"/>
        <v>613.9</v>
      </c>
      <c r="S13" s="456">
        <f t="shared" si="5"/>
        <v>0.3</v>
      </c>
      <c r="T13" s="457">
        <f t="shared" si="6"/>
        <v>263.1</v>
      </c>
      <c r="U13" s="458">
        <f t="shared" si="4"/>
        <v>7893</v>
      </c>
      <c r="V13" s="370"/>
      <c r="W13" s="370"/>
      <c r="X13" s="370"/>
      <c r="Y13" s="370"/>
      <c r="Z13" s="370"/>
      <c r="AA13" s="369">
        <f t="shared" si="7"/>
        <v>263.1</v>
      </c>
      <c r="AB13" s="369">
        <f t="shared" si="8"/>
        <v>7893</v>
      </c>
    </row>
    <row r="14" ht="24.95" customHeight="1" outlineLevel="4" spans="1:28">
      <c r="A14" s="367"/>
      <c r="B14" s="368"/>
      <c r="C14" s="370"/>
      <c r="D14" s="370"/>
      <c r="E14" s="370"/>
      <c r="F14" s="367" t="s">
        <v>1614</v>
      </c>
      <c r="G14" s="367"/>
      <c r="H14" s="367">
        <f t="shared" si="0"/>
        <v>13600</v>
      </c>
      <c r="I14" s="370"/>
      <c r="J14" s="415"/>
      <c r="K14" s="411" t="s">
        <v>1626</v>
      </c>
      <c r="L14" s="412" t="s">
        <v>2777</v>
      </c>
      <c r="M14" s="413" t="s">
        <v>69</v>
      </c>
      <c r="N14" s="413">
        <v>68</v>
      </c>
      <c r="O14" s="413">
        <v>200</v>
      </c>
      <c r="P14" s="414">
        <f t="shared" si="1"/>
        <v>60</v>
      </c>
      <c r="Q14" s="414">
        <f t="shared" si="2"/>
        <v>4080</v>
      </c>
      <c r="R14" s="414">
        <f t="shared" si="3"/>
        <v>140</v>
      </c>
      <c r="S14" s="456">
        <f t="shared" si="5"/>
        <v>0.3</v>
      </c>
      <c r="T14" s="457">
        <f t="shared" si="6"/>
        <v>60</v>
      </c>
      <c r="U14" s="458">
        <f t="shared" si="4"/>
        <v>4080</v>
      </c>
      <c r="V14" s="370"/>
      <c r="W14" s="370"/>
      <c r="X14" s="370"/>
      <c r="Y14" s="370"/>
      <c r="Z14" s="370"/>
      <c r="AA14" s="369">
        <f t="shared" si="7"/>
        <v>60</v>
      </c>
      <c r="AB14" s="369">
        <f t="shared" si="8"/>
        <v>4080</v>
      </c>
    </row>
    <row r="15" ht="24.95" customHeight="1" outlineLevel="4" spans="1:28">
      <c r="A15" s="367"/>
      <c r="B15" s="368"/>
      <c r="C15" s="370"/>
      <c r="D15" s="370"/>
      <c r="E15" s="370"/>
      <c r="F15" s="367" t="s">
        <v>1614</v>
      </c>
      <c r="G15" s="367"/>
      <c r="H15" s="367">
        <f t="shared" si="0"/>
        <v>16500</v>
      </c>
      <c r="I15" s="370"/>
      <c r="J15" s="415"/>
      <c r="K15" s="411" t="s">
        <v>1626</v>
      </c>
      <c r="L15" s="412" t="s">
        <v>2778</v>
      </c>
      <c r="M15" s="413" t="s">
        <v>82</v>
      </c>
      <c r="N15" s="413">
        <v>1100</v>
      </c>
      <c r="O15" s="413">
        <v>15</v>
      </c>
      <c r="P15" s="414">
        <f t="shared" si="1"/>
        <v>4.5</v>
      </c>
      <c r="Q15" s="414">
        <f t="shared" si="2"/>
        <v>4950</v>
      </c>
      <c r="R15" s="414">
        <f t="shared" si="3"/>
        <v>10.5</v>
      </c>
      <c r="S15" s="456">
        <f t="shared" si="5"/>
        <v>0.3</v>
      </c>
      <c r="T15" s="457">
        <f t="shared" si="6"/>
        <v>4.5</v>
      </c>
      <c r="U15" s="458">
        <f t="shared" si="4"/>
        <v>4950</v>
      </c>
      <c r="V15" s="370"/>
      <c r="W15" s="370"/>
      <c r="X15" s="370"/>
      <c r="Y15" s="370"/>
      <c r="Z15" s="370"/>
      <c r="AA15" s="369">
        <f t="shared" si="7"/>
        <v>4.5</v>
      </c>
      <c r="AB15" s="369">
        <f t="shared" si="8"/>
        <v>4950</v>
      </c>
    </row>
    <row r="16" ht="24.95" customHeight="1" outlineLevel="4" spans="1:28">
      <c r="A16" s="367"/>
      <c r="B16" s="368"/>
      <c r="C16" s="370"/>
      <c r="D16" s="370"/>
      <c r="E16" s="370"/>
      <c r="F16" s="367" t="s">
        <v>1614</v>
      </c>
      <c r="G16" s="367"/>
      <c r="H16" s="367">
        <f t="shared" si="0"/>
        <v>84700</v>
      </c>
      <c r="I16" s="370"/>
      <c r="J16" s="415"/>
      <c r="K16" s="411" t="s">
        <v>1626</v>
      </c>
      <c r="L16" s="412" t="s">
        <v>2779</v>
      </c>
      <c r="M16" s="413" t="s">
        <v>82</v>
      </c>
      <c r="N16" s="413">
        <v>1100</v>
      </c>
      <c r="O16" s="413">
        <v>77</v>
      </c>
      <c r="P16" s="414">
        <f t="shared" si="1"/>
        <v>23.1</v>
      </c>
      <c r="Q16" s="414">
        <f t="shared" si="2"/>
        <v>25410</v>
      </c>
      <c r="R16" s="414">
        <f t="shared" si="3"/>
        <v>53.9</v>
      </c>
      <c r="S16" s="456">
        <f t="shared" si="5"/>
        <v>0.3</v>
      </c>
      <c r="T16" s="457">
        <f t="shared" si="6"/>
        <v>23.1</v>
      </c>
      <c r="U16" s="458">
        <f t="shared" si="4"/>
        <v>25410</v>
      </c>
      <c r="V16" s="370"/>
      <c r="W16" s="370"/>
      <c r="X16" s="370"/>
      <c r="Y16" s="370"/>
      <c r="Z16" s="370"/>
      <c r="AA16" s="369">
        <f t="shared" si="7"/>
        <v>23.1</v>
      </c>
      <c r="AB16" s="369">
        <f t="shared" si="8"/>
        <v>25410</v>
      </c>
    </row>
    <row r="17" ht="24.95" customHeight="1" outlineLevel="4" spans="1:28">
      <c r="A17" s="367"/>
      <c r="B17" s="368"/>
      <c r="C17" s="370"/>
      <c r="D17" s="370"/>
      <c r="E17" s="370"/>
      <c r="F17" s="367" t="s">
        <v>1614</v>
      </c>
      <c r="G17" s="367"/>
      <c r="H17" s="367">
        <f t="shared" si="0"/>
        <v>16692</v>
      </c>
      <c r="I17" s="370"/>
      <c r="J17" s="415"/>
      <c r="K17" s="411" t="s">
        <v>1626</v>
      </c>
      <c r="L17" s="412" t="s">
        <v>2780</v>
      </c>
      <c r="M17" s="413" t="s">
        <v>69</v>
      </c>
      <c r="N17" s="413">
        <v>26</v>
      </c>
      <c r="O17" s="413">
        <v>642</v>
      </c>
      <c r="P17" s="414">
        <f t="shared" si="1"/>
        <v>192.6</v>
      </c>
      <c r="Q17" s="414">
        <f t="shared" si="2"/>
        <v>5007.6</v>
      </c>
      <c r="R17" s="414">
        <f t="shared" si="3"/>
        <v>449.4</v>
      </c>
      <c r="S17" s="456">
        <f t="shared" si="5"/>
        <v>0.3</v>
      </c>
      <c r="T17" s="457">
        <f t="shared" si="6"/>
        <v>192.6</v>
      </c>
      <c r="U17" s="458">
        <f t="shared" si="4"/>
        <v>5007.6</v>
      </c>
      <c r="V17" s="370"/>
      <c r="W17" s="370"/>
      <c r="X17" s="370"/>
      <c r="Y17" s="370"/>
      <c r="Z17" s="370"/>
      <c r="AA17" s="369">
        <f t="shared" si="7"/>
        <v>192.6</v>
      </c>
      <c r="AB17" s="369">
        <f t="shared" si="8"/>
        <v>5007.6</v>
      </c>
    </row>
    <row r="18" ht="24.95" customHeight="1" outlineLevel="4" spans="1:28">
      <c r="A18" s="367"/>
      <c r="B18" s="368"/>
      <c r="C18" s="370"/>
      <c r="D18" s="370"/>
      <c r="E18" s="370"/>
      <c r="F18" s="367" t="s">
        <v>1614</v>
      </c>
      <c r="G18" s="367"/>
      <c r="H18" s="367">
        <f t="shared" si="0"/>
        <v>20000</v>
      </c>
      <c r="I18" s="370"/>
      <c r="J18" s="415"/>
      <c r="K18" s="411" t="s">
        <v>2781</v>
      </c>
      <c r="L18" s="412" t="s">
        <v>2782</v>
      </c>
      <c r="M18" s="413" t="s">
        <v>69</v>
      </c>
      <c r="N18" s="413">
        <v>5</v>
      </c>
      <c r="O18" s="413">
        <v>4000</v>
      </c>
      <c r="P18" s="414">
        <f t="shared" si="1"/>
        <v>1200</v>
      </c>
      <c r="Q18" s="414">
        <f t="shared" si="2"/>
        <v>6000</v>
      </c>
      <c r="R18" s="414">
        <f t="shared" si="3"/>
        <v>2800</v>
      </c>
      <c r="S18" s="456">
        <f t="shared" si="5"/>
        <v>0.3</v>
      </c>
      <c r="T18" s="457">
        <f t="shared" si="6"/>
        <v>1200</v>
      </c>
      <c r="U18" s="458">
        <f t="shared" si="4"/>
        <v>6000</v>
      </c>
      <c r="V18" s="370"/>
      <c r="W18" s="370"/>
      <c r="X18" s="370"/>
      <c r="Y18" s="370"/>
      <c r="Z18" s="370"/>
      <c r="AA18" s="369">
        <f t="shared" si="7"/>
        <v>1200</v>
      </c>
      <c r="AB18" s="369">
        <f t="shared" si="8"/>
        <v>6000</v>
      </c>
    </row>
    <row r="19" ht="24.95" customHeight="1" outlineLevel="4" spans="1:28">
      <c r="A19" s="367"/>
      <c r="B19" s="368"/>
      <c r="C19" s="370"/>
      <c r="D19" s="370"/>
      <c r="E19" s="370"/>
      <c r="F19" s="367" t="s">
        <v>1614</v>
      </c>
      <c r="G19" s="367"/>
      <c r="H19" s="367">
        <f t="shared" si="0"/>
        <v>96000</v>
      </c>
      <c r="I19" s="370"/>
      <c r="J19" s="415"/>
      <c r="K19" s="411" t="s">
        <v>2783</v>
      </c>
      <c r="L19" s="412" t="s">
        <v>2784</v>
      </c>
      <c r="M19" s="413" t="s">
        <v>72</v>
      </c>
      <c r="N19" s="413">
        <v>400</v>
      </c>
      <c r="O19" s="413">
        <v>240</v>
      </c>
      <c r="P19" s="414">
        <f t="shared" si="1"/>
        <v>72</v>
      </c>
      <c r="Q19" s="414">
        <f t="shared" si="2"/>
        <v>28800</v>
      </c>
      <c r="R19" s="414">
        <f t="shared" si="3"/>
        <v>168</v>
      </c>
      <c r="S19" s="456">
        <f t="shared" si="5"/>
        <v>0.3</v>
      </c>
      <c r="T19" s="457">
        <f t="shared" si="6"/>
        <v>72</v>
      </c>
      <c r="U19" s="458">
        <f t="shared" si="4"/>
        <v>28800</v>
      </c>
      <c r="V19" s="370"/>
      <c r="W19" s="370"/>
      <c r="X19" s="370"/>
      <c r="Y19" s="370"/>
      <c r="Z19" s="370"/>
      <c r="AA19" s="369">
        <f t="shared" si="7"/>
        <v>72</v>
      </c>
      <c r="AB19" s="369">
        <f t="shared" si="8"/>
        <v>28800</v>
      </c>
    </row>
    <row r="20" ht="24.95" customHeight="1" outlineLevel="4" spans="1:28">
      <c r="A20" s="367"/>
      <c r="B20" s="368"/>
      <c r="C20" s="370"/>
      <c r="D20" s="370"/>
      <c r="E20" s="370"/>
      <c r="F20" s="367" t="s">
        <v>1614</v>
      </c>
      <c r="G20" s="367"/>
      <c r="H20" s="367">
        <f t="shared" si="0"/>
        <v>7800</v>
      </c>
      <c r="I20" s="370"/>
      <c r="J20" s="415"/>
      <c r="K20" s="411" t="s">
        <v>2783</v>
      </c>
      <c r="L20" s="412" t="s">
        <v>2785</v>
      </c>
      <c r="M20" s="413" t="s">
        <v>69</v>
      </c>
      <c r="N20" s="413">
        <v>26</v>
      </c>
      <c r="O20" s="413">
        <v>300</v>
      </c>
      <c r="P20" s="414">
        <f t="shared" si="1"/>
        <v>90</v>
      </c>
      <c r="Q20" s="414">
        <f t="shared" si="2"/>
        <v>2340</v>
      </c>
      <c r="R20" s="414">
        <f t="shared" si="3"/>
        <v>210</v>
      </c>
      <c r="S20" s="456">
        <f t="shared" si="5"/>
        <v>0.3</v>
      </c>
      <c r="T20" s="457">
        <f t="shared" si="6"/>
        <v>90</v>
      </c>
      <c r="U20" s="458">
        <f t="shared" si="4"/>
        <v>2340</v>
      </c>
      <c r="V20" s="370"/>
      <c r="W20" s="370"/>
      <c r="X20" s="370"/>
      <c r="Y20" s="370"/>
      <c r="Z20" s="370"/>
      <c r="AA20" s="369">
        <f t="shared" si="7"/>
        <v>90</v>
      </c>
      <c r="AB20" s="369">
        <f t="shared" si="8"/>
        <v>2340</v>
      </c>
    </row>
    <row r="21" ht="24.95" customHeight="1" outlineLevel="4" spans="1:28">
      <c r="A21" s="367"/>
      <c r="B21" s="368"/>
      <c r="C21" s="370"/>
      <c r="D21" s="370"/>
      <c r="E21" s="370"/>
      <c r="F21" s="367" t="s">
        <v>1614</v>
      </c>
      <c r="G21" s="367"/>
      <c r="H21" s="367">
        <f t="shared" si="0"/>
        <v>180070</v>
      </c>
      <c r="I21" s="370"/>
      <c r="J21" s="415"/>
      <c r="K21" s="411" t="s">
        <v>2783</v>
      </c>
      <c r="L21" s="412" t="s">
        <v>2786</v>
      </c>
      <c r="M21" s="413" t="s">
        <v>72</v>
      </c>
      <c r="N21" s="413">
        <v>110</v>
      </c>
      <c r="O21" s="413">
        <v>1637</v>
      </c>
      <c r="P21" s="414">
        <f t="shared" si="1"/>
        <v>491.1</v>
      </c>
      <c r="Q21" s="414">
        <f t="shared" si="2"/>
        <v>54021</v>
      </c>
      <c r="R21" s="414">
        <f t="shared" si="3"/>
        <v>1145.9</v>
      </c>
      <c r="S21" s="456">
        <f t="shared" si="5"/>
        <v>0.3</v>
      </c>
      <c r="T21" s="457">
        <f t="shared" si="6"/>
        <v>491.1</v>
      </c>
      <c r="U21" s="458">
        <f t="shared" si="4"/>
        <v>54021</v>
      </c>
      <c r="V21" s="370"/>
      <c r="W21" s="370"/>
      <c r="X21" s="370"/>
      <c r="Y21" s="370"/>
      <c r="Z21" s="370"/>
      <c r="AA21" s="369">
        <f t="shared" si="7"/>
        <v>491.1</v>
      </c>
      <c r="AB21" s="369">
        <f t="shared" si="8"/>
        <v>54021</v>
      </c>
    </row>
    <row r="22" ht="24.95" customHeight="1" outlineLevel="4" spans="1:28">
      <c r="A22" s="367"/>
      <c r="B22" s="368"/>
      <c r="C22" s="370"/>
      <c r="D22" s="370"/>
      <c r="E22" s="370"/>
      <c r="F22" s="367" t="s">
        <v>1614</v>
      </c>
      <c r="G22" s="367"/>
      <c r="H22" s="367">
        <f t="shared" si="0"/>
        <v>54400</v>
      </c>
      <c r="I22" s="370"/>
      <c r="J22" s="415"/>
      <c r="K22" s="411" t="s">
        <v>2783</v>
      </c>
      <c r="L22" s="412" t="s">
        <v>2787</v>
      </c>
      <c r="M22" s="413" t="s">
        <v>69</v>
      </c>
      <c r="N22" s="413">
        <v>68</v>
      </c>
      <c r="O22" s="413">
        <v>800</v>
      </c>
      <c r="P22" s="414">
        <f t="shared" si="1"/>
        <v>240</v>
      </c>
      <c r="Q22" s="414">
        <f t="shared" si="2"/>
        <v>16320</v>
      </c>
      <c r="R22" s="414">
        <f t="shared" si="3"/>
        <v>560</v>
      </c>
      <c r="S22" s="456">
        <f t="shared" si="5"/>
        <v>0.3</v>
      </c>
      <c r="T22" s="457">
        <f t="shared" si="6"/>
        <v>240</v>
      </c>
      <c r="U22" s="458">
        <f t="shared" si="4"/>
        <v>16320</v>
      </c>
      <c r="V22" s="370"/>
      <c r="W22" s="370"/>
      <c r="X22" s="370"/>
      <c r="Y22" s="370"/>
      <c r="Z22" s="370"/>
      <c r="AA22" s="369">
        <f t="shared" si="7"/>
        <v>240</v>
      </c>
      <c r="AB22" s="369">
        <f t="shared" si="8"/>
        <v>16320</v>
      </c>
    </row>
    <row r="23" ht="24.95" customHeight="1" outlineLevel="4" spans="1:28">
      <c r="A23" s="367"/>
      <c r="B23" s="368"/>
      <c r="C23" s="370"/>
      <c r="D23" s="370"/>
      <c r="E23" s="370"/>
      <c r="F23" s="367" t="s">
        <v>1614</v>
      </c>
      <c r="G23" s="367"/>
      <c r="H23" s="367">
        <f t="shared" si="0"/>
        <v>48000</v>
      </c>
      <c r="I23" s="370"/>
      <c r="J23" s="415"/>
      <c r="K23" s="411" t="s">
        <v>1616</v>
      </c>
      <c r="L23" s="412" t="s">
        <v>2788</v>
      </c>
      <c r="M23" s="413" t="s">
        <v>76</v>
      </c>
      <c r="N23" s="413">
        <v>120</v>
      </c>
      <c r="O23" s="413">
        <v>400</v>
      </c>
      <c r="P23" s="414">
        <f t="shared" si="1"/>
        <v>120</v>
      </c>
      <c r="Q23" s="414">
        <f t="shared" si="2"/>
        <v>14400</v>
      </c>
      <c r="R23" s="414">
        <f t="shared" si="3"/>
        <v>280</v>
      </c>
      <c r="S23" s="456">
        <f t="shared" si="5"/>
        <v>0.3</v>
      </c>
      <c r="T23" s="457">
        <f t="shared" si="6"/>
        <v>120</v>
      </c>
      <c r="U23" s="458">
        <f t="shared" si="4"/>
        <v>14400</v>
      </c>
      <c r="V23" s="370"/>
      <c r="W23" s="370"/>
      <c r="X23" s="370"/>
      <c r="Y23" s="370"/>
      <c r="Z23" s="370"/>
      <c r="AA23" s="369">
        <f t="shared" si="7"/>
        <v>120</v>
      </c>
      <c r="AB23" s="369">
        <f t="shared" si="8"/>
        <v>14400</v>
      </c>
    </row>
    <row r="24" ht="29.1" customHeight="1" outlineLevel="4" spans="1:28">
      <c r="A24" s="367"/>
      <c r="B24" s="368"/>
      <c r="C24" s="370"/>
      <c r="D24" s="370"/>
      <c r="E24" s="370"/>
      <c r="F24" s="367" t="s">
        <v>1614</v>
      </c>
      <c r="G24" s="367"/>
      <c r="H24" s="367">
        <f t="shared" si="0"/>
        <v>135296</v>
      </c>
      <c r="I24" s="370"/>
      <c r="J24" s="415"/>
      <c r="K24" s="411" t="s">
        <v>2783</v>
      </c>
      <c r="L24" s="412" t="s">
        <v>2789</v>
      </c>
      <c r="M24" s="413" t="s">
        <v>69</v>
      </c>
      <c r="N24" s="413">
        <v>32</v>
      </c>
      <c r="O24" s="413">
        <v>4228</v>
      </c>
      <c r="P24" s="414">
        <f t="shared" si="1"/>
        <v>1268.4</v>
      </c>
      <c r="Q24" s="414">
        <f t="shared" si="2"/>
        <v>40588.8</v>
      </c>
      <c r="R24" s="414">
        <f t="shared" si="3"/>
        <v>2959.6</v>
      </c>
      <c r="S24" s="456">
        <f t="shared" si="5"/>
        <v>0.3</v>
      </c>
      <c r="T24" s="457">
        <f t="shared" si="6"/>
        <v>1268.4</v>
      </c>
      <c r="U24" s="458">
        <f t="shared" si="4"/>
        <v>40588.8</v>
      </c>
      <c r="V24" s="370"/>
      <c r="W24" s="370"/>
      <c r="X24" s="370"/>
      <c r="Y24" s="370"/>
      <c r="Z24" s="370"/>
      <c r="AA24" s="369">
        <f t="shared" si="7"/>
        <v>1268.4</v>
      </c>
      <c r="AB24" s="369">
        <f t="shared" si="8"/>
        <v>40588.8</v>
      </c>
    </row>
    <row r="25" ht="29.1" customHeight="1" outlineLevel="4" spans="1:28">
      <c r="A25" s="367"/>
      <c r="B25" s="368"/>
      <c r="C25" s="370"/>
      <c r="D25" s="370"/>
      <c r="E25" s="370"/>
      <c r="F25" s="367" t="s">
        <v>1614</v>
      </c>
      <c r="G25" s="367"/>
      <c r="H25" s="367">
        <f t="shared" si="0"/>
        <v>132000</v>
      </c>
      <c r="I25" s="370"/>
      <c r="J25" s="415"/>
      <c r="K25" s="411" t="s">
        <v>1616</v>
      </c>
      <c r="L25" s="412" t="s">
        <v>2790</v>
      </c>
      <c r="M25" s="413" t="s">
        <v>69</v>
      </c>
      <c r="N25" s="413">
        <v>88</v>
      </c>
      <c r="O25" s="413">
        <v>1500</v>
      </c>
      <c r="P25" s="414">
        <f t="shared" si="1"/>
        <v>450</v>
      </c>
      <c r="Q25" s="414">
        <f t="shared" si="2"/>
        <v>39600</v>
      </c>
      <c r="R25" s="414">
        <f t="shared" si="3"/>
        <v>1050</v>
      </c>
      <c r="S25" s="456">
        <f t="shared" si="5"/>
        <v>0.3</v>
      </c>
      <c r="T25" s="457">
        <f t="shared" si="6"/>
        <v>450</v>
      </c>
      <c r="U25" s="458">
        <f t="shared" si="4"/>
        <v>39600</v>
      </c>
      <c r="V25" s="370"/>
      <c r="W25" s="370"/>
      <c r="X25" s="370"/>
      <c r="Y25" s="370"/>
      <c r="Z25" s="370"/>
      <c r="AA25" s="369">
        <f t="shared" si="7"/>
        <v>450</v>
      </c>
      <c r="AB25" s="369">
        <f t="shared" si="8"/>
        <v>39600</v>
      </c>
    </row>
    <row r="26" ht="24.95" customHeight="1" outlineLevel="2" spans="1:28">
      <c r="A26" s="371">
        <v>2</v>
      </c>
      <c r="B26" s="370" t="s">
        <v>2791</v>
      </c>
      <c r="C26" s="370"/>
      <c r="D26" s="370"/>
      <c r="E26" s="370"/>
      <c r="F26" s="372" t="s">
        <v>64</v>
      </c>
      <c r="G26" s="370"/>
      <c r="H26" s="370">
        <f>SUM(H27:H30)</f>
        <v>1605000</v>
      </c>
      <c r="I26" s="370"/>
      <c r="J26" s="367">
        <f>COUNTIFS(K:K,K26,E:E,E26)</f>
        <v>0</v>
      </c>
      <c r="K26" s="411"/>
      <c r="L26" s="30"/>
      <c r="M26" s="30"/>
      <c r="N26" s="30"/>
      <c r="O26" s="30"/>
      <c r="P26" s="414"/>
      <c r="Q26" s="370">
        <f>SUM(Q27:Q30)</f>
        <v>323000</v>
      </c>
      <c r="R26" s="414" t="str">
        <f>IFERROR(-P26+#REF!,"")</f>
        <v/>
      </c>
      <c r="S26" s="456" t="str">
        <f>IFERROR(+P26/#REF!,"")</f>
        <v/>
      </c>
      <c r="T26" s="457"/>
      <c r="U26" s="370">
        <f ca="1">SUM(U27:U30)</f>
        <v>0</v>
      </c>
      <c r="V26" s="370"/>
      <c r="W26" s="370"/>
      <c r="X26" s="370"/>
      <c r="Y26" s="370"/>
      <c r="Z26" s="370"/>
      <c r="AA26" s="370"/>
      <c r="AB26" s="469">
        <f>SUM(AB27:AB30)</f>
        <v>323000</v>
      </c>
    </row>
    <row r="27" ht="24.95" customHeight="1" outlineLevel="3" spans="1:28">
      <c r="A27" s="371"/>
      <c r="B27" s="370"/>
      <c r="C27" s="370"/>
      <c r="D27" s="370"/>
      <c r="E27" s="370"/>
      <c r="F27" s="372" t="s">
        <v>64</v>
      </c>
      <c r="G27" s="370"/>
      <c r="H27" s="367">
        <f>+O27*N27</f>
        <v>27500</v>
      </c>
      <c r="I27" s="370"/>
      <c r="J27" s="367">
        <f>COUNTIFS(K:K,K27,E:E,E27)</f>
        <v>0</v>
      </c>
      <c r="K27" s="411" t="s">
        <v>252</v>
      </c>
      <c r="L27" s="411" t="s">
        <v>252</v>
      </c>
      <c r="M27" s="417" t="s">
        <v>72</v>
      </c>
      <c r="N27" s="418">
        <v>50</v>
      </c>
      <c r="O27" s="410">
        <v>550</v>
      </c>
      <c r="P27" s="414">
        <f>SUMIF($Z$5:$AB$5,P$5,Z27:AB27)</f>
        <v>300</v>
      </c>
      <c r="Q27" s="414">
        <f>SUMIF($Z$5:$AB$5,Q$5,Z27:AC27)</f>
        <v>15000</v>
      </c>
      <c r="R27" s="414">
        <f>IFERROR(-P27+O28,"")</f>
        <v>4200</v>
      </c>
      <c r="S27" s="456">
        <f>IFERROR(+P27/O27,"")</f>
        <v>0.545454545454545</v>
      </c>
      <c r="T27" s="457">
        <f ca="1">SUMIFS('01工程产值对比表'!V:V,'01工程产值对比表'!C:C,F36,'01工程产值对比表'!D:D,K36)</f>
        <v>0</v>
      </c>
      <c r="U27" s="458">
        <f ca="1" t="shared" ref="U27:U36" si="9">T27*N28</f>
        <v>0</v>
      </c>
      <c r="V27" s="370"/>
      <c r="W27" s="370"/>
      <c r="X27" s="370"/>
      <c r="Y27" s="370"/>
      <c r="Z27" s="370"/>
      <c r="AA27" s="370">
        <v>300</v>
      </c>
      <c r="AB27" s="369">
        <f t="shared" si="8"/>
        <v>15000</v>
      </c>
    </row>
    <row r="28" ht="24.95" customHeight="1" outlineLevel="3" spans="1:28">
      <c r="A28" s="371"/>
      <c r="B28" s="370"/>
      <c r="C28" s="370"/>
      <c r="D28" s="370"/>
      <c r="E28" s="370"/>
      <c r="F28" s="372" t="s">
        <v>64</v>
      </c>
      <c r="G28" s="370"/>
      <c r="H28" s="367">
        <f>+O28*N28</f>
        <v>1260000</v>
      </c>
      <c r="I28" s="370"/>
      <c r="J28" s="367">
        <f>COUNTIFS(K:K,K28,E:E,E28)</f>
        <v>0</v>
      </c>
      <c r="K28" s="411" t="s">
        <v>487</v>
      </c>
      <c r="L28" s="411" t="s">
        <v>487</v>
      </c>
      <c r="M28" s="417" t="s">
        <v>72</v>
      </c>
      <c r="N28" s="418">
        <v>280</v>
      </c>
      <c r="O28" s="410">
        <v>4500</v>
      </c>
      <c r="P28" s="414">
        <f>SUMIF($Z$5:$AB$5,P$5,Z28:AB28)</f>
        <v>600</v>
      </c>
      <c r="Q28" s="414">
        <f>SUMIF($Z$5:$AB$5,Q$5,Z28:AC28)</f>
        <v>168000</v>
      </c>
      <c r="R28" s="414">
        <f>IFERROR(-P28+O29,"")</f>
        <v>-275</v>
      </c>
      <c r="S28" s="456">
        <f>IFERROR(+P28/O28,"")</f>
        <v>0.133333333333333</v>
      </c>
      <c r="T28" s="457">
        <f ca="1">SUMIFS('01工程产值对比表'!V:V,'01工程产值对比表'!C:C,F37,'01工程产值对比表'!D:D,K37)</f>
        <v>0</v>
      </c>
      <c r="U28" s="458">
        <f ca="1" t="shared" si="9"/>
        <v>0</v>
      </c>
      <c r="V28" s="370"/>
      <c r="W28" s="370"/>
      <c r="X28" s="370"/>
      <c r="Y28" s="370"/>
      <c r="Z28" s="370"/>
      <c r="AA28" s="370">
        <v>600</v>
      </c>
      <c r="AB28" s="369">
        <f t="shared" si="8"/>
        <v>168000</v>
      </c>
    </row>
    <row r="29" ht="24.95" customHeight="1" outlineLevel="3" spans="1:28">
      <c r="A29" s="371"/>
      <c r="B29" s="370"/>
      <c r="C29" s="370"/>
      <c r="D29" s="370"/>
      <c r="E29" s="370"/>
      <c r="F29" s="372" t="s">
        <v>64</v>
      </c>
      <c r="G29" s="370"/>
      <c r="H29" s="367">
        <f>+O29*N29</f>
        <v>292500</v>
      </c>
      <c r="I29" s="370"/>
      <c r="J29" s="367">
        <f>COUNTIFS(K:K,K29,E:E,E29)</f>
        <v>0</v>
      </c>
      <c r="K29" s="411" t="s">
        <v>308</v>
      </c>
      <c r="L29" s="411" t="s">
        <v>308</v>
      </c>
      <c r="M29" s="417" t="s">
        <v>82</v>
      </c>
      <c r="N29" s="418">
        <v>900</v>
      </c>
      <c r="O29" s="410">
        <v>325</v>
      </c>
      <c r="P29" s="414">
        <f>SUMIF($Z$5:$AB$5,P$5,Z29:AB29)</f>
        <v>150</v>
      </c>
      <c r="Q29" s="414">
        <f>SUMIF($Z$5:$AB$5,Q$5,Z29:AC29)</f>
        <v>135000</v>
      </c>
      <c r="R29" s="414">
        <f t="shared" ref="R29:R35" si="10">IFERROR(-P29+O30,"")</f>
        <v>-50</v>
      </c>
      <c r="S29" s="456">
        <f>IFERROR(+P29/O29,"")</f>
        <v>0.461538461538462</v>
      </c>
      <c r="T29" s="457">
        <f ca="1">SUMIFS('01工程产值对比表'!V:V,'01工程产值对比表'!C:C,F38,'01工程产值对比表'!D:D,K38)</f>
        <v>0</v>
      </c>
      <c r="U29" s="458">
        <f ca="1" t="shared" si="9"/>
        <v>0</v>
      </c>
      <c r="V29" s="370"/>
      <c r="W29" s="370"/>
      <c r="X29" s="370"/>
      <c r="Y29" s="370"/>
      <c r="Z29" s="370"/>
      <c r="AA29" s="370">
        <v>150</v>
      </c>
      <c r="AB29" s="369">
        <f t="shared" si="8"/>
        <v>135000</v>
      </c>
    </row>
    <row r="30" ht="24.95" customHeight="1" outlineLevel="3" spans="1:28">
      <c r="A30" s="371"/>
      <c r="B30" s="370"/>
      <c r="C30" s="370"/>
      <c r="D30" s="370"/>
      <c r="E30" s="370"/>
      <c r="F30" s="372" t="s">
        <v>2425</v>
      </c>
      <c r="G30" s="370"/>
      <c r="H30" s="367">
        <f>+O30*N30</f>
        <v>25000</v>
      </c>
      <c r="I30" s="370"/>
      <c r="J30" s="367"/>
      <c r="K30" s="411" t="s">
        <v>448</v>
      </c>
      <c r="L30" s="411" t="s">
        <v>2792</v>
      </c>
      <c r="M30" s="417" t="s">
        <v>2774</v>
      </c>
      <c r="N30" s="418">
        <v>250</v>
      </c>
      <c r="O30" s="410">
        <v>100</v>
      </c>
      <c r="P30" s="414">
        <f>SUMIF($Z$5:$AB$5,P$5,Z30:AB30)</f>
        <v>20</v>
      </c>
      <c r="Q30" s="414">
        <f>SUMIF($Z$5:$AB$5,Q$5,Z30:AC30)</f>
        <v>5000</v>
      </c>
      <c r="R30" s="414">
        <f t="shared" si="10"/>
        <v>-20</v>
      </c>
      <c r="S30" s="456">
        <f>IFERROR(+P30/O30,"")</f>
        <v>0.2</v>
      </c>
      <c r="T30" s="457">
        <f ca="1">SUMIFS('01工程产值对比表'!V:V,'01工程产值对比表'!C:C,F39,'01工程产值对比表'!D:D,K39)</f>
        <v>0</v>
      </c>
      <c r="U30" s="458">
        <f ca="1" t="shared" si="9"/>
        <v>0</v>
      </c>
      <c r="V30" s="370"/>
      <c r="W30" s="370"/>
      <c r="X30" s="370"/>
      <c r="Y30" s="370"/>
      <c r="Z30" s="370"/>
      <c r="AA30" s="370">
        <v>20</v>
      </c>
      <c r="AB30" s="369">
        <f t="shared" si="8"/>
        <v>5000</v>
      </c>
    </row>
    <row r="31" ht="24.95" customHeight="1" outlineLevel="3" spans="1:28">
      <c r="A31" s="371">
        <v>3</v>
      </c>
      <c r="B31" s="370" t="s">
        <v>2793</v>
      </c>
      <c r="C31" s="370"/>
      <c r="D31" s="370"/>
      <c r="E31" s="370"/>
      <c r="F31" s="372" t="s">
        <v>64</v>
      </c>
      <c r="G31" s="370"/>
      <c r="H31" s="370">
        <f>SUM(H32:H36)</f>
        <v>1691300</v>
      </c>
      <c r="I31" s="370"/>
      <c r="J31" s="367"/>
      <c r="K31" s="411"/>
      <c r="L31" s="411"/>
      <c r="M31" s="417"/>
      <c r="N31" s="418"/>
      <c r="O31" s="410"/>
      <c r="P31" s="414"/>
      <c r="Q31" s="370">
        <f>SUM(Q32:Q36)</f>
        <v>703250</v>
      </c>
      <c r="R31" s="414"/>
      <c r="S31" s="456"/>
      <c r="T31" s="457"/>
      <c r="U31" s="370">
        <f ca="1">SUM(U32:U36)</f>
        <v>671850.058168757</v>
      </c>
      <c r="V31" s="370"/>
      <c r="W31" s="370"/>
      <c r="X31" s="370"/>
      <c r="Y31" s="370"/>
      <c r="Z31" s="370"/>
      <c r="AA31" s="370"/>
      <c r="AB31" s="470">
        <f>SUM(AB32:AB36)</f>
        <v>703250</v>
      </c>
    </row>
    <row r="32" ht="24.95" customHeight="1" outlineLevel="3" spans="1:28">
      <c r="A32" s="371"/>
      <c r="B32" s="368" t="s">
        <v>2794</v>
      </c>
      <c r="C32" s="370"/>
      <c r="D32" s="370"/>
      <c r="E32" s="370"/>
      <c r="F32" s="372" t="s">
        <v>64</v>
      </c>
      <c r="G32" s="370"/>
      <c r="H32" s="367">
        <f>+O32*N32</f>
        <v>231000</v>
      </c>
      <c r="I32" s="370"/>
      <c r="J32" s="367"/>
      <c r="K32" s="411" t="s">
        <v>296</v>
      </c>
      <c r="L32" s="419" t="s">
        <v>2795</v>
      </c>
      <c r="M32" s="419" t="s">
        <v>2796</v>
      </c>
      <c r="N32" s="420">
        <v>700</v>
      </c>
      <c r="O32" s="410">
        <v>330</v>
      </c>
      <c r="P32" s="414">
        <f>SUMIF($Z$5:$AB$5,P$5,Z32:AB32)</f>
        <v>155</v>
      </c>
      <c r="Q32" s="414">
        <f>SUMIF($Z$5:$AB$5,Q$5,Z32:AC32)</f>
        <v>108500</v>
      </c>
      <c r="R32" s="414">
        <f t="shared" si="10"/>
        <v>17595</v>
      </c>
      <c r="S32" s="456">
        <f>IFERROR(+P32/O32,"")</f>
        <v>0.46969696969697</v>
      </c>
      <c r="T32" s="457">
        <f ca="1">SUMIFS('01工程产值对比表'!V:V,'01工程产值对比表'!C:C,F32,'01工程产值对比表'!D:D,K32)</f>
        <v>11197.5009694793</v>
      </c>
      <c r="U32" s="458">
        <f ca="1" t="shared" si="9"/>
        <v>671850.058168757</v>
      </c>
      <c r="V32" s="370"/>
      <c r="W32" s="370"/>
      <c r="X32" s="370"/>
      <c r="Y32" s="370"/>
      <c r="Z32" s="370"/>
      <c r="AA32" s="370">
        <v>155</v>
      </c>
      <c r="AB32" s="369">
        <f t="shared" si="8"/>
        <v>108500</v>
      </c>
    </row>
    <row r="33" ht="24.95" customHeight="1" outlineLevel="3" spans="1:28">
      <c r="A33" s="371"/>
      <c r="B33" s="370"/>
      <c r="C33" s="370"/>
      <c r="D33" s="370"/>
      <c r="E33" s="370"/>
      <c r="F33" s="372" t="s">
        <v>64</v>
      </c>
      <c r="G33" s="370"/>
      <c r="H33" s="367">
        <f>+O33*N33</f>
        <v>1065000</v>
      </c>
      <c r="I33" s="370"/>
      <c r="J33" s="367"/>
      <c r="K33" s="411" t="s">
        <v>165</v>
      </c>
      <c r="L33" s="421" t="s">
        <v>165</v>
      </c>
      <c r="M33" s="421" t="s">
        <v>2797</v>
      </c>
      <c r="N33" s="422">
        <v>60</v>
      </c>
      <c r="O33" s="410">
        <v>17750</v>
      </c>
      <c r="P33" s="414">
        <f>SUMIF($Z$5:$AB$5,P$5,Z33:AB33)</f>
        <v>8000</v>
      </c>
      <c r="Q33" s="414">
        <f>SUMIF($Z$5:$AB$5,Q$5,Z33:AC33)</f>
        <v>480000</v>
      </c>
      <c r="R33" s="414">
        <f t="shared" si="10"/>
        <v>74300</v>
      </c>
      <c r="S33" s="456">
        <f>IFERROR(+P33/O33,"")</f>
        <v>0.450704225352113</v>
      </c>
      <c r="T33" s="457">
        <f ca="1">SUMIFS('01工程产值对比表'!V:V,'01工程产值对比表'!C:C,F42,'01工程产值对比表'!D:D,K42)</f>
        <v>0</v>
      </c>
      <c r="U33" s="458">
        <f ca="1" t="shared" si="9"/>
        <v>0</v>
      </c>
      <c r="V33" s="370"/>
      <c r="W33" s="370"/>
      <c r="X33" s="370"/>
      <c r="Y33" s="370"/>
      <c r="Z33" s="370"/>
      <c r="AA33" s="370">
        <v>8000</v>
      </c>
      <c r="AB33" s="369">
        <f t="shared" si="8"/>
        <v>480000</v>
      </c>
    </row>
    <row r="34" ht="24.95" customHeight="1" outlineLevel="3" spans="1:28">
      <c r="A34" s="371"/>
      <c r="B34" s="370"/>
      <c r="C34" s="370"/>
      <c r="D34" s="370"/>
      <c r="E34" s="370"/>
      <c r="F34" s="372" t="s">
        <v>64</v>
      </c>
      <c r="G34" s="370"/>
      <c r="H34" s="367">
        <f>+O34*N34</f>
        <v>82300</v>
      </c>
      <c r="I34" s="370"/>
      <c r="J34" s="367"/>
      <c r="K34" s="411" t="s">
        <v>515</v>
      </c>
      <c r="L34" s="421" t="s">
        <v>2798</v>
      </c>
      <c r="M34" s="421" t="s">
        <v>2799</v>
      </c>
      <c r="N34" s="422">
        <v>1</v>
      </c>
      <c r="O34" s="410">
        <v>82300</v>
      </c>
      <c r="P34" s="414">
        <f>SUMIF($Z$5:$AB$5,P$5,Z34:AB34)</f>
        <v>15000</v>
      </c>
      <c r="Q34" s="414">
        <f>SUMIF($Z$5:$AB$5,Q$5,Z34:AC34)</f>
        <v>15000</v>
      </c>
      <c r="R34" s="414">
        <f t="shared" si="10"/>
        <v>-13800</v>
      </c>
      <c r="S34" s="456">
        <f>IFERROR(+P34/O34,"")</f>
        <v>0.182260024301337</v>
      </c>
      <c r="T34" s="457">
        <f ca="1">SUMIFS('01工程产值对比表'!V:V,'01工程产值对比表'!C:C,F43,'01工程产值对比表'!D:D,K43)</f>
        <v>0</v>
      </c>
      <c r="U34" s="458">
        <f ca="1" t="shared" si="9"/>
        <v>0</v>
      </c>
      <c r="V34" s="370"/>
      <c r="W34" s="370"/>
      <c r="X34" s="370"/>
      <c r="Y34" s="370"/>
      <c r="Z34" s="370"/>
      <c r="AA34" s="370">
        <v>15000</v>
      </c>
      <c r="AB34" s="369">
        <f t="shared" si="8"/>
        <v>15000</v>
      </c>
    </row>
    <row r="35" ht="24.95" customHeight="1" outlineLevel="3" spans="1:28">
      <c r="A35" s="371"/>
      <c r="B35" s="370"/>
      <c r="C35" s="370"/>
      <c r="D35" s="370"/>
      <c r="E35" s="370"/>
      <c r="F35" s="372" t="s">
        <v>64</v>
      </c>
      <c r="G35" s="370"/>
      <c r="H35" s="367">
        <f>+O35*N35</f>
        <v>288000</v>
      </c>
      <c r="I35" s="370"/>
      <c r="J35" s="367"/>
      <c r="K35" s="411" t="s">
        <v>822</v>
      </c>
      <c r="L35" s="419" t="s">
        <v>2800</v>
      </c>
      <c r="M35" s="419" t="s">
        <v>2801</v>
      </c>
      <c r="N35" s="420">
        <v>240</v>
      </c>
      <c r="O35" s="410">
        <v>1200</v>
      </c>
      <c r="P35" s="414">
        <f>SUMIF($Z$5:$AB$5,P$5,Z35:AB35)</f>
        <v>400</v>
      </c>
      <c r="Q35" s="414">
        <f>SUMIF($Z$5:$AB$5,Q$5,Z35:AC35)</f>
        <v>96000</v>
      </c>
      <c r="R35" s="414">
        <f t="shared" si="10"/>
        <v>-300</v>
      </c>
      <c r="S35" s="456">
        <f>IFERROR(+P35/O35,"")</f>
        <v>0.333333333333333</v>
      </c>
      <c r="T35" s="457">
        <f ca="1">SUMIFS('01工程产值对比表'!V:V,'01工程产值对比表'!C:C,F44,'01工程产值对比表'!D:D,K44)</f>
        <v>0</v>
      </c>
      <c r="U35" s="458">
        <f ca="1" t="shared" si="9"/>
        <v>0</v>
      </c>
      <c r="V35" s="370"/>
      <c r="W35" s="370"/>
      <c r="X35" s="370"/>
      <c r="Y35" s="370"/>
      <c r="Z35" s="370"/>
      <c r="AA35" s="370">
        <v>400</v>
      </c>
      <c r="AB35" s="369">
        <f t="shared" si="8"/>
        <v>96000</v>
      </c>
    </row>
    <row r="36" ht="24.95" customHeight="1" outlineLevel="1" spans="1:28">
      <c r="A36" s="371"/>
      <c r="B36" s="367"/>
      <c r="C36" s="367"/>
      <c r="D36" s="373"/>
      <c r="E36" s="367"/>
      <c r="F36" s="372" t="s">
        <v>2425</v>
      </c>
      <c r="G36" s="374"/>
      <c r="H36" s="367">
        <f>+O36*N36</f>
        <v>25000</v>
      </c>
      <c r="I36" s="423"/>
      <c r="J36" s="367">
        <f>COUNTIFS(K:K,K36,E:E,E36)</f>
        <v>0</v>
      </c>
      <c r="K36" s="411" t="s">
        <v>448</v>
      </c>
      <c r="L36" s="411" t="s">
        <v>2792</v>
      </c>
      <c r="M36" s="417" t="s">
        <v>2774</v>
      </c>
      <c r="N36" s="418">
        <v>250</v>
      </c>
      <c r="O36" s="410">
        <v>100</v>
      </c>
      <c r="P36" s="414">
        <f>SUMIF($Z$5:$AB$5,P$5,Z36:AB36)</f>
        <v>15</v>
      </c>
      <c r="Q36" s="414">
        <f>SUMIF($Z$5:$AB$5,Q$5,Z36:AC36)</f>
        <v>3750</v>
      </c>
      <c r="R36" s="414">
        <f>IFERROR(-P36+O36,"")</f>
        <v>85</v>
      </c>
      <c r="S36" s="456">
        <f>IFERROR(+P36/O36,"")</f>
        <v>0.15</v>
      </c>
      <c r="T36" s="457">
        <f ca="1">SUMIFS('01工程产值对比表'!V:V,'01工程产值对比表'!C:C,F45,'01工程产值对比表'!D:D,K45)</f>
        <v>0</v>
      </c>
      <c r="U36" s="458">
        <f ca="1" t="shared" si="9"/>
        <v>0</v>
      </c>
      <c r="V36" s="380"/>
      <c r="W36" s="380"/>
      <c r="X36" s="380"/>
      <c r="Y36" s="380"/>
      <c r="Z36" s="380"/>
      <c r="AA36" s="380">
        <v>15</v>
      </c>
      <c r="AB36" s="369">
        <f t="shared" si="8"/>
        <v>3750</v>
      </c>
    </row>
    <row r="37" s="343" customFormat="1" ht="24.95" customHeight="1" spans="1:28">
      <c r="A37" s="361"/>
      <c r="B37" s="362" t="s">
        <v>2802</v>
      </c>
      <c r="C37" s="375"/>
      <c r="D37" s="376"/>
      <c r="E37" s="375"/>
      <c r="F37" s="377"/>
      <c r="G37" s="378"/>
      <c r="H37" s="379">
        <f>+H38+H41+H43+H46+H48</f>
        <v>19044370</v>
      </c>
      <c r="I37" s="379"/>
      <c r="J37" s="375"/>
      <c r="K37" s="424"/>
      <c r="L37" s="425"/>
      <c r="M37" s="426"/>
      <c r="N37" s="427"/>
      <c r="O37" s="428"/>
      <c r="P37" s="405"/>
      <c r="Q37" s="379">
        <f>+Q38+Q41+Q43+Q46+Q48</f>
        <v>0</v>
      </c>
      <c r="R37" s="459"/>
      <c r="S37" s="451"/>
      <c r="T37" s="460"/>
      <c r="U37" s="379">
        <f ca="1">+U38+U41+U43+U46+U48</f>
        <v>0</v>
      </c>
      <c r="V37" s="461"/>
      <c r="W37" s="461"/>
      <c r="X37" s="379" t="e">
        <f>#REF!+#REF!+#REF!+#REF!+#REF!+#REF!++#REF!+#REF!+#REF!+#REF!+#REF!+#REF!+#REF!+#REF!+#REF!+#REF!+#REF!+#REF!+#REF!+#REF!+#REF!+#REF!</f>
        <v>#REF!</v>
      </c>
      <c r="Y37" s="461"/>
      <c r="Z37" s="461"/>
      <c r="AA37" s="461"/>
      <c r="AB37" s="379">
        <f>+AB38+AB41+AB43+AB46+AB48</f>
        <v>0</v>
      </c>
    </row>
    <row r="38" ht="24.95" customHeight="1" outlineLevel="1" spans="1:28">
      <c r="A38" s="371">
        <v>1</v>
      </c>
      <c r="B38" s="368" t="s">
        <v>2099</v>
      </c>
      <c r="C38" s="368"/>
      <c r="D38" s="370"/>
      <c r="E38" s="368"/>
      <c r="F38" s="372"/>
      <c r="G38" s="372"/>
      <c r="H38" s="370">
        <f>SUM(H39:H40)</f>
        <v>3765870</v>
      </c>
      <c r="I38" s="380"/>
      <c r="J38" s="368"/>
      <c r="K38" s="429"/>
      <c r="L38" s="430"/>
      <c r="M38" s="431"/>
      <c r="N38" s="432"/>
      <c r="O38" s="433"/>
      <c r="P38" s="414"/>
      <c r="Q38" s="370">
        <f>SUM(Q39:Q40)</f>
        <v>0</v>
      </c>
      <c r="R38" s="370"/>
      <c r="S38" s="456"/>
      <c r="T38" s="457">
        <f ca="1">SUMIFS('01工程产值对比表'!V:V,'01工程产值对比表'!C:C,F47,'01工程产值对比表'!D:D,K47)</f>
        <v>0</v>
      </c>
      <c r="U38" s="370">
        <f ca="1">SUM(U39:U40)</f>
        <v>0</v>
      </c>
      <c r="V38" s="380"/>
      <c r="W38" s="380"/>
      <c r="X38" s="380"/>
      <c r="Y38" s="380"/>
      <c r="Z38" s="380"/>
      <c r="AA38" s="380"/>
      <c r="AB38" s="469">
        <f>SUM(AB39:AB40)</f>
        <v>0</v>
      </c>
    </row>
    <row r="39" ht="24.95" customHeight="1" outlineLevel="1" spans="1:28">
      <c r="A39" s="371"/>
      <c r="B39" s="368" t="s">
        <v>2803</v>
      </c>
      <c r="C39" s="368"/>
      <c r="D39" s="370"/>
      <c r="E39" s="368"/>
      <c r="F39" s="372"/>
      <c r="G39" s="372"/>
      <c r="H39" s="367">
        <f>+O39*N39</f>
        <v>2378000</v>
      </c>
      <c r="I39" s="380"/>
      <c r="J39" s="368"/>
      <c r="K39" s="429" t="s">
        <v>2099</v>
      </c>
      <c r="L39" s="430" t="s">
        <v>35</v>
      </c>
      <c r="M39" s="431" t="s">
        <v>82</v>
      </c>
      <c r="N39" s="432">
        <v>410</v>
      </c>
      <c r="O39" s="433">
        <f>7500-1700</f>
        <v>5800</v>
      </c>
      <c r="P39" s="414">
        <f t="shared" ref="P39:P45" si="11">SUMIF($Z$5:$AB$5,P$5,Z39:AB39)</f>
        <v>0</v>
      </c>
      <c r="Q39" s="414">
        <f t="shared" ref="Q39:Q45" si="12">SUMIF($Z$5:$AB$5,Q$5,Z39:AC39)</f>
        <v>0</v>
      </c>
      <c r="R39" s="414">
        <f t="shared" ref="R39:R45" si="13">IFERROR(-P39+O39,"")</f>
        <v>5800</v>
      </c>
      <c r="S39" s="456">
        <f>IFERROR(+P39/O39,"")</f>
        <v>0</v>
      </c>
      <c r="T39" s="457">
        <f ca="1">SUMIFS('01工程产值对比表'!V:V,'01工程产值对比表'!C:C,#REF!,'01工程产值对比表'!D:D,#REF!)</f>
        <v>0</v>
      </c>
      <c r="U39" s="458">
        <f ca="1">T39*N40</f>
        <v>0</v>
      </c>
      <c r="V39" s="380"/>
      <c r="W39" s="380"/>
      <c r="X39" s="380"/>
      <c r="Y39" s="380"/>
      <c r="Z39" s="380"/>
      <c r="AA39" s="380"/>
      <c r="AB39" s="369">
        <f t="shared" si="8"/>
        <v>0</v>
      </c>
    </row>
    <row r="40" ht="24.95" customHeight="1" outlineLevel="1" spans="1:28">
      <c r="A40" s="371"/>
      <c r="B40" s="368"/>
      <c r="C40" s="368"/>
      <c r="D40" s="370"/>
      <c r="E40" s="368"/>
      <c r="F40" s="372"/>
      <c r="G40" s="372"/>
      <c r="H40" s="367">
        <f>+O40*N40</f>
        <v>1387870</v>
      </c>
      <c r="I40" s="380"/>
      <c r="J40" s="368"/>
      <c r="K40" s="429" t="s">
        <v>2099</v>
      </c>
      <c r="L40" s="430" t="s">
        <v>2804</v>
      </c>
      <c r="M40" s="431" t="s">
        <v>82</v>
      </c>
      <c r="N40" s="432">
        <v>370</v>
      </c>
      <c r="O40" s="433">
        <f>2051+1700</f>
        <v>3751</v>
      </c>
      <c r="P40" s="414">
        <f t="shared" si="11"/>
        <v>0</v>
      </c>
      <c r="Q40" s="414">
        <f t="shared" si="12"/>
        <v>0</v>
      </c>
      <c r="R40" s="414">
        <f t="shared" si="13"/>
        <v>3751</v>
      </c>
      <c r="S40" s="456">
        <f>IFERROR(+P40/O40,"")</f>
        <v>0</v>
      </c>
      <c r="T40" s="457">
        <f ca="1">SUMIFS('01工程产值对比表'!V:V,'01工程产值对比表'!C:C,F53,'01工程产值对比表'!D:D,K53)</f>
        <v>0</v>
      </c>
      <c r="U40" s="458">
        <f ca="1">T40*N41</f>
        <v>0</v>
      </c>
      <c r="V40" s="380"/>
      <c r="W40" s="380"/>
      <c r="X40" s="380"/>
      <c r="Y40" s="380"/>
      <c r="Z40" s="380"/>
      <c r="AA40" s="380"/>
      <c r="AB40" s="369">
        <f t="shared" si="8"/>
        <v>0</v>
      </c>
    </row>
    <row r="41" ht="24.95" customHeight="1" outlineLevel="1" spans="1:28">
      <c r="A41" s="371">
        <v>2</v>
      </c>
      <c r="B41" s="368" t="s">
        <v>2805</v>
      </c>
      <c r="C41" s="368"/>
      <c r="D41" s="370"/>
      <c r="E41" s="368"/>
      <c r="F41" s="372"/>
      <c r="G41" s="372"/>
      <c r="H41" s="370">
        <f>SUM(H42)</f>
        <v>2300000</v>
      </c>
      <c r="I41" s="380"/>
      <c r="J41" s="368"/>
      <c r="K41" s="429"/>
      <c r="L41" s="430"/>
      <c r="M41" s="431"/>
      <c r="N41" s="432"/>
      <c r="O41" s="433"/>
      <c r="P41" s="414"/>
      <c r="Q41" s="370">
        <f>SUM(Q42)</f>
        <v>0</v>
      </c>
      <c r="R41" s="370"/>
      <c r="S41" s="456"/>
      <c r="T41" s="457"/>
      <c r="U41" s="370">
        <f ca="1">SUM(U42)</f>
        <v>0</v>
      </c>
      <c r="V41" s="380"/>
      <c r="W41" s="380"/>
      <c r="X41" s="380"/>
      <c r="Y41" s="380"/>
      <c r="Z41" s="380"/>
      <c r="AA41" s="380"/>
      <c r="AB41" s="470">
        <f>SUM(AB42)</f>
        <v>0</v>
      </c>
    </row>
    <row r="42" ht="24.95" customHeight="1" outlineLevel="1" spans="1:28">
      <c r="A42" s="371"/>
      <c r="B42" s="368" t="s">
        <v>2794</v>
      </c>
      <c r="C42" s="368"/>
      <c r="D42" s="370"/>
      <c r="E42" s="368"/>
      <c r="F42" s="372"/>
      <c r="G42" s="372"/>
      <c r="H42" s="367">
        <f>+O42*N42</f>
        <v>2300000</v>
      </c>
      <c r="I42" s="380"/>
      <c r="J42" s="368"/>
      <c r="K42" s="429" t="s">
        <v>2805</v>
      </c>
      <c r="L42" s="429" t="s">
        <v>2806</v>
      </c>
      <c r="M42" s="431" t="s">
        <v>82</v>
      </c>
      <c r="N42" s="432">
        <v>200</v>
      </c>
      <c r="O42" s="433">
        <v>11500</v>
      </c>
      <c r="P42" s="414">
        <f t="shared" si="11"/>
        <v>0</v>
      </c>
      <c r="Q42" s="414">
        <f t="shared" si="12"/>
        <v>0</v>
      </c>
      <c r="R42" s="414">
        <f t="shared" si="13"/>
        <v>11500</v>
      </c>
      <c r="S42" s="456">
        <f>IFERROR(+P42/O42,"")</f>
        <v>0</v>
      </c>
      <c r="T42" s="457">
        <f ca="1">SUMIFS('01工程产值对比表'!V:V,'01工程产值对比表'!C:C,F55,'01工程产值对比表'!D:D,K55)</f>
        <v>0</v>
      </c>
      <c r="U42" s="458">
        <f ca="1">T42*N43</f>
        <v>0</v>
      </c>
      <c r="V42" s="380"/>
      <c r="W42" s="380"/>
      <c r="X42" s="380"/>
      <c r="Y42" s="380"/>
      <c r="Z42" s="380"/>
      <c r="AA42" s="380"/>
      <c r="AB42" s="369">
        <f t="shared" ref="AB42:AB70" si="14">+AA42*N42</f>
        <v>0</v>
      </c>
    </row>
    <row r="43" ht="24.95" customHeight="1" outlineLevel="1" spans="1:28">
      <c r="A43" s="371">
        <v>3</v>
      </c>
      <c r="B43" s="368" t="s">
        <v>2096</v>
      </c>
      <c r="C43" s="368"/>
      <c r="D43" s="370"/>
      <c r="E43" s="368"/>
      <c r="F43" s="372"/>
      <c r="G43" s="372"/>
      <c r="H43" s="370">
        <f>SUM(H44:H45)</f>
        <v>2599000</v>
      </c>
      <c r="I43" s="380"/>
      <c r="J43" s="368"/>
      <c r="K43" s="429"/>
      <c r="L43" s="430"/>
      <c r="M43" s="431"/>
      <c r="N43" s="432"/>
      <c r="O43" s="433"/>
      <c r="P43" s="414"/>
      <c r="Q43" s="370">
        <f>SUM(Q44:Q45)</f>
        <v>0</v>
      </c>
      <c r="R43" s="370"/>
      <c r="S43" s="456"/>
      <c r="T43" s="457"/>
      <c r="U43" s="370">
        <f ca="1">SUM(U44:U45)</f>
        <v>0</v>
      </c>
      <c r="V43" s="380"/>
      <c r="W43" s="380"/>
      <c r="X43" s="380"/>
      <c r="Y43" s="380"/>
      <c r="Z43" s="380"/>
      <c r="AA43" s="380"/>
      <c r="AB43" s="470">
        <f>SUM(AB44:AB45)</f>
        <v>0</v>
      </c>
    </row>
    <row r="44" ht="24.95" customHeight="1" outlineLevel="1" spans="1:28">
      <c r="A44" s="371"/>
      <c r="B44" s="368" t="s">
        <v>2794</v>
      </c>
      <c r="C44" s="368"/>
      <c r="D44" s="370"/>
      <c r="E44" s="368"/>
      <c r="F44" s="372"/>
      <c r="G44" s="372"/>
      <c r="H44" s="367">
        <f>+O44*N44</f>
        <v>1000000</v>
      </c>
      <c r="I44" s="380"/>
      <c r="J44" s="368"/>
      <c r="K44" s="429" t="s">
        <v>2096</v>
      </c>
      <c r="L44" s="430" t="s">
        <v>2807</v>
      </c>
      <c r="M44" s="431" t="s">
        <v>82</v>
      </c>
      <c r="N44" s="418">
        <v>4000</v>
      </c>
      <c r="O44" s="418">
        <v>250</v>
      </c>
      <c r="P44" s="414">
        <f t="shared" si="11"/>
        <v>0</v>
      </c>
      <c r="Q44" s="414">
        <f t="shared" si="12"/>
        <v>0</v>
      </c>
      <c r="R44" s="414">
        <f t="shared" si="13"/>
        <v>250</v>
      </c>
      <c r="S44" s="456">
        <f>IFERROR(+P44/O44,"")</f>
        <v>0</v>
      </c>
      <c r="T44" s="457">
        <f ca="1">SUMIFS('01工程产值对比表'!V:V,'01工程产值对比表'!C:C,F57,'01工程产值对比表'!D:D,K57)</f>
        <v>0</v>
      </c>
      <c r="U44" s="458">
        <f ca="1">T44*N45</f>
        <v>0</v>
      </c>
      <c r="V44" s="380"/>
      <c r="W44" s="380"/>
      <c r="X44" s="380"/>
      <c r="Y44" s="380"/>
      <c r="Z44" s="380"/>
      <c r="AA44" s="380"/>
      <c r="AB44" s="369">
        <f t="shared" si="14"/>
        <v>0</v>
      </c>
    </row>
    <row r="45" ht="24.95" customHeight="1" outlineLevel="1" spans="1:28">
      <c r="A45" s="371"/>
      <c r="B45" s="368"/>
      <c r="C45" s="368"/>
      <c r="D45" s="370"/>
      <c r="E45" s="368"/>
      <c r="F45" s="372"/>
      <c r="G45" s="372"/>
      <c r="H45" s="367">
        <f>+O45*N45</f>
        <v>1599000</v>
      </c>
      <c r="I45" s="380"/>
      <c r="J45" s="368"/>
      <c r="K45" s="429" t="s">
        <v>2096</v>
      </c>
      <c r="L45" s="430" t="s">
        <v>2808</v>
      </c>
      <c r="M45" s="431" t="s">
        <v>82</v>
      </c>
      <c r="N45" s="418">
        <v>3900</v>
      </c>
      <c r="O45" s="418">
        <f>660-250</f>
        <v>410</v>
      </c>
      <c r="P45" s="414">
        <f t="shared" si="11"/>
        <v>0</v>
      </c>
      <c r="Q45" s="414">
        <f t="shared" si="12"/>
        <v>0</v>
      </c>
      <c r="R45" s="414">
        <f t="shared" si="13"/>
        <v>410</v>
      </c>
      <c r="S45" s="456">
        <f>IFERROR(+P45/O45,"")</f>
        <v>0</v>
      </c>
      <c r="T45" s="457">
        <f ca="1">SUMIFS('01工程产值对比表'!V:V,'01工程产值对比表'!C:C,F58,'01工程产值对比表'!D:D,K58)</f>
        <v>0</v>
      </c>
      <c r="U45" s="458">
        <f ca="1">T45*N46</f>
        <v>0</v>
      </c>
      <c r="V45" s="380"/>
      <c r="W45" s="380"/>
      <c r="X45" s="380"/>
      <c r="Y45" s="380"/>
      <c r="Z45" s="380"/>
      <c r="AA45" s="380"/>
      <c r="AB45" s="369">
        <f t="shared" si="14"/>
        <v>0</v>
      </c>
    </row>
    <row r="46" ht="24.95" customHeight="1" outlineLevel="1" spans="1:28">
      <c r="A46" s="371">
        <v>4</v>
      </c>
      <c r="B46" s="368" t="s">
        <v>530</v>
      </c>
      <c r="C46" s="368"/>
      <c r="D46" s="370"/>
      <c r="E46" s="368"/>
      <c r="F46" s="372"/>
      <c r="G46" s="372"/>
      <c r="H46" s="370">
        <f>SUM(H47)</f>
        <v>264000</v>
      </c>
      <c r="I46" s="380"/>
      <c r="J46" s="368"/>
      <c r="K46" s="429"/>
      <c r="L46" s="430"/>
      <c r="M46" s="431"/>
      <c r="N46" s="418"/>
      <c r="O46" s="410"/>
      <c r="P46" s="414"/>
      <c r="Q46" s="370">
        <f>SUM(Q47)</f>
        <v>0</v>
      </c>
      <c r="R46" s="370"/>
      <c r="S46" s="456"/>
      <c r="T46" s="457"/>
      <c r="U46" s="370">
        <f ca="1">SUM(U47)</f>
        <v>0</v>
      </c>
      <c r="V46" s="380"/>
      <c r="W46" s="380"/>
      <c r="X46" s="380"/>
      <c r="Y46" s="380"/>
      <c r="Z46" s="380"/>
      <c r="AA46" s="380"/>
      <c r="AB46" s="469">
        <f>SUM(AB47)</f>
        <v>0</v>
      </c>
    </row>
    <row r="47" ht="24.95" customHeight="1" outlineLevel="1" spans="1:28">
      <c r="A47" s="371"/>
      <c r="B47" s="368" t="s">
        <v>2794</v>
      </c>
      <c r="C47" s="368"/>
      <c r="D47" s="370"/>
      <c r="E47" s="368"/>
      <c r="F47" s="372"/>
      <c r="G47" s="372"/>
      <c r="H47" s="367">
        <f>+O47*N47</f>
        <v>264000</v>
      </c>
      <c r="I47" s="380"/>
      <c r="J47" s="368"/>
      <c r="K47" s="429" t="s">
        <v>530</v>
      </c>
      <c r="L47" s="429" t="s">
        <v>530</v>
      </c>
      <c r="M47" s="431" t="s">
        <v>69</v>
      </c>
      <c r="N47" s="418">
        <v>2.2</v>
      </c>
      <c r="O47" s="410">
        <v>120000</v>
      </c>
      <c r="P47" s="414">
        <f>SUMIF($Z$5:$AB$5,P$5,Z47:AB47)</f>
        <v>0</v>
      </c>
      <c r="Q47" s="414">
        <f>SUMIF($Z$5:$AB$5,Q$5,Z47:AC47)</f>
        <v>0</v>
      </c>
      <c r="R47" s="414">
        <f>IFERROR(-P47+O47,"")</f>
        <v>120000</v>
      </c>
      <c r="S47" s="456">
        <f t="shared" ref="S47:S52" si="15">IFERROR(+P47/O47,"")</f>
        <v>0</v>
      </c>
      <c r="T47" s="457">
        <f ca="1">SUMIFS('01工程产值对比表'!V:V,'01工程产值对比表'!C:C,F60,'01工程产值对比表'!D:D,K60)</f>
        <v>0</v>
      </c>
      <c r="U47" s="458">
        <f ca="1">T47*N48</f>
        <v>0</v>
      </c>
      <c r="V47" s="380"/>
      <c r="W47" s="380"/>
      <c r="X47" s="380"/>
      <c r="Y47" s="380"/>
      <c r="Z47" s="380"/>
      <c r="AA47" s="380"/>
      <c r="AB47" s="369">
        <f t="shared" si="14"/>
        <v>0</v>
      </c>
    </row>
    <row r="48" ht="24.95" customHeight="1" outlineLevel="1" spans="1:28">
      <c r="A48" s="371">
        <v>5</v>
      </c>
      <c r="B48" s="368" t="s">
        <v>2086</v>
      </c>
      <c r="C48" s="368"/>
      <c r="D48" s="370"/>
      <c r="E48" s="368"/>
      <c r="F48" s="372"/>
      <c r="G48" s="372"/>
      <c r="H48" s="370">
        <f>SUM(H49:H52)</f>
        <v>10115500</v>
      </c>
      <c r="I48" s="380"/>
      <c r="J48" s="368"/>
      <c r="K48" s="429"/>
      <c r="L48" s="429"/>
      <c r="M48" s="431"/>
      <c r="N48" s="418"/>
      <c r="O48" s="410"/>
      <c r="P48" s="414"/>
      <c r="Q48" s="370">
        <f>SUM(Q49:Q52)</f>
        <v>0</v>
      </c>
      <c r="R48" s="414"/>
      <c r="S48" s="456" t="str">
        <f t="shared" si="15"/>
        <v/>
      </c>
      <c r="T48" s="457"/>
      <c r="U48" s="370">
        <f ca="1">SUM(U49:U52)</f>
        <v>0</v>
      </c>
      <c r="V48" s="380"/>
      <c r="W48" s="380"/>
      <c r="X48" s="380"/>
      <c r="Y48" s="380"/>
      <c r="Z48" s="380"/>
      <c r="AA48" s="380"/>
      <c r="AB48" s="469">
        <f>SUM(AB49:AB52)</f>
        <v>0</v>
      </c>
    </row>
    <row r="49" ht="24.95" customHeight="1" outlineLevel="1" spans="1:28">
      <c r="A49" s="371"/>
      <c r="B49" s="368" t="s">
        <v>2794</v>
      </c>
      <c r="C49" s="368"/>
      <c r="D49" s="370"/>
      <c r="E49" s="368"/>
      <c r="F49" s="372"/>
      <c r="G49" s="372"/>
      <c r="H49" s="367">
        <f>+O49*N49</f>
        <v>5120000</v>
      </c>
      <c r="I49" s="380"/>
      <c r="J49" s="368"/>
      <c r="K49" s="429" t="s">
        <v>2086</v>
      </c>
      <c r="L49" s="429" t="s">
        <v>37</v>
      </c>
      <c r="M49" s="431" t="s">
        <v>82</v>
      </c>
      <c r="N49" s="418">
        <v>160</v>
      </c>
      <c r="O49" s="410">
        <v>32000</v>
      </c>
      <c r="P49" s="414">
        <f>SUMIF($Z$5:$AB$5,P$5,Z49:AB49)</f>
        <v>0</v>
      </c>
      <c r="Q49" s="414">
        <f>SUMIF($Z$5:$AB$5,Q$5,Z49:AC49)</f>
        <v>0</v>
      </c>
      <c r="R49" s="414">
        <f>IFERROR(-P49+O49,"")</f>
        <v>32000</v>
      </c>
      <c r="S49" s="456">
        <f t="shared" si="15"/>
        <v>0</v>
      </c>
      <c r="T49" s="457">
        <f ca="1">SUMIFS('01工程产值对比表'!V:V,'01工程产值对比表'!C:C,F62,'01工程产值对比表'!D:D,K62)</f>
        <v>0</v>
      </c>
      <c r="U49" s="458">
        <f ca="1">T49*N54</f>
        <v>0</v>
      </c>
      <c r="V49" s="380"/>
      <c r="W49" s="380"/>
      <c r="X49" s="380"/>
      <c r="Y49" s="380"/>
      <c r="Z49" s="380"/>
      <c r="AA49" s="380"/>
      <c r="AB49" s="369">
        <f t="shared" si="14"/>
        <v>0</v>
      </c>
    </row>
    <row r="50" ht="24.95" customHeight="1" outlineLevel="1" spans="1:28">
      <c r="A50" s="371"/>
      <c r="B50" s="368"/>
      <c r="C50" s="368"/>
      <c r="D50" s="370"/>
      <c r="E50" s="368"/>
      <c r="F50" s="372"/>
      <c r="G50" s="372"/>
      <c r="H50" s="367">
        <f>+O50*N50</f>
        <v>3386500</v>
      </c>
      <c r="I50" s="380"/>
      <c r="J50" s="368"/>
      <c r="K50" s="429" t="s">
        <v>2086</v>
      </c>
      <c r="L50" s="429" t="s">
        <v>47</v>
      </c>
      <c r="M50" s="431" t="s">
        <v>82</v>
      </c>
      <c r="N50" s="418">
        <v>130</v>
      </c>
      <c r="O50" s="410">
        <f>25000+1050</f>
        <v>26050</v>
      </c>
      <c r="P50" s="414">
        <f>SUMIF($Z$5:$AB$5,P$5,Z50:AB50)</f>
        <v>0</v>
      </c>
      <c r="Q50" s="414">
        <f>SUMIF($Z$5:$AB$5,Q$5,Z50:AC50)</f>
        <v>0</v>
      </c>
      <c r="R50" s="414">
        <f>IFERROR(-P50+O50,"")</f>
        <v>26050</v>
      </c>
      <c r="S50" s="456">
        <f t="shared" si="15"/>
        <v>0</v>
      </c>
      <c r="T50" s="457">
        <f ca="1">SUMIFS('01工程产值对比表'!V:V,'01工程产值对比表'!C:C,F63,'01工程产值对比表'!D:D,K63)</f>
        <v>0</v>
      </c>
      <c r="U50" s="458">
        <f ca="1">T50*N55</f>
        <v>0</v>
      </c>
      <c r="V50" s="380"/>
      <c r="W50" s="380"/>
      <c r="X50" s="380"/>
      <c r="Y50" s="380"/>
      <c r="Z50" s="380"/>
      <c r="AA50" s="380"/>
      <c r="AB50" s="369">
        <f t="shared" si="14"/>
        <v>0</v>
      </c>
    </row>
    <row r="51" ht="24.95" customHeight="1" outlineLevel="1" spans="1:28">
      <c r="A51" s="371"/>
      <c r="B51" s="368"/>
      <c r="C51" s="368"/>
      <c r="D51" s="370"/>
      <c r="E51" s="368"/>
      <c r="F51" s="372"/>
      <c r="G51" s="372"/>
      <c r="H51" s="367">
        <f>+O51*N51</f>
        <v>297000</v>
      </c>
      <c r="I51" s="380"/>
      <c r="J51" s="368"/>
      <c r="K51" s="429"/>
      <c r="L51" s="429" t="s">
        <v>2809</v>
      </c>
      <c r="M51" s="431" t="s">
        <v>82</v>
      </c>
      <c r="N51" s="418">
        <v>90</v>
      </c>
      <c r="O51" s="410">
        <v>3300</v>
      </c>
      <c r="P51" s="414">
        <f>SUMIF($Z$5:$AB$5,P$5,Z51:AB51)</f>
        <v>0</v>
      </c>
      <c r="Q51" s="414">
        <f>SUMIF($Z$5:$AB$5,Q$5,Z51:AC51)</f>
        <v>0</v>
      </c>
      <c r="R51" s="414">
        <f>IFERROR(-P51+O51,"")</f>
        <v>3300</v>
      </c>
      <c r="S51" s="456">
        <f t="shared" si="15"/>
        <v>0</v>
      </c>
      <c r="T51" s="457">
        <f ca="1">SUMIFS('01工程产值对比表'!V:V,'01工程产值对比表'!C:C,F74,'01工程产值对比表'!D:D,K74)</f>
        <v>0</v>
      </c>
      <c r="U51" s="458">
        <f ca="1">T51*N56</f>
        <v>0</v>
      </c>
      <c r="V51" s="380"/>
      <c r="W51" s="380"/>
      <c r="X51" s="380"/>
      <c r="Y51" s="380"/>
      <c r="Z51" s="380"/>
      <c r="AA51" s="380"/>
      <c r="AB51" s="369">
        <f t="shared" si="14"/>
        <v>0</v>
      </c>
    </row>
    <row r="52" ht="24.95" customHeight="1" outlineLevel="1" spans="1:28">
      <c r="A52" s="371"/>
      <c r="B52" s="368"/>
      <c r="C52" s="368"/>
      <c r="D52" s="370"/>
      <c r="E52" s="368"/>
      <c r="F52" s="372"/>
      <c r="G52" s="372"/>
      <c r="H52" s="367">
        <f>+O52*N52</f>
        <v>1312000</v>
      </c>
      <c r="I52" s="380"/>
      <c r="J52" s="368"/>
      <c r="K52" s="429"/>
      <c r="L52" s="429" t="s">
        <v>2810</v>
      </c>
      <c r="M52" s="431" t="s">
        <v>82</v>
      </c>
      <c r="N52" s="418">
        <v>80</v>
      </c>
      <c r="O52" s="410">
        <v>16400</v>
      </c>
      <c r="P52" s="414">
        <f>SUMIF($Z$5:$AB$5,P$5,Z52:AB52)</f>
        <v>0</v>
      </c>
      <c r="Q52" s="414">
        <f>SUMIF($Z$5:$AB$5,Q$5,Z52:AC52)</f>
        <v>0</v>
      </c>
      <c r="R52" s="414">
        <f>IFERROR(-P52+O52,"")</f>
        <v>16400</v>
      </c>
      <c r="S52" s="456">
        <f t="shared" si="15"/>
        <v>0</v>
      </c>
      <c r="T52" s="457">
        <f ca="1">SUMIFS('01工程产值对比表'!V:V,'01工程产值对比表'!C:C,F75,'01工程产值对比表'!D:D,K75)</f>
        <v>0</v>
      </c>
      <c r="U52" s="458">
        <f ca="1">T52*N57</f>
        <v>0</v>
      </c>
      <c r="V52" s="380"/>
      <c r="W52" s="380"/>
      <c r="X52" s="380"/>
      <c r="Y52" s="380"/>
      <c r="Z52" s="380"/>
      <c r="AA52" s="380"/>
      <c r="AB52" s="369">
        <f t="shared" si="14"/>
        <v>0</v>
      </c>
    </row>
    <row r="53" ht="24.95" customHeight="1" outlineLevel="1" spans="1:28">
      <c r="A53" s="371"/>
      <c r="B53" s="368"/>
      <c r="C53" s="368"/>
      <c r="D53" s="370"/>
      <c r="E53" s="368"/>
      <c r="F53" s="372"/>
      <c r="G53" s="372"/>
      <c r="H53" s="367"/>
      <c r="I53" s="380"/>
      <c r="J53" s="368"/>
      <c r="K53" s="429"/>
      <c r="L53" s="430"/>
      <c r="M53" s="431"/>
      <c r="N53" s="418"/>
      <c r="O53" s="410"/>
      <c r="P53" s="414"/>
      <c r="Q53" s="414"/>
      <c r="R53" s="414"/>
      <c r="S53" s="456"/>
      <c r="T53" s="457"/>
      <c r="U53" s="458"/>
      <c r="V53" s="380"/>
      <c r="W53" s="380"/>
      <c r="X53" s="380"/>
      <c r="Y53" s="380"/>
      <c r="Z53" s="380"/>
      <c r="AA53" s="380"/>
      <c r="AB53" s="369">
        <f t="shared" si="14"/>
        <v>0</v>
      </c>
    </row>
    <row r="54" ht="24.95" customHeight="1" outlineLevel="1" spans="1:28">
      <c r="A54" s="371"/>
      <c r="B54" s="368"/>
      <c r="C54" s="368"/>
      <c r="D54" s="370"/>
      <c r="E54" s="368"/>
      <c r="F54" s="372"/>
      <c r="G54" s="372"/>
      <c r="H54" s="380"/>
      <c r="I54" s="380"/>
      <c r="J54" s="368"/>
      <c r="K54" s="429"/>
      <c r="L54" s="430"/>
      <c r="M54" s="431"/>
      <c r="N54" s="418"/>
      <c r="O54" s="410"/>
      <c r="P54" s="414"/>
      <c r="Q54" s="414"/>
      <c r="R54" s="414"/>
      <c r="S54" s="456"/>
      <c r="T54" s="457"/>
      <c r="U54" s="458"/>
      <c r="V54" s="380"/>
      <c r="W54" s="380"/>
      <c r="X54" s="380"/>
      <c r="Y54" s="380"/>
      <c r="Z54" s="380"/>
      <c r="AA54" s="380"/>
      <c r="AB54" s="369">
        <f t="shared" si="14"/>
        <v>0</v>
      </c>
    </row>
    <row r="55" s="343" customFormat="1" ht="29.1" customHeight="1" spans="1:28">
      <c r="A55" s="361"/>
      <c r="B55" s="362" t="s">
        <v>2811</v>
      </c>
      <c r="C55" s="362"/>
      <c r="D55" s="381"/>
      <c r="E55" s="381"/>
      <c r="F55" s="377"/>
      <c r="G55" s="381"/>
      <c r="H55" s="382">
        <f>+H56+H65</f>
        <v>1947860</v>
      </c>
      <c r="I55" s="381"/>
      <c r="J55" s="381"/>
      <c r="K55" s="424"/>
      <c r="L55" s="402"/>
      <c r="M55" s="362"/>
      <c r="N55" s="403"/>
      <c r="O55" s="404"/>
      <c r="P55" s="405"/>
      <c r="Q55" s="382">
        <f>+Q56+Q65</f>
        <v>0</v>
      </c>
      <c r="R55" s="381"/>
      <c r="S55" s="451" t="str">
        <f t="shared" ref="S55:S64" si="16">IFERROR(+P55/O55,"")</f>
        <v/>
      </c>
      <c r="T55" s="452"/>
      <c r="U55" s="382">
        <f>+U56+U65</f>
        <v>0</v>
      </c>
      <c r="V55" s="381"/>
      <c r="W55" s="381"/>
      <c r="X55" s="382">
        <f>+X56+X65</f>
        <v>0</v>
      </c>
      <c r="Y55" s="381"/>
      <c r="Z55" s="381"/>
      <c r="AA55" s="381"/>
      <c r="AB55" s="471">
        <f>+AB56+AB65</f>
        <v>0</v>
      </c>
    </row>
    <row r="56" s="344" customFormat="1" ht="38.1" customHeight="1" outlineLevel="1" spans="1:28">
      <c r="A56" s="383">
        <v>1</v>
      </c>
      <c r="B56" s="365" t="s">
        <v>2812</v>
      </c>
      <c r="C56" s="365"/>
      <c r="D56" s="384"/>
      <c r="E56" s="384"/>
      <c r="F56" s="384"/>
      <c r="G56" s="384" t="s">
        <v>2813</v>
      </c>
      <c r="H56" s="384">
        <f>SUM(H57:H64)</f>
        <v>1393360</v>
      </c>
      <c r="I56" s="434"/>
      <c r="J56" s="434"/>
      <c r="K56" s="435"/>
      <c r="L56" s="406"/>
      <c r="M56" s="365"/>
      <c r="N56" s="407"/>
      <c r="O56" s="408"/>
      <c r="P56" s="409"/>
      <c r="Q56" s="384">
        <f>SUM(Q57:Q64)</f>
        <v>0</v>
      </c>
      <c r="R56" s="409"/>
      <c r="S56" s="453" t="str">
        <f t="shared" si="16"/>
        <v/>
      </c>
      <c r="T56" s="454"/>
      <c r="U56" s="384">
        <f>SUM(U57:U64)</f>
        <v>0</v>
      </c>
      <c r="V56" s="384"/>
      <c r="W56" s="384"/>
      <c r="X56" s="384">
        <f>SUM(X57:X64)</f>
        <v>0</v>
      </c>
      <c r="Y56" s="384"/>
      <c r="Z56" s="384"/>
      <c r="AA56" s="384"/>
      <c r="AB56" s="472">
        <f>SUM(AB57:AB64)</f>
        <v>0</v>
      </c>
    </row>
    <row r="57" ht="29.1" customHeight="1" outlineLevel="2" spans="1:28">
      <c r="A57" s="371"/>
      <c r="B57" s="368" t="s">
        <v>2812</v>
      </c>
      <c r="C57" s="368"/>
      <c r="D57" s="370"/>
      <c r="E57" s="370"/>
      <c r="F57" s="370"/>
      <c r="G57" s="370"/>
      <c r="H57" s="367">
        <f t="shared" ref="H57:H70" si="17">+O57*N57</f>
        <v>291200</v>
      </c>
      <c r="I57" s="386"/>
      <c r="J57" s="386"/>
      <c r="K57" s="429" t="s">
        <v>407</v>
      </c>
      <c r="L57" s="411" t="s">
        <v>2814</v>
      </c>
      <c r="M57" s="368" t="s">
        <v>72</v>
      </c>
      <c r="N57" s="418">
        <v>16</v>
      </c>
      <c r="O57" s="410">
        <f>18200</f>
        <v>18200</v>
      </c>
      <c r="P57" s="414">
        <f t="shared" ref="P57:P70" si="18">SUMIF($Z$5:$AB$5,P$5,Z57:AB57)</f>
        <v>0</v>
      </c>
      <c r="Q57" s="462">
        <f t="shared" ref="Q57:Q70" si="19">SUMIF($Z$5:$AB$5,Q$5,Z57:AC57)</f>
        <v>0</v>
      </c>
      <c r="R57" s="414">
        <f>IFERROR(-P57+O57,"")</f>
        <v>18200</v>
      </c>
      <c r="S57" s="456">
        <f t="shared" si="16"/>
        <v>0</v>
      </c>
      <c r="T57" s="457"/>
      <c r="U57" s="458">
        <f t="shared" ref="U57:U70" si="20">T57*N57</f>
        <v>0</v>
      </c>
      <c r="V57" s="370"/>
      <c r="W57" s="370"/>
      <c r="X57" s="370"/>
      <c r="Y57" s="370"/>
      <c r="Z57" s="370"/>
      <c r="AA57" s="370"/>
      <c r="AB57" s="369">
        <f t="shared" si="14"/>
        <v>0</v>
      </c>
    </row>
    <row r="58" ht="29.1" customHeight="1" outlineLevel="2" spans="1:28">
      <c r="A58" s="371"/>
      <c r="B58" s="368"/>
      <c r="C58" s="385"/>
      <c r="D58" s="386"/>
      <c r="E58" s="386"/>
      <c r="F58" s="370"/>
      <c r="G58" s="386"/>
      <c r="H58" s="367">
        <f t="shared" si="17"/>
        <v>75000</v>
      </c>
      <c r="I58" s="386"/>
      <c r="J58" s="386"/>
      <c r="K58" s="429" t="s">
        <v>514</v>
      </c>
      <c r="L58" s="411" t="s">
        <v>2815</v>
      </c>
      <c r="M58" s="368" t="s">
        <v>72</v>
      </c>
      <c r="N58" s="418">
        <v>15</v>
      </c>
      <c r="O58" s="410">
        <v>5000</v>
      </c>
      <c r="P58" s="414">
        <f t="shared" si="18"/>
        <v>0</v>
      </c>
      <c r="Q58" s="462">
        <f t="shared" si="19"/>
        <v>0</v>
      </c>
      <c r="R58" s="414">
        <f>IFERROR(-P58+O58,"")</f>
        <v>5000</v>
      </c>
      <c r="S58" s="456">
        <f t="shared" si="16"/>
        <v>0</v>
      </c>
      <c r="T58" s="457"/>
      <c r="U58" s="458">
        <f t="shared" si="20"/>
        <v>0</v>
      </c>
      <c r="V58" s="370"/>
      <c r="W58" s="370"/>
      <c r="X58" s="370"/>
      <c r="Y58" s="370"/>
      <c r="Z58" s="370"/>
      <c r="AA58" s="370"/>
      <c r="AB58" s="369">
        <f t="shared" si="14"/>
        <v>0</v>
      </c>
    </row>
    <row r="59" ht="29.1" customHeight="1" outlineLevel="2" spans="1:28">
      <c r="A59" s="371"/>
      <c r="B59" s="368"/>
      <c r="C59" s="385"/>
      <c r="D59" s="386"/>
      <c r="E59" s="386"/>
      <c r="F59" s="370"/>
      <c r="G59" s="386"/>
      <c r="H59" s="367">
        <f t="shared" si="17"/>
        <v>200200</v>
      </c>
      <c r="I59" s="386"/>
      <c r="J59" s="386"/>
      <c r="K59" s="429" t="s">
        <v>391</v>
      </c>
      <c r="L59" s="411" t="s">
        <v>2816</v>
      </c>
      <c r="M59" s="368" t="s">
        <v>72</v>
      </c>
      <c r="N59" s="418">
        <v>11</v>
      </c>
      <c r="O59" s="410">
        <v>18200</v>
      </c>
      <c r="P59" s="414">
        <f t="shared" si="18"/>
        <v>0</v>
      </c>
      <c r="Q59" s="462">
        <f t="shared" si="19"/>
        <v>0</v>
      </c>
      <c r="R59" s="414">
        <f>IFERROR(-P59+O59,"")</f>
        <v>18200</v>
      </c>
      <c r="S59" s="456">
        <f t="shared" si="16"/>
        <v>0</v>
      </c>
      <c r="T59" s="457"/>
      <c r="U59" s="458">
        <f t="shared" si="20"/>
        <v>0</v>
      </c>
      <c r="V59" s="370"/>
      <c r="W59" s="370"/>
      <c r="X59" s="370"/>
      <c r="Y59" s="370"/>
      <c r="Z59" s="370"/>
      <c r="AA59" s="370"/>
      <c r="AB59" s="369">
        <f t="shared" si="14"/>
        <v>0</v>
      </c>
    </row>
    <row r="60" ht="29.1" customHeight="1" outlineLevel="2" spans="1:28">
      <c r="A60" s="371"/>
      <c r="B60" s="368"/>
      <c r="C60" s="385"/>
      <c r="D60" s="386"/>
      <c r="E60" s="386"/>
      <c r="F60" s="370"/>
      <c r="G60" s="386"/>
      <c r="H60" s="367">
        <f t="shared" si="17"/>
        <v>100000</v>
      </c>
      <c r="I60" s="386"/>
      <c r="J60" s="386"/>
      <c r="K60" s="429"/>
      <c r="L60" s="436" t="s">
        <v>2817</v>
      </c>
      <c r="M60" s="370" t="s">
        <v>195</v>
      </c>
      <c r="N60" s="437">
        <v>100000</v>
      </c>
      <c r="O60" s="438">
        <v>1</v>
      </c>
      <c r="P60" s="414">
        <f t="shared" si="18"/>
        <v>0</v>
      </c>
      <c r="Q60" s="462">
        <f t="shared" si="19"/>
        <v>0</v>
      </c>
      <c r="R60" s="414">
        <f>IFERROR(-P60+O60,"")</f>
        <v>1</v>
      </c>
      <c r="S60" s="456">
        <f t="shared" si="16"/>
        <v>0</v>
      </c>
      <c r="T60" s="457"/>
      <c r="U60" s="458">
        <f t="shared" si="20"/>
        <v>0</v>
      </c>
      <c r="V60" s="370"/>
      <c r="W60" s="370"/>
      <c r="X60" s="370"/>
      <c r="Y60" s="370"/>
      <c r="Z60" s="370"/>
      <c r="AA60" s="370"/>
      <c r="AB60" s="369">
        <f t="shared" si="14"/>
        <v>0</v>
      </c>
    </row>
    <row r="61" ht="29.1" customHeight="1" outlineLevel="2" spans="1:28">
      <c r="A61" s="371"/>
      <c r="B61" s="368"/>
      <c r="C61" s="385"/>
      <c r="D61" s="386"/>
      <c r="E61" s="386"/>
      <c r="F61" s="370"/>
      <c r="G61" s="386"/>
      <c r="H61" s="367">
        <f t="shared" si="17"/>
        <v>154700</v>
      </c>
      <c r="I61" s="386"/>
      <c r="J61" s="386"/>
      <c r="K61" s="429" t="s">
        <v>2285</v>
      </c>
      <c r="L61" s="436" t="s">
        <v>2818</v>
      </c>
      <c r="M61" s="368" t="s">
        <v>72</v>
      </c>
      <c r="N61" s="437">
        <v>8.5</v>
      </c>
      <c r="O61" s="438">
        <v>18200</v>
      </c>
      <c r="P61" s="414">
        <f t="shared" si="18"/>
        <v>0</v>
      </c>
      <c r="Q61" s="462">
        <f t="shared" si="19"/>
        <v>0</v>
      </c>
      <c r="R61" s="414">
        <f t="shared" ref="R61:R70" si="21">IFERROR(-P61+O61,"")</f>
        <v>18200</v>
      </c>
      <c r="S61" s="456">
        <f t="shared" si="16"/>
        <v>0</v>
      </c>
      <c r="T61" s="457"/>
      <c r="U61" s="458">
        <f t="shared" si="20"/>
        <v>0</v>
      </c>
      <c r="V61" s="370"/>
      <c r="W61" s="370"/>
      <c r="X61" s="370"/>
      <c r="Y61" s="370"/>
      <c r="Z61" s="370"/>
      <c r="AA61" s="370"/>
      <c r="AB61" s="369">
        <f t="shared" si="14"/>
        <v>0</v>
      </c>
    </row>
    <row r="62" ht="29.1" customHeight="1" outlineLevel="2" spans="1:28">
      <c r="A62" s="371"/>
      <c r="B62" s="368"/>
      <c r="C62" s="385"/>
      <c r="D62" s="386"/>
      <c r="E62" s="386"/>
      <c r="F62" s="370"/>
      <c r="G62" s="386"/>
      <c r="H62" s="367">
        <f t="shared" si="17"/>
        <v>123760</v>
      </c>
      <c r="I62" s="386"/>
      <c r="J62" s="386"/>
      <c r="K62" s="429" t="s">
        <v>2285</v>
      </c>
      <c r="L62" s="436" t="s">
        <v>2819</v>
      </c>
      <c r="M62" s="368" t="s">
        <v>72</v>
      </c>
      <c r="N62" s="437">
        <v>6.8</v>
      </c>
      <c r="O62" s="438">
        <v>18200</v>
      </c>
      <c r="P62" s="414">
        <f t="shared" si="18"/>
        <v>0</v>
      </c>
      <c r="Q62" s="462">
        <f t="shared" si="19"/>
        <v>0</v>
      </c>
      <c r="R62" s="414">
        <f t="shared" si="21"/>
        <v>18200</v>
      </c>
      <c r="S62" s="456">
        <f t="shared" si="16"/>
        <v>0</v>
      </c>
      <c r="T62" s="457"/>
      <c r="U62" s="458">
        <f t="shared" si="20"/>
        <v>0</v>
      </c>
      <c r="V62" s="370"/>
      <c r="W62" s="370"/>
      <c r="X62" s="370"/>
      <c r="Y62" s="370"/>
      <c r="Z62" s="370"/>
      <c r="AA62" s="370"/>
      <c r="AB62" s="369">
        <f t="shared" si="14"/>
        <v>0</v>
      </c>
    </row>
    <row r="63" ht="29.1" customHeight="1" outlineLevel="1" spans="1:28">
      <c r="A63" s="387"/>
      <c r="B63" s="388"/>
      <c r="C63" s="389"/>
      <c r="D63" s="389"/>
      <c r="E63" s="389"/>
      <c r="F63" s="389"/>
      <c r="G63" s="389"/>
      <c r="H63" s="367">
        <f t="shared" si="17"/>
        <v>75000</v>
      </c>
      <c r="I63" s="370"/>
      <c r="J63" s="370"/>
      <c r="K63" s="429" t="s">
        <v>2285</v>
      </c>
      <c r="L63" s="436" t="s">
        <v>2820</v>
      </c>
      <c r="M63" s="368" t="s">
        <v>72</v>
      </c>
      <c r="N63" s="437">
        <v>15</v>
      </c>
      <c r="O63" s="438">
        <v>5000</v>
      </c>
      <c r="P63" s="414">
        <f t="shared" si="18"/>
        <v>0</v>
      </c>
      <c r="Q63" s="462">
        <f t="shared" si="19"/>
        <v>0</v>
      </c>
      <c r="R63" s="414">
        <f t="shared" si="21"/>
        <v>5000</v>
      </c>
      <c r="S63" s="456">
        <f t="shared" si="16"/>
        <v>0</v>
      </c>
      <c r="T63" s="457"/>
      <c r="U63" s="458">
        <f t="shared" si="20"/>
        <v>0</v>
      </c>
      <c r="V63" s="415"/>
      <c r="W63" s="415"/>
      <c r="X63" s="415"/>
      <c r="Y63" s="370"/>
      <c r="Z63" s="370"/>
      <c r="AA63" s="370"/>
      <c r="AB63" s="369">
        <f t="shared" si="14"/>
        <v>0</v>
      </c>
    </row>
    <row r="64" ht="29.1" customHeight="1" outlineLevel="1" spans="1:28">
      <c r="A64" s="387"/>
      <c r="B64" s="388"/>
      <c r="C64" s="389"/>
      <c r="D64" s="389"/>
      <c r="E64" s="389"/>
      <c r="F64" s="389"/>
      <c r="G64" s="389"/>
      <c r="H64" s="367">
        <f t="shared" si="17"/>
        <v>373500</v>
      </c>
      <c r="I64" s="370"/>
      <c r="J64" s="370"/>
      <c r="K64" s="429" t="s">
        <v>2821</v>
      </c>
      <c r="L64" s="436" t="s">
        <v>1210</v>
      </c>
      <c r="M64" s="370" t="s">
        <v>69</v>
      </c>
      <c r="N64" s="437">
        <v>4.5</v>
      </c>
      <c r="O64" s="438">
        <v>83000</v>
      </c>
      <c r="P64" s="414">
        <f t="shared" si="18"/>
        <v>0</v>
      </c>
      <c r="Q64" s="462">
        <f t="shared" si="19"/>
        <v>0</v>
      </c>
      <c r="R64" s="414">
        <f t="shared" si="21"/>
        <v>83000</v>
      </c>
      <c r="S64" s="456">
        <f t="shared" si="16"/>
        <v>0</v>
      </c>
      <c r="T64" s="457"/>
      <c r="U64" s="458">
        <f t="shared" si="20"/>
        <v>0</v>
      </c>
      <c r="V64" s="463"/>
      <c r="W64" s="415"/>
      <c r="X64" s="415"/>
      <c r="Y64" s="370"/>
      <c r="Z64" s="370"/>
      <c r="AA64" s="370"/>
      <c r="AB64" s="369">
        <f t="shared" si="14"/>
        <v>0</v>
      </c>
    </row>
    <row r="65" ht="29.1" customHeight="1" outlineLevel="1" spans="1:28">
      <c r="A65" s="389">
        <v>2</v>
      </c>
      <c r="B65" s="389" t="s">
        <v>2822</v>
      </c>
      <c r="C65" s="389"/>
      <c r="D65" s="389"/>
      <c r="E65" s="389"/>
      <c r="F65" s="389"/>
      <c r="G65" s="389"/>
      <c r="H65" s="384">
        <f>SUM(H66:H70)</f>
        <v>554500</v>
      </c>
      <c r="I65" s="370"/>
      <c r="J65" s="370"/>
      <c r="K65" s="429"/>
      <c r="L65" s="436"/>
      <c r="M65" s="370"/>
      <c r="N65" s="437"/>
      <c r="O65" s="438"/>
      <c r="P65" s="414"/>
      <c r="Q65" s="384">
        <f>SUM(Q66:Q69)</f>
        <v>0</v>
      </c>
      <c r="R65" s="414"/>
      <c r="S65" s="456"/>
      <c r="T65" s="457"/>
      <c r="U65" s="384">
        <f>SUM(U66:U69)</f>
        <v>0</v>
      </c>
      <c r="V65" s="463"/>
      <c r="W65" s="415"/>
      <c r="X65" s="415"/>
      <c r="Y65" s="370"/>
      <c r="Z65" s="370"/>
      <c r="AA65" s="370"/>
      <c r="AB65" s="472">
        <f>SUM(AB66:AB69)</f>
        <v>0</v>
      </c>
    </row>
    <row r="66" ht="29.1" customHeight="1" outlineLevel="1" spans="1:28">
      <c r="A66" s="389"/>
      <c r="B66" s="389" t="s">
        <v>2794</v>
      </c>
      <c r="C66" s="389"/>
      <c r="D66" s="389"/>
      <c r="E66" s="389"/>
      <c r="F66" s="389"/>
      <c r="G66" s="389"/>
      <c r="H66" s="367">
        <f t="shared" si="17"/>
        <v>124500</v>
      </c>
      <c r="I66" s="370"/>
      <c r="J66" s="370"/>
      <c r="K66" s="429" t="s">
        <v>2823</v>
      </c>
      <c r="L66" s="436" t="s">
        <v>2824</v>
      </c>
      <c r="M66" s="370" t="s">
        <v>69</v>
      </c>
      <c r="N66" s="437">
        <v>1.5</v>
      </c>
      <c r="O66" s="438">
        <v>83000</v>
      </c>
      <c r="P66" s="414">
        <f t="shared" si="18"/>
        <v>0</v>
      </c>
      <c r="Q66" s="462">
        <f t="shared" si="19"/>
        <v>0</v>
      </c>
      <c r="R66" s="414">
        <f t="shared" si="21"/>
        <v>83000</v>
      </c>
      <c r="S66" s="456">
        <f>IFERROR(+P66/O66,"")</f>
        <v>0</v>
      </c>
      <c r="T66" s="457"/>
      <c r="U66" s="458">
        <f t="shared" si="20"/>
        <v>0</v>
      </c>
      <c r="V66" s="463"/>
      <c r="W66" s="415"/>
      <c r="X66" s="415"/>
      <c r="Y66" s="370"/>
      <c r="Z66" s="370"/>
      <c r="AA66" s="370"/>
      <c r="AB66" s="369">
        <f t="shared" si="14"/>
        <v>0</v>
      </c>
    </row>
    <row r="67" ht="29.1" customHeight="1" outlineLevel="1" spans="1:28">
      <c r="A67" s="389"/>
      <c r="B67" s="389"/>
      <c r="C67" s="389"/>
      <c r="D67" s="389"/>
      <c r="E67" s="389"/>
      <c r="F67" s="389"/>
      <c r="G67" s="389"/>
      <c r="H67" s="367">
        <f t="shared" si="17"/>
        <v>240000</v>
      </c>
      <c r="I67" s="370"/>
      <c r="J67" s="370"/>
      <c r="K67" s="429" t="s">
        <v>2825</v>
      </c>
      <c r="L67" s="436" t="s">
        <v>633</v>
      </c>
      <c r="M67" s="370" t="s">
        <v>72</v>
      </c>
      <c r="N67" s="437">
        <v>6</v>
      </c>
      <c r="O67" s="438">
        <v>40000</v>
      </c>
      <c r="P67" s="414">
        <f t="shared" si="18"/>
        <v>0</v>
      </c>
      <c r="Q67" s="462">
        <f t="shared" si="19"/>
        <v>0</v>
      </c>
      <c r="R67" s="414">
        <f t="shared" si="21"/>
        <v>40000</v>
      </c>
      <c r="S67" s="456">
        <f>IFERROR(+P67/O67,"")</f>
        <v>0</v>
      </c>
      <c r="T67" s="457"/>
      <c r="U67" s="458">
        <f t="shared" si="20"/>
        <v>0</v>
      </c>
      <c r="V67" s="463"/>
      <c r="W67" s="415"/>
      <c r="X67" s="415"/>
      <c r="Y67" s="370"/>
      <c r="Z67" s="370"/>
      <c r="AA67" s="370"/>
      <c r="AB67" s="369">
        <f t="shared" si="14"/>
        <v>0</v>
      </c>
    </row>
    <row r="68" ht="29.1" customHeight="1" outlineLevel="1" spans="1:28">
      <c r="A68" s="389"/>
      <c r="B68" s="389"/>
      <c r="C68" s="389"/>
      <c r="D68" s="389"/>
      <c r="E68" s="389"/>
      <c r="F68" s="389"/>
      <c r="G68" s="389"/>
      <c r="H68" s="367">
        <f t="shared" si="17"/>
        <v>52500</v>
      </c>
      <c r="I68" s="370"/>
      <c r="J68" s="370"/>
      <c r="K68" s="429" t="s">
        <v>2826</v>
      </c>
      <c r="L68" s="436" t="s">
        <v>2827</v>
      </c>
      <c r="M68" s="370" t="s">
        <v>72</v>
      </c>
      <c r="N68" s="437">
        <v>4.2</v>
      </c>
      <c r="O68" s="438">
        <v>12500</v>
      </c>
      <c r="P68" s="414">
        <f t="shared" si="18"/>
        <v>0</v>
      </c>
      <c r="Q68" s="462">
        <f t="shared" si="19"/>
        <v>0</v>
      </c>
      <c r="R68" s="414">
        <f t="shared" si="21"/>
        <v>12500</v>
      </c>
      <c r="S68" s="456">
        <f>IFERROR(+P68/O68,"")</f>
        <v>0</v>
      </c>
      <c r="T68" s="457"/>
      <c r="U68" s="458">
        <f t="shared" si="20"/>
        <v>0</v>
      </c>
      <c r="V68" s="463"/>
      <c r="W68" s="415"/>
      <c r="X68" s="415"/>
      <c r="Y68" s="370"/>
      <c r="Z68" s="370"/>
      <c r="AA68" s="370"/>
      <c r="AB68" s="369">
        <f t="shared" si="14"/>
        <v>0</v>
      </c>
    </row>
    <row r="69" ht="29.1" customHeight="1" outlineLevel="1" spans="1:28">
      <c r="A69" s="389"/>
      <c r="B69" s="389"/>
      <c r="C69" s="389"/>
      <c r="D69" s="389"/>
      <c r="E69" s="389"/>
      <c r="F69" s="389"/>
      <c r="G69" s="389"/>
      <c r="H69" s="367">
        <f t="shared" si="17"/>
        <v>95000</v>
      </c>
      <c r="I69" s="370"/>
      <c r="J69" s="370"/>
      <c r="K69" s="429" t="s">
        <v>2098</v>
      </c>
      <c r="L69" s="436" t="s">
        <v>802</v>
      </c>
      <c r="M69" s="370" t="s">
        <v>72</v>
      </c>
      <c r="N69" s="437">
        <v>5</v>
      </c>
      <c r="O69" s="438">
        <v>19000</v>
      </c>
      <c r="P69" s="414">
        <f t="shared" si="18"/>
        <v>0</v>
      </c>
      <c r="Q69" s="462">
        <f t="shared" si="19"/>
        <v>0</v>
      </c>
      <c r="R69" s="414">
        <f t="shared" si="21"/>
        <v>19000</v>
      </c>
      <c r="S69" s="456">
        <f>IFERROR(+P69/O69,"")</f>
        <v>0</v>
      </c>
      <c r="T69" s="457"/>
      <c r="U69" s="458">
        <f t="shared" si="20"/>
        <v>0</v>
      </c>
      <c r="V69" s="463"/>
      <c r="W69" s="415"/>
      <c r="X69" s="415"/>
      <c r="Y69" s="370"/>
      <c r="Z69" s="370"/>
      <c r="AA69" s="370"/>
      <c r="AB69" s="369">
        <f t="shared" si="14"/>
        <v>0</v>
      </c>
    </row>
    <row r="70" ht="29.1" customHeight="1" outlineLevel="1" spans="1:28">
      <c r="A70" s="389"/>
      <c r="B70" s="389"/>
      <c r="C70" s="389"/>
      <c r="D70" s="389"/>
      <c r="E70" s="389"/>
      <c r="F70" s="389"/>
      <c r="G70" s="389"/>
      <c r="H70" s="367">
        <f t="shared" si="17"/>
        <v>42500</v>
      </c>
      <c r="I70" s="370"/>
      <c r="J70" s="370"/>
      <c r="K70" s="429" t="s">
        <v>2828</v>
      </c>
      <c r="L70" s="436" t="s">
        <v>345</v>
      </c>
      <c r="M70" s="370" t="s">
        <v>72</v>
      </c>
      <c r="N70" s="437">
        <v>3.4</v>
      </c>
      <c r="O70" s="438">
        <v>12500</v>
      </c>
      <c r="P70" s="414">
        <f t="shared" si="18"/>
        <v>0</v>
      </c>
      <c r="Q70" s="462">
        <f t="shared" si="19"/>
        <v>0</v>
      </c>
      <c r="R70" s="414">
        <f t="shared" si="21"/>
        <v>12500</v>
      </c>
      <c r="S70" s="456">
        <f>IFERROR(+P70/O70,"")</f>
        <v>0</v>
      </c>
      <c r="T70" s="457"/>
      <c r="U70" s="458">
        <f t="shared" si="20"/>
        <v>0</v>
      </c>
      <c r="V70" s="463"/>
      <c r="W70" s="415"/>
      <c r="X70" s="415"/>
      <c r="Y70" s="370"/>
      <c r="Z70" s="370"/>
      <c r="AA70" s="370"/>
      <c r="AB70" s="369">
        <f t="shared" si="14"/>
        <v>0</v>
      </c>
    </row>
    <row r="71" ht="29.1" customHeight="1" outlineLevel="1" spans="1:28">
      <c r="A71" s="389"/>
      <c r="B71" s="389"/>
      <c r="C71" s="389"/>
      <c r="D71" s="389"/>
      <c r="E71" s="389"/>
      <c r="F71" s="389"/>
      <c r="G71" s="389"/>
      <c r="H71" s="389"/>
      <c r="I71" s="370"/>
      <c r="J71" s="370"/>
      <c r="K71" s="429"/>
      <c r="L71" s="436"/>
      <c r="M71" s="370"/>
      <c r="N71" s="437"/>
      <c r="O71" s="438"/>
      <c r="P71" s="414"/>
      <c r="Q71" s="462"/>
      <c r="R71" s="414"/>
      <c r="S71" s="456"/>
      <c r="T71" s="457"/>
      <c r="U71" s="458"/>
      <c r="V71" s="463"/>
      <c r="W71" s="415"/>
      <c r="X71" s="415"/>
      <c r="Y71" s="370"/>
      <c r="Z71" s="370"/>
      <c r="AA71" s="370"/>
      <c r="AB71" s="370"/>
    </row>
    <row r="72" ht="29.1" customHeight="1" outlineLevel="1" spans="1:28">
      <c r="A72" s="389"/>
      <c r="B72" s="389"/>
      <c r="C72" s="389"/>
      <c r="D72" s="389"/>
      <c r="E72" s="389"/>
      <c r="F72" s="389"/>
      <c r="G72" s="389"/>
      <c r="H72" s="389"/>
      <c r="I72" s="370"/>
      <c r="J72" s="370"/>
      <c r="K72" s="429"/>
      <c r="L72" s="436"/>
      <c r="M72" s="370"/>
      <c r="N72" s="437"/>
      <c r="O72" s="438"/>
      <c r="P72" s="414"/>
      <c r="Q72" s="462"/>
      <c r="R72" s="414"/>
      <c r="S72" s="456"/>
      <c r="T72" s="457"/>
      <c r="U72" s="458"/>
      <c r="V72" s="463"/>
      <c r="W72" s="415"/>
      <c r="X72" s="415"/>
      <c r="Y72" s="370"/>
      <c r="Z72" s="370"/>
      <c r="AA72" s="370"/>
      <c r="AB72" s="370"/>
    </row>
    <row r="73" ht="29.1" customHeight="1" outlineLevel="1" spans="1:28">
      <c r="A73" s="389"/>
      <c r="B73" s="389"/>
      <c r="C73" s="389"/>
      <c r="D73" s="389"/>
      <c r="E73" s="389"/>
      <c r="F73" s="389"/>
      <c r="G73" s="389"/>
      <c r="H73" s="389"/>
      <c r="I73" s="370"/>
      <c r="J73" s="370"/>
      <c r="K73" s="429"/>
      <c r="L73" s="436"/>
      <c r="M73" s="370"/>
      <c r="N73" s="437"/>
      <c r="O73" s="438"/>
      <c r="P73" s="414"/>
      <c r="Q73" s="462"/>
      <c r="R73" s="414"/>
      <c r="S73" s="456"/>
      <c r="T73" s="457"/>
      <c r="U73" s="458"/>
      <c r="V73" s="463"/>
      <c r="W73" s="415"/>
      <c r="X73" s="415"/>
      <c r="Y73" s="370"/>
      <c r="Z73" s="370"/>
      <c r="AA73" s="370"/>
      <c r="AB73" s="370"/>
    </row>
    <row r="74" ht="29.1" customHeight="1" outlineLevel="1" spans="1:28">
      <c r="A74" s="389"/>
      <c r="B74" s="389"/>
      <c r="C74" s="389"/>
      <c r="D74" s="389"/>
      <c r="E74" s="389"/>
      <c r="F74" s="389"/>
      <c r="G74" s="389"/>
      <c r="H74" s="389"/>
      <c r="I74" s="370"/>
      <c r="J74" s="370"/>
      <c r="K74" s="429"/>
      <c r="L74" s="436"/>
      <c r="M74" s="370"/>
      <c r="N74" s="437"/>
      <c r="O74" s="438"/>
      <c r="P74" s="414"/>
      <c r="Q74" s="462"/>
      <c r="R74" s="414"/>
      <c r="S74" s="456"/>
      <c r="T74" s="457"/>
      <c r="U74" s="458"/>
      <c r="V74" s="463"/>
      <c r="W74" s="415"/>
      <c r="X74" s="415"/>
      <c r="Y74" s="370"/>
      <c r="Z74" s="370"/>
      <c r="AA74" s="370"/>
      <c r="AB74" s="370"/>
    </row>
    <row r="75" s="343" customFormat="1" ht="29.1" customHeight="1" spans="1:28">
      <c r="A75" s="473"/>
      <c r="B75" s="381" t="s">
        <v>2829</v>
      </c>
      <c r="C75" s="381"/>
      <c r="D75" s="381"/>
      <c r="E75" s="381"/>
      <c r="F75" s="381"/>
      <c r="G75" s="381"/>
      <c r="H75" s="474"/>
      <c r="I75" s="381"/>
      <c r="J75" s="381"/>
      <c r="K75" s="426"/>
      <c r="L75" s="478"/>
      <c r="M75" s="381"/>
      <c r="N75" s="479"/>
      <c r="O75" s="474"/>
      <c r="P75" s="405"/>
      <c r="Q75" s="382"/>
      <c r="R75" s="381"/>
      <c r="S75" s="451"/>
      <c r="T75" s="460"/>
      <c r="U75" s="484"/>
      <c r="V75" s="485"/>
      <c r="W75" s="486"/>
      <c r="X75" s="471"/>
      <c r="Y75" s="381"/>
      <c r="Z75" s="381"/>
      <c r="AA75" s="381"/>
      <c r="AB75" s="381"/>
    </row>
    <row r="76" ht="29.1" customHeight="1" spans="1:28">
      <c r="A76" s="387"/>
      <c r="B76" s="370"/>
      <c r="C76" s="370"/>
      <c r="D76" s="370"/>
      <c r="E76" s="370"/>
      <c r="F76" s="370"/>
      <c r="G76" s="370"/>
      <c r="H76" s="370"/>
      <c r="I76" s="370"/>
      <c r="J76" s="370"/>
      <c r="K76" s="429"/>
      <c r="L76" s="436"/>
      <c r="M76" s="370"/>
      <c r="N76" s="437"/>
      <c r="O76" s="438"/>
      <c r="P76" s="414"/>
      <c r="Q76" s="414"/>
      <c r="R76" s="414"/>
      <c r="S76" s="456"/>
      <c r="T76" s="457"/>
      <c r="U76" s="487"/>
      <c r="V76" s="463"/>
      <c r="W76" s="415"/>
      <c r="X76" s="415"/>
      <c r="Y76" s="370"/>
      <c r="Z76" s="370"/>
      <c r="AA76" s="370"/>
      <c r="AB76" s="370"/>
    </row>
    <row r="77" s="344" customFormat="1" ht="29.1" customHeight="1" spans="1:28">
      <c r="A77" s="475"/>
      <c r="B77" s="476" t="s">
        <v>2830</v>
      </c>
      <c r="C77" s="384"/>
      <c r="D77" s="384"/>
      <c r="E77" s="384"/>
      <c r="F77" s="384"/>
      <c r="G77" s="384"/>
      <c r="H77" s="384"/>
      <c r="I77" s="384"/>
      <c r="J77" s="384"/>
      <c r="K77" s="480"/>
      <c r="L77" s="481"/>
      <c r="M77" s="384"/>
      <c r="N77" s="482"/>
      <c r="O77" s="483"/>
      <c r="P77" s="409"/>
      <c r="Q77" s="409" t="e">
        <f>Q7+Q37+Q55+#REF!</f>
        <v>#REF!</v>
      </c>
      <c r="R77" s="409"/>
      <c r="S77" s="453" t="str">
        <f>IFERROR(+P77/O77,"")</f>
        <v/>
      </c>
      <c r="T77" s="453"/>
      <c r="U77" s="488">
        <f ca="1">SUM(U7:U76)</f>
        <v>2927572.37450627</v>
      </c>
      <c r="V77" s="489"/>
      <c r="W77" s="475"/>
      <c r="X77" s="475"/>
      <c r="Y77" s="384"/>
      <c r="Z77" s="384"/>
      <c r="AA77" s="384"/>
      <c r="AB77" s="384"/>
    </row>
    <row r="78" ht="29.1" customHeight="1" spans="1:1">
      <c r="A78" s="477" t="s">
        <v>2831</v>
      </c>
    </row>
    <row r="79" ht="29.1" customHeight="1" spans="1:13">
      <c r="A79" s="477" t="s">
        <v>2832</v>
      </c>
      <c r="L79" s="477"/>
      <c r="M79" s="477"/>
    </row>
    <row r="80" ht="18.95" customHeight="1" spans="1:13">
      <c r="A80" s="477" t="s">
        <v>2833</v>
      </c>
      <c r="L80" s="477"/>
      <c r="M80" s="477"/>
    </row>
    <row r="81" ht="18.95" customHeight="1" spans="1:13">
      <c r="A81" s="477" t="s">
        <v>2834</v>
      </c>
      <c r="L81" s="477"/>
      <c r="M81" s="477"/>
    </row>
    <row r="82" ht="18.95" customHeight="1" spans="1:13">
      <c r="A82" s="477" t="s">
        <v>2835</v>
      </c>
      <c r="L82" s="477"/>
      <c r="M82" s="477"/>
    </row>
    <row r="83" ht="24.95" customHeight="1" spans="1:13">
      <c r="A83" s="477" t="s">
        <v>2836</v>
      </c>
      <c r="L83" s="477"/>
      <c r="M83" s="477"/>
    </row>
    <row r="84" ht="24.95" customHeight="1" spans="1:13">
      <c r="A84" s="477" t="s">
        <v>2837</v>
      </c>
      <c r="L84" s="477"/>
      <c r="M84" s="477"/>
    </row>
    <row r="85" ht="24.95" customHeight="1" spans="1:13">
      <c r="A85" s="477" t="s">
        <v>2838</v>
      </c>
      <c r="L85" s="477"/>
      <c r="M85" s="477"/>
    </row>
    <row r="86" ht="24.95" customHeight="1" spans="1:13">
      <c r="A86" s="477" t="s">
        <v>2839</v>
      </c>
      <c r="L86" s="477"/>
      <c r="M86" s="477"/>
    </row>
    <row r="87" ht="24.95" customHeight="1" spans="1:1">
      <c r="A87" s="477" t="s">
        <v>2840</v>
      </c>
    </row>
    <row r="88" ht="24.95" customHeight="1" spans="1:1">
      <c r="A88" s="209" t="s">
        <v>2841</v>
      </c>
    </row>
    <row r="89" ht="24.95" customHeight="1"/>
    <row r="90" ht="24.95" customHeight="1" spans="11:11">
      <c r="K90" s="27" t="e">
        <v>#NAME?</v>
      </c>
    </row>
    <row r="91" ht="24.95" customHeight="1"/>
    <row r="92" ht="24.95" customHeight="1"/>
    <row r="93" ht="24.95" customHeight="1"/>
    <row r="94" ht="24.95" customHeight="1"/>
    <row r="95" ht="24.95" customHeight="1"/>
    <row r="96" ht="24.95" customHeight="1"/>
    <row r="97" ht="24.95" customHeight="1"/>
    <row r="98" ht="24.95" customHeight="1"/>
    <row r="99" ht="24.95" customHeight="1"/>
    <row r="100" ht="24.95" customHeight="1"/>
    <row r="101" ht="24.95" customHeight="1"/>
    <row r="102" ht="24.95" customHeight="1"/>
    <row r="103" ht="24.95" customHeight="1"/>
    <row r="104" ht="24.95" customHeight="1"/>
    <row r="105" ht="24.95" customHeight="1"/>
    <row r="106" ht="24.95" customHeight="1"/>
    <row r="107" ht="24.95" customHeight="1"/>
    <row r="108" ht="24.95" customHeight="1"/>
    <row r="109" ht="24.95" customHeight="1"/>
    <row r="110" ht="24.95" customHeight="1"/>
    <row r="111" ht="24.95" customHeight="1"/>
    <row r="112" ht="24.95" customHeight="1"/>
    <row r="113" ht="24.95" customHeight="1"/>
    <row r="114" ht="24.95" customHeight="1"/>
    <row r="115" ht="24.95" customHeight="1"/>
    <row r="116" ht="24.95" customHeight="1"/>
    <row r="117" ht="24.95" customHeight="1"/>
    <row r="118" ht="24.95" customHeight="1"/>
    <row r="119" ht="24.95" customHeight="1"/>
    <row r="120" ht="24.95" customHeight="1"/>
    <row r="121" ht="24.95" customHeight="1"/>
    <row r="122" ht="24.95" customHeight="1"/>
    <row r="123" ht="24.95" customHeight="1"/>
    <row r="124" ht="24.95" customHeight="1"/>
    <row r="125" ht="24.95" customHeight="1"/>
    <row r="126" ht="24.95" customHeight="1"/>
    <row r="127" ht="24.95" customHeight="1"/>
    <row r="128" ht="24.95" customHeight="1"/>
    <row r="129" ht="24.95" customHeight="1"/>
    <row r="130" ht="24.95" customHeight="1"/>
    <row r="131" ht="24.95" customHeight="1"/>
    <row r="132" ht="24.95" customHeight="1"/>
    <row r="133" ht="24.95" customHeight="1"/>
    <row r="134" ht="24.95" customHeight="1"/>
    <row r="135" ht="24.95" customHeight="1"/>
    <row r="136" ht="24.95" customHeight="1"/>
    <row r="137" ht="24.95" customHeight="1"/>
    <row r="138" ht="24.95" customHeight="1"/>
    <row r="139" ht="24.95" customHeight="1"/>
    <row r="140" ht="24.95" customHeight="1"/>
    <row r="141" ht="24.95" customHeight="1"/>
    <row r="142" ht="24.95" customHeight="1"/>
    <row r="143" ht="24.95" customHeight="1"/>
    <row r="144" ht="24.95" customHeight="1"/>
    <row r="145" ht="24.95" customHeight="1"/>
    <row r="146" ht="24.95" customHeight="1"/>
    <row r="147" ht="24.95" customHeight="1"/>
    <row r="148" ht="24.95" customHeight="1"/>
    <row r="149" ht="24.95" customHeight="1"/>
    <row r="150" ht="24.95" customHeight="1"/>
    <row r="151" ht="24.95" customHeight="1"/>
    <row r="152" ht="24.95" customHeight="1"/>
    <row r="153" ht="24.95" customHeight="1"/>
    <row r="154" ht="24.95" customHeight="1"/>
  </sheetData>
  <sheetProtection formatCells="0" formatColumns="0" formatRows="0" insertRows="0" deleteRows="0" autoFilter="0"/>
  <mergeCells count="14">
    <mergeCell ref="AA4:AB4"/>
    <mergeCell ref="A57:A64"/>
    <mergeCell ref="B9:B25"/>
    <mergeCell ref="B39:B40"/>
    <mergeCell ref="B44:B45"/>
    <mergeCell ref="B49:B52"/>
    <mergeCell ref="B57:B64"/>
    <mergeCell ref="B66:B70"/>
    <mergeCell ref="N219:N223"/>
    <mergeCell ref="N224:N227"/>
    <mergeCell ref="Y3:Y5"/>
    <mergeCell ref="P3:S4"/>
    <mergeCell ref="T3:U4"/>
    <mergeCell ref="V3:X4"/>
  </mergeCells>
  <conditionalFormatting sqref="J46:J52">
    <cfRule type="expression" dxfId="76" priority="1">
      <formula>J46&gt;1</formula>
    </cfRule>
  </conditionalFormatting>
  <conditionalFormatting sqref="J7:J45 J53:J77">
    <cfRule type="expression" dxfId="76" priority="2">
      <formula>J7&gt;1</formula>
    </cfRule>
  </conditionalFormatting>
  <dataValidations count="3">
    <dataValidation type="list" allowBlank="1" showInputMessage="1" showErrorMessage="1" sqref="K42:L42 K9:K41 K43:K46 K53:K76 K47:L52">
      <formula1>INDIRECT($F9&amp;"下拉")</formula1>
    </dataValidation>
    <dataValidation type="list" allowBlank="1" showInputMessage="1" showErrorMessage="1" sqref="F7:F77">
      <formula1>"人工,材料2,机械,分包,临时设施费,其他措施费,单价措施费"</formula1>
    </dataValidation>
    <dataValidation type="custom" allowBlank="1" showInputMessage="1" showErrorMessage="1" errorTitle="重复验证" error="同份合同的细目编码有重复，请核查" sqref="J7:J77">
      <formula1>"J7&lt;2"</formula1>
    </dataValidation>
  </dataValidations>
  <pageMargins left="0.55" right="0.354166666666667" top="0.984027777777778" bottom="0.984027777777778" header="0.511805555555556" footer="0.511805555555556"/>
  <pageSetup paperSize="9" orientation="landscape"/>
  <headerFooter alignWithMargins="0"/>
  <legacy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outlinePr summaryBelow="0"/>
  </sheetPr>
  <dimension ref="A1:V19"/>
  <sheetViews>
    <sheetView zoomScale="70" zoomScaleNormal="70" workbookViewId="0">
      <pane xSplit="6" ySplit="4" topLeftCell="G5" activePane="bottomRight" state="frozen"/>
      <selection/>
      <selection pane="topRight"/>
      <selection pane="bottomLeft"/>
      <selection pane="bottomRight" activeCell="P38" sqref="P38"/>
    </sheetView>
  </sheetViews>
  <sheetFormatPr defaultColWidth="9" defaultRowHeight="15.75"/>
  <cols>
    <col min="1" max="1" width="9.875" style="27" customWidth="1"/>
    <col min="2" max="2" width="10.25" style="27" customWidth="1"/>
    <col min="3" max="3" width="14.125" style="27" customWidth="1"/>
    <col min="4" max="4" width="25.25" style="27" customWidth="1"/>
    <col min="5" max="5" width="9.375" style="27" customWidth="1"/>
    <col min="6" max="6" width="6.625" style="266" customWidth="1"/>
    <col min="7" max="7" width="10" style="27" customWidth="1"/>
    <col min="8" max="8" width="9.375" style="27" customWidth="1"/>
    <col min="9" max="9" width="12.875" style="27" customWidth="1"/>
    <col min="10" max="10" width="9.875" style="27" customWidth="1"/>
    <col min="11" max="11" width="11.75" style="27" customWidth="1"/>
    <col min="12" max="12" width="11.25" style="27" customWidth="1"/>
    <col min="13" max="14" width="12.125" style="27" customWidth="1"/>
    <col min="15" max="15" width="10.75" style="27" customWidth="1"/>
    <col min="16" max="16" width="10.625" style="27" customWidth="1"/>
    <col min="17" max="17" width="12.125" style="27" customWidth="1"/>
    <col min="18" max="18" width="11.375" style="27" customWidth="1"/>
    <col min="19" max="19" width="11.625" style="27" customWidth="1"/>
    <col min="20" max="20" width="8.875" style="27" customWidth="1"/>
    <col min="21" max="21" width="11.25" style="27" customWidth="1"/>
    <col min="22" max="22" width="9" style="27"/>
    <col min="23" max="23" width="10.75" style="27" customWidth="1"/>
    <col min="24" max="16384" width="9" style="27"/>
  </cols>
  <sheetData>
    <row r="1" ht="31.15" customHeight="1" spans="1:20">
      <c r="A1" s="141" t="s">
        <v>2842</v>
      </c>
      <c r="B1" s="304"/>
      <c r="C1" s="141"/>
      <c r="D1" s="141"/>
      <c r="E1" s="141"/>
      <c r="F1" s="270"/>
      <c r="G1" s="141"/>
      <c r="H1" s="141"/>
      <c r="I1" s="234" t="s">
        <v>2843</v>
      </c>
      <c r="J1" s="234" t="s">
        <v>2844</v>
      </c>
      <c r="K1" s="235" t="s">
        <v>2845</v>
      </c>
      <c r="L1" s="141"/>
      <c r="M1" s="141"/>
      <c r="N1" s="284"/>
      <c r="O1" s="284"/>
      <c r="P1" s="141"/>
      <c r="Q1" s="297"/>
      <c r="R1" s="297"/>
      <c r="S1" s="298" t="s">
        <v>2846</v>
      </c>
      <c r="T1" s="297"/>
    </row>
    <row r="2" s="215" customFormat="1" ht="16.5" spans="1:20">
      <c r="A2" s="216" t="str">
        <f t="shared" ref="A2:A19" si="0">$A$6&amp;TEXT(ROW()-6,"000")</f>
        <v>B01-004</v>
      </c>
      <c r="C2" s="217" t="e">
        <f>IF(F2="","单位","分项")</f>
        <v>#N/A</v>
      </c>
      <c r="F2" s="271" t="e">
        <f>VLOOKUP($D2,人工[],2,FALSE)</f>
        <v>#N/A</v>
      </c>
      <c r="G2" s="218" t="e">
        <f>VLOOKUP($D2,人工[],4,FALSE)</f>
        <v>#N/A</v>
      </c>
      <c r="H2" s="218" t="e">
        <f>VLOOKUP($D2,人工[],3,FALSE)</f>
        <v>#N/A</v>
      </c>
      <c r="I2" s="218" t="e">
        <f t="shared" ref="I2:I19" si="1">+G2*H2</f>
        <v>#N/A</v>
      </c>
      <c r="J2" s="218">
        <f ca="1">SUMIFS('01工程产值对比表'!V:V,'01工程产值对比表'!$C:$C,"人工",'01工程产值对比表'!$D:$D,$D2)</f>
        <v>0</v>
      </c>
      <c r="K2" s="218">
        <f>IFERROR(SUMIFS('02综合台帐（人材机）'!O:O,'02综合台帐（人材机）'!$F:$F,"人工",'02综合台帐（人材机）'!$K:$K,$D2)*I2/SUMIF($D:$D,$D2,I:I),0)</f>
        <v>0</v>
      </c>
      <c r="L2" s="236">
        <f ca="1">IFERROR(SUMIFS('02综合台帐（人材机）'!P:P,'02综合台帐（人材机）'!$F:$F,"人工",'02综合台帐（人材机）'!$K:$K,$D2)*J2/SUMIF($D:$D,$D2,J:J),0)</f>
        <v>0</v>
      </c>
      <c r="M2" s="236">
        <f ca="1" t="shared" ref="M2:M19" si="2">IFERROR(+N2/L2,0)</f>
        <v>0</v>
      </c>
      <c r="N2" s="237">
        <f ca="1">IFERROR(SUMIFS('02综合台帐（人材机）'!Q:Q,'02综合台帐（人材机）'!$F:$F,"人工",'02综合台帐（人材机）'!$K:$K,$D2)*J2/SUMIF($D:$D,$D2,J:J),0)</f>
        <v>0</v>
      </c>
      <c r="O2" s="215">
        <f ca="1">IFERROR(SUMIFS('02综合台帐（人材机）'!T:T,'02综合台帐（人材机）'!$F:$F,"人工",'02综合台帐（人材机）'!$K:$K,$D2)*J2/SUMIF($D:$D,$D2,J:J),0)</f>
        <v>0</v>
      </c>
      <c r="P2" s="236">
        <f ca="1">IFERROR(SUMIFS('02综合台帐（人材机）'!U:U,'02综合台帐（人材机）'!$F:$F,"人工",'02综合台帐（人材机）'!$K:$K,$D2)*J2/SUMIF($D:$D,$D2,J:J),0)</f>
        <v>0</v>
      </c>
      <c r="Q2" s="236" t="e">
        <f ca="1">-M2*J2+H2*J2</f>
        <v>#N/A</v>
      </c>
      <c r="R2" s="236">
        <f ca="1">IFERROR(-O2*M2+M2*J2,0)</f>
        <v>0</v>
      </c>
      <c r="S2" s="215">
        <f ca="1" t="shared" ref="S2:S19" si="3">IFERROR(K2-P2,0)</f>
        <v>0</v>
      </c>
      <c r="T2" s="236"/>
    </row>
    <row r="3" ht="21" customHeight="1" spans="1:22">
      <c r="A3" s="324"/>
      <c r="B3" s="325"/>
      <c r="C3" s="326"/>
      <c r="D3" s="326"/>
      <c r="E3" s="326"/>
      <c r="F3" s="326"/>
      <c r="G3" s="327" t="s">
        <v>2847</v>
      </c>
      <c r="H3" s="328"/>
      <c r="I3" s="332"/>
      <c r="J3" s="327" t="s">
        <v>2848</v>
      </c>
      <c r="K3" s="333"/>
      <c r="L3" s="334" t="s">
        <v>2849</v>
      </c>
      <c r="M3" s="334"/>
      <c r="N3" s="335"/>
      <c r="O3" s="336" t="s">
        <v>2850</v>
      </c>
      <c r="P3" s="334"/>
      <c r="Q3" s="327" t="s">
        <v>2851</v>
      </c>
      <c r="R3" s="327"/>
      <c r="S3" s="327"/>
      <c r="T3" s="307"/>
      <c r="U3" s="307"/>
      <c r="V3" s="322"/>
    </row>
    <row r="4" ht="28.15" customHeight="1" spans="1:22">
      <c r="A4" s="329" t="s">
        <v>1254</v>
      </c>
      <c r="B4" s="330" t="s">
        <v>1291</v>
      </c>
      <c r="C4" s="330" t="s">
        <v>2852</v>
      </c>
      <c r="D4" s="330" t="s">
        <v>1399</v>
      </c>
      <c r="E4" s="330" t="s">
        <v>1294</v>
      </c>
      <c r="F4" s="330" t="s">
        <v>60</v>
      </c>
      <c r="G4" s="331" t="s">
        <v>2853</v>
      </c>
      <c r="H4" s="331" t="s">
        <v>88</v>
      </c>
      <c r="I4" s="337" t="s">
        <v>2854</v>
      </c>
      <c r="J4" s="331" t="s">
        <v>2855</v>
      </c>
      <c r="K4" s="331" t="s">
        <v>2856</v>
      </c>
      <c r="L4" s="331" t="s">
        <v>2454</v>
      </c>
      <c r="M4" s="331" t="s">
        <v>94</v>
      </c>
      <c r="N4" s="338" t="s">
        <v>2857</v>
      </c>
      <c r="O4" s="338" t="s">
        <v>2456</v>
      </c>
      <c r="P4" s="331" t="s">
        <v>2858</v>
      </c>
      <c r="Q4" s="331" t="s">
        <v>2859</v>
      </c>
      <c r="R4" s="331" t="s">
        <v>2860</v>
      </c>
      <c r="S4" s="331" t="s">
        <v>2861</v>
      </c>
      <c r="T4" s="227" t="s">
        <v>1262</v>
      </c>
      <c r="U4" s="227" t="s">
        <v>2862</v>
      </c>
      <c r="V4" s="260" t="s">
        <v>2863</v>
      </c>
    </row>
    <row r="5" ht="24" customHeight="1" spans="1:22">
      <c r="A5" s="230" t="str">
        <f t="shared" si="0"/>
        <v>B01-001</v>
      </c>
      <c r="B5" s="229"/>
      <c r="C5" s="229"/>
      <c r="D5" s="229"/>
      <c r="E5" s="229"/>
      <c r="F5" s="230" t="e">
        <f>VLOOKUP($D5,人工[],2,FALSE)</f>
        <v>#N/A</v>
      </c>
      <c r="G5" s="230" t="e">
        <f>VLOOKUP($D5,人工[],4,FALSE)</f>
        <v>#N/A</v>
      </c>
      <c r="H5" s="230" t="e">
        <f>VLOOKUP($D5,人工[],3,FALSE)</f>
        <v>#N/A</v>
      </c>
      <c r="I5" s="248" t="e">
        <f t="shared" si="1"/>
        <v>#N/A</v>
      </c>
      <c r="J5" s="230">
        <f ca="1">SUMIFS('01工程产值对比表'!V:V,'01工程产值对比表'!$C:$C,"人工",'01工程产值对比表'!$D:$D,$D5)</f>
        <v>0</v>
      </c>
      <c r="K5" s="339" t="e">
        <f ca="1" t="shared" ref="K5:K19" si="4">+J5*H5</f>
        <v>#N/A</v>
      </c>
      <c r="L5" s="250">
        <f ca="1">IFERROR(SUMIFS('02综合台帐（人材机）'!P:P,'02综合台帐（人材机）'!$F:$F,"人工",'02综合台帐（人材机）'!$K:$K,$D5)*J5/SUMIF($D:$D,$D5,J:J),0)</f>
        <v>0</v>
      </c>
      <c r="M5" s="251">
        <f ca="1" t="shared" si="2"/>
        <v>0</v>
      </c>
      <c r="N5" s="251">
        <f ca="1">IFERROR(SUMIFS('02综合台帐（人材机）'!Q:Q,'02综合台帐（人材机）'!$F:$F,"人工",'02综合台帐（人材机）'!$K:$K,$D5)*J5/SUMIF($D:$D,$D5,J:J),0)</f>
        <v>0</v>
      </c>
      <c r="O5" s="251">
        <f ca="1">IFERROR(SUMIFS('02综合台帐（人材机）'!T:T,'02综合台帐（人材机）'!$F:$F,"人工",'02综合台帐（人材机）'!$K:$K,$D5)*J5/SUMIF($D:$D,$D5,J:J),0)</f>
        <v>0</v>
      </c>
      <c r="P5" s="339">
        <f ca="1">IFERROR(SUMIFS('02综合台帐（人材机）'!U:U,'02综合台帐（人材机）'!$F:$F,"人工",'02综合台帐（人材机）'!$K:$K,$D5)*J5/SUMIF($D:$D,$D5,J:J),0)</f>
        <v>0</v>
      </c>
      <c r="Q5" s="339">
        <f t="shared" ref="Q5:Q19" si="5">SUM(Q6:Q1922)</f>
        <v>0</v>
      </c>
      <c r="R5" s="251">
        <f t="shared" ref="R5:R19" si="6">SUM(R6:R1922)</f>
        <v>0</v>
      </c>
      <c r="S5" s="251">
        <f ca="1" t="shared" si="3"/>
        <v>0</v>
      </c>
      <c r="T5" s="262"/>
      <c r="U5" s="262"/>
      <c r="V5" s="262"/>
    </row>
    <row r="6" ht="18" customHeight="1" spans="1:22">
      <c r="A6" s="229" t="s">
        <v>1406</v>
      </c>
      <c r="B6" s="229"/>
      <c r="C6" s="229" t="s">
        <v>1306</v>
      </c>
      <c r="D6" s="229" t="s">
        <v>1407</v>
      </c>
      <c r="E6" s="229"/>
      <c r="F6" s="229"/>
      <c r="G6" s="229"/>
      <c r="H6" s="229"/>
      <c r="I6" s="340">
        <f>SUM(I7:I2000)</f>
        <v>6209287.9217</v>
      </c>
      <c r="J6" s="229"/>
      <c r="K6" s="340">
        <f>SUM(K7:K2000)</f>
        <v>3416487.472</v>
      </c>
      <c r="L6" s="253"/>
      <c r="M6" s="254"/>
      <c r="N6" s="340">
        <f ca="1">SUM(N7:N2000)</f>
        <v>921500</v>
      </c>
      <c r="O6" s="254"/>
      <c r="P6" s="340">
        <f ca="1">SUM(P7:P2000)</f>
        <v>671850.058168757</v>
      </c>
      <c r="Q6" s="340">
        <f>SUM(Q7:Q2000)</f>
        <v>0</v>
      </c>
      <c r="R6" s="340">
        <f>SUM(R7:R2000)</f>
        <v>0</v>
      </c>
      <c r="S6" s="340">
        <f ca="1">SUM(S7:S2000)</f>
        <v>2744637.41383124</v>
      </c>
      <c r="T6" s="262"/>
      <c r="U6" s="262"/>
      <c r="V6" s="262"/>
    </row>
    <row r="7" spans="1:22">
      <c r="A7" s="232" t="str">
        <f t="shared" si="0"/>
        <v>B01001</v>
      </c>
      <c r="B7" s="232"/>
      <c r="C7" s="232"/>
      <c r="D7" s="232" t="s">
        <v>736</v>
      </c>
      <c r="E7" s="232"/>
      <c r="F7" s="282" t="str">
        <f>IFERROR(VLOOKUP($D7,人工[],2,FALSE),"")</f>
        <v>m2</v>
      </c>
      <c r="G7" s="232">
        <v>82569.74</v>
      </c>
      <c r="H7" s="232">
        <f>IFERROR(VLOOKUP($D7,人工[],3,FALSE),"")</f>
        <v>32.8</v>
      </c>
      <c r="I7" s="341">
        <f t="shared" si="1"/>
        <v>2708287.472</v>
      </c>
      <c r="J7" s="232">
        <v>82569.74</v>
      </c>
      <c r="K7" s="258">
        <f t="shared" si="4"/>
        <v>2708287.472</v>
      </c>
      <c r="L7" s="232">
        <f ca="1">IFERROR(SUMIFS('02综合台帐（人材机）'!P:P,'02综合台帐（人材机）'!$F:$F,"人工",'02综合台帐（人材机）'!$K:$K,$D7)*J7/SUMIF($D:$D,$D7,J:J),0)</f>
        <v>0</v>
      </c>
      <c r="M7" s="232">
        <f ca="1" t="shared" si="2"/>
        <v>0</v>
      </c>
      <c r="N7" s="342">
        <f ca="1">IFERROR(SUMIFS('02综合台帐（人材机）'!Q:Q,'02综合台帐（人材机）'!$F:$F,"人工",'02综合台帐（人材机）'!$K:$K,$D7)*J7/SUMIF($D:$D,$D7,J:J),0)</f>
        <v>0</v>
      </c>
      <c r="O7" s="342">
        <f ca="1">IFERROR(SUMIFS('02综合台帐（人材机）'!T:T,'02综合台帐（人材机）'!$F:$F,"人工",'02综合台帐（人材机）'!$K:$K,$D7)*J7/SUMIF($D:$D,$D7,J:J),0)</f>
        <v>0</v>
      </c>
      <c r="P7" s="258">
        <f ca="1">IFERROR(SUMIFS('02综合台帐（人材机）'!U:U,'02综合台帐（人材机）'!$F:$F,"人工",'02综合台帐（人材机）'!$K:$K,$D7)*J7/SUMIF($D:$D,$D7,J:J),0)</f>
        <v>0</v>
      </c>
      <c r="Q7" s="258">
        <f t="shared" si="5"/>
        <v>0</v>
      </c>
      <c r="R7" s="258">
        <f t="shared" si="6"/>
        <v>0</v>
      </c>
      <c r="S7" s="258">
        <f ca="1" t="shared" si="3"/>
        <v>2708287.472</v>
      </c>
      <c r="T7" s="232"/>
      <c r="U7" s="232"/>
      <c r="V7" s="232"/>
    </row>
    <row r="8" spans="1:22">
      <c r="A8" s="232" t="str">
        <f t="shared" si="0"/>
        <v>B01002</v>
      </c>
      <c r="B8" s="232"/>
      <c r="C8" s="232"/>
      <c r="D8" s="232" t="s">
        <v>252</v>
      </c>
      <c r="E8" s="232"/>
      <c r="F8" s="282" t="str">
        <f>IFERROR(VLOOKUP($D8,人工[],2,FALSE),"")</f>
        <v>m3</v>
      </c>
      <c r="G8" s="232">
        <v>600.6546</v>
      </c>
      <c r="H8" s="232">
        <f>IFERROR(VLOOKUP($D8,人工[],3,FALSE),"")</f>
        <v>50</v>
      </c>
      <c r="I8" s="341">
        <f t="shared" si="1"/>
        <v>30032.73</v>
      </c>
      <c r="J8" s="232">
        <v>300</v>
      </c>
      <c r="K8" s="258">
        <f t="shared" si="4"/>
        <v>15000</v>
      </c>
      <c r="L8" s="232">
        <f ca="1">IFERROR(SUMIFS('02综合台帐（人材机）'!P:P,'02综合台帐（人材机）'!$F:$F,"人工",'02综合台帐（人材机）'!$K:$K,$D8)*J8/SUMIF($D:$D,$D8,J:J),0)</f>
        <v>300</v>
      </c>
      <c r="M8" s="232">
        <f ca="1" t="shared" si="2"/>
        <v>50</v>
      </c>
      <c r="N8" s="342">
        <f ca="1">IFERROR(SUMIFS('02综合台帐（人材机）'!Q:Q,'02综合台帐（人材机）'!$F:$F,"人工",'02综合台帐（人材机）'!$K:$K,$D8)*J8/SUMIF($D:$D,$D8,J:J),0)</f>
        <v>15000</v>
      </c>
      <c r="O8" s="342">
        <f ca="1">IFERROR(SUMIFS('02综合台帐（人材机）'!T:T,'02综合台帐（人材机）'!$F:$F,"人工",'02综合台帐（人材机）'!$K:$K,$D8)*J8/SUMIF($D:$D,$D8,J:J),0)</f>
        <v>0</v>
      </c>
      <c r="P8" s="258">
        <f ca="1">IFERROR(SUMIFS('02综合台帐（人材机）'!U:U,'02综合台帐（人材机）'!$F:$F,"人工",'02综合台帐（人材机）'!$K:$K,$D8)*J8/SUMIF($D:$D,$D8,J:J),0)</f>
        <v>0</v>
      </c>
      <c r="Q8" s="258">
        <f t="shared" si="5"/>
        <v>0</v>
      </c>
      <c r="R8" s="258">
        <f t="shared" si="6"/>
        <v>0</v>
      </c>
      <c r="S8" s="258">
        <f ca="1" t="shared" si="3"/>
        <v>15000</v>
      </c>
      <c r="T8" s="232"/>
      <c r="U8" s="232"/>
      <c r="V8" s="232"/>
    </row>
    <row r="9" spans="1:22">
      <c r="A9" s="232" t="str">
        <f t="shared" si="0"/>
        <v>B01003</v>
      </c>
      <c r="B9" s="232"/>
      <c r="C9" s="232"/>
      <c r="D9" s="232" t="s">
        <v>523</v>
      </c>
      <c r="E9" s="232"/>
      <c r="F9" s="282" t="str">
        <f>IFERROR(VLOOKUP($D9,人工[],2,FALSE),"")</f>
        <v>m3</v>
      </c>
      <c r="G9" s="232">
        <v>308.2346</v>
      </c>
      <c r="H9" s="232">
        <f>IFERROR(VLOOKUP($D9,人工[],3,FALSE),"")</f>
        <v>14.5</v>
      </c>
      <c r="I9" s="341">
        <f t="shared" si="1"/>
        <v>4469.4017</v>
      </c>
      <c r="J9" s="232">
        <v>0</v>
      </c>
      <c r="K9" s="258">
        <f t="shared" si="4"/>
        <v>0</v>
      </c>
      <c r="L9" s="232">
        <f ca="1">IFERROR(SUMIFS('02综合台帐（人材机）'!P:P,'02综合台帐（人材机）'!$F:$F,"人工",'02综合台帐（人材机）'!$K:$K,$D9)*J9/SUMIF($D:$D,$D9,J:J),0)</f>
        <v>0</v>
      </c>
      <c r="M9" s="232">
        <f ca="1" t="shared" si="2"/>
        <v>0</v>
      </c>
      <c r="N9" s="342">
        <f ca="1">IFERROR(SUMIFS('02综合台帐（人材机）'!Q:Q,'02综合台帐（人材机）'!$F:$F,"人工",'02综合台帐（人材机）'!$K:$K,$D9)*J9/SUMIF($D:$D,$D9,J:J),0)</f>
        <v>0</v>
      </c>
      <c r="O9" s="342">
        <f ca="1">IFERROR(SUMIFS('02综合台帐（人材机）'!T:T,'02综合台帐（人材机）'!$F:$F,"人工",'02综合台帐（人材机）'!$K:$K,$D9)*J9/SUMIF($D:$D,$D9,J:J),0)</f>
        <v>0</v>
      </c>
      <c r="P9" s="258">
        <f ca="1">IFERROR(SUMIFS('02综合台帐（人材机）'!U:U,'02综合台帐（人材机）'!$F:$F,"人工",'02综合台帐（人材机）'!$K:$K,$D9)*J9/SUMIF($D:$D,$D9,J:J),0)</f>
        <v>0</v>
      </c>
      <c r="Q9" s="258">
        <f t="shared" si="5"/>
        <v>0</v>
      </c>
      <c r="R9" s="258">
        <f t="shared" si="6"/>
        <v>0</v>
      </c>
      <c r="S9" s="258">
        <f ca="1" t="shared" si="3"/>
        <v>0</v>
      </c>
      <c r="T9" s="232"/>
      <c r="U9" s="232"/>
      <c r="V9" s="232"/>
    </row>
    <row r="10" spans="1:22">
      <c r="A10" s="232" t="str">
        <f t="shared" si="0"/>
        <v>B01004</v>
      </c>
      <c r="B10" s="232"/>
      <c r="C10" s="232"/>
      <c r="D10" s="232" t="s">
        <v>308</v>
      </c>
      <c r="E10" s="232"/>
      <c r="F10" s="282" t="str">
        <f>IFERROR(VLOOKUP($D10,人工[],2,FALSE),"")</f>
        <v>t</v>
      </c>
      <c r="G10" s="232">
        <v>381.9946</v>
      </c>
      <c r="H10" s="232">
        <f>IFERROR(VLOOKUP($D10,人工[],3,FALSE),"")</f>
        <v>970</v>
      </c>
      <c r="I10" s="341">
        <f t="shared" si="1"/>
        <v>370534.762</v>
      </c>
      <c r="J10" s="232">
        <v>120</v>
      </c>
      <c r="K10" s="258">
        <f t="shared" si="4"/>
        <v>116400</v>
      </c>
      <c r="L10" s="232">
        <f ca="1">IFERROR(SUMIFS('02综合台帐（人材机）'!P:P,'02综合台帐（人材机）'!$F:$F,"人工",'02综合台帐（人材机）'!$K:$K,$D10)*J10/SUMIF($D:$D,$D10,J:J),0)</f>
        <v>150</v>
      </c>
      <c r="M10" s="232">
        <f ca="1" t="shared" si="2"/>
        <v>900</v>
      </c>
      <c r="N10" s="342">
        <f ca="1">IFERROR(SUMIFS('02综合台帐（人材机）'!Q:Q,'02综合台帐（人材机）'!$F:$F,"人工",'02综合台帐（人材机）'!$K:$K,$D10)*J10/SUMIF($D:$D,$D10,J:J),0)</f>
        <v>135000</v>
      </c>
      <c r="O10" s="342">
        <f ca="1">IFERROR(SUMIFS('02综合台帐（人材机）'!T:T,'02综合台帐（人材机）'!$F:$F,"人工",'02综合台帐（人材机）'!$K:$K,$D10)*J10/SUMIF($D:$D,$D10,J:J),0)</f>
        <v>0</v>
      </c>
      <c r="P10" s="258">
        <f ca="1">IFERROR(SUMIFS('02综合台帐（人材机）'!U:U,'02综合台帐（人材机）'!$F:$F,"人工",'02综合台帐（人材机）'!$K:$K,$D10)*J10/SUMIF($D:$D,$D10,J:J),0)</f>
        <v>0</v>
      </c>
      <c r="Q10" s="258">
        <f t="shared" si="5"/>
        <v>0</v>
      </c>
      <c r="R10" s="258">
        <f t="shared" si="6"/>
        <v>0</v>
      </c>
      <c r="S10" s="258">
        <f ca="1" t="shared" si="3"/>
        <v>116400</v>
      </c>
      <c r="T10" s="232"/>
      <c r="U10" s="232"/>
      <c r="V10" s="232"/>
    </row>
    <row r="11" spans="1:22">
      <c r="A11" s="232" t="str">
        <f t="shared" si="0"/>
        <v>B01005</v>
      </c>
      <c r="B11" s="232"/>
      <c r="C11" s="232"/>
      <c r="D11" s="232" t="s">
        <v>515</v>
      </c>
      <c r="E11" s="232"/>
      <c r="F11" s="282" t="str">
        <f>IFERROR(VLOOKUP($D11,人工[],2,FALSE),"")</f>
        <v>m2</v>
      </c>
      <c r="G11" s="232">
        <v>2</v>
      </c>
      <c r="H11" s="232">
        <f>IFERROR(VLOOKUP($D11,人工[],3,FALSE),"")</f>
        <v>1</v>
      </c>
      <c r="I11" s="341">
        <f t="shared" si="1"/>
        <v>2</v>
      </c>
      <c r="J11" s="232">
        <v>15000</v>
      </c>
      <c r="K11" s="258">
        <f t="shared" si="4"/>
        <v>15000</v>
      </c>
      <c r="L11" s="232">
        <f ca="1">IFERROR(SUMIFS('02综合台帐（人材机）'!P:P,'02综合台帐（人材机）'!$F:$F,"人工",'02综合台帐（人材机）'!$K:$K,$D11)*J11/SUMIF($D:$D,$D11,J:J),0)</f>
        <v>15000</v>
      </c>
      <c r="M11" s="232">
        <f ca="1" t="shared" si="2"/>
        <v>1</v>
      </c>
      <c r="N11" s="342">
        <f ca="1">IFERROR(SUMIFS('02综合台帐（人材机）'!Q:Q,'02综合台帐（人材机）'!$F:$F,"人工",'02综合台帐（人材机）'!$K:$K,$D11)*J11/SUMIF($D:$D,$D11,J:J),0)</f>
        <v>15000</v>
      </c>
      <c r="O11" s="342">
        <f ca="1">IFERROR(SUMIFS('02综合台帐（人材机）'!T:T,'02综合台帐（人材机）'!$F:$F,"人工",'02综合台帐（人材机）'!$K:$K,$D11)*J11/SUMIF($D:$D,$D11,J:J),0)</f>
        <v>0</v>
      </c>
      <c r="P11" s="258">
        <f ca="1">IFERROR(SUMIFS('02综合台帐（人材机）'!U:U,'02综合台帐（人材机）'!$F:$F,"人工",'02综合台帐（人材机）'!$K:$K,$D11)*J11/SUMIF($D:$D,$D11,J:J),0)</f>
        <v>0</v>
      </c>
      <c r="Q11" s="258">
        <f t="shared" si="5"/>
        <v>0</v>
      </c>
      <c r="R11" s="258">
        <f t="shared" si="6"/>
        <v>0</v>
      </c>
      <c r="S11" s="258">
        <f ca="1" t="shared" si="3"/>
        <v>15000</v>
      </c>
      <c r="T11" s="232"/>
      <c r="U11" s="232"/>
      <c r="V11" s="232"/>
    </row>
    <row r="12" spans="1:22">
      <c r="A12" s="232" t="str">
        <f t="shared" si="0"/>
        <v>B01006</v>
      </c>
      <c r="B12" s="232"/>
      <c r="C12" s="232"/>
      <c r="D12" s="232" t="s">
        <v>165</v>
      </c>
      <c r="E12" s="232"/>
      <c r="F12" s="282" t="str">
        <f>IFERROR(VLOOKUP($D12,人工[],2,FALSE),"")</f>
        <v>m3</v>
      </c>
      <c r="G12" s="232">
        <v>17728.3398</v>
      </c>
      <c r="H12" s="232">
        <f>IFERROR(VLOOKUP($D12,人工[],3,FALSE),"")</f>
        <v>60</v>
      </c>
      <c r="I12" s="341">
        <f t="shared" si="1"/>
        <v>1063700.388</v>
      </c>
      <c r="J12" s="232">
        <v>3300</v>
      </c>
      <c r="K12" s="258">
        <f t="shared" si="4"/>
        <v>198000</v>
      </c>
      <c r="L12" s="232">
        <f ca="1">IFERROR(SUMIFS('02综合台帐（人材机）'!P:P,'02综合台帐（人材机）'!$F:$F,"人工",'02综合台帐（人材机）'!$K:$K,$D12)*J12/SUMIF($D:$D,$D12,J:J),0)</f>
        <v>8000</v>
      </c>
      <c r="M12" s="232">
        <f ca="1" t="shared" si="2"/>
        <v>60</v>
      </c>
      <c r="N12" s="342">
        <f ca="1">IFERROR(SUMIFS('02综合台帐（人材机）'!Q:Q,'02综合台帐（人材机）'!$F:$F,"人工",'02综合台帐（人材机）'!$K:$K,$D12)*J12/SUMIF($D:$D,$D12,J:J),0)</f>
        <v>480000</v>
      </c>
      <c r="O12" s="342">
        <f ca="1">IFERROR(SUMIFS('02综合台帐（人材机）'!T:T,'02综合台帐（人材机）'!$F:$F,"人工",'02综合台帐（人材机）'!$K:$K,$D12)*J12/SUMIF($D:$D,$D12,J:J),0)</f>
        <v>0</v>
      </c>
      <c r="P12" s="258">
        <f ca="1">IFERROR(SUMIFS('02综合台帐（人材机）'!U:U,'02综合台帐（人材机）'!$F:$F,"人工",'02综合台帐（人材机）'!$K:$K,$D12)*J12/SUMIF($D:$D,$D12,J:J),0)</f>
        <v>0</v>
      </c>
      <c r="Q12" s="258">
        <f t="shared" si="5"/>
        <v>0</v>
      </c>
      <c r="R12" s="258">
        <f t="shared" si="6"/>
        <v>0</v>
      </c>
      <c r="S12" s="258">
        <f ca="1" t="shared" si="3"/>
        <v>198000</v>
      </c>
      <c r="T12" s="232"/>
      <c r="U12" s="232"/>
      <c r="V12" s="232"/>
    </row>
    <row r="13" spans="1:22">
      <c r="A13" s="232" t="str">
        <f t="shared" si="0"/>
        <v>B01007</v>
      </c>
      <c r="B13" s="232"/>
      <c r="C13" s="232"/>
      <c r="D13" s="232" t="s">
        <v>163</v>
      </c>
      <c r="E13" s="232"/>
      <c r="F13" s="282" t="str">
        <f>IFERROR(VLOOKUP($D13,人工[],2,FALSE),"")</f>
        <v>m</v>
      </c>
      <c r="G13" s="232">
        <v>127802.09</v>
      </c>
      <c r="H13" s="232">
        <f>IFERROR(VLOOKUP($D13,人工[],3,FALSE),"")</f>
        <v>0.2</v>
      </c>
      <c r="I13" s="341">
        <f t="shared" si="1"/>
        <v>25560.418</v>
      </c>
      <c r="J13" s="232">
        <v>21500</v>
      </c>
      <c r="K13" s="258">
        <f t="shared" si="4"/>
        <v>4300</v>
      </c>
      <c r="L13" s="232">
        <f ca="1">IFERROR(SUMIFS('02综合台帐（人材机）'!P:P,'02综合台帐（人材机）'!$F:$F,"人工",'02综合台帐（人材机）'!$K:$K,$D13)*J13/SUMIF($D:$D,$D13,J:J),0)</f>
        <v>0</v>
      </c>
      <c r="M13" s="232">
        <f ca="1" t="shared" si="2"/>
        <v>0</v>
      </c>
      <c r="N13" s="342">
        <f ca="1">IFERROR(SUMIFS('02综合台帐（人材机）'!Q:Q,'02综合台帐（人材机）'!$F:$F,"人工",'02综合台帐（人材机）'!$K:$K,$D13)*J13/SUMIF($D:$D,$D13,J:J),0)</f>
        <v>0</v>
      </c>
      <c r="O13" s="342">
        <f ca="1">IFERROR(SUMIFS('02综合台帐（人材机）'!T:T,'02综合台帐（人材机）'!$F:$F,"人工",'02综合台帐（人材机）'!$K:$K,$D13)*J13/SUMIF($D:$D,$D13,J:J),0)</f>
        <v>0</v>
      </c>
      <c r="P13" s="258">
        <f ca="1">IFERROR(SUMIFS('02综合台帐（人材机）'!U:U,'02综合台帐（人材机）'!$F:$F,"人工",'02综合台帐（人材机）'!$K:$K,$D13)*J13/SUMIF($D:$D,$D13,J:J),0)</f>
        <v>0</v>
      </c>
      <c r="Q13" s="258">
        <f t="shared" si="5"/>
        <v>0</v>
      </c>
      <c r="R13" s="258">
        <f t="shared" si="6"/>
        <v>0</v>
      </c>
      <c r="S13" s="258">
        <f ca="1" t="shared" si="3"/>
        <v>4300</v>
      </c>
      <c r="T13" s="232"/>
      <c r="U13" s="232"/>
      <c r="V13" s="232"/>
    </row>
    <row r="14" spans="1:22">
      <c r="A14" s="232" t="str">
        <f t="shared" si="0"/>
        <v>B01008</v>
      </c>
      <c r="B14" s="232"/>
      <c r="C14" s="232"/>
      <c r="D14" s="232" t="s">
        <v>178</v>
      </c>
      <c r="E14" s="232"/>
      <c r="F14" s="282" t="str">
        <f>IFERROR(VLOOKUP($D14,人工[],2,FALSE),"")</f>
        <v>m</v>
      </c>
      <c r="G14" s="232">
        <v>47171</v>
      </c>
      <c r="H14" s="232">
        <f>IFERROR(VLOOKUP($D14,人工[],3,FALSE),"")</f>
        <v>7</v>
      </c>
      <c r="I14" s="341">
        <f t="shared" si="1"/>
        <v>330197</v>
      </c>
      <c r="J14" s="232">
        <v>3000</v>
      </c>
      <c r="K14" s="258">
        <f t="shared" si="4"/>
        <v>21000</v>
      </c>
      <c r="L14" s="232">
        <f ca="1">IFERROR(SUMIFS('02综合台帐（人材机）'!P:P,'02综合台帐（人材机）'!$F:$F,"人工",'02综合台帐（人材机）'!$K:$K,$D14)*J14/SUMIF($D:$D,$D14,J:J),0)</f>
        <v>0</v>
      </c>
      <c r="M14" s="232">
        <f ca="1" t="shared" si="2"/>
        <v>0</v>
      </c>
      <c r="N14" s="342">
        <f ca="1">IFERROR(SUMIFS('02综合台帐（人材机）'!Q:Q,'02综合台帐（人材机）'!$F:$F,"人工",'02综合台帐（人材机）'!$K:$K,$D14)*J14/SUMIF($D:$D,$D14,J:J),0)</f>
        <v>0</v>
      </c>
      <c r="O14" s="342">
        <f ca="1">IFERROR(SUMIFS('02综合台帐（人材机）'!T:T,'02综合台帐（人材机）'!$F:$F,"人工",'02综合台帐（人材机）'!$K:$K,$D14)*J14/SUMIF($D:$D,$D14,J:J),0)</f>
        <v>0</v>
      </c>
      <c r="P14" s="258">
        <f ca="1">IFERROR(SUMIFS('02综合台帐（人材机）'!U:U,'02综合台帐（人材机）'!$F:$F,"人工",'02综合台帐（人材机）'!$K:$K,$D14)*J14/SUMIF($D:$D,$D14,J:J),0)</f>
        <v>0</v>
      </c>
      <c r="Q14" s="258">
        <f t="shared" si="5"/>
        <v>0</v>
      </c>
      <c r="R14" s="258">
        <f t="shared" si="6"/>
        <v>0</v>
      </c>
      <c r="S14" s="258">
        <f ca="1" t="shared" si="3"/>
        <v>21000</v>
      </c>
      <c r="T14" s="232"/>
      <c r="U14" s="232"/>
      <c r="V14" s="232"/>
    </row>
    <row r="15" spans="1:22">
      <c r="A15" s="232" t="str">
        <f t="shared" si="0"/>
        <v>B01009</v>
      </c>
      <c r="B15" s="232"/>
      <c r="C15" s="232"/>
      <c r="D15" s="232" t="s">
        <v>342</v>
      </c>
      <c r="E15" s="232"/>
      <c r="F15" s="282" t="str">
        <f>IFERROR(VLOOKUP($D15,人工[],2,FALSE),"")</f>
        <v>套</v>
      </c>
      <c r="G15" s="232">
        <v>120</v>
      </c>
      <c r="H15" s="232">
        <f>IFERROR(VLOOKUP($D15,人工[],3,FALSE),"")</f>
        <v>100</v>
      </c>
      <c r="I15" s="341">
        <f t="shared" si="1"/>
        <v>12000</v>
      </c>
      <c r="J15" s="232">
        <v>0</v>
      </c>
      <c r="K15" s="258">
        <f t="shared" si="4"/>
        <v>0</v>
      </c>
      <c r="L15" s="232">
        <f ca="1">IFERROR(SUMIFS('02综合台帐（人材机）'!P:P,'02综合台帐（人材机）'!$F:$F,"人工",'02综合台帐（人材机）'!$K:$K,$D15)*J15/SUMIF($D:$D,$D15,J:J),0)</f>
        <v>0</v>
      </c>
      <c r="M15" s="232">
        <f ca="1" t="shared" si="2"/>
        <v>0</v>
      </c>
      <c r="N15" s="342">
        <f ca="1">IFERROR(SUMIFS('02综合台帐（人材机）'!Q:Q,'02综合台帐（人材机）'!$F:$F,"人工",'02综合台帐（人材机）'!$K:$K,$D15)*J15/SUMIF($D:$D,$D15,J:J),0)</f>
        <v>0</v>
      </c>
      <c r="O15" s="342">
        <f ca="1">IFERROR(SUMIFS('02综合台帐（人材机）'!T:T,'02综合台帐（人材机）'!$F:$F,"人工",'02综合台帐（人材机）'!$K:$K,$D15)*J15/SUMIF($D:$D,$D15,J:J),0)</f>
        <v>0</v>
      </c>
      <c r="P15" s="258">
        <f ca="1">IFERROR(SUMIFS('02综合台帐（人材机）'!U:U,'02综合台帐（人材机）'!$F:$F,"人工",'02综合台帐（人材机）'!$K:$K,$D15)*J15/SUMIF($D:$D,$D15,J:J),0)</f>
        <v>0</v>
      </c>
      <c r="Q15" s="258">
        <f t="shared" si="5"/>
        <v>0</v>
      </c>
      <c r="R15" s="258">
        <f t="shared" si="6"/>
        <v>0</v>
      </c>
      <c r="S15" s="258">
        <f ca="1" t="shared" si="3"/>
        <v>0</v>
      </c>
      <c r="T15" s="232"/>
      <c r="U15" s="232"/>
      <c r="V15" s="232"/>
    </row>
    <row r="16" spans="1:22">
      <c r="A16" s="232" t="str">
        <f t="shared" si="0"/>
        <v>B01010</v>
      </c>
      <c r="B16" s="232"/>
      <c r="C16" s="232"/>
      <c r="D16" s="232" t="s">
        <v>692</v>
      </c>
      <c r="E16" s="232"/>
      <c r="F16" s="282" t="str">
        <f>IFERROR(VLOOKUP($D16,人工[],2,FALSE),"")</f>
        <v>m2</v>
      </c>
      <c r="G16" s="232">
        <v>10500</v>
      </c>
      <c r="H16" s="232">
        <f>IFERROR(VLOOKUP($D16,人工[],3,FALSE),"")</f>
        <v>13</v>
      </c>
      <c r="I16" s="341">
        <f t="shared" si="1"/>
        <v>136500</v>
      </c>
      <c r="J16" s="232">
        <v>0</v>
      </c>
      <c r="K16" s="258">
        <f t="shared" si="4"/>
        <v>0</v>
      </c>
      <c r="L16" s="232">
        <f ca="1">IFERROR(SUMIFS('02综合台帐（人材机）'!P:P,'02综合台帐（人材机）'!$F:$F,"人工",'02综合台帐（人材机）'!$K:$K,$D16)*J16/SUMIF($D:$D,$D16,J:J),0)</f>
        <v>0</v>
      </c>
      <c r="M16" s="232">
        <f ca="1" t="shared" si="2"/>
        <v>0</v>
      </c>
      <c r="N16" s="342">
        <f ca="1">IFERROR(SUMIFS('02综合台帐（人材机）'!Q:Q,'02综合台帐（人材机）'!$F:$F,"人工",'02综合台帐（人材机）'!$K:$K,$D16)*J16/SUMIF($D:$D,$D16,J:J),0)</f>
        <v>0</v>
      </c>
      <c r="O16" s="342">
        <f ca="1">IFERROR(SUMIFS('02综合台帐（人材机）'!T:T,'02综合台帐（人材机）'!$F:$F,"人工",'02综合台帐（人材机）'!$K:$K,$D16)*J16/SUMIF($D:$D,$D16,J:J),0)</f>
        <v>0</v>
      </c>
      <c r="P16" s="258">
        <f ca="1">IFERROR(SUMIFS('02综合台帐（人材机）'!U:U,'02综合台帐（人材机）'!$F:$F,"人工",'02综合台帐（人材机）'!$K:$K,$D16)*J16/SUMIF($D:$D,$D16,J:J),0)</f>
        <v>0</v>
      </c>
      <c r="Q16" s="258">
        <f t="shared" si="5"/>
        <v>0</v>
      </c>
      <c r="R16" s="258">
        <f t="shared" si="6"/>
        <v>0</v>
      </c>
      <c r="S16" s="258">
        <f ca="1" t="shared" si="3"/>
        <v>0</v>
      </c>
      <c r="T16" s="232"/>
      <c r="U16" s="232"/>
      <c r="V16" s="232"/>
    </row>
    <row r="17" spans="1:22">
      <c r="A17" s="232" t="str">
        <f t="shared" si="0"/>
        <v>B01011</v>
      </c>
      <c r="B17" s="232"/>
      <c r="C17" s="232"/>
      <c r="D17" s="232" t="s">
        <v>487</v>
      </c>
      <c r="E17" s="232"/>
      <c r="F17" s="282" t="str">
        <f>IFERROR(VLOOKUP($D17,人工[],2,FALSE),"")</f>
        <v>m3</v>
      </c>
      <c r="G17" s="232">
        <v>4397.13</v>
      </c>
      <c r="H17" s="232">
        <f>IFERROR(VLOOKUP($D17,人工[],3,FALSE),"")</f>
        <v>200</v>
      </c>
      <c r="I17" s="341">
        <f t="shared" si="1"/>
        <v>879426</v>
      </c>
      <c r="J17" s="232">
        <v>1500</v>
      </c>
      <c r="K17" s="258">
        <f t="shared" si="4"/>
        <v>300000</v>
      </c>
      <c r="L17" s="232">
        <f ca="1">IFERROR(SUMIFS('02综合台帐（人材机）'!P:P,'02综合台帐（人材机）'!$F:$F,"人工",'02综合台帐（人材机）'!$K:$K,$D17)*J17/SUMIF($D:$D,$D17,J:J),0)</f>
        <v>600</v>
      </c>
      <c r="M17" s="232">
        <f ca="1" t="shared" si="2"/>
        <v>280</v>
      </c>
      <c r="N17" s="342">
        <f ca="1">IFERROR(SUMIFS('02综合台帐（人材机）'!Q:Q,'02综合台帐（人材机）'!$F:$F,"人工",'02综合台帐（人材机）'!$K:$K,$D17)*J17/SUMIF($D:$D,$D17,J:J),0)</f>
        <v>168000</v>
      </c>
      <c r="O17" s="342">
        <f ca="1">IFERROR(SUMIFS('02综合台帐（人材机）'!T:T,'02综合台帐（人材机）'!$F:$F,"人工",'02综合台帐（人材机）'!$K:$K,$D17)*J17/SUMIF($D:$D,$D17,J:J),0)</f>
        <v>0</v>
      </c>
      <c r="P17" s="258">
        <f ca="1">IFERROR(SUMIFS('02综合台帐（人材机）'!U:U,'02综合台帐（人材机）'!$F:$F,"人工",'02综合台帐（人材机）'!$K:$K,$D17)*J17/SUMIF($D:$D,$D17,J:J),0)</f>
        <v>0</v>
      </c>
      <c r="Q17" s="258">
        <f t="shared" si="5"/>
        <v>0</v>
      </c>
      <c r="R17" s="258">
        <f t="shared" si="6"/>
        <v>0</v>
      </c>
      <c r="S17" s="258">
        <f ca="1" t="shared" si="3"/>
        <v>300000</v>
      </c>
      <c r="T17" s="232"/>
      <c r="U17" s="232"/>
      <c r="V17" s="232"/>
    </row>
    <row r="18" spans="1:22">
      <c r="A18" s="232" t="str">
        <f t="shared" si="0"/>
        <v>B01012</v>
      </c>
      <c r="B18" s="232"/>
      <c r="C18" s="232"/>
      <c r="D18" s="232" t="s">
        <v>296</v>
      </c>
      <c r="E18" s="232"/>
      <c r="F18" s="282" t="str">
        <f>IFERROR(VLOOKUP($D18,人工[],2,FALSE),"")</f>
        <v>t</v>
      </c>
      <c r="G18" s="232">
        <v>329.47</v>
      </c>
      <c r="H18" s="232">
        <f>IFERROR(VLOOKUP($D18,人工[],3,FALSE),"")</f>
        <v>700</v>
      </c>
      <c r="I18" s="341">
        <f t="shared" si="1"/>
        <v>230629</v>
      </c>
      <c r="J18" s="232">
        <v>55</v>
      </c>
      <c r="K18" s="258">
        <f t="shared" si="4"/>
        <v>38500</v>
      </c>
      <c r="L18" s="232">
        <f ca="1">IFERROR(SUMIFS('02综合台帐（人材机）'!P:P,'02综合台帐（人材机）'!$F:$F,"人工",'02综合台帐（人材机）'!$K:$K,$D18)*J18/SUMIF($D:$D,$D18,J:J),0)</f>
        <v>155</v>
      </c>
      <c r="M18" s="232">
        <f ca="1" t="shared" si="2"/>
        <v>700</v>
      </c>
      <c r="N18" s="342">
        <f ca="1">IFERROR(SUMIFS('02综合台帐（人材机）'!Q:Q,'02综合台帐（人材机）'!$F:$F,"人工",'02综合台帐（人材机）'!$K:$K,$D18)*J18/SUMIF($D:$D,$D18,J:J),0)</f>
        <v>108500</v>
      </c>
      <c r="O18" s="342">
        <f ca="1">IFERROR(SUMIFS('02综合台帐（人材机）'!T:T,'02综合台帐（人材机）'!$F:$F,"人工",'02综合台帐（人材机）'!$K:$K,$D18)*J18/SUMIF($D:$D,$D18,J:J),0)</f>
        <v>11197.5009694793</v>
      </c>
      <c r="P18" s="258">
        <f ca="1">IFERROR(SUMIFS('02综合台帐（人材机）'!U:U,'02综合台帐（人材机）'!$F:$F,"人工",'02综合台帐（人材机）'!$K:$K,$D18)*J18/SUMIF($D:$D,$D18,J:J),0)</f>
        <v>671850.058168757</v>
      </c>
      <c r="Q18" s="258">
        <f t="shared" si="5"/>
        <v>0</v>
      </c>
      <c r="R18" s="258">
        <f t="shared" si="6"/>
        <v>0</v>
      </c>
      <c r="S18" s="258">
        <f ca="1" t="shared" si="3"/>
        <v>-633350.058168757</v>
      </c>
      <c r="T18" s="232"/>
      <c r="U18" s="232"/>
      <c r="V18" s="232"/>
    </row>
    <row r="19" spans="1:22">
      <c r="A19" s="232" t="str">
        <f t="shared" si="0"/>
        <v>B01013</v>
      </c>
      <c r="B19" s="232"/>
      <c r="C19" s="232"/>
      <c r="D19" s="232" t="s">
        <v>704</v>
      </c>
      <c r="E19" s="232"/>
      <c r="F19" s="282" t="str">
        <f>IFERROR(VLOOKUP($D19,人工[],2,FALSE),"")</f>
        <v>m2</v>
      </c>
      <c r="G19" s="232">
        <v>3343.59</v>
      </c>
      <c r="H19" s="232">
        <f>IFERROR(VLOOKUP($D19,人工[],3,FALSE),"")</f>
        <v>125</v>
      </c>
      <c r="I19" s="341">
        <f t="shared" si="1"/>
        <v>417948.75</v>
      </c>
      <c r="J19" s="232">
        <v>0</v>
      </c>
      <c r="K19" s="258">
        <f t="shared" si="4"/>
        <v>0</v>
      </c>
      <c r="L19" s="232">
        <f ca="1">IFERROR(SUMIFS('02综合台帐（人材机）'!P:P,'02综合台帐（人材机）'!$F:$F,"人工",'02综合台帐（人材机）'!$K:$K,$D19)*J19/SUMIF($D:$D,$D19,J:J),0)</f>
        <v>0</v>
      </c>
      <c r="M19" s="232">
        <f ca="1" t="shared" si="2"/>
        <v>0</v>
      </c>
      <c r="N19" s="342">
        <f ca="1">IFERROR(SUMIFS('02综合台帐（人材机）'!Q:Q,'02综合台帐（人材机）'!$F:$F,"人工",'02综合台帐（人材机）'!$K:$K,$D19)*J19/SUMIF($D:$D,$D19,J:J),0)</f>
        <v>0</v>
      </c>
      <c r="O19" s="342">
        <f ca="1">IFERROR(SUMIFS('02综合台帐（人材机）'!T:T,'02综合台帐（人材机）'!$F:$F,"人工",'02综合台帐（人材机）'!$K:$K,$D19)*J19/SUMIF($D:$D,$D19,J:J),0)</f>
        <v>0</v>
      </c>
      <c r="P19" s="258">
        <f ca="1">IFERROR(SUMIFS('02综合台帐（人材机）'!U:U,'02综合台帐（人材机）'!$F:$F,"人工",'02综合台帐（人材机）'!$K:$K,$D19)*J19/SUMIF($D:$D,$D19,J:J),0)</f>
        <v>0</v>
      </c>
      <c r="Q19" s="258">
        <f t="shared" si="5"/>
        <v>0</v>
      </c>
      <c r="R19" s="258">
        <f t="shared" si="6"/>
        <v>0</v>
      </c>
      <c r="S19" s="258">
        <f ca="1" t="shared" si="3"/>
        <v>0</v>
      </c>
      <c r="T19" s="232"/>
      <c r="U19" s="232"/>
      <c r="V19" s="232"/>
    </row>
  </sheetData>
  <sheetProtection formatCells="0" formatColumns="0" formatRows="0" insertRows="0" deleteRows="0" autoFilter="0"/>
  <conditionalFormatting sqref="A7:V19">
    <cfRule type="expression" dxfId="56" priority="4">
      <formula>$F7=""</formula>
    </cfRule>
  </conditionalFormatting>
  <dataValidations count="1">
    <dataValidation type="list" allowBlank="1" showInputMessage="1" showErrorMessage="1" sqref="U5:U19">
      <formula1>INDIRECT(细目下拉)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6625" r:id="rId3" name="CommandButton1">
          <controlPr defaultSize="0" r:id="rId4">
            <anchor moveWithCells="1">
              <from>
                <xdr:col>0</xdr:col>
                <xdr:colOff>0</xdr:colOff>
                <xdr:row>0</xdr:row>
                <xdr:rowOff>0</xdr:rowOff>
              </from>
              <to>
                <xdr:col>1</xdr:col>
                <xdr:colOff>238125</xdr:colOff>
                <xdr:row>0</xdr:row>
                <xdr:rowOff>381000</xdr:rowOff>
              </to>
            </anchor>
          </controlPr>
        </control>
      </mc:Choice>
      <mc:Fallback>
        <control shapeId="26625" r:id="rId3" name="CommandButton1"/>
      </mc:Fallback>
    </mc:AlternateContent>
  </controls>
  <tableParts count="1">
    <tablePart r:id="rId5"/>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outlinePr summaryBelow="0"/>
  </sheetPr>
  <dimension ref="A1:V529"/>
  <sheetViews>
    <sheetView showGridLines="0" zoomScale="90" zoomScaleNormal="90" workbookViewId="0">
      <pane ySplit="5" topLeftCell="A6" activePane="bottomLeft" state="frozen"/>
      <selection/>
      <selection pane="bottomLeft" activeCell="A189" sqref="A189"/>
    </sheetView>
  </sheetViews>
  <sheetFormatPr defaultColWidth="9" defaultRowHeight="15.75"/>
  <cols>
    <col min="1" max="1" width="9.25" style="27" customWidth="1"/>
    <col min="2" max="2" width="10.25" style="27" customWidth="1"/>
    <col min="3" max="3" width="13.25" style="27" customWidth="1"/>
    <col min="4" max="4" width="25.25" style="27" customWidth="1"/>
    <col min="5" max="5" width="9.375" style="27" customWidth="1"/>
    <col min="6" max="6" width="8.375" style="266" customWidth="1"/>
    <col min="7" max="7" width="12.625" style="27" customWidth="1"/>
    <col min="8" max="8" width="10.75" style="178" customWidth="1"/>
    <col min="9" max="9" width="15.625" style="27" customWidth="1"/>
    <col min="10" max="10" width="10.75" style="27" customWidth="1"/>
    <col min="11" max="11" width="14.875" style="27" customWidth="1"/>
    <col min="12" max="12" width="9.875" style="27" customWidth="1"/>
    <col min="13" max="13" width="12.25" style="27" customWidth="1"/>
    <col min="14" max="14" width="13.625" style="27" customWidth="1"/>
    <col min="15" max="15" width="11" style="27" customWidth="1"/>
    <col min="16" max="16" width="13.625" style="27" customWidth="1"/>
    <col min="17" max="17" width="14.5" style="27" customWidth="1"/>
    <col min="18" max="18" width="11.375" style="27" customWidth="1"/>
    <col min="19" max="19" width="14.5" style="27" customWidth="1"/>
    <col min="20" max="20" width="7.875" style="27" customWidth="1"/>
    <col min="21" max="21" width="11.25" style="27" customWidth="1"/>
    <col min="22" max="22" width="13.25" style="27" customWidth="1"/>
    <col min="23" max="16384" width="9" style="27"/>
  </cols>
  <sheetData>
    <row r="1" ht="23.25" spans="1:20">
      <c r="A1" s="141" t="s">
        <v>2864</v>
      </c>
      <c r="B1" s="304"/>
      <c r="C1" s="141"/>
      <c r="D1" s="141"/>
      <c r="E1" s="141"/>
      <c r="F1" s="270"/>
      <c r="G1" s="141"/>
      <c r="H1" s="305"/>
      <c r="I1" s="233" t="s">
        <v>2843</v>
      </c>
      <c r="J1" s="234" t="s">
        <v>2844</v>
      </c>
      <c r="K1" s="235" t="s">
        <v>2845</v>
      </c>
      <c r="L1" s="141"/>
      <c r="M1" s="141"/>
      <c r="N1" s="284"/>
      <c r="O1" s="284"/>
      <c r="P1" s="141"/>
      <c r="Q1" s="297"/>
      <c r="R1" s="297"/>
      <c r="S1" s="297"/>
      <c r="T1" s="297"/>
    </row>
    <row r="2" s="215" customFormat="1" ht="20.1" customHeight="1" spans="1:20">
      <c r="A2" s="216" t="str">
        <f t="shared" ref="A2:A18" si="0">$A$6&amp;TEXT(ROW()-6,"000")</f>
        <v>C01-004</v>
      </c>
      <c r="C2" s="217" t="e">
        <f>IF(F2="","单位","分项")</f>
        <v>#N/A</v>
      </c>
      <c r="F2" s="218" t="e">
        <f>VLOOKUP($D2,材料[],2,FALSE)</f>
        <v>#N/A</v>
      </c>
      <c r="G2" s="218" t="e">
        <f>VLOOKUP($D2,材料[],4,FALSE)</f>
        <v>#N/A</v>
      </c>
      <c r="H2" s="218" t="e">
        <f>VLOOKUP($D2,材料[],3,FALSE)</f>
        <v>#N/A</v>
      </c>
      <c r="I2" s="218" t="e">
        <f t="shared" ref="I2:I18" si="1">+G2*H2</f>
        <v>#N/A</v>
      </c>
      <c r="J2" s="218">
        <f ca="1">SUMIFS('01工程产值对比表'!T:T,'01工程产值对比表'!$C:$C,"材料2",'01工程产值对比表'!$D:$D,$D2)</f>
        <v>0</v>
      </c>
      <c r="K2" s="218" t="e">
        <f ca="1" t="shared" ref="K2:K18" si="2">+J2*H2</f>
        <v>#N/A</v>
      </c>
      <c r="L2" s="236">
        <f ca="1">IFERROR(SUMIFS('02综合台帐（人材机）'!P:P,'02综合台帐（人材机）'!$F:$F,"材料2",'02综合台帐（人材机）'!$K:$K,$D2)*J2/SUMIF($D:$D,$D2,J:J),0)</f>
        <v>0</v>
      </c>
      <c r="M2" s="236">
        <f ca="1" t="shared" ref="M2:M18" si="3">IFERROR(+N2/L2,0)</f>
        <v>0</v>
      </c>
      <c r="N2" s="237">
        <f ca="1">IFERROR(SUMIFS('02综合台帐（人材机）'!Q:Q,'02综合台帐（人材机）'!$F:$F,"材料2",'02综合台帐（人材机）'!$K:$K,$D2)*J2/SUMIF($D:$D,$D2,J:J),0)</f>
        <v>0</v>
      </c>
      <c r="O2" s="215">
        <f ca="1">IFERROR(SUMIFS('02综合台帐（人材机）'!T:T,'02综合台帐（人材机）'!$F:$F,"材料2",'02综合台帐（人材机）'!$K:$K,$D2)*J2/SUMIF($D:$D,$D2,J:J),0)</f>
        <v>0</v>
      </c>
      <c r="P2" s="236">
        <f ca="1">IFERROR(SUMIFS('02综合台帐（人材机）'!U:U,'02综合台帐（人材机）'!$F:$F,"材料2",'02综合台帐（人材机）'!$K:$K,$D2)*J2/SUMIF($D:$D,$D2,J:J),0)</f>
        <v>0</v>
      </c>
      <c r="Q2" s="236" t="e">
        <f ca="1" t="shared" ref="Q2:Q18" si="4">-M2*J2+H2*J2</f>
        <v>#N/A</v>
      </c>
      <c r="R2" s="236">
        <f ca="1" t="shared" ref="R2:R18" si="5">IFERROR(-O2*M2+M2*J2,0)</f>
        <v>0</v>
      </c>
      <c r="S2" s="215">
        <f ca="1" t="shared" ref="S2:S18" si="6">IFERROR(K2-P2,0)</f>
        <v>0</v>
      </c>
      <c r="T2" s="236"/>
    </row>
    <row r="3" ht="16.5" spans="1:22">
      <c r="A3" s="306"/>
      <c r="B3" s="307"/>
      <c r="C3" s="308"/>
      <c r="D3" s="309"/>
      <c r="E3" s="310"/>
      <c r="F3" s="311"/>
      <c r="G3" s="309" t="s">
        <v>2847</v>
      </c>
      <c r="H3" s="310"/>
      <c r="I3" s="311"/>
      <c r="J3" s="314" t="s">
        <v>2848</v>
      </c>
      <c r="K3" s="314"/>
      <c r="L3" s="308" t="s">
        <v>2849</v>
      </c>
      <c r="M3" s="315"/>
      <c r="N3" s="315"/>
      <c r="O3" s="316" t="s">
        <v>2850</v>
      </c>
      <c r="P3" s="317"/>
      <c r="Q3" s="321" t="s">
        <v>2851</v>
      </c>
      <c r="R3" s="321"/>
      <c r="S3" s="321"/>
      <c r="T3" s="307"/>
      <c r="U3" s="307"/>
      <c r="V3" s="322"/>
    </row>
    <row r="4" ht="31.5" spans="1:22">
      <c r="A4" s="312" t="s">
        <v>1254</v>
      </c>
      <c r="B4" s="312" t="s">
        <v>1291</v>
      </c>
      <c r="C4" s="312" t="s">
        <v>2852</v>
      </c>
      <c r="D4" s="227" t="s">
        <v>1399</v>
      </c>
      <c r="E4" s="227" t="s">
        <v>1294</v>
      </c>
      <c r="F4" s="227" t="s">
        <v>60</v>
      </c>
      <c r="G4" s="246" t="s">
        <v>2853</v>
      </c>
      <c r="H4" s="246" t="s">
        <v>88</v>
      </c>
      <c r="I4" s="318" t="s">
        <v>2854</v>
      </c>
      <c r="J4" s="319" t="s">
        <v>2855</v>
      </c>
      <c r="K4" s="228" t="s">
        <v>2856</v>
      </c>
      <c r="L4" s="228" t="s">
        <v>2454</v>
      </c>
      <c r="M4" s="247" t="s">
        <v>94</v>
      </c>
      <c r="N4" s="320" t="s">
        <v>2857</v>
      </c>
      <c r="O4" s="320" t="s">
        <v>2456</v>
      </c>
      <c r="P4" s="228" t="s">
        <v>2858</v>
      </c>
      <c r="Q4" s="228" t="s">
        <v>2859</v>
      </c>
      <c r="R4" s="228" t="s">
        <v>2860</v>
      </c>
      <c r="S4" s="228" t="s">
        <v>2861</v>
      </c>
      <c r="T4" s="312" t="s">
        <v>1262</v>
      </c>
      <c r="U4" s="312" t="s">
        <v>2862</v>
      </c>
      <c r="V4" s="323" t="s">
        <v>2863</v>
      </c>
    </row>
    <row r="5" ht="21.95" customHeight="1" spans="1:22">
      <c r="A5" s="230" t="str">
        <f t="shared" si="0"/>
        <v>C01-001</v>
      </c>
      <c r="B5" s="229"/>
      <c r="C5" s="229"/>
      <c r="D5" s="229"/>
      <c r="E5" s="229"/>
      <c r="F5" s="230" t="e">
        <f>VLOOKUP($D5,材料[],2,FALSE)</f>
        <v>#N/A</v>
      </c>
      <c r="G5" s="230" t="e">
        <f>VLOOKUP($D5,材料[],4,FALSE)</f>
        <v>#N/A</v>
      </c>
      <c r="H5" s="230" t="e">
        <f>VLOOKUP($D5,材料[],3,FALSE)</f>
        <v>#N/A</v>
      </c>
      <c r="I5" s="248" t="e">
        <f t="shared" si="1"/>
        <v>#N/A</v>
      </c>
      <c r="J5" s="230">
        <f ca="1">SUMIFS('01工程产值对比表'!T:T,'01工程产值对比表'!$C:$C,"材料2",'01工程产值对比表'!$D:$D,$D5)</f>
        <v>0</v>
      </c>
      <c r="K5" s="249" t="e">
        <f ca="1" t="shared" si="2"/>
        <v>#N/A</v>
      </c>
      <c r="L5" s="250">
        <f ca="1">IFERROR(SUMIFS('02综合台帐（人材机）'!P:P,'02综合台帐（人材机）'!$F:$F,"材料2",'02综合台帐（人材机）'!$K:$K,$D5)*J5/SUMIF($D:$D,$D5,J:J),0)</f>
        <v>0</v>
      </c>
      <c r="M5" s="251">
        <f ca="1" t="shared" si="3"/>
        <v>0</v>
      </c>
      <c r="N5" s="251">
        <f ca="1">IFERROR(SUMIFS('02综合台帐（人材机）'!Q:Q,'02综合台帐（人材机）'!$F:$F,"材料2",'02综合台帐（人材机）'!$K:$K,$D5)*J5/SUMIF($D:$D,$D5,J:J),0)</f>
        <v>0</v>
      </c>
      <c r="O5" s="251">
        <f ca="1">IFERROR(SUMIFS('02综合台帐（人材机）'!T:T,'02综合台帐（人材机）'!$F:$F,"材料2",'02综合台帐（人材机）'!$K:$K,$D5)*J5/SUMIF($D:$D,$D5,J:J),0)</f>
        <v>0</v>
      </c>
      <c r="P5" s="249">
        <f ca="1">IFERROR(SUMIFS('02综合台帐（人材机）'!U:U,'02综合台帐（人材机）'!$F:$F,"材料2",'02综合台帐（人材机）'!$K:$K,$D5)*J5/SUMIF($D:$D,$D5,J:J),0)</f>
        <v>0</v>
      </c>
      <c r="Q5" s="250" t="e">
        <f ca="1" t="shared" si="4"/>
        <v>#N/A</v>
      </c>
      <c r="R5" s="261">
        <f ca="1" t="shared" si="5"/>
        <v>0</v>
      </c>
      <c r="S5" s="261">
        <f ca="1" t="shared" si="6"/>
        <v>0</v>
      </c>
      <c r="T5" s="262"/>
      <c r="U5" s="262"/>
      <c r="V5" s="262"/>
    </row>
    <row r="6" ht="21.95" customHeight="1" spans="1:22">
      <c r="A6" s="229" t="s">
        <v>1271</v>
      </c>
      <c r="B6" s="229"/>
      <c r="C6" s="229" t="s">
        <v>1306</v>
      </c>
      <c r="D6" s="229" t="s">
        <v>59</v>
      </c>
      <c r="E6" s="229"/>
      <c r="F6" s="229"/>
      <c r="G6" s="229"/>
      <c r="H6" s="231"/>
      <c r="I6" s="252">
        <f>SUM(I7:I2000)</f>
        <v>29331230.5831834</v>
      </c>
      <c r="J6" s="229"/>
      <c r="K6" s="252">
        <f>SUM(K7:K2000)</f>
        <v>25104497.7063746</v>
      </c>
      <c r="L6" s="253"/>
      <c r="M6" s="254"/>
      <c r="N6" s="254">
        <f ca="1">SUM(N7:N2000)</f>
        <v>0</v>
      </c>
      <c r="O6" s="254"/>
      <c r="P6" s="254">
        <f ca="1">SUM(P7:P2000)</f>
        <v>0</v>
      </c>
      <c r="Q6" s="264">
        <f ca="1">SUM(Q7:Q2000)</f>
        <v>25104497.7063746</v>
      </c>
      <c r="R6" s="265">
        <f ca="1">SUM(R7:R2000)</f>
        <v>0</v>
      </c>
      <c r="S6" s="265">
        <f ca="1">SUM(S7:S2000)</f>
        <v>25104497.7063746</v>
      </c>
      <c r="T6" s="262"/>
      <c r="U6" s="262"/>
      <c r="V6" s="262"/>
    </row>
    <row r="7" spans="1:22">
      <c r="A7" s="232" t="str">
        <f t="shared" si="0"/>
        <v>C01001</v>
      </c>
      <c r="B7" s="232"/>
      <c r="C7" s="232"/>
      <c r="D7" s="232" t="s">
        <v>35</v>
      </c>
      <c r="E7" s="232"/>
      <c r="F7" s="282" t="s">
        <v>82</v>
      </c>
      <c r="G7" s="232">
        <v>14774.217072</v>
      </c>
      <c r="H7" s="313">
        <v>415.929203539823</v>
      </c>
      <c r="I7" s="232">
        <f t="shared" si="1"/>
        <v>6145028.33968142</v>
      </c>
      <c r="J7" s="232">
        <v>14759.569572</v>
      </c>
      <c r="K7" s="232">
        <f t="shared" si="2"/>
        <v>6138936.01667257</v>
      </c>
      <c r="L7" s="232">
        <f ca="1">IFERROR(SUMIFS('02综合台帐（人材机）'!P:P,'02综合台帐（人材机）'!$F:$F,"材料2",'02综合台帐（人材机）'!$K:$K,$D7)*J7/SUMIF($D:$D,$D7,J:J),0)</f>
        <v>0</v>
      </c>
      <c r="M7" s="232">
        <f ca="1" t="shared" si="3"/>
        <v>0</v>
      </c>
      <c r="N7" s="232">
        <f ca="1">IFERROR(SUMIFS('02综合台帐（人材机）'!Q:Q,'02综合台帐（人材机）'!$F:$F,"材料2",'02综合台帐（人材机）'!$K:$K,$D7)*J7/SUMIF($D:$D,$D7,J:J),0)</f>
        <v>0</v>
      </c>
      <c r="O7" s="232">
        <f ca="1">IFERROR(SUMIFS('02综合台帐（人材机）'!T:T,'02综合台帐（人材机）'!$F:$F,"材料2",'02综合台帐（人材机）'!$K:$K,$D7)*J7/SUMIF($D:$D,$D7,J:J),0)</f>
        <v>0</v>
      </c>
      <c r="P7" s="258">
        <f ca="1">IFERROR(SUMIFS('02综合台帐（人材机）'!U:U,'02综合台帐（人材机）'!$F:$F,"材料2",'02综合台帐（人材机）'!$K:$K,$D7)*J7/SUMIF($D:$D,$D7,J:J),0)</f>
        <v>0</v>
      </c>
      <c r="Q7" s="232">
        <f ca="1" t="shared" si="4"/>
        <v>6138936.01667257</v>
      </c>
      <c r="R7" s="232">
        <f ca="1" t="shared" si="5"/>
        <v>0</v>
      </c>
      <c r="S7" s="232">
        <f ca="1" t="shared" si="6"/>
        <v>6138936.01667257</v>
      </c>
      <c r="T7" s="232"/>
      <c r="U7" s="232"/>
      <c r="V7" s="232"/>
    </row>
    <row r="8" spans="1:22">
      <c r="A8" s="232" t="str">
        <f t="shared" si="0"/>
        <v>C01002</v>
      </c>
      <c r="B8" s="232"/>
      <c r="C8" s="232"/>
      <c r="D8" s="232" t="s">
        <v>36</v>
      </c>
      <c r="E8" s="232"/>
      <c r="F8" s="282" t="s">
        <v>82</v>
      </c>
      <c r="G8" s="232">
        <v>25588.0789408</v>
      </c>
      <c r="H8" s="313">
        <v>127</v>
      </c>
      <c r="I8" s="232">
        <f t="shared" si="1"/>
        <v>3249686.0254816</v>
      </c>
      <c r="J8" s="232">
        <v>25434.9855408</v>
      </c>
      <c r="K8" s="232">
        <f t="shared" si="2"/>
        <v>3230243.1636816</v>
      </c>
      <c r="L8" s="232">
        <f ca="1">IFERROR(SUMIFS('02综合台帐（人材机）'!P:P,'02综合台帐（人材机）'!$F:$F,"材料2",'02综合台帐（人材机）'!$K:$K,$D8)*J8/SUMIF($D:$D,$D8,J:J),0)</f>
        <v>0</v>
      </c>
      <c r="M8" s="232">
        <f ca="1" t="shared" si="3"/>
        <v>0</v>
      </c>
      <c r="N8" s="232">
        <f ca="1">IFERROR(SUMIFS('02综合台帐（人材机）'!Q:Q,'02综合台帐（人材机）'!$F:$F,"材料2",'02综合台帐（人材机）'!$K:$K,$D8)*J8/SUMIF($D:$D,$D8,J:J),0)</f>
        <v>0</v>
      </c>
      <c r="O8" s="232">
        <f ca="1">IFERROR(SUMIFS('02综合台帐（人材机）'!T:T,'02综合台帐（人材机）'!$F:$F,"材料2",'02综合台帐（人材机）'!$K:$K,$D8)*J8/SUMIF($D:$D,$D8,J:J),0)</f>
        <v>0</v>
      </c>
      <c r="P8" s="258">
        <f ca="1">IFERROR(SUMIFS('02综合台帐（人材机）'!U:U,'02综合台帐（人材机）'!$F:$F,"材料2",'02综合台帐（人材机）'!$K:$K,$D8)*J8/SUMIF($D:$D,$D8,J:J),0)</f>
        <v>0</v>
      </c>
      <c r="Q8" s="232">
        <f ca="1" t="shared" si="4"/>
        <v>3230243.1636816</v>
      </c>
      <c r="R8" s="232">
        <f ca="1" t="shared" si="5"/>
        <v>0</v>
      </c>
      <c r="S8" s="232">
        <f ca="1" t="shared" si="6"/>
        <v>3230243.1636816</v>
      </c>
      <c r="T8" s="232"/>
      <c r="U8" s="232"/>
      <c r="V8" s="232"/>
    </row>
    <row r="9" spans="1:22">
      <c r="A9" s="232" t="str">
        <f t="shared" si="0"/>
        <v>C01003</v>
      </c>
      <c r="B9" s="232"/>
      <c r="C9" s="232"/>
      <c r="D9" s="232" t="s">
        <v>37</v>
      </c>
      <c r="E9" s="232"/>
      <c r="F9" s="282" t="s">
        <v>82</v>
      </c>
      <c r="G9" s="232">
        <v>45321.5340452</v>
      </c>
      <c r="H9" s="313">
        <v>127</v>
      </c>
      <c r="I9" s="232">
        <f t="shared" si="1"/>
        <v>5755834.8237404</v>
      </c>
      <c r="J9" s="232">
        <v>45275.2290452</v>
      </c>
      <c r="K9" s="232">
        <f t="shared" si="2"/>
        <v>5749954.0887404</v>
      </c>
      <c r="L9" s="232">
        <f ca="1">IFERROR(SUMIFS('02综合台帐（人材机）'!P:P,'02综合台帐（人材机）'!$F:$F,"材料2",'02综合台帐（人材机）'!$K:$K,$D9)*J9/SUMIF($D:$D,$D9,J:J),0)</f>
        <v>0</v>
      </c>
      <c r="M9" s="232">
        <f ca="1" t="shared" si="3"/>
        <v>0</v>
      </c>
      <c r="N9" s="232">
        <f ca="1">IFERROR(SUMIFS('02综合台帐（人材机）'!Q:Q,'02综合台帐（人材机）'!$F:$F,"材料2",'02综合台帐（人材机）'!$K:$K,$D9)*J9/SUMIF($D:$D,$D9,J:J),0)</f>
        <v>0</v>
      </c>
      <c r="O9" s="232">
        <f ca="1">IFERROR(SUMIFS('02综合台帐（人材机）'!T:T,'02综合台帐（人材机）'!$F:$F,"材料2",'02综合台帐（人材机）'!$K:$K,$D9)*J9/SUMIF($D:$D,$D9,J:J),0)</f>
        <v>0</v>
      </c>
      <c r="P9" s="258">
        <f ca="1">IFERROR(SUMIFS('02综合台帐（人材机）'!U:U,'02综合台帐（人材机）'!$F:$F,"材料2",'02综合台帐（人材机）'!$K:$K,$D9)*J9/SUMIF($D:$D,$D9,J:J),0)</f>
        <v>0</v>
      </c>
      <c r="Q9" s="232">
        <f ca="1" t="shared" si="4"/>
        <v>5749954.0887404</v>
      </c>
      <c r="R9" s="232">
        <f ca="1" t="shared" si="5"/>
        <v>0</v>
      </c>
      <c r="S9" s="232">
        <f ca="1" t="shared" si="6"/>
        <v>5749954.0887404</v>
      </c>
      <c r="T9" s="232"/>
      <c r="U9" s="232"/>
      <c r="V9" s="232"/>
    </row>
    <row r="10" spans="1:22">
      <c r="A10" s="232" t="str">
        <f t="shared" si="0"/>
        <v>C01004</v>
      </c>
      <c r="B10" s="232"/>
      <c r="C10" s="232"/>
      <c r="D10" s="232" t="s">
        <v>37</v>
      </c>
      <c r="E10" s="232"/>
      <c r="F10" s="282" t="s">
        <v>82</v>
      </c>
      <c r="G10" s="232">
        <v>29621.2772806</v>
      </c>
      <c r="H10" s="313">
        <v>300</v>
      </c>
      <c r="I10" s="232">
        <f t="shared" si="1"/>
        <v>8886383.18418</v>
      </c>
      <c r="J10" s="232">
        <v>29590.1395306</v>
      </c>
      <c r="K10" s="232">
        <f t="shared" si="2"/>
        <v>8877041.85918</v>
      </c>
      <c r="L10" s="232">
        <f ca="1">IFERROR(SUMIFS('02综合台帐（人材机）'!P:P,'02综合台帐（人材机）'!$F:$F,"材料2",'02综合台帐（人材机）'!$K:$K,$D10)*J10/SUMIF($D:$D,$D10,J:J),0)</f>
        <v>0</v>
      </c>
      <c r="M10" s="232">
        <f ca="1" t="shared" si="3"/>
        <v>0</v>
      </c>
      <c r="N10" s="232">
        <f ca="1">IFERROR(SUMIFS('02综合台帐（人材机）'!Q:Q,'02综合台帐（人材机）'!$F:$F,"材料2",'02综合台帐（人材机）'!$K:$K,$D10)*J10/SUMIF($D:$D,$D10,J:J),0)</f>
        <v>0</v>
      </c>
      <c r="O10" s="232">
        <f ca="1">IFERROR(SUMIFS('02综合台帐（人材机）'!T:T,'02综合台帐（人材机）'!$F:$F,"材料2",'02综合台帐（人材机）'!$K:$K,$D10)*J10/SUMIF($D:$D,$D10,J:J),0)</f>
        <v>0</v>
      </c>
      <c r="P10" s="258">
        <f ca="1">IFERROR(SUMIFS('02综合台帐（人材机）'!U:U,'02综合台帐（人材机）'!$F:$F,"材料2",'02综合台帐（人材机）'!$K:$K,$D10)*J10/SUMIF($D:$D,$D10,J:J),0)</f>
        <v>0</v>
      </c>
      <c r="Q10" s="232">
        <f ca="1" t="shared" si="4"/>
        <v>8877041.85918</v>
      </c>
      <c r="R10" s="232">
        <f ca="1" t="shared" si="5"/>
        <v>0</v>
      </c>
      <c r="S10" s="232">
        <f ca="1" t="shared" si="6"/>
        <v>8877041.85918</v>
      </c>
      <c r="T10" s="232"/>
      <c r="U10" s="232"/>
      <c r="V10" s="232"/>
    </row>
    <row r="11" spans="1:22">
      <c r="A11" s="232" t="str">
        <f t="shared" si="0"/>
        <v>C01005</v>
      </c>
      <c r="B11" s="232"/>
      <c r="C11" s="232"/>
      <c r="D11" s="232" t="s">
        <v>38</v>
      </c>
      <c r="E11" s="232"/>
      <c r="F11" s="282" t="s">
        <v>82</v>
      </c>
      <c r="G11" s="232">
        <v>3300.24595</v>
      </c>
      <c r="H11" s="313">
        <v>90</v>
      </c>
      <c r="I11" s="232">
        <f t="shared" si="1"/>
        <v>297022.1355</v>
      </c>
      <c r="J11" s="232">
        <v>3227.85115</v>
      </c>
      <c r="K11" s="232">
        <f t="shared" si="2"/>
        <v>290506.6035</v>
      </c>
      <c r="L11" s="232">
        <f ca="1">IFERROR(SUMIFS('02综合台帐（人材机）'!P:P,'02综合台帐（人材机）'!$F:$F,"材料2",'02综合台帐（人材机）'!$K:$K,$D11)*J11/SUMIF($D:$D,$D11,J:J),0)</f>
        <v>0</v>
      </c>
      <c r="M11" s="232">
        <f ca="1" t="shared" si="3"/>
        <v>0</v>
      </c>
      <c r="N11" s="232">
        <f ca="1">IFERROR(SUMIFS('02综合台帐（人材机）'!Q:Q,'02综合台帐（人材机）'!$F:$F,"材料2",'02综合台帐（人材机）'!$K:$K,$D11)*J11/SUMIF($D:$D,$D11,J:J),0)</f>
        <v>0</v>
      </c>
      <c r="O11" s="232">
        <f ca="1">IFERROR(SUMIFS('02综合台帐（人材机）'!T:T,'02综合台帐（人材机）'!$F:$F,"材料2",'02综合台帐（人材机）'!$K:$K,$D11)*J11/SUMIF($D:$D,$D11,J:J),0)</f>
        <v>0</v>
      </c>
      <c r="P11" s="258">
        <f ca="1">IFERROR(SUMIFS('02综合台帐（人材机）'!U:U,'02综合台帐（人材机）'!$F:$F,"材料2",'02综合台帐（人材机）'!$K:$K,$D11)*J11/SUMIF($D:$D,$D11,J:J),0)</f>
        <v>0</v>
      </c>
      <c r="Q11" s="232">
        <f ca="1" t="shared" si="4"/>
        <v>290506.6035</v>
      </c>
      <c r="R11" s="232">
        <f ca="1" t="shared" si="5"/>
        <v>0</v>
      </c>
      <c r="S11" s="232">
        <f ca="1" t="shared" si="6"/>
        <v>290506.6035</v>
      </c>
      <c r="T11" s="232"/>
      <c r="U11" s="232"/>
      <c r="V11" s="232"/>
    </row>
    <row r="12" spans="1:22">
      <c r="A12" s="232" t="str">
        <f t="shared" si="0"/>
        <v>C01006</v>
      </c>
      <c r="B12" s="232"/>
      <c r="C12" s="232"/>
      <c r="D12" s="232" t="s">
        <v>40</v>
      </c>
      <c r="E12" s="232"/>
      <c r="F12" s="282" t="s">
        <v>82</v>
      </c>
      <c r="G12" s="232">
        <v>4.29221</v>
      </c>
      <c r="H12" s="313">
        <v>260</v>
      </c>
      <c r="I12" s="232">
        <f t="shared" si="1"/>
        <v>1115.9746</v>
      </c>
      <c r="J12" s="232">
        <v>4.29221</v>
      </c>
      <c r="K12" s="232">
        <f t="shared" si="2"/>
        <v>1115.9746</v>
      </c>
      <c r="L12" s="232">
        <f ca="1">IFERROR(SUMIFS('02综合台帐（人材机）'!P:P,'02综合台帐（人材机）'!$F:$F,"材料2",'02综合台帐（人材机）'!$K:$K,$D12)*J12/SUMIF($D:$D,$D12,J:J),0)</f>
        <v>0</v>
      </c>
      <c r="M12" s="232">
        <f ca="1" t="shared" si="3"/>
        <v>0</v>
      </c>
      <c r="N12" s="232">
        <f ca="1">IFERROR(SUMIFS('02综合台帐（人材机）'!Q:Q,'02综合台帐（人材机）'!$F:$F,"材料2",'02综合台帐（人材机）'!$K:$K,$D12)*J12/SUMIF($D:$D,$D12,J:J),0)</f>
        <v>0</v>
      </c>
      <c r="O12" s="232">
        <f ca="1">IFERROR(SUMIFS('02综合台帐（人材机）'!T:T,'02综合台帐（人材机）'!$F:$F,"材料2",'02综合台帐（人材机）'!$K:$K,$D12)*J12/SUMIF($D:$D,$D12,J:J),0)</f>
        <v>0</v>
      </c>
      <c r="P12" s="258">
        <f ca="1">IFERROR(SUMIFS('02综合台帐（人材机）'!U:U,'02综合台帐（人材机）'!$F:$F,"材料2",'02综合台帐（人材机）'!$K:$K,$D12)*J12/SUMIF($D:$D,$D12,J:J),0)</f>
        <v>0</v>
      </c>
      <c r="Q12" s="232">
        <f ca="1" t="shared" si="4"/>
        <v>1115.9746</v>
      </c>
      <c r="R12" s="232">
        <f ca="1" t="shared" si="5"/>
        <v>0</v>
      </c>
      <c r="S12" s="232">
        <f ca="1" t="shared" si="6"/>
        <v>1115.9746</v>
      </c>
      <c r="T12" s="232"/>
      <c r="U12" s="232"/>
      <c r="V12" s="232"/>
    </row>
    <row r="13" spans="1:22">
      <c r="A13" s="232" t="str">
        <f t="shared" si="0"/>
        <v>C01007</v>
      </c>
      <c r="B13" s="232"/>
      <c r="C13" s="232"/>
      <c r="D13" s="232" t="s">
        <v>390</v>
      </c>
      <c r="E13" s="232"/>
      <c r="F13" s="282" t="str">
        <f>IFERROR(VLOOKUP($D13,材料[],2,FALSE),"")</f>
        <v>t</v>
      </c>
      <c r="G13" s="232">
        <v>329.47</v>
      </c>
      <c r="H13" s="313">
        <f>IFERROR(VLOOKUP($D13,材料[],3,FALSE),"")</f>
        <v>5000</v>
      </c>
      <c r="I13" s="232">
        <f t="shared" si="1"/>
        <v>1647350</v>
      </c>
      <c r="J13" s="232">
        <v>0</v>
      </c>
      <c r="K13" s="232">
        <f t="shared" si="2"/>
        <v>0</v>
      </c>
      <c r="L13" s="232">
        <f ca="1">IFERROR(SUMIFS('02综合台帐（人材机）'!P:P,'02综合台帐（人材机）'!$F:$F,"材料2",'02综合台帐（人材机）'!$K:$K,$D13)*J13/SUMIF($D:$D,$D13,J:J),0)</f>
        <v>0</v>
      </c>
      <c r="M13" s="232">
        <f ca="1" t="shared" si="3"/>
        <v>0</v>
      </c>
      <c r="N13" s="232">
        <f ca="1">IFERROR(SUMIFS('02综合台帐（人材机）'!Q:Q,'02综合台帐（人材机）'!$F:$F,"材料2",'02综合台帐（人材机）'!$K:$K,$D13)*J13/SUMIF($D:$D,$D13,J:J),0)</f>
        <v>0</v>
      </c>
      <c r="O13" s="232">
        <f ca="1">IFERROR(SUMIFS('02综合台帐（人材机）'!T:T,'02综合台帐（人材机）'!$F:$F,"材料2",'02综合台帐（人材机）'!$K:$K,$D13)*J13/SUMIF($D:$D,$D13,J:J),0)</f>
        <v>0</v>
      </c>
      <c r="P13" s="258">
        <f ca="1">IFERROR(SUMIFS('02综合台帐（人材机）'!U:U,'02综合台帐（人材机）'!$F:$F,"材料2",'02综合台帐（人材机）'!$K:$K,$D13)*J13/SUMIF($D:$D,$D13,J:J),0)</f>
        <v>0</v>
      </c>
      <c r="Q13" s="232">
        <f ca="1" t="shared" si="4"/>
        <v>0</v>
      </c>
      <c r="R13" s="232">
        <f ca="1" t="shared" si="5"/>
        <v>0</v>
      </c>
      <c r="S13" s="232">
        <f ca="1" t="shared" si="6"/>
        <v>0</v>
      </c>
      <c r="T13" s="232"/>
      <c r="U13" s="232"/>
      <c r="V13" s="232"/>
    </row>
    <row r="14" spans="1:22">
      <c r="A14" s="232" t="str">
        <f t="shared" si="0"/>
        <v>C01008</v>
      </c>
      <c r="B14" s="232"/>
      <c r="C14" s="232"/>
      <c r="D14" s="232" t="s">
        <v>530</v>
      </c>
      <c r="E14" s="232"/>
      <c r="F14" s="282" t="str">
        <f>IFERROR(VLOOKUP($D14,材料[],2,FALSE),"")</f>
        <v>m2</v>
      </c>
      <c r="G14" s="232">
        <v>2</v>
      </c>
      <c r="H14" s="313">
        <f>IFERROR(VLOOKUP($D14,材料[],3,FALSE),"")</f>
        <v>2.5</v>
      </c>
      <c r="I14" s="232">
        <f t="shared" si="1"/>
        <v>5</v>
      </c>
      <c r="J14" s="232">
        <v>15000</v>
      </c>
      <c r="K14" s="232">
        <f t="shared" si="2"/>
        <v>37500</v>
      </c>
      <c r="L14" s="232">
        <f ca="1">IFERROR(SUMIFS('02综合台帐（人材机）'!P:P,'02综合台帐（人材机）'!$F:$F,"材料2",'02综合台帐（人材机）'!$K:$K,$D14)*J14/SUMIF($D:$D,$D14,J:J),0)</f>
        <v>0</v>
      </c>
      <c r="M14" s="232">
        <f ca="1" t="shared" si="3"/>
        <v>0</v>
      </c>
      <c r="N14" s="232">
        <f ca="1">IFERROR(SUMIFS('02综合台帐（人材机）'!Q:Q,'02综合台帐（人材机）'!$F:$F,"材料2",'02综合台帐（人材机）'!$K:$K,$D14)*J14/SUMIF($D:$D,$D14,J:J),0)</f>
        <v>0</v>
      </c>
      <c r="O14" s="232">
        <f ca="1">IFERROR(SUMIFS('02综合台帐（人材机）'!T:T,'02综合台帐（人材机）'!$F:$F,"材料2",'02综合台帐（人材机）'!$K:$K,$D14)*J14/SUMIF($D:$D,$D14,J:J),0)</f>
        <v>0</v>
      </c>
      <c r="P14" s="258">
        <f ca="1">IFERROR(SUMIFS('02综合台帐（人材机）'!U:U,'02综合台帐（人材机）'!$F:$F,"材料2",'02综合台帐（人材机）'!$K:$K,$D14)*J14/SUMIF($D:$D,$D14,J:J),0)</f>
        <v>0</v>
      </c>
      <c r="Q14" s="232">
        <f ca="1" t="shared" si="4"/>
        <v>37500</v>
      </c>
      <c r="R14" s="232">
        <f ca="1" t="shared" si="5"/>
        <v>0</v>
      </c>
      <c r="S14" s="232">
        <f ca="1" t="shared" si="6"/>
        <v>37500</v>
      </c>
      <c r="T14" s="232"/>
      <c r="U14" s="232"/>
      <c r="V14" s="232"/>
    </row>
    <row r="15" spans="1:22">
      <c r="A15" s="232" t="str">
        <f t="shared" si="0"/>
        <v>C01009</v>
      </c>
      <c r="B15" s="232"/>
      <c r="C15" s="232"/>
      <c r="D15" s="232" t="s">
        <v>398</v>
      </c>
      <c r="E15" s="232"/>
      <c r="F15" s="282" t="str">
        <f>IFERROR(VLOOKUP($D15,材料[],2,FALSE),"")</f>
        <v>t</v>
      </c>
      <c r="G15" s="232">
        <v>652.16</v>
      </c>
      <c r="H15" s="313">
        <f>IFERROR(VLOOKUP($D15,材料[],3,FALSE),"")</f>
        <v>4000</v>
      </c>
      <c r="I15" s="232">
        <f t="shared" si="1"/>
        <v>2608640</v>
      </c>
      <c r="J15" s="232">
        <v>175</v>
      </c>
      <c r="K15" s="232">
        <f t="shared" si="2"/>
        <v>700000</v>
      </c>
      <c r="L15" s="232">
        <f ca="1">IFERROR(SUMIFS('02综合台帐（人材机）'!P:P,'02综合台帐（人材机）'!$F:$F,"材料2",'02综合台帐（人材机）'!$K:$K,$D15)*J15/SUMIF($D:$D,$D15,J:J),0)</f>
        <v>0</v>
      </c>
      <c r="M15" s="232">
        <f ca="1" t="shared" si="3"/>
        <v>0</v>
      </c>
      <c r="N15" s="232">
        <f ca="1">IFERROR(SUMIFS('02综合台帐（人材机）'!Q:Q,'02综合台帐（人材机）'!$F:$F,"材料2",'02综合台帐（人材机）'!$K:$K,$D15)*J15/SUMIF($D:$D,$D15,J:J),0)</f>
        <v>0</v>
      </c>
      <c r="O15" s="232">
        <f ca="1">IFERROR(SUMIFS('02综合台帐（人材机）'!T:T,'02综合台帐（人材机）'!$F:$F,"材料2",'02综合台帐（人材机）'!$K:$K,$D15)*J15/SUMIF($D:$D,$D15,J:J),0)</f>
        <v>0</v>
      </c>
      <c r="P15" s="258">
        <f ca="1">IFERROR(SUMIFS('02综合台帐（人材机）'!U:U,'02综合台帐（人材机）'!$F:$F,"材料2",'02综合台帐（人材机）'!$K:$K,$D15)*J15/SUMIF($D:$D,$D15,J:J),0)</f>
        <v>0</v>
      </c>
      <c r="Q15" s="232">
        <f ca="1" t="shared" si="4"/>
        <v>700000</v>
      </c>
      <c r="R15" s="232">
        <f ca="1" t="shared" si="5"/>
        <v>0</v>
      </c>
      <c r="S15" s="232">
        <f ca="1" t="shared" si="6"/>
        <v>700000</v>
      </c>
      <c r="T15" s="232"/>
      <c r="U15" s="232"/>
      <c r="V15" s="232"/>
    </row>
    <row r="16" spans="1:22">
      <c r="A16" s="232" t="str">
        <f t="shared" si="0"/>
        <v>C01010</v>
      </c>
      <c r="B16" s="232"/>
      <c r="C16" s="232"/>
      <c r="D16" s="232" t="s">
        <v>871</v>
      </c>
      <c r="E16" s="232"/>
      <c r="F16" s="282" t="str">
        <f>IFERROR(VLOOKUP($D16,材料[],2,FALSE),"")</f>
        <v>m3</v>
      </c>
      <c r="G16" s="232">
        <v>1045.53</v>
      </c>
      <c r="H16" s="313">
        <f>IFERROR(VLOOKUP($D16,材料[],3,FALSE),"")</f>
        <v>130</v>
      </c>
      <c r="I16" s="232">
        <f t="shared" si="1"/>
        <v>135918.9</v>
      </c>
      <c r="J16" s="232">
        <v>600</v>
      </c>
      <c r="K16" s="232">
        <f t="shared" si="2"/>
        <v>78000</v>
      </c>
      <c r="L16" s="232">
        <f ca="1">IFERROR(SUMIFS('02综合台帐（人材机）'!P:P,'02综合台帐（人材机）'!$F:$F,"材料2",'02综合台帐（人材机）'!$K:$K,$D16)*J16/SUMIF($D:$D,$D16,J:J),0)</f>
        <v>0</v>
      </c>
      <c r="M16" s="232">
        <f ca="1" t="shared" si="3"/>
        <v>0</v>
      </c>
      <c r="N16" s="232">
        <f ca="1">IFERROR(SUMIFS('02综合台帐（人材机）'!Q:Q,'02综合台帐（人材机）'!$F:$F,"材料2",'02综合台帐（人材机）'!$K:$K,$D16)*J16/SUMIF($D:$D,$D16,J:J),0)</f>
        <v>0</v>
      </c>
      <c r="O16" s="232">
        <f ca="1">IFERROR(SUMIFS('02综合台帐（人材机）'!T:T,'02综合台帐（人材机）'!$F:$F,"材料2",'02综合台帐（人材机）'!$K:$K,$D16)*J16/SUMIF($D:$D,$D16,J:J),0)</f>
        <v>0</v>
      </c>
      <c r="P16" s="258">
        <f ca="1">IFERROR(SUMIFS('02综合台帐（人材机）'!U:U,'02综合台帐（人材机）'!$F:$F,"材料2",'02综合台帐（人材机）'!$K:$K,$D16)*J16/SUMIF($D:$D,$D16,J:J),0)</f>
        <v>0</v>
      </c>
      <c r="Q16" s="232">
        <f ca="1" t="shared" si="4"/>
        <v>78000</v>
      </c>
      <c r="R16" s="232">
        <f ca="1" t="shared" si="5"/>
        <v>0</v>
      </c>
      <c r="S16" s="232">
        <f ca="1" t="shared" si="6"/>
        <v>78000</v>
      </c>
      <c r="T16" s="232"/>
      <c r="U16" s="232"/>
      <c r="V16" s="232"/>
    </row>
    <row r="17" spans="1:22">
      <c r="A17" s="232" t="str">
        <f t="shared" si="0"/>
        <v>C01011</v>
      </c>
      <c r="B17" s="232"/>
      <c r="C17" s="232"/>
      <c r="D17" s="232" t="s">
        <v>886</v>
      </c>
      <c r="E17" s="232"/>
      <c r="F17" s="282" t="str">
        <f>IFERROR(VLOOKUP($D17,材料[],2,FALSE),"")</f>
        <v>m2</v>
      </c>
      <c r="G17" s="232">
        <v>3343.59</v>
      </c>
      <c r="H17" s="313">
        <f>IFERROR(VLOOKUP($D17,材料[],3,FALSE),"")</f>
        <v>180</v>
      </c>
      <c r="I17" s="232">
        <f t="shared" si="1"/>
        <v>601846.2</v>
      </c>
      <c r="J17" s="232">
        <v>0</v>
      </c>
      <c r="K17" s="232">
        <f t="shared" si="2"/>
        <v>0</v>
      </c>
      <c r="L17" s="232">
        <f ca="1">IFERROR(SUMIFS('02综合台帐（人材机）'!P:P,'02综合台帐（人材机）'!$F:$F,"材料2",'02综合台帐（人材机）'!$K:$K,$D17)*J17/SUMIF($D:$D,$D17,J:J),0)</f>
        <v>0</v>
      </c>
      <c r="M17" s="232">
        <f ca="1" t="shared" si="3"/>
        <v>0</v>
      </c>
      <c r="N17" s="232">
        <f ca="1">IFERROR(SUMIFS('02综合台帐（人材机）'!Q:Q,'02综合台帐（人材机）'!$F:$F,"材料2",'02综合台帐（人材机）'!$K:$K,$D17)*J17/SUMIF($D:$D,$D17,J:J),0)</f>
        <v>0</v>
      </c>
      <c r="O17" s="232">
        <f ca="1">IFERROR(SUMIFS('02综合台帐（人材机）'!T:T,'02综合台帐（人材机）'!$F:$F,"材料2",'02综合台帐（人材机）'!$K:$K,$D17)*J17/SUMIF($D:$D,$D17,J:J),0)</f>
        <v>0</v>
      </c>
      <c r="P17" s="258">
        <f ca="1">IFERROR(SUMIFS('02综合台帐（人材机）'!U:U,'02综合台帐（人材机）'!$F:$F,"材料2",'02综合台帐（人材机）'!$K:$K,$D17)*J17/SUMIF($D:$D,$D17,J:J),0)</f>
        <v>0</v>
      </c>
      <c r="Q17" s="232">
        <f ca="1" t="shared" si="4"/>
        <v>0</v>
      </c>
      <c r="R17" s="232">
        <f ca="1" t="shared" si="5"/>
        <v>0</v>
      </c>
      <c r="S17" s="232">
        <f ca="1" t="shared" si="6"/>
        <v>0</v>
      </c>
      <c r="T17" s="232"/>
      <c r="U17" s="232"/>
      <c r="V17" s="232"/>
    </row>
    <row r="18" spans="1:22">
      <c r="A18" s="232" t="str">
        <f t="shared" si="0"/>
        <v>C01012</v>
      </c>
      <c r="B18" s="232"/>
      <c r="C18" s="232"/>
      <c r="D18" s="232" t="s">
        <v>636</v>
      </c>
      <c r="E18" s="232"/>
      <c r="F18" s="282" t="str">
        <f>IFERROR(VLOOKUP($D18,材料[],2,FALSE),"")</f>
        <v>m2</v>
      </c>
      <c r="G18" s="232">
        <v>2</v>
      </c>
      <c r="H18" s="313">
        <f>IFERROR(VLOOKUP($D18,材料[],3,FALSE),"")</f>
        <v>1200</v>
      </c>
      <c r="I18" s="232">
        <f t="shared" si="1"/>
        <v>2400</v>
      </c>
      <c r="J18" s="232">
        <v>1</v>
      </c>
      <c r="K18" s="232">
        <f t="shared" si="2"/>
        <v>1200</v>
      </c>
      <c r="L18" s="232">
        <f ca="1">IFERROR(SUMIFS('02综合台帐（人材机）'!P:P,'02综合台帐（人材机）'!$F:$F,"材料2",'02综合台帐（人材机）'!$K:$K,$D18)*J18/SUMIF($D:$D,$D18,J:J),0)</f>
        <v>0</v>
      </c>
      <c r="M18" s="232">
        <f ca="1" t="shared" si="3"/>
        <v>0</v>
      </c>
      <c r="N18" s="232">
        <f ca="1">IFERROR(SUMIFS('02综合台帐（人材机）'!Q:Q,'02综合台帐（人材机）'!$F:$F,"材料2",'02综合台帐（人材机）'!$K:$K,$D18)*J18/SUMIF($D:$D,$D18,J:J),0)</f>
        <v>0</v>
      </c>
      <c r="O18" s="232">
        <f ca="1">IFERROR(SUMIFS('02综合台帐（人材机）'!T:T,'02综合台帐（人材机）'!$F:$F,"材料2",'02综合台帐（人材机）'!$K:$K,$D18)*J18/SUMIF($D:$D,$D18,J:J),0)</f>
        <v>0</v>
      </c>
      <c r="P18" s="258">
        <f ca="1">IFERROR(SUMIFS('02综合台帐（人材机）'!U:U,'02综合台帐（人材机）'!$F:$F,"材料2",'02综合台帐（人材机）'!$K:$K,$D18)*J18/SUMIF($D:$D,$D18,J:J),0)</f>
        <v>0</v>
      </c>
      <c r="Q18" s="232">
        <f ca="1" t="shared" si="4"/>
        <v>1200</v>
      </c>
      <c r="R18" s="232">
        <f ca="1" t="shared" si="5"/>
        <v>0</v>
      </c>
      <c r="S18" s="232">
        <f ca="1" t="shared" si="6"/>
        <v>1200</v>
      </c>
      <c r="T18" s="232"/>
      <c r="U18" s="232"/>
      <c r="V18" s="232"/>
    </row>
    <row r="529" spans="1:1">
      <c r="A529" s="27" t="str">
        <f>$A$6&amp;TEXT(ROW()-6,"000")</f>
        <v>C01523</v>
      </c>
    </row>
  </sheetData>
  <sheetProtection formatCells="0" formatColumns="0" formatRows="0" insertRows="0" deleteRows="0" autoFilter="0"/>
  <mergeCells count="4">
    <mergeCell ref="G3:I3"/>
    <mergeCell ref="J3:K3"/>
    <mergeCell ref="L3:N3"/>
    <mergeCell ref="O3:P3"/>
  </mergeCells>
  <conditionalFormatting sqref="A7:V18">
    <cfRule type="expression" dxfId="56" priority="11">
      <formula>$F7=""</formula>
    </cfRule>
  </conditionalFormatting>
  <dataValidations count="1">
    <dataValidation type="list" allowBlank="1" showInputMessage="1" showErrorMessage="1" sqref="U5:U18">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7649" r:id="rId3" name="CommandButton1">
          <controlPr defaultSize="0" r:id="rId4">
            <anchor moveWithCells="1">
              <from>
                <xdr:col>0</xdr:col>
                <xdr:colOff>0</xdr:colOff>
                <xdr:row>0</xdr:row>
                <xdr:rowOff>0</xdr:rowOff>
              </from>
              <to>
                <xdr:col>1</xdr:col>
                <xdr:colOff>561975</xdr:colOff>
                <xdr:row>1</xdr:row>
                <xdr:rowOff>104775</xdr:rowOff>
              </to>
            </anchor>
          </controlPr>
        </control>
      </mc:Choice>
      <mc:Fallback>
        <control shapeId="27649" r:id="rId3" name="CommandButton1"/>
      </mc:Fallback>
    </mc:AlternateContent>
  </controls>
  <tableParts count="1">
    <tablePart r:id="rId5"/>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outlinePr summaryBelow="0"/>
  </sheetPr>
  <dimension ref="A1:X12"/>
  <sheetViews>
    <sheetView zoomScale="70" zoomScaleNormal="70" workbookViewId="0">
      <pane xSplit="6" ySplit="4" topLeftCell="G5" activePane="bottomRight" state="frozen"/>
      <selection/>
      <selection pane="topRight"/>
      <selection pane="bottomLeft"/>
      <selection pane="bottomRight" activeCell="S48" sqref="S48"/>
    </sheetView>
  </sheetViews>
  <sheetFormatPr defaultColWidth="9" defaultRowHeight="15.75"/>
  <cols>
    <col min="1" max="1" width="9.75" style="27" customWidth="1"/>
    <col min="2" max="2" width="10" style="27" customWidth="1"/>
    <col min="3" max="3" width="10.25" style="266" customWidth="1"/>
    <col min="4" max="4" width="23.5" style="267" customWidth="1"/>
    <col min="5" max="5" width="15.375" style="27" customWidth="1"/>
    <col min="6" max="6" width="6.125" style="266" customWidth="1"/>
    <col min="7" max="7" width="11.375" style="27" customWidth="1"/>
    <col min="8" max="8" width="9.375" style="27" customWidth="1"/>
    <col min="9" max="9" width="13.375" style="27" customWidth="1"/>
    <col min="10" max="10" width="9.125" style="27" customWidth="1"/>
    <col min="11" max="11" width="11.75" style="27" customWidth="1"/>
    <col min="12" max="12" width="9.375" style="27" customWidth="1"/>
    <col min="13" max="13" width="10.25" style="27" customWidth="1"/>
    <col min="14" max="14" width="9.875" style="27" customWidth="1"/>
    <col min="15" max="15" width="8.875" style="27" customWidth="1"/>
    <col min="16" max="16" width="11.875" style="27" customWidth="1"/>
    <col min="17" max="17" width="10" style="27" customWidth="1"/>
    <col min="18" max="18" width="11.75" style="27" customWidth="1"/>
    <col min="19" max="19" width="14.125" style="27" customWidth="1"/>
    <col min="20" max="20" width="8.5" style="27" customWidth="1"/>
    <col min="21" max="21" width="9.875" style="27" customWidth="1"/>
    <col min="22" max="22" width="9" style="27"/>
    <col min="23" max="23" width="10.375" style="27" customWidth="1"/>
    <col min="24" max="24" width="8.5" style="27" customWidth="1"/>
    <col min="25" max="16384" width="9" style="27"/>
  </cols>
  <sheetData>
    <row r="1" ht="31.15" customHeight="1" spans="1:20">
      <c r="A1" s="268" t="s">
        <v>2865</v>
      </c>
      <c r="B1" s="269"/>
      <c r="C1" s="270"/>
      <c r="D1" s="269"/>
      <c r="E1" s="141"/>
      <c r="F1" s="270"/>
      <c r="G1" s="141"/>
      <c r="H1" s="141"/>
      <c r="I1" s="233" t="s">
        <v>2843</v>
      </c>
      <c r="J1" s="234" t="s">
        <v>2844</v>
      </c>
      <c r="K1" s="235" t="s">
        <v>2845</v>
      </c>
      <c r="L1" s="141"/>
      <c r="M1" s="284"/>
      <c r="N1" s="141"/>
      <c r="O1" s="141"/>
      <c r="P1" s="141"/>
      <c r="Q1" s="297"/>
      <c r="R1" s="297"/>
      <c r="S1" s="298" t="s">
        <v>2866</v>
      </c>
      <c r="T1" s="297"/>
    </row>
    <row r="2" s="215" customFormat="1" ht="16.5" spans="1:20">
      <c r="A2" s="216" t="str">
        <f t="shared" ref="A2:A12" si="0">$A$6&amp;TEXT(ROW()-6,"000")</f>
        <v>D01-004</v>
      </c>
      <c r="C2" s="271" t="e">
        <f>IF(F2="","单位","分项")</f>
        <v>#N/A</v>
      </c>
      <c r="D2" s="272"/>
      <c r="F2" s="271" t="e">
        <f>VLOOKUP($D2,机械[],2,FALSE)</f>
        <v>#N/A</v>
      </c>
      <c r="G2" s="218" t="e">
        <f>VLOOKUP($D2,机械[],4,FALSE)</f>
        <v>#N/A</v>
      </c>
      <c r="H2" s="218" t="e">
        <f>VLOOKUP($D2,机械[],3,FALSE)</f>
        <v>#N/A</v>
      </c>
      <c r="I2" s="218" t="e">
        <f t="shared" ref="I2:I12" si="1">+G2*H2</f>
        <v>#N/A</v>
      </c>
      <c r="J2" s="218">
        <f ca="1">SUMIFS('01工程产值对比表'!T:T,'01工程产值对比表'!$C:$C,"机械",'01工程产值对比表'!$D:$D,$D2)</f>
        <v>0</v>
      </c>
      <c r="K2" s="218" t="e">
        <f ca="1" t="shared" ref="K2:K12" si="2">+J2*H2</f>
        <v>#N/A</v>
      </c>
      <c r="L2" s="236">
        <f ca="1">IFERROR(SUMIFS('02综合台帐（人材机）'!P:P,'02综合台帐（人材机）'!$F:$F,"机械",'02综合台帐（人材机）'!$K:$K,$D2)*J2/SUMIF($D:$D,$D2,J:J),0)</f>
        <v>0</v>
      </c>
      <c r="M2" s="236">
        <f ca="1" t="shared" ref="M2:M12" si="3">IFERROR(+N2/L2,0)</f>
        <v>0</v>
      </c>
      <c r="N2" s="237">
        <f ca="1">IFERROR(SUMIFS('02综合台帐（人材机）'!Q:Q,'02综合台帐（人材机）'!$F:$F,"机械",'02综合台帐（人材机）'!$K:$K,$D2)*J2/SUMIF($D:$D,$D2,J:J),0)</f>
        <v>0</v>
      </c>
      <c r="O2" s="215">
        <f ca="1">IFERROR(SUMIFS('02综合台帐（人材机）'!T:T,'02综合台帐（人材机）'!$F:$F,"机械",'02综合台帐（人材机）'!$K:$K,$D2)*J2/SUMIF($D:$D,$D2,J:J),0)</f>
        <v>0</v>
      </c>
      <c r="P2" s="236">
        <f ca="1">IFERROR(SUMIFS('02综合台帐（人材机）'!U:U,'02综合台帐（人材机）'!$F:$F,"机械",'02综合台帐（人材机）'!$K:$K,$D2)*J2/SUMIF($D:$D,$D2,J:J),0)</f>
        <v>0</v>
      </c>
      <c r="Q2" s="236" t="e">
        <f ca="1" t="shared" ref="Q2:Q12" si="4">-M2*J2+H2*J2</f>
        <v>#N/A</v>
      </c>
      <c r="R2" s="236">
        <f ca="1" t="shared" ref="R2:R12" si="5">IFERROR(-O2*M2+M2*J2,0)</f>
        <v>0</v>
      </c>
      <c r="S2" s="215">
        <f ca="1" t="shared" ref="S2:S12" si="6">IFERROR(K2-P2,0)</f>
        <v>0</v>
      </c>
      <c r="T2" s="236"/>
    </row>
    <row r="3" ht="21" customHeight="1" spans="1:22">
      <c r="A3" s="273"/>
      <c r="B3" s="274"/>
      <c r="C3" s="275"/>
      <c r="D3" s="275"/>
      <c r="E3" s="275"/>
      <c r="F3" s="275"/>
      <c r="G3" s="276" t="s">
        <v>2847</v>
      </c>
      <c r="H3" s="277"/>
      <c r="I3" s="285"/>
      <c r="J3" s="276" t="s">
        <v>2848</v>
      </c>
      <c r="K3" s="277"/>
      <c r="L3" s="286" t="s">
        <v>2849</v>
      </c>
      <c r="M3" s="287"/>
      <c r="N3" s="288"/>
      <c r="O3" s="289" t="s">
        <v>2850</v>
      </c>
      <c r="P3" s="277"/>
      <c r="Q3" s="276" t="s">
        <v>2851</v>
      </c>
      <c r="R3" s="277"/>
      <c r="S3" s="276"/>
      <c r="T3" s="299"/>
      <c r="U3" s="299"/>
      <c r="V3" s="300"/>
    </row>
    <row r="4" ht="31.15" customHeight="1" spans="1:24">
      <c r="A4" s="278" t="s">
        <v>1254</v>
      </c>
      <c r="B4" s="279" t="s">
        <v>1291</v>
      </c>
      <c r="C4" s="279" t="s">
        <v>2852</v>
      </c>
      <c r="D4" s="279" t="s">
        <v>1399</v>
      </c>
      <c r="E4" s="279" t="s">
        <v>1294</v>
      </c>
      <c r="F4" s="279" t="s">
        <v>60</v>
      </c>
      <c r="G4" s="280" t="s">
        <v>2853</v>
      </c>
      <c r="H4" s="280" t="s">
        <v>88</v>
      </c>
      <c r="I4" s="290" t="s">
        <v>2854</v>
      </c>
      <c r="J4" s="291" t="s">
        <v>2855</v>
      </c>
      <c r="K4" s="280" t="s">
        <v>2856</v>
      </c>
      <c r="L4" s="280" t="s">
        <v>2454</v>
      </c>
      <c r="M4" s="292" t="s">
        <v>94</v>
      </c>
      <c r="N4" s="280" t="s">
        <v>2857</v>
      </c>
      <c r="O4" s="280" t="s">
        <v>2456</v>
      </c>
      <c r="P4" s="280" t="s">
        <v>2858</v>
      </c>
      <c r="Q4" s="280" t="s">
        <v>2859</v>
      </c>
      <c r="R4" s="280" t="s">
        <v>2860</v>
      </c>
      <c r="S4" s="280" t="s">
        <v>2861</v>
      </c>
      <c r="T4" s="279" t="s">
        <v>1262</v>
      </c>
      <c r="U4" s="279" t="s">
        <v>2862</v>
      </c>
      <c r="V4" s="301" t="s">
        <v>2863</v>
      </c>
      <c r="X4" s="27" t="s">
        <v>2867</v>
      </c>
    </row>
    <row r="5" ht="27" customHeight="1" spans="1:22">
      <c r="A5" s="281" t="str">
        <f t="shared" si="0"/>
        <v>D01-001</v>
      </c>
      <c r="B5" s="281"/>
      <c r="C5" s="281"/>
      <c r="D5" s="281"/>
      <c r="E5" s="281"/>
      <c r="F5" s="281" t="e">
        <f>VLOOKUP($D5,机械[],2,FALSE)</f>
        <v>#N/A</v>
      </c>
      <c r="G5" s="281" t="e">
        <f>VLOOKUP($D5,机械[],4,FALSE)</f>
        <v>#N/A</v>
      </c>
      <c r="H5" s="281" t="e">
        <f>VLOOKUP($D5,机械[],3,FALSE)</f>
        <v>#N/A</v>
      </c>
      <c r="I5" s="293" t="e">
        <f t="shared" si="1"/>
        <v>#N/A</v>
      </c>
      <c r="J5" s="281">
        <f ca="1">SUMIFS('01工程产值对比表'!T:T,'01工程产值对比表'!$C:$C,"机械",'01工程产值对比表'!$D:$D,$D5)</f>
        <v>0</v>
      </c>
      <c r="K5" s="294" t="e">
        <f ca="1" t="shared" si="2"/>
        <v>#N/A</v>
      </c>
      <c r="L5" s="295">
        <f ca="1">IFERROR(SUMIFS('02综合台帐（人材机）'!P:P,'02综合台帐（人材机）'!$F:$F,"机械",'02综合台帐（人材机）'!$K:$K,$D5)*J5/SUMIF($D:$D,$D5,J:J),0)</f>
        <v>0</v>
      </c>
      <c r="M5" s="296">
        <f ca="1" t="shared" si="3"/>
        <v>0</v>
      </c>
      <c r="N5" s="296">
        <f ca="1">IFERROR(SUMIFS('02综合台帐（人材机）'!Q:Q,'02综合台帐（人材机）'!$F:$F,"机械",'02综合台帐（人材机）'!$K:$K,$D5)*J5/SUMIF($D:$D,$D5,J:J),0)</f>
        <v>0</v>
      </c>
      <c r="O5" s="296">
        <f ca="1">IFERROR(SUMIFS('02综合台帐（人材机）'!T:T,'02综合台帐（人材机）'!$F:$F,"机械",'02综合台帐（人材机）'!$K:$K,$D5)*J5/SUMIF($D:$D,$D5,J:J),0)</f>
        <v>0</v>
      </c>
      <c r="P5" s="294">
        <f ca="1">IFERROR(SUMIFS('02综合台帐（人材机）'!U:U,'02综合台帐（人材机）'!$F:$F,"机械",'02综合台帐（人材机）'!$K:$K,$D5)*J5/SUMIF($D:$D,$D5,J:J),0)</f>
        <v>0</v>
      </c>
      <c r="Q5" s="295" t="e">
        <f ca="1" t="shared" si="4"/>
        <v>#N/A</v>
      </c>
      <c r="R5" s="302">
        <f ca="1" t="shared" si="5"/>
        <v>0</v>
      </c>
      <c r="S5" s="302">
        <f ca="1" t="shared" si="6"/>
        <v>0</v>
      </c>
      <c r="T5" s="303"/>
      <c r="U5" s="303"/>
      <c r="V5" s="303"/>
    </row>
    <row r="6" spans="1:22">
      <c r="A6" s="229" t="s">
        <v>1423</v>
      </c>
      <c r="B6" s="229"/>
      <c r="C6" s="229" t="s">
        <v>1306</v>
      </c>
      <c r="D6" s="229" t="s">
        <v>63</v>
      </c>
      <c r="E6" s="229"/>
      <c r="F6" s="229"/>
      <c r="G6" s="229"/>
      <c r="H6" s="231"/>
      <c r="I6" s="252">
        <f>SUM(I7:I2000)</f>
        <v>3039331.1842</v>
      </c>
      <c r="J6" s="229"/>
      <c r="K6" s="252">
        <f>SUM(K7:K2000)</f>
        <v>673546</v>
      </c>
      <c r="L6" s="253"/>
      <c r="M6" s="254"/>
      <c r="N6" s="254">
        <f ca="1">SUM(N7:N2000)</f>
        <v>0</v>
      </c>
      <c r="O6" s="254"/>
      <c r="P6" s="254">
        <f ca="1">SUM(P7:P2000)</f>
        <v>0</v>
      </c>
      <c r="Q6" s="264">
        <f ca="1">SUM(Q7:Q2000)</f>
        <v>673546</v>
      </c>
      <c r="R6" s="265">
        <f ca="1">SUM(R7:R2000)</f>
        <v>0</v>
      </c>
      <c r="S6" s="265">
        <f ca="1">SUM(S7:S2000)</f>
        <v>673546</v>
      </c>
      <c r="T6" s="262"/>
      <c r="U6" s="262"/>
      <c r="V6" s="262"/>
    </row>
    <row r="7" spans="1:22">
      <c r="A7" s="232" t="str">
        <f t="shared" si="0"/>
        <v>D01001</v>
      </c>
      <c r="B7" s="232"/>
      <c r="C7" s="282"/>
      <c r="D7" s="283" t="s">
        <v>857</v>
      </c>
      <c r="E7" s="232"/>
      <c r="F7" s="282" t="str">
        <f>IFERROR(VLOOKUP($D7,机械[],2,FALSE),"")</f>
        <v>m3</v>
      </c>
      <c r="G7" s="232">
        <v>22915.7498</v>
      </c>
      <c r="H7" s="232">
        <f>IFERROR(VLOOKUP($D7,机械[],3,FALSE),"")</f>
        <v>109</v>
      </c>
      <c r="I7" s="232">
        <f t="shared" si="1"/>
        <v>2497816.7282</v>
      </c>
      <c r="J7" s="232">
        <v>5100</v>
      </c>
      <c r="K7" s="232">
        <f t="shared" si="2"/>
        <v>555900</v>
      </c>
      <c r="L7" s="232">
        <f ca="1">IFERROR(SUMIFS('02综合台帐（人材机）'!P:P,'02综合台帐（人材机）'!$F:$F,"机械",'02综合台帐（人材机）'!$K:$K,$D7)*J7/SUMIF($D:$D,$D7,J:J),0)</f>
        <v>0</v>
      </c>
      <c r="M7" s="232">
        <f ca="1" t="shared" si="3"/>
        <v>0</v>
      </c>
      <c r="N7" s="232">
        <f ca="1">IFERROR(SUMIFS('02综合台帐（人材机）'!Q:Q,'02综合台帐（人材机）'!$F:$F,"机械",'02综合台帐（人材机）'!$K:$K,$D7)*J7/SUMIF($D:$D,$D7,J:J),0)</f>
        <v>0</v>
      </c>
      <c r="O7" s="232">
        <f ca="1">IFERROR(SUMIFS('02综合台帐（人材机）'!T:T,'02综合台帐（人材机）'!$F:$F,"机械",'02综合台帐（人材机）'!$K:$K,$D7)*J7/SUMIF($D:$D,$D7,J:J),0)</f>
        <v>0</v>
      </c>
      <c r="P7" s="258">
        <f ca="1">IFERROR(SUMIFS('02综合台帐（人材机）'!U:U,'02综合台帐（人材机）'!$F:$F,"机械",'02综合台帐（人材机）'!$K:$K,$D7)*J7/SUMIF($D:$D,$D7,J:J),0)</f>
        <v>0</v>
      </c>
      <c r="Q7" s="232">
        <f ca="1" t="shared" si="4"/>
        <v>555900</v>
      </c>
      <c r="R7" s="232">
        <f ca="1" t="shared" si="5"/>
        <v>0</v>
      </c>
      <c r="S7" s="232">
        <f ca="1" t="shared" si="6"/>
        <v>555900</v>
      </c>
      <c r="T7" s="232"/>
      <c r="U7" s="232"/>
      <c r="V7" s="232"/>
    </row>
    <row r="8" spans="1:22">
      <c r="A8" s="232" t="str">
        <f t="shared" si="0"/>
        <v>D01002</v>
      </c>
      <c r="B8" s="232"/>
      <c r="C8" s="282"/>
      <c r="D8" s="283" t="s">
        <v>403</v>
      </c>
      <c r="E8" s="232"/>
      <c r="F8" s="282" t="str">
        <f>IFERROR(VLOOKUP($D8,机械[],2,FALSE),"")</f>
        <v>m3</v>
      </c>
      <c r="G8" s="232">
        <v>18623.5398</v>
      </c>
      <c r="H8" s="232">
        <f>IFERROR(VLOOKUP($D8,机械[],3,FALSE),"")</f>
        <v>6</v>
      </c>
      <c r="I8" s="232">
        <f t="shared" si="1"/>
        <v>111741.2388</v>
      </c>
      <c r="J8" s="232">
        <v>3600</v>
      </c>
      <c r="K8" s="232">
        <f t="shared" si="2"/>
        <v>21600</v>
      </c>
      <c r="L8" s="232">
        <f ca="1">IFERROR(SUMIFS('02综合台帐（人材机）'!P:P,'02综合台帐（人材机）'!$F:$F,"机械",'02综合台帐（人材机）'!$K:$K,$D8)*J8/SUMIF($D:$D,$D8,J:J),0)</f>
        <v>0</v>
      </c>
      <c r="M8" s="232">
        <f ca="1" t="shared" si="3"/>
        <v>0</v>
      </c>
      <c r="N8" s="232">
        <f ca="1">IFERROR(SUMIFS('02综合台帐（人材机）'!Q:Q,'02综合台帐（人材机）'!$F:$F,"机械",'02综合台帐（人材机）'!$K:$K,$D8)*J8/SUMIF($D:$D,$D8,J:J),0)</f>
        <v>0</v>
      </c>
      <c r="O8" s="232">
        <f ca="1">IFERROR(SUMIFS('02综合台帐（人材机）'!T:T,'02综合台帐（人材机）'!$F:$F,"机械",'02综合台帐（人材机）'!$K:$K,$D8)*J8/SUMIF($D:$D,$D8,J:J),0)</f>
        <v>0</v>
      </c>
      <c r="P8" s="258">
        <f ca="1">IFERROR(SUMIFS('02综合台帐（人材机）'!U:U,'02综合台帐（人材机）'!$F:$F,"机械",'02综合台帐（人材机）'!$K:$K,$D8)*J8/SUMIF($D:$D,$D8,J:J),0)</f>
        <v>0</v>
      </c>
      <c r="Q8" s="232">
        <f ca="1" t="shared" si="4"/>
        <v>21600</v>
      </c>
      <c r="R8" s="232">
        <f ca="1" t="shared" si="5"/>
        <v>0</v>
      </c>
      <c r="S8" s="232">
        <f ca="1" t="shared" si="6"/>
        <v>21600</v>
      </c>
      <c r="T8" s="232"/>
      <c r="U8" s="232"/>
      <c r="V8" s="232"/>
    </row>
    <row r="9" spans="1:22">
      <c r="A9" s="232" t="str">
        <f t="shared" si="0"/>
        <v>D01003</v>
      </c>
      <c r="B9" s="232"/>
      <c r="C9" s="282"/>
      <c r="D9" s="283" t="s">
        <v>633</v>
      </c>
      <c r="E9" s="232"/>
      <c r="F9" s="282" t="str">
        <f>IFERROR(VLOOKUP($D9,机械[],2,FALSE),"")</f>
        <v>m3</v>
      </c>
      <c r="G9" s="232">
        <v>38508.5332</v>
      </c>
      <c r="H9" s="232">
        <f>IFERROR(VLOOKUP($D9,机械[],3,FALSE),"")</f>
        <v>5</v>
      </c>
      <c r="I9" s="232">
        <f t="shared" si="1"/>
        <v>192542.666</v>
      </c>
      <c r="J9" s="232">
        <v>8000</v>
      </c>
      <c r="K9" s="232">
        <f t="shared" si="2"/>
        <v>40000</v>
      </c>
      <c r="L9" s="232">
        <f ca="1">IFERROR(SUMIFS('02综合台帐（人材机）'!P:P,'02综合台帐（人材机）'!$F:$F,"机械",'02综合台帐（人材机）'!$K:$K,$D9)*J9/SUMIF($D:$D,$D9,J:J),0)</f>
        <v>0</v>
      </c>
      <c r="M9" s="232">
        <f ca="1" t="shared" si="3"/>
        <v>0</v>
      </c>
      <c r="N9" s="232">
        <f ca="1">IFERROR(SUMIFS('02综合台帐（人材机）'!Q:Q,'02综合台帐（人材机）'!$F:$F,"机械",'02综合台帐（人材机）'!$K:$K,$D9)*J9/SUMIF($D:$D,$D9,J:J),0)</f>
        <v>0</v>
      </c>
      <c r="O9" s="232">
        <f ca="1">IFERROR(SUMIFS('02综合台帐（人材机）'!T:T,'02综合台帐（人材机）'!$F:$F,"机械",'02综合台帐（人材机）'!$K:$K,$D9)*J9/SUMIF($D:$D,$D9,J:J),0)</f>
        <v>0</v>
      </c>
      <c r="P9" s="258">
        <f ca="1">IFERROR(SUMIFS('02综合台帐（人材机）'!U:U,'02综合台帐（人材机）'!$F:$F,"机械",'02综合台帐（人材机）'!$K:$K,$D9)*J9/SUMIF($D:$D,$D9,J:J),0)</f>
        <v>0</v>
      </c>
      <c r="Q9" s="232">
        <f ca="1" t="shared" si="4"/>
        <v>40000</v>
      </c>
      <c r="R9" s="232">
        <f ca="1" t="shared" si="5"/>
        <v>0</v>
      </c>
      <c r="S9" s="232">
        <f ca="1" t="shared" si="6"/>
        <v>40000</v>
      </c>
      <c r="T9" s="232"/>
      <c r="U9" s="232"/>
      <c r="V9" s="232"/>
    </row>
    <row r="10" spans="1:22">
      <c r="A10" s="232" t="str">
        <f t="shared" si="0"/>
        <v>D01004</v>
      </c>
      <c r="B10" s="232"/>
      <c r="C10" s="282"/>
      <c r="D10" s="283" t="s">
        <v>345</v>
      </c>
      <c r="E10" s="232"/>
      <c r="F10" s="282" t="str">
        <f>IFERROR(VLOOKUP($D10,机械[],2,FALSE),"")</f>
        <v>m3</v>
      </c>
      <c r="G10" s="232">
        <v>12340.41</v>
      </c>
      <c r="H10" s="232">
        <f>IFERROR(VLOOKUP($D10,机械[],3,FALSE),"")</f>
        <v>5</v>
      </c>
      <c r="I10" s="232">
        <f t="shared" si="1"/>
        <v>61702.05</v>
      </c>
      <c r="J10" s="232">
        <v>6000</v>
      </c>
      <c r="K10" s="232">
        <f t="shared" si="2"/>
        <v>30000</v>
      </c>
      <c r="L10" s="232">
        <f ca="1">IFERROR(SUMIFS('02综合台帐（人材机）'!P:P,'02综合台帐（人材机）'!$F:$F,"机械",'02综合台帐（人材机）'!$K:$K,$D10)*J10/SUMIF($D:$D,$D10,J:J),0)</f>
        <v>0</v>
      </c>
      <c r="M10" s="232">
        <f ca="1" t="shared" si="3"/>
        <v>0</v>
      </c>
      <c r="N10" s="232">
        <f ca="1">IFERROR(SUMIFS('02综合台帐（人材机）'!Q:Q,'02综合台帐（人材机）'!$F:$F,"机械",'02综合台帐（人材机）'!$K:$K,$D10)*J10/SUMIF($D:$D,$D10,J:J),0)</f>
        <v>0</v>
      </c>
      <c r="O10" s="232">
        <f ca="1">IFERROR(SUMIFS('02综合台帐（人材机）'!T:T,'02综合台帐（人材机）'!$F:$F,"机械",'02综合台帐（人材机）'!$K:$K,$D10)*J10/SUMIF($D:$D,$D10,J:J),0)</f>
        <v>0</v>
      </c>
      <c r="P10" s="258">
        <f ca="1">IFERROR(SUMIFS('02综合台帐（人材机）'!U:U,'02综合台帐（人材机）'!$F:$F,"机械",'02综合台帐（人材机）'!$K:$K,$D10)*J10/SUMIF($D:$D,$D10,J:J),0)</f>
        <v>0</v>
      </c>
      <c r="Q10" s="232">
        <f ca="1" t="shared" si="4"/>
        <v>30000</v>
      </c>
      <c r="R10" s="232">
        <f ca="1" t="shared" si="5"/>
        <v>0</v>
      </c>
      <c r="S10" s="232">
        <f ca="1" t="shared" si="6"/>
        <v>30000</v>
      </c>
      <c r="T10" s="232"/>
      <c r="U10" s="232"/>
      <c r="V10" s="232"/>
    </row>
    <row r="11" spans="1:22">
      <c r="A11" s="232" t="str">
        <f t="shared" si="0"/>
        <v>D01005</v>
      </c>
      <c r="B11" s="232"/>
      <c r="C11" s="282"/>
      <c r="D11" s="283" t="s">
        <v>802</v>
      </c>
      <c r="E11" s="232"/>
      <c r="F11" s="282" t="str">
        <f>IFERROR(VLOOKUP($D11,机械[],2,FALSE),"")</f>
        <v>m3</v>
      </c>
      <c r="G11" s="232">
        <v>18806.32</v>
      </c>
      <c r="H11" s="232">
        <f>IFERROR(VLOOKUP($D11,机械[],3,FALSE),"")</f>
        <v>5.91</v>
      </c>
      <c r="I11" s="232">
        <f t="shared" si="1"/>
        <v>111145.3512</v>
      </c>
      <c r="J11" s="232">
        <v>600</v>
      </c>
      <c r="K11" s="232">
        <f t="shared" si="2"/>
        <v>3546</v>
      </c>
      <c r="L11" s="232">
        <f ca="1">IFERROR(SUMIFS('02综合台帐（人材机）'!P:P,'02综合台帐（人材机）'!$F:$F,"机械",'02综合台帐（人材机）'!$K:$K,$D11)*J11/SUMIF($D:$D,$D11,J:J),0)</f>
        <v>0</v>
      </c>
      <c r="M11" s="232">
        <f ca="1" t="shared" si="3"/>
        <v>0</v>
      </c>
      <c r="N11" s="232">
        <f ca="1">IFERROR(SUMIFS('02综合台帐（人材机）'!Q:Q,'02综合台帐（人材机）'!$F:$F,"机械",'02综合台帐（人材机）'!$K:$K,$D11)*J11/SUMIF($D:$D,$D11,J:J),0)</f>
        <v>0</v>
      </c>
      <c r="O11" s="232">
        <f ca="1">IFERROR(SUMIFS('02综合台帐（人材机）'!T:T,'02综合台帐（人材机）'!$F:$F,"机械",'02综合台帐（人材机）'!$K:$K,$D11)*J11/SUMIF($D:$D,$D11,J:J),0)</f>
        <v>0</v>
      </c>
      <c r="P11" s="258">
        <f ca="1">IFERROR(SUMIFS('02综合台帐（人材机）'!U:U,'02综合台帐（人材机）'!$F:$F,"机械",'02综合台帐（人材机）'!$K:$K,$D11)*J11/SUMIF($D:$D,$D11,J:J),0)</f>
        <v>0</v>
      </c>
      <c r="Q11" s="232">
        <f ca="1" t="shared" si="4"/>
        <v>3546</v>
      </c>
      <c r="R11" s="232">
        <f ca="1" t="shared" si="5"/>
        <v>0</v>
      </c>
      <c r="S11" s="232">
        <f ca="1" t="shared" si="6"/>
        <v>3546</v>
      </c>
      <c r="T11" s="232"/>
      <c r="U11" s="232"/>
      <c r="V11" s="232"/>
    </row>
    <row r="12" spans="1:22">
      <c r="A12" s="232" t="str">
        <f t="shared" si="0"/>
        <v>D01006</v>
      </c>
      <c r="B12" s="232"/>
      <c r="C12" s="282"/>
      <c r="D12" s="283" t="s">
        <v>411</v>
      </c>
      <c r="E12" s="232"/>
      <c r="F12" s="282" t="str">
        <f>IFERROR(VLOOKUP($D12,机械[],2,FALSE),"")</f>
        <v>m3</v>
      </c>
      <c r="G12" s="232">
        <v>4292.21</v>
      </c>
      <c r="H12" s="232">
        <f>IFERROR(VLOOKUP($D12,机械[],3,FALSE),"")</f>
        <v>15</v>
      </c>
      <c r="I12" s="232">
        <f t="shared" si="1"/>
        <v>64383.15</v>
      </c>
      <c r="J12" s="232">
        <v>1500</v>
      </c>
      <c r="K12" s="232">
        <f t="shared" si="2"/>
        <v>22500</v>
      </c>
      <c r="L12" s="232">
        <f ca="1">IFERROR(SUMIFS('02综合台帐（人材机）'!P:P,'02综合台帐（人材机）'!$F:$F,"机械",'02综合台帐（人材机）'!$K:$K,$D12)*J12/SUMIF($D:$D,$D12,J:J),0)</f>
        <v>0</v>
      </c>
      <c r="M12" s="232">
        <f ca="1" t="shared" si="3"/>
        <v>0</v>
      </c>
      <c r="N12" s="232">
        <f ca="1">IFERROR(SUMIFS('02综合台帐（人材机）'!Q:Q,'02综合台帐（人材机）'!$F:$F,"机械",'02综合台帐（人材机）'!$K:$K,$D12)*J12/SUMIF($D:$D,$D12,J:J),0)</f>
        <v>0</v>
      </c>
      <c r="O12" s="232">
        <f ca="1">IFERROR(SUMIFS('02综合台帐（人材机）'!T:T,'02综合台帐（人材机）'!$F:$F,"机械",'02综合台帐（人材机）'!$K:$K,$D12)*J12/SUMIF($D:$D,$D12,J:J),0)</f>
        <v>0</v>
      </c>
      <c r="P12" s="258">
        <f ca="1">IFERROR(SUMIFS('02综合台帐（人材机）'!U:U,'02综合台帐（人材机）'!$F:$F,"机械",'02综合台帐（人材机）'!$K:$K,$D12)*J12/SUMIF($D:$D,$D12,J:J),0)</f>
        <v>0</v>
      </c>
      <c r="Q12" s="232">
        <f ca="1" t="shared" si="4"/>
        <v>22500</v>
      </c>
      <c r="R12" s="232">
        <f ca="1" t="shared" si="5"/>
        <v>0</v>
      </c>
      <c r="S12" s="232">
        <f ca="1" t="shared" si="6"/>
        <v>22500</v>
      </c>
      <c r="T12" s="232"/>
      <c r="U12" s="232"/>
      <c r="V12" s="232"/>
    </row>
  </sheetData>
  <sheetProtection formatCells="0" formatColumns="0" formatRows="0" insertRows="0" deleteRows="0" autoFilter="0"/>
  <conditionalFormatting sqref="A7:V12">
    <cfRule type="expression" dxfId="56" priority="1">
      <formula>$F7=""</formula>
    </cfRule>
  </conditionalFormatting>
  <dataValidations count="1">
    <dataValidation type="list" allowBlank="1" showInputMessage="1" showErrorMessage="1" sqref="U5:U6">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8673" r:id="rId3" name="CommandButton1">
          <controlPr defaultSize="0" r:id="rId4">
            <anchor moveWithCells="1">
              <from>
                <xdr:col>0</xdr:col>
                <xdr:colOff>0</xdr:colOff>
                <xdr:row>0</xdr:row>
                <xdr:rowOff>0</xdr:rowOff>
              </from>
              <to>
                <xdr:col>1</xdr:col>
                <xdr:colOff>523875</xdr:colOff>
                <xdr:row>0</xdr:row>
                <xdr:rowOff>390525</xdr:rowOff>
              </to>
            </anchor>
          </controlPr>
        </control>
      </mc:Choice>
      <mc:Fallback>
        <control shapeId="28673" r:id="rId3" name="CommandButton1"/>
      </mc:Fallback>
    </mc:AlternateContent>
  </controls>
  <tableParts count="1">
    <tablePart r:id="rId5"/>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outlinePr summaryBelow="0"/>
  </sheetPr>
  <dimension ref="A1:V7"/>
  <sheetViews>
    <sheetView zoomScale="70" zoomScaleNormal="70" workbookViewId="0">
      <pane xSplit="6" ySplit="4" topLeftCell="G5" activePane="bottomRight" state="frozen"/>
      <selection/>
      <selection pane="topRight"/>
      <selection pane="bottomLeft"/>
      <selection pane="bottomRight" activeCell="S43" sqref="S43"/>
    </sheetView>
  </sheetViews>
  <sheetFormatPr defaultColWidth="9" defaultRowHeight="15.75" outlineLevelRow="6"/>
  <cols>
    <col min="1" max="1" width="6" style="27" customWidth="1"/>
    <col min="2" max="2" width="9.75" style="27" customWidth="1"/>
    <col min="3" max="3" width="14.125" style="27" customWidth="1"/>
    <col min="4" max="4" width="20" style="27" customWidth="1"/>
    <col min="5" max="5" width="9.375" style="27" customWidth="1"/>
    <col min="6" max="6" width="8.25" style="27" customWidth="1"/>
    <col min="7" max="7" width="8.125" style="27" customWidth="1"/>
    <col min="8" max="8" width="11.625" style="27" customWidth="1"/>
    <col min="9" max="9" width="14.375" style="27" customWidth="1"/>
    <col min="10" max="10" width="9.5" style="27" customWidth="1"/>
    <col min="11" max="11" width="11.75" style="27" customWidth="1"/>
    <col min="12" max="12" width="8" style="27" customWidth="1"/>
    <col min="13" max="13" width="10.75" style="27" customWidth="1"/>
    <col min="14" max="14" width="9.875" style="27" customWidth="1"/>
    <col min="15" max="20" width="10.5" style="27" customWidth="1"/>
    <col min="21" max="21" width="13.75" style="27" customWidth="1"/>
    <col min="22" max="22" width="9" style="27"/>
    <col min="23" max="24" width="9" style="27" hidden="1" customWidth="1"/>
    <col min="25" max="16384" width="9" style="27"/>
  </cols>
  <sheetData>
    <row r="1" ht="36" customHeight="1" spans="1:20">
      <c r="A1" s="141" t="s">
        <v>2868</v>
      </c>
      <c r="B1" s="141"/>
      <c r="C1" s="141"/>
      <c r="D1" s="141"/>
      <c r="E1" s="141"/>
      <c r="F1" s="141"/>
      <c r="G1" s="141"/>
      <c r="H1" s="141"/>
      <c r="I1" s="233" t="s">
        <v>2843</v>
      </c>
      <c r="J1" s="234" t="s">
        <v>2844</v>
      </c>
      <c r="K1" s="235" t="s">
        <v>2845</v>
      </c>
      <c r="L1" s="141"/>
      <c r="M1" s="141"/>
      <c r="N1" s="141"/>
      <c r="O1" s="141"/>
      <c r="P1" s="141"/>
      <c r="Q1" s="141"/>
      <c r="R1" s="141"/>
      <c r="S1" s="141"/>
      <c r="T1" s="141"/>
    </row>
    <row r="2" s="215" customFormat="1" ht="16.5" spans="1:20">
      <c r="A2" s="216" t="str">
        <f>A6&amp;TEXT(ROW()-6,"000")</f>
        <v>E01-004</v>
      </c>
      <c r="C2" s="217" t="e">
        <f>IF(F2="","单位","分项")</f>
        <v>#N/A</v>
      </c>
      <c r="F2" s="218" t="e">
        <f>VLOOKUP($D2,分包[],2,FALSE)</f>
        <v>#N/A</v>
      </c>
      <c r="G2" s="218" t="e">
        <f>VLOOKUP($D2,分包[],4,FALSE)</f>
        <v>#N/A</v>
      </c>
      <c r="H2" s="218" t="e">
        <f>VLOOKUP($D2,分包[],3,FALSE)</f>
        <v>#N/A</v>
      </c>
      <c r="I2" s="218" t="e">
        <f t="shared" ref="I2:I7" si="0">+G2*H2</f>
        <v>#N/A</v>
      </c>
      <c r="J2" s="218">
        <f ca="1">SUMIFS('01工程产值对比表'!T:T,'01工程产值对比表'!$C:$C,"分包",'01工程产值对比表'!$D:$D,$D2)</f>
        <v>0</v>
      </c>
      <c r="K2" s="218" t="e">
        <f ca="1" t="shared" ref="K2:K7" si="1">+J2*H2</f>
        <v>#N/A</v>
      </c>
      <c r="L2" s="236">
        <f ca="1">IFERROR(SUMIFS('02综合台帐（人材机）'!P:P,'02综合台帐（人材机）'!$F:$F,"分包",'02综合台帐（人材机）'!$K:$K,$D2)*J2/SUMIF($D:$D,$D2,J:J),0)</f>
        <v>0</v>
      </c>
      <c r="M2" s="236">
        <f ca="1" t="shared" ref="M2:M7" si="2">IFERROR(+N2/L2,0)</f>
        <v>0</v>
      </c>
      <c r="N2" s="237">
        <f ca="1">IFERROR(SUMIFS('02综合台帐（人材机）'!Q:Q,'02综合台帐（人材机）'!$F:$F,"分包",'02综合台帐（人材机）'!$K:$K,$D2)*J2/SUMIF($D:$D,$D2,J:J),0)</f>
        <v>0</v>
      </c>
      <c r="O2" s="215">
        <f ca="1">IFERROR(SUMIFS('02综合台帐（人材机）'!T:T,'02综合台帐（人材机）'!$F:$F,"分包",'02综合台帐（人材机）'!$K:$K,$D2)*J2/SUMIF($D:$D,$D2,J:J),0)</f>
        <v>0</v>
      </c>
      <c r="P2" s="236">
        <f ca="1">IFERROR(SUMIFS('02综合台帐（人材机）'!U:U,'02综合台帐（人材机）'!$F:$F,"分包",'02综合台帐（人材机）'!$K:$K,$D2)*J2/SUMIF($D:$D,$D2,J:J),0)</f>
        <v>0</v>
      </c>
      <c r="Q2" s="236" t="e">
        <f ca="1" t="shared" ref="Q2:Q7" si="3">-M2*J2+H2*J2</f>
        <v>#N/A</v>
      </c>
      <c r="R2" s="236">
        <f ca="1" t="shared" ref="R2:R7" si="4">IFERROR(-O2*M2+M2*J2,0)</f>
        <v>0</v>
      </c>
      <c r="S2" s="215">
        <f ca="1" t="shared" ref="S2:S7" si="5">IFERROR(K2-P2,0)</f>
        <v>0</v>
      </c>
      <c r="T2" s="236"/>
    </row>
    <row r="3" ht="21" customHeight="1" spans="1:22">
      <c r="A3" s="219"/>
      <c r="B3" s="220"/>
      <c r="C3" s="221"/>
      <c r="D3" s="221"/>
      <c r="E3" s="221"/>
      <c r="F3" s="222"/>
      <c r="G3" s="223" t="s">
        <v>2847</v>
      </c>
      <c r="H3" s="224"/>
      <c r="I3" s="238"/>
      <c r="J3" s="239" t="s">
        <v>2848</v>
      </c>
      <c r="K3" s="240"/>
      <c r="L3" s="241" t="s">
        <v>2849</v>
      </c>
      <c r="M3" s="242"/>
      <c r="N3" s="243"/>
      <c r="O3" s="241" t="s">
        <v>2850</v>
      </c>
      <c r="P3" s="242"/>
      <c r="Q3" s="223" t="s">
        <v>2851</v>
      </c>
      <c r="R3" s="242"/>
      <c r="S3" s="223"/>
      <c r="T3" s="222"/>
      <c r="U3" s="222"/>
      <c r="V3" s="259"/>
    </row>
    <row r="4" ht="31.15" customHeight="1" spans="1:22">
      <c r="A4" s="225" t="s">
        <v>1254</v>
      </c>
      <c r="B4" s="226" t="s">
        <v>1291</v>
      </c>
      <c r="C4" s="227" t="s">
        <v>2852</v>
      </c>
      <c r="D4" s="227" t="s">
        <v>1399</v>
      </c>
      <c r="E4" s="227" t="s">
        <v>1294</v>
      </c>
      <c r="F4" s="227" t="s">
        <v>60</v>
      </c>
      <c r="G4" s="228" t="s">
        <v>2853</v>
      </c>
      <c r="H4" s="228" t="s">
        <v>88</v>
      </c>
      <c r="I4" s="244" t="s">
        <v>2854</v>
      </c>
      <c r="J4" s="245" t="s">
        <v>2855</v>
      </c>
      <c r="K4" s="246" t="s">
        <v>2856</v>
      </c>
      <c r="L4" s="228" t="s">
        <v>2454</v>
      </c>
      <c r="M4" s="247" t="s">
        <v>94</v>
      </c>
      <c r="N4" s="228" t="s">
        <v>2857</v>
      </c>
      <c r="O4" s="228" t="s">
        <v>2456</v>
      </c>
      <c r="P4" s="228" t="s">
        <v>2858</v>
      </c>
      <c r="Q4" s="228" t="s">
        <v>2859</v>
      </c>
      <c r="R4" s="228" t="s">
        <v>2860</v>
      </c>
      <c r="S4" s="228" t="s">
        <v>2861</v>
      </c>
      <c r="T4" s="227" t="s">
        <v>1262</v>
      </c>
      <c r="U4" s="227" t="s">
        <v>2869</v>
      </c>
      <c r="V4" s="260" t="s">
        <v>2863</v>
      </c>
    </row>
    <row r="5" ht="24" customHeight="1" spans="1:22">
      <c r="A5" s="229"/>
      <c r="B5" s="229"/>
      <c r="C5" s="229"/>
      <c r="D5" s="229"/>
      <c r="E5" s="229"/>
      <c r="F5" s="230" t="e">
        <f>VLOOKUP($D5,分包[],2,FALSE)</f>
        <v>#N/A</v>
      </c>
      <c r="G5" s="230" t="e">
        <f>VLOOKUP($D5,分包[],4,FALSE)</f>
        <v>#N/A</v>
      </c>
      <c r="H5" s="230" t="e">
        <f>VLOOKUP($D5,分包[],3,FALSE)</f>
        <v>#N/A</v>
      </c>
      <c r="I5" s="248" t="e">
        <f t="shared" si="0"/>
        <v>#N/A</v>
      </c>
      <c r="J5" s="230">
        <f ca="1">SUMIFS('01工程产值对比表'!T:T,'01工程产值对比表'!$C:$C,"分包",'01工程产值对比表'!$D:$D,$D5)</f>
        <v>0</v>
      </c>
      <c r="K5" s="249" t="e">
        <f ca="1" t="shared" si="1"/>
        <v>#N/A</v>
      </c>
      <c r="L5" s="250">
        <f ca="1">IFERROR(SUMIFS('02综合台帐（人材机）'!P:P,'02综合台帐（人材机）'!$F:$F,"分包",'02综合台帐（人材机）'!$K:$K,$D5)*J5/SUMIF($D:$D,$D5,J:J),0)</f>
        <v>0</v>
      </c>
      <c r="M5" s="251">
        <f ca="1" t="shared" si="2"/>
        <v>0</v>
      </c>
      <c r="N5" s="251">
        <f ca="1">IFERROR(SUMIFS('02综合台帐（人材机）'!Q:Q,'02综合台帐（人材机）'!$F:$F,"分包",'02综合台帐（人材机）'!$K:$K,$D5)*J5/SUMIF($D:$D,$D5,J:J),0)</f>
        <v>0</v>
      </c>
      <c r="O5" s="251">
        <f ca="1">IFERROR(SUMIFS('02综合台帐（人材机）'!T:T,'02综合台帐（人材机）'!$F:$F,"分包",'02综合台帐（人材机）'!$K:$K,$D5)*J5/SUMIF($D:$D,$D5,J:J),0)</f>
        <v>0</v>
      </c>
      <c r="P5" s="249">
        <f ca="1">IFERROR(SUMIFS('02综合台帐（人材机）'!U:U,'02综合台帐（人材机）'!$F:$F,"分包",'02综合台帐（人材机）'!$K:$K,$D5)*J5/SUMIF($D:$D,$D5,J:J),0)</f>
        <v>0</v>
      </c>
      <c r="Q5" s="250" t="e">
        <f ca="1" t="shared" si="3"/>
        <v>#N/A</v>
      </c>
      <c r="R5" s="261">
        <f ca="1" t="shared" si="4"/>
        <v>0</v>
      </c>
      <c r="S5" s="261">
        <f ca="1" t="shared" si="5"/>
        <v>0</v>
      </c>
      <c r="T5" s="262"/>
      <c r="U5" s="262"/>
      <c r="V5" s="263"/>
    </row>
    <row r="6" spans="1:22">
      <c r="A6" s="229" t="s">
        <v>1430</v>
      </c>
      <c r="B6" s="229"/>
      <c r="C6" s="229" t="s">
        <v>1306</v>
      </c>
      <c r="D6" s="229" t="s">
        <v>65</v>
      </c>
      <c r="E6" s="229"/>
      <c r="F6" s="229"/>
      <c r="G6" s="229"/>
      <c r="H6" s="231"/>
      <c r="I6" s="252">
        <f>SUM(I7:I7)</f>
        <v>8000</v>
      </c>
      <c r="J6" s="229"/>
      <c r="K6" s="252">
        <f>SUM(K7:K7)</f>
        <v>4000</v>
      </c>
      <c r="L6" s="253"/>
      <c r="M6" s="254"/>
      <c r="N6" s="254">
        <f ca="1">SUM(N7:N7)</f>
        <v>0</v>
      </c>
      <c r="O6" s="254"/>
      <c r="P6" s="255">
        <f ca="1">SUM(P7:P7)</f>
        <v>0</v>
      </c>
      <c r="Q6" s="264">
        <f ca="1">SUM(Q7:Q7)</f>
        <v>4000</v>
      </c>
      <c r="R6" s="265">
        <f ca="1">SUM(R7:R7)</f>
        <v>0</v>
      </c>
      <c r="S6" s="265">
        <f ca="1">SUM(S7:S7)</f>
        <v>4000</v>
      </c>
      <c r="T6" s="262"/>
      <c r="U6" s="262"/>
      <c r="V6" s="262"/>
    </row>
    <row r="7" spans="1:22">
      <c r="A7" s="232"/>
      <c r="B7" s="232"/>
      <c r="C7" s="232"/>
      <c r="D7" s="232" t="s">
        <v>309</v>
      </c>
      <c r="E7" s="232"/>
      <c r="F7" s="232" t="str">
        <f>IFERROR(VLOOKUP($D7,分包[],2,FALSE),"")</f>
        <v>m2</v>
      </c>
      <c r="G7" s="232">
        <v>2</v>
      </c>
      <c r="H7" s="232">
        <f>IFERROR(VLOOKUP($D7,分包[],3,FALSE),"")</f>
        <v>4000</v>
      </c>
      <c r="I7" s="232">
        <f t="shared" si="0"/>
        <v>8000</v>
      </c>
      <c r="J7" s="256">
        <v>1</v>
      </c>
      <c r="K7" s="257">
        <f t="shared" si="1"/>
        <v>4000</v>
      </c>
      <c r="L7" s="258">
        <f ca="1">IFERROR(SUMIFS('02综合台帐（人材机）'!P:P,'02综合台帐（人材机）'!$F:$F,"分包",'02综合台帐（人材机）'!$K:$K,$D7)*J7/SUMIF($D:$D,$D7,J:J),0)</f>
        <v>0</v>
      </c>
      <c r="M7" s="232">
        <f ca="1" t="shared" si="2"/>
        <v>0</v>
      </c>
      <c r="N7" s="232">
        <f ca="1">IFERROR(SUMIFS('02综合台帐（人材机）'!Q:Q,'02综合台帐（人材机）'!$F:$F,"分包",'02综合台帐（人材机）'!$K:$K,$D7)*J7/SUMIF($D:$D,$D7,J:J),0)</f>
        <v>0</v>
      </c>
      <c r="O7" s="232">
        <f ca="1">IFERROR(SUMIFS('02综合台帐（人材机）'!T:T,'02综合台帐（人材机）'!$F:$F,"分包",'02综合台帐（人材机）'!$K:$K,$D7)*J7/SUMIF($D:$D,$D7,J:J),0)</f>
        <v>0</v>
      </c>
      <c r="P7" s="232">
        <f ca="1">IFERROR(SUMIFS('02综合台帐（人材机）'!U:U,'02综合台帐（人材机）'!$F:$F,"分包",'02综合台帐（人材机）'!$K:$K,$D7)*J7/SUMIF($D:$D,$D7,J:J),0)</f>
        <v>0</v>
      </c>
      <c r="Q7" s="232">
        <f ca="1" t="shared" si="3"/>
        <v>4000</v>
      </c>
      <c r="R7" s="232">
        <f ca="1" t="shared" si="4"/>
        <v>0</v>
      </c>
      <c r="S7" s="232">
        <f ca="1" t="shared" si="5"/>
        <v>4000</v>
      </c>
      <c r="T7" s="232"/>
      <c r="U7" s="232"/>
      <c r="V7" s="232"/>
    </row>
  </sheetData>
  <sheetProtection formatCells="0" formatColumns="0" formatRows="0" insertRows="0" deleteRows="0" autoFilter="0"/>
  <dataValidations count="2">
    <dataValidation type="list" allowBlank="1" showInputMessage="1" showErrorMessage="1" sqref="U5">
      <formula1>机械下拉</formula1>
    </dataValidation>
    <dataValidation type="list" allowBlank="1" showInputMessage="1" showErrorMessage="1" sqref="U6">
      <formula1>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headerFooter/>
  <drawing r:id="rId1"/>
  <legacyDrawing r:id="rId2"/>
  <controls>
    <mc:AlternateContent xmlns:mc="http://schemas.openxmlformats.org/markup-compatibility/2006">
      <mc:Choice Requires="x14">
        <control shapeId="29697" r:id="rId3" name="CommandButton1">
          <controlPr defaultSize="0" r:id="rId4">
            <anchor moveWithCells="1">
              <from>
                <xdr:col>0</xdr:col>
                <xdr:colOff>0</xdr:colOff>
                <xdr:row>0</xdr:row>
                <xdr:rowOff>0</xdr:rowOff>
              </from>
              <to>
                <xdr:col>2</xdr:col>
                <xdr:colOff>66675</xdr:colOff>
                <xdr:row>0</xdr:row>
                <xdr:rowOff>390525</xdr:rowOff>
              </to>
            </anchor>
          </controlPr>
        </control>
      </mc:Choice>
      <mc:Fallback>
        <control shapeId="29697" r:id="rId3" name="CommandButton1"/>
      </mc:Fallback>
    </mc:AlternateContent>
  </controls>
  <tableParts count="1">
    <tablePart r:id="rId5"/>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outlinePr summaryBelow="0"/>
  </sheetPr>
  <dimension ref="A1:V72"/>
  <sheetViews>
    <sheetView zoomScale="85" zoomScaleNormal="85" workbookViewId="0">
      <pane xSplit="5" ySplit="4" topLeftCell="F5" activePane="bottomRight" state="frozen"/>
      <selection/>
      <selection pane="topRight"/>
      <selection pane="bottomLeft"/>
      <selection pane="bottomRight" activeCell="E61" sqref="E61"/>
    </sheetView>
  </sheetViews>
  <sheetFormatPr defaultColWidth="9" defaultRowHeight="15.75"/>
  <cols>
    <col min="1" max="1" width="9.25" style="139" customWidth="1"/>
    <col min="2" max="2" width="6.125" style="27" customWidth="1"/>
    <col min="3" max="3" width="14.125" style="27" customWidth="1"/>
    <col min="4" max="4" width="38" style="27" customWidth="1"/>
    <col min="5" max="5" width="25.5" style="27" customWidth="1"/>
    <col min="6" max="6" width="10.375" style="27" customWidth="1"/>
    <col min="7" max="8" width="10.375" style="27" hidden="1" customWidth="1"/>
    <col min="9" max="9" width="15" style="27" customWidth="1"/>
    <col min="10" max="10" width="12.875" style="27" customWidth="1"/>
    <col min="11" max="11" width="15.875" style="27" customWidth="1"/>
    <col min="12" max="12" width="4.125" style="27" hidden="1" customWidth="1"/>
    <col min="13" max="13" width="9.75" style="27" hidden="1" customWidth="1"/>
    <col min="14" max="14" width="17.5" style="27" customWidth="1"/>
    <col min="15" max="15" width="5.25" style="27" hidden="1" customWidth="1"/>
    <col min="16" max="16" width="16.75" style="27" customWidth="1"/>
    <col min="17" max="18" width="16.75" style="27" hidden="1" customWidth="1"/>
    <col min="19" max="19" width="12.875" style="27" customWidth="1"/>
    <col min="20" max="20" width="17.875" style="27" customWidth="1"/>
    <col min="21" max="21" width="15.375" style="27" customWidth="1"/>
    <col min="22" max="16384" width="9" style="27"/>
  </cols>
  <sheetData>
    <row r="1" ht="36" customHeight="1" spans="1:20">
      <c r="A1" s="140" t="s">
        <v>2870</v>
      </c>
      <c r="B1" s="141"/>
      <c r="C1" s="141"/>
      <c r="D1" s="141"/>
      <c r="E1" s="141"/>
      <c r="F1" s="141"/>
      <c r="G1" s="141"/>
      <c r="H1" s="142"/>
      <c r="I1" s="181"/>
      <c r="J1" s="141"/>
      <c r="K1" s="141"/>
      <c r="L1" s="141"/>
      <c r="M1" s="141"/>
      <c r="N1" s="141"/>
      <c r="O1" s="141"/>
      <c r="P1" s="141"/>
      <c r="Q1" s="141"/>
      <c r="R1" s="141"/>
      <c r="S1" s="142"/>
      <c r="T1" s="141"/>
    </row>
    <row r="2" ht="21" customHeight="1" spans="1:20">
      <c r="A2" s="143"/>
      <c r="B2" s="144"/>
      <c r="C2" s="68" t="s">
        <v>2845</v>
      </c>
      <c r="D2" s="144"/>
      <c r="E2" s="144"/>
      <c r="F2" s="144"/>
      <c r="G2" s="144"/>
      <c r="H2" s="145"/>
      <c r="I2" s="182"/>
      <c r="J2" s="144"/>
      <c r="K2" s="183"/>
      <c r="L2" s="183"/>
      <c r="M2" s="183"/>
      <c r="N2" s="184">
        <f>SUMIFS('02综合台帐（人材机）'!Q:Q,'02综合台帐（人材机）'!F:F,C2,'02综合台帐（人材机）'!K:K,D2)</f>
        <v>0</v>
      </c>
      <c r="O2" s="183"/>
      <c r="P2" s="183"/>
      <c r="Q2" s="183"/>
      <c r="R2" s="183"/>
      <c r="S2" s="145"/>
      <c r="T2" s="183" t="s">
        <v>2871</v>
      </c>
    </row>
    <row r="3" ht="9" hidden="1" customHeight="1" spans="1:20">
      <c r="A3" s="146"/>
      <c r="B3" s="147"/>
      <c r="C3" s="148"/>
      <c r="D3" s="147"/>
      <c r="E3" s="147"/>
      <c r="F3" s="147"/>
      <c r="G3" s="147"/>
      <c r="H3" s="149"/>
      <c r="I3" s="185"/>
      <c r="J3" s="147"/>
      <c r="K3" s="186"/>
      <c r="L3" s="186"/>
      <c r="M3" s="186"/>
      <c r="N3" s="186"/>
      <c r="O3" s="186"/>
      <c r="P3" s="186"/>
      <c r="Q3" s="186"/>
      <c r="R3" s="186"/>
      <c r="S3" s="149"/>
      <c r="T3" s="205"/>
    </row>
    <row r="4" ht="39" customHeight="1" spans="1:20">
      <c r="A4" s="150" t="s">
        <v>1254</v>
      </c>
      <c r="B4" s="151" t="s">
        <v>1291</v>
      </c>
      <c r="C4" s="151" t="s">
        <v>2852</v>
      </c>
      <c r="D4" s="152" t="s">
        <v>1399</v>
      </c>
      <c r="E4" s="152" t="s">
        <v>1294</v>
      </c>
      <c r="F4" s="151" t="s">
        <v>60</v>
      </c>
      <c r="G4" s="153" t="s">
        <v>2872</v>
      </c>
      <c r="H4" s="154"/>
      <c r="I4" s="187" t="s">
        <v>2873</v>
      </c>
      <c r="J4" s="188" t="s">
        <v>2874</v>
      </c>
      <c r="K4" s="151" t="s">
        <v>2875</v>
      </c>
      <c r="L4" s="189" t="s">
        <v>2876</v>
      </c>
      <c r="M4" s="190"/>
      <c r="N4" s="151" t="s">
        <v>2410</v>
      </c>
      <c r="O4" s="191" t="s">
        <v>2872</v>
      </c>
      <c r="P4" s="151" t="s">
        <v>2411</v>
      </c>
      <c r="Q4" s="151"/>
      <c r="R4" s="151"/>
      <c r="S4" s="206" t="s">
        <v>2877</v>
      </c>
      <c r="T4" s="207" t="s">
        <v>1262</v>
      </c>
    </row>
    <row r="5" ht="25.15" customHeight="1" spans="1:20">
      <c r="A5" s="155"/>
      <c r="B5" s="156"/>
      <c r="C5" s="156"/>
      <c r="D5" s="157"/>
      <c r="E5" s="157"/>
      <c r="F5" s="158"/>
      <c r="G5" s="158"/>
      <c r="H5" s="159"/>
      <c r="I5" s="192"/>
      <c r="J5" s="193">
        <v>0.896294437753551</v>
      </c>
      <c r="K5" s="156">
        <v>0</v>
      </c>
      <c r="L5" s="156"/>
      <c r="M5" s="156"/>
      <c r="N5" s="156"/>
      <c r="O5" s="194"/>
      <c r="P5" s="194"/>
      <c r="Q5" s="194"/>
      <c r="R5" s="194"/>
      <c r="S5" s="208">
        <f>-N5+K5</f>
        <v>0</v>
      </c>
      <c r="T5" s="158"/>
    </row>
    <row r="6" ht="25.15" customHeight="1" spans="1:20">
      <c r="A6" s="155" t="s">
        <v>1433</v>
      </c>
      <c r="B6" s="156"/>
      <c r="C6" s="156"/>
      <c r="D6" s="156" t="s">
        <v>2423</v>
      </c>
      <c r="E6" s="157"/>
      <c r="F6" s="158"/>
      <c r="G6" s="160"/>
      <c r="H6" s="161"/>
      <c r="I6" s="192">
        <f>SUMPRODUCT((LEFT($A7:$A$62,LEN($A6))=$A6)*1,(LEN($A7:$A$62)=LEN($A6)+3)*1,I7:I$62)</f>
        <v>95760653.50932</v>
      </c>
      <c r="J6" s="193"/>
      <c r="K6" s="156">
        <f>SUMPRODUCT((LEFT($A7:$A$62,LEN($A6))=$A6)*1,(LEN($A7:$A$62)=LEN($A6)+3)*1,K7:K$62)</f>
        <v>85829741.0960487</v>
      </c>
      <c r="L6" s="156"/>
      <c r="M6" s="156"/>
      <c r="N6" s="156">
        <f>SUMPRODUCT((LEFT($A7:$A$62,LEN($A6))=$A6)*1,(LEN($A7:$A$62)=LEN($A6)+3)*1,N7:N$62)</f>
        <v>164687.6</v>
      </c>
      <c r="O6" s="156">
        <f>SUMPRODUCT((LEFT($A7:$A$62,LEN($A6))=$A6)*1,(LEN($A7:$A$62)=LEN($A6)+3)*1,O7:O$62)</f>
        <v>0</v>
      </c>
      <c r="P6" s="156">
        <f>SUMPRODUCT((LEFT($A7:$A$62,LEN($A6))=$A6)*1,(LEN($A7:$A$62)=LEN($A6)+3)*1,P7:P$62)</f>
        <v>0</v>
      </c>
      <c r="Q6" s="156"/>
      <c r="R6" s="156"/>
      <c r="S6" s="208">
        <f>SUMPRODUCT((LEFT($A7:$A$62,LEN($A6))=$A6)*1,(LEN($A7:$A$62)=LEN($A6)+3)*1,S7:S$62)</f>
        <v>85829741.0960486</v>
      </c>
      <c r="T6" s="158"/>
    </row>
    <row r="7" ht="25.15" customHeight="1" spans="1:22">
      <c r="A7" s="162" t="s">
        <v>1435</v>
      </c>
      <c r="B7" s="163"/>
      <c r="C7" s="163"/>
      <c r="D7" s="164" t="s">
        <v>1614</v>
      </c>
      <c r="E7" s="164"/>
      <c r="F7" s="165"/>
      <c r="G7" s="166"/>
      <c r="H7" s="167"/>
      <c r="I7" s="195">
        <f>SUMPRODUCT((LEFT($A8:$A$27,LEN($A7))=$A7)*1,(LEN($A8:$A$27)=LEN($A7)+3)*1,I8:I$27)</f>
        <v>13870000</v>
      </c>
      <c r="J7" s="196">
        <v>0.896294437753551</v>
      </c>
      <c r="K7" s="163">
        <v>12431603.8516418</v>
      </c>
      <c r="L7" s="163"/>
      <c r="M7" s="163"/>
      <c r="N7" s="197">
        <f>SUMPRODUCT((LEFT($A8:$A$27,LEN($A7))=$A7)*1,(LEN($A8:$A$27)=LEN($A7)+3)*1,N8:N$27)</f>
        <v>155937.6</v>
      </c>
      <c r="O7" s="163">
        <f>SUM(O8:O16)</f>
        <v>0</v>
      </c>
      <c r="P7" s="197">
        <f>SUMPRODUCT((LEFT($A8:$A$27,LEN($A7))=$A7)*1,(LEN($A8:$A$27)=LEN($A7)+3)*1,P8:P$27)</f>
        <v>0</v>
      </c>
      <c r="Q7" s="197"/>
      <c r="R7" s="197"/>
      <c r="S7" s="197">
        <f>SUMPRODUCT((LEFT($A8:$A$16,LEN($A7))=$A7)*1,(LEN($A8:$A$16)=LEN($A7)+3)*1,S8:S$16)</f>
        <v>12431603.8516418</v>
      </c>
      <c r="T7" s="165"/>
      <c r="U7" s="209"/>
      <c r="V7" s="209"/>
    </row>
    <row r="8" ht="56.1" customHeight="1" outlineLevel="1" spans="1:22">
      <c r="A8" s="162" t="s">
        <v>2878</v>
      </c>
      <c r="B8" s="163"/>
      <c r="C8" s="163" t="s">
        <v>1614</v>
      </c>
      <c r="D8" s="164" t="s">
        <v>1616</v>
      </c>
      <c r="E8" s="168" t="s">
        <v>2879</v>
      </c>
      <c r="F8" s="165" t="s">
        <v>195</v>
      </c>
      <c r="G8" s="166"/>
      <c r="H8" s="167"/>
      <c r="I8" s="195">
        <f>7900000-2110000-250000-100000-200000/2</f>
        <v>5340000</v>
      </c>
      <c r="J8" s="196">
        <v>0.896294437753551</v>
      </c>
      <c r="K8" s="163">
        <v>4786212.29760396</v>
      </c>
      <c r="L8" s="163"/>
      <c r="M8" s="163"/>
      <c r="N8" s="163">
        <f>SUMIFS('02综合台帐（人材机）'!Q:Q,'02综合台帐（人材机）'!F:F,C8,'02综合台帐（人材机）'!K:K,D8)</f>
        <v>116490</v>
      </c>
      <c r="O8" s="198"/>
      <c r="P8" s="198"/>
      <c r="Q8" s="198"/>
      <c r="R8" s="198"/>
      <c r="S8" s="210">
        <f>-P8+K8</f>
        <v>4786212.29760396</v>
      </c>
      <c r="T8" s="165"/>
      <c r="U8" s="209">
        <f>SUMIFS('02综合台帐（人材机）'!Q:Q,'02综合台帐（人材机）'!F:F,C8,'02综合台帐（人材机）'!K:K,D8)</f>
        <v>116490</v>
      </c>
      <c r="V8" s="209"/>
    </row>
    <row r="9" ht="25.15" customHeight="1" outlineLevel="1" spans="1:22">
      <c r="A9" s="162" t="s">
        <v>2880</v>
      </c>
      <c r="B9" s="163"/>
      <c r="C9" s="163" t="s">
        <v>1614</v>
      </c>
      <c r="D9" s="164" t="s">
        <v>1618</v>
      </c>
      <c r="E9" s="168"/>
      <c r="F9" s="165" t="s">
        <v>195</v>
      </c>
      <c r="G9" s="166"/>
      <c r="H9" s="167"/>
      <c r="I9" s="195">
        <v>0</v>
      </c>
      <c r="J9" s="196">
        <v>0.896294437753551</v>
      </c>
      <c r="K9" s="163">
        <v>0</v>
      </c>
      <c r="L9" s="163"/>
      <c r="M9" s="163"/>
      <c r="N9" s="163">
        <f>SUMIFS('02综合台帐（人材机）'!Q:Q,'02综合台帐（人材机）'!F:F,C9,'02综合台帐（人材机）'!K:K,D9)</f>
        <v>0</v>
      </c>
      <c r="O9" s="198"/>
      <c r="P9" s="198"/>
      <c r="Q9" s="198"/>
      <c r="R9" s="198"/>
      <c r="S9" s="210">
        <f t="shared" ref="S9:S58" si="0">-P9+K9</f>
        <v>0</v>
      </c>
      <c r="T9" s="165"/>
      <c r="U9" s="209"/>
      <c r="V9" s="209"/>
    </row>
    <row r="10" ht="25.15" customHeight="1" outlineLevel="1" spans="1:22">
      <c r="A10" s="162" t="s">
        <v>2881</v>
      </c>
      <c r="B10" s="163"/>
      <c r="C10" s="163" t="s">
        <v>1614</v>
      </c>
      <c r="D10" s="164" t="s">
        <v>1620</v>
      </c>
      <c r="E10" s="168" t="s">
        <v>2882</v>
      </c>
      <c r="F10" s="165" t="s">
        <v>195</v>
      </c>
      <c r="G10" s="166"/>
      <c r="H10" s="167"/>
      <c r="I10" s="195">
        <v>500000</v>
      </c>
      <c r="J10" s="196">
        <v>0.896294437753551</v>
      </c>
      <c r="K10" s="163">
        <v>448147.218876776</v>
      </c>
      <c r="L10" s="163"/>
      <c r="M10" s="163"/>
      <c r="N10" s="163">
        <f>SUMIFS('02综合台帐（人材机）'!Q:Q,'02综合台帐（人材机）'!F:F,C10,'02综合台帐（人材机）'!K:K,D10)</f>
        <v>0</v>
      </c>
      <c r="O10" s="198"/>
      <c r="P10" s="198"/>
      <c r="Q10" s="198"/>
      <c r="R10" s="198"/>
      <c r="S10" s="210">
        <f t="shared" si="0"/>
        <v>448147.218876776</v>
      </c>
      <c r="T10" s="165"/>
      <c r="U10" s="209"/>
      <c r="V10" s="209"/>
    </row>
    <row r="11" ht="25.15" customHeight="1" outlineLevel="1" spans="1:22">
      <c r="A11" s="162" t="s">
        <v>2883</v>
      </c>
      <c r="B11" s="163"/>
      <c r="C11" s="163" t="s">
        <v>1614</v>
      </c>
      <c r="D11" s="164" t="s">
        <v>1622</v>
      </c>
      <c r="E11" s="168"/>
      <c r="F11" s="165" t="s">
        <v>195</v>
      </c>
      <c r="G11" s="166"/>
      <c r="H11" s="167"/>
      <c r="I11" s="195">
        <v>0</v>
      </c>
      <c r="J11" s="196">
        <v>0.896294437753551</v>
      </c>
      <c r="K11" s="163">
        <v>0</v>
      </c>
      <c r="L11" s="163"/>
      <c r="M11" s="163"/>
      <c r="N11" s="163">
        <f>SUMIFS('02综合台帐（人材机）'!Q:Q,'02综合台帐（人材机）'!F:F,C11,'02综合台帐（人材机）'!K:K,D11)</f>
        <v>0</v>
      </c>
      <c r="O11" s="198"/>
      <c r="P11" s="198"/>
      <c r="Q11" s="198"/>
      <c r="R11" s="198"/>
      <c r="S11" s="210">
        <f t="shared" si="0"/>
        <v>0</v>
      </c>
      <c r="T11" s="165"/>
      <c r="U11" s="209"/>
      <c r="V11" s="209"/>
    </row>
    <row r="12" ht="42.95" customHeight="1" outlineLevel="1" spans="1:22">
      <c r="A12" s="162" t="s">
        <v>2884</v>
      </c>
      <c r="B12" s="163"/>
      <c r="C12" s="163" t="s">
        <v>1614</v>
      </c>
      <c r="D12" s="164" t="s">
        <v>1624</v>
      </c>
      <c r="E12" s="168" t="s">
        <v>2885</v>
      </c>
      <c r="F12" s="165" t="s">
        <v>195</v>
      </c>
      <c r="G12" s="166"/>
      <c r="H12" s="167"/>
      <c r="I12" s="195">
        <v>1480000</v>
      </c>
      <c r="J12" s="196">
        <v>0.896294437753551</v>
      </c>
      <c r="K12" s="163">
        <v>1326515.76787526</v>
      </c>
      <c r="L12" s="163"/>
      <c r="M12" s="163"/>
      <c r="N12" s="163">
        <f>SUMIFS('02综合台帐（人材机）'!Q:Q,'02综合台帐（人材机）'!F:F,C12,'02综合台帐（人材机）'!K:K,D12)</f>
        <v>0</v>
      </c>
      <c r="O12" s="198"/>
      <c r="P12" s="198"/>
      <c r="Q12" s="198"/>
      <c r="R12" s="198"/>
      <c r="S12" s="210">
        <f t="shared" si="0"/>
        <v>1326515.76787526</v>
      </c>
      <c r="T12" s="165"/>
      <c r="U12" s="209"/>
      <c r="V12" s="209"/>
    </row>
    <row r="13" ht="25.15" customHeight="1" outlineLevel="1" spans="1:22">
      <c r="A13" s="162" t="s">
        <v>2886</v>
      </c>
      <c r="B13" s="163"/>
      <c r="C13" s="163" t="s">
        <v>1614</v>
      </c>
      <c r="D13" s="164" t="s">
        <v>1626</v>
      </c>
      <c r="E13" s="168"/>
      <c r="F13" s="165" t="s">
        <v>195</v>
      </c>
      <c r="G13" s="166"/>
      <c r="H13" s="167"/>
      <c r="I13" s="195">
        <f>1100000+2000000+900000+2000000</f>
        <v>6000000</v>
      </c>
      <c r="J13" s="196">
        <v>0.896294437753551</v>
      </c>
      <c r="K13" s="163">
        <v>5377766.62652131</v>
      </c>
      <c r="L13" s="163"/>
      <c r="M13" s="163"/>
      <c r="N13" s="163">
        <f>SUMIFS('02综合台帐（人材机）'!Q:Q,'02综合台帐（人材机）'!F:F,C13,'02综合台帐（人材机）'!K:K,D13)</f>
        <v>39447.6</v>
      </c>
      <c r="O13" s="198"/>
      <c r="P13" s="198"/>
      <c r="Q13" s="198"/>
      <c r="R13" s="198"/>
      <c r="S13" s="210">
        <f t="shared" si="0"/>
        <v>5377766.62652131</v>
      </c>
      <c r="T13" s="165" t="s">
        <v>2887</v>
      </c>
      <c r="U13" s="209"/>
      <c r="V13" s="209"/>
    </row>
    <row r="14" ht="45" customHeight="1" outlineLevel="1" spans="1:22">
      <c r="A14" s="162" t="s">
        <v>2888</v>
      </c>
      <c r="B14" s="163"/>
      <c r="C14" s="163" t="s">
        <v>1614</v>
      </c>
      <c r="D14" s="164" t="s">
        <v>1611</v>
      </c>
      <c r="E14" s="168" t="s">
        <v>2889</v>
      </c>
      <c r="F14" s="165" t="s">
        <v>195</v>
      </c>
      <c r="G14" s="166"/>
      <c r="H14" s="167"/>
      <c r="I14" s="195">
        <v>0</v>
      </c>
      <c r="J14" s="196">
        <v>0.896294437753551</v>
      </c>
      <c r="K14" s="163">
        <v>0</v>
      </c>
      <c r="L14" s="163"/>
      <c r="M14" s="163"/>
      <c r="N14" s="163">
        <f>SUMIFS('02综合台帐（人材机）'!Q:Q,'02综合台帐（人材机）'!F:F,C14,'02综合台帐（人材机）'!K:K,D14)</f>
        <v>0</v>
      </c>
      <c r="O14" s="198"/>
      <c r="P14" s="198"/>
      <c r="Q14" s="198"/>
      <c r="R14" s="198"/>
      <c r="S14" s="210">
        <f t="shared" si="0"/>
        <v>0</v>
      </c>
      <c r="T14" s="165"/>
      <c r="U14" s="209"/>
      <c r="V14" s="209"/>
    </row>
    <row r="15" ht="25.15" customHeight="1" outlineLevel="1" spans="1:22">
      <c r="A15" s="162" t="s">
        <v>2890</v>
      </c>
      <c r="B15" s="163"/>
      <c r="C15" s="163" t="s">
        <v>1614</v>
      </c>
      <c r="D15" s="164" t="s">
        <v>2891</v>
      </c>
      <c r="E15" s="168"/>
      <c r="F15" s="165" t="s">
        <v>195</v>
      </c>
      <c r="G15" s="166"/>
      <c r="H15" s="167"/>
      <c r="I15" s="195">
        <f>550*1000</f>
        <v>550000</v>
      </c>
      <c r="J15" s="196">
        <v>0.896294437753551</v>
      </c>
      <c r="K15" s="163">
        <v>492961.940764453</v>
      </c>
      <c r="L15" s="163"/>
      <c r="M15" s="163"/>
      <c r="N15" s="163">
        <f>SUMIFS('02综合台帐（人材机）'!Q:Q,'02综合台帐（人材机）'!F:F,C15,'02综合台帐（人材机）'!K:K,D15)</f>
        <v>0</v>
      </c>
      <c r="O15" s="198"/>
      <c r="P15" s="198"/>
      <c r="Q15" s="198"/>
      <c r="R15" s="198"/>
      <c r="S15" s="210">
        <f t="shared" si="0"/>
        <v>492961.940764453</v>
      </c>
      <c r="T15" s="165"/>
      <c r="U15" s="209"/>
      <c r="V15" s="209"/>
    </row>
    <row r="16" ht="39" customHeight="1" outlineLevel="1" spans="1:22">
      <c r="A16" s="162" t="s">
        <v>2892</v>
      </c>
      <c r="B16" s="163"/>
      <c r="C16" s="163" t="s">
        <v>1614</v>
      </c>
      <c r="D16" s="164" t="s">
        <v>2893</v>
      </c>
      <c r="E16" s="168" t="s">
        <v>2894</v>
      </c>
      <c r="F16" s="165" t="s">
        <v>195</v>
      </c>
      <c r="G16" s="166"/>
      <c r="H16" s="167"/>
      <c r="I16" s="195">
        <f>800000*0</f>
        <v>0</v>
      </c>
      <c r="J16" s="196">
        <v>0.896294437753551</v>
      </c>
      <c r="K16" s="163">
        <v>0</v>
      </c>
      <c r="L16" s="163"/>
      <c r="M16" s="163"/>
      <c r="N16" s="163">
        <f>SUMIFS('02综合台帐（人材机）'!Q:Q,'02综合台帐（人材机）'!F:F,C16,'02综合台帐（人材机）'!K:K,D16)</f>
        <v>0</v>
      </c>
      <c r="O16" s="198"/>
      <c r="P16" s="198"/>
      <c r="Q16" s="198"/>
      <c r="R16" s="198"/>
      <c r="S16" s="210">
        <f t="shared" si="0"/>
        <v>0</v>
      </c>
      <c r="T16" s="165"/>
      <c r="U16" s="209"/>
      <c r="V16" s="209"/>
    </row>
    <row r="17" ht="25.15" customHeight="1" spans="1:22">
      <c r="A17" s="162" t="s">
        <v>1438</v>
      </c>
      <c r="B17" s="163"/>
      <c r="C17" s="163"/>
      <c r="D17" s="164" t="s">
        <v>1274</v>
      </c>
      <c r="E17" s="164"/>
      <c r="F17" s="165"/>
      <c r="G17" s="166"/>
      <c r="H17" s="167"/>
      <c r="I17" s="195">
        <f>SUMPRODUCT((LEFT($A18:$A$53,LEN($A17))=$A17)*1,(LEN($A18:$A$53)=LEN($A17)+3)*1,I18:I$53)</f>
        <v>40590653.50932</v>
      </c>
      <c r="J17" s="196">
        <v>0.896294437753551</v>
      </c>
      <c r="K17" s="163">
        <v>36381176.9651852</v>
      </c>
      <c r="L17" s="163"/>
      <c r="M17" s="163"/>
      <c r="N17" s="163">
        <f>SUMPRODUCT((LEFT($A18:$A$53,LEN($A17))=$A17)*1,(LEN($A18:$A$53)=LEN($A17)+3)*1,N18:N$53)</f>
        <v>0</v>
      </c>
      <c r="O17" s="198"/>
      <c r="P17" s="163">
        <f>SUMPRODUCT((LEFT($A18:$A$53,LEN($A17))=$A17)*1,(LEN($A18:$A$53)=LEN($A17)+3)*1,P18:P$53)</f>
        <v>0</v>
      </c>
      <c r="Q17" s="163"/>
      <c r="R17" s="163"/>
      <c r="S17" s="199">
        <f>SUMPRODUCT((LEFT($A18:$A$53,LEN($A17))=$A17)*1,(LEN($A18:$A$53)=LEN($A17)+3)*1,S18:S$53)</f>
        <v>36381176.9651852</v>
      </c>
      <c r="T17" s="165"/>
      <c r="U17" s="209"/>
      <c r="V17" s="209"/>
    </row>
    <row r="18" ht="25.15" customHeight="1" outlineLevel="1" spans="1:22">
      <c r="A18" s="162" t="s">
        <v>2895</v>
      </c>
      <c r="B18" s="163"/>
      <c r="C18" s="163" t="s">
        <v>1274</v>
      </c>
      <c r="D18" s="164" t="s">
        <v>1634</v>
      </c>
      <c r="E18" s="164"/>
      <c r="F18" s="165" t="s">
        <v>195</v>
      </c>
      <c r="G18" s="166"/>
      <c r="H18" s="167"/>
      <c r="I18" s="195">
        <f>160000*3</f>
        <v>480000</v>
      </c>
      <c r="J18" s="196">
        <v>0.896294437753551</v>
      </c>
      <c r="K18" s="163">
        <v>430221.330121705</v>
      </c>
      <c r="L18" s="163"/>
      <c r="M18" s="163"/>
      <c r="N18" s="163">
        <f>SUMIFS('02综合台帐（人材机）'!Q:Q,'02综合台帐（人材机）'!F:F,C18,'02综合台帐（人材机）'!K:K,D18)</f>
        <v>0</v>
      </c>
      <c r="O18" s="198"/>
      <c r="P18" s="198"/>
      <c r="Q18" s="198"/>
      <c r="R18" s="198"/>
      <c r="S18" s="210">
        <f t="shared" si="0"/>
        <v>430221.330121705</v>
      </c>
      <c r="T18" s="165"/>
      <c r="U18" s="209"/>
      <c r="V18" s="209"/>
    </row>
    <row r="19" ht="25.15" customHeight="1" outlineLevel="1" spans="1:22">
      <c r="A19" s="162" t="s">
        <v>2896</v>
      </c>
      <c r="B19" s="163"/>
      <c r="C19" s="163" t="s">
        <v>1274</v>
      </c>
      <c r="D19" s="164" t="s">
        <v>1637</v>
      </c>
      <c r="E19" s="164"/>
      <c r="F19" s="165" t="s">
        <v>195</v>
      </c>
      <c r="G19" s="166"/>
      <c r="H19" s="167"/>
      <c r="I19" s="195">
        <v>1460000</v>
      </c>
      <c r="J19" s="196">
        <v>0.896294437753551</v>
      </c>
      <c r="K19" s="163">
        <v>1308589.87912019</v>
      </c>
      <c r="L19" s="163"/>
      <c r="M19" s="163"/>
      <c r="N19" s="163">
        <f>SUMIFS('02综合台帐（人材机）'!Q:Q,'02综合台帐（人材机）'!F:F,C19,'02综合台帐（人材机）'!K:K,D19)</f>
        <v>0</v>
      </c>
      <c r="O19" s="198"/>
      <c r="P19" s="198"/>
      <c r="Q19" s="198"/>
      <c r="R19" s="198"/>
      <c r="S19" s="210">
        <f t="shared" si="0"/>
        <v>1308589.87912019</v>
      </c>
      <c r="T19" s="165"/>
      <c r="U19" s="209"/>
      <c r="V19" s="209"/>
    </row>
    <row r="20" ht="25.15" customHeight="1" outlineLevel="1" spans="1:22">
      <c r="A20" s="162" t="s">
        <v>2897</v>
      </c>
      <c r="B20" s="163"/>
      <c r="C20" s="163" t="s">
        <v>1274</v>
      </c>
      <c r="D20" s="164" t="s">
        <v>1640</v>
      </c>
      <c r="E20" s="164"/>
      <c r="F20" s="165" t="s">
        <v>195</v>
      </c>
      <c r="G20" s="166"/>
      <c r="H20" s="167"/>
      <c r="I20" s="195">
        <f>150000+150000+1000000</f>
        <v>1300000</v>
      </c>
      <c r="J20" s="196">
        <v>0.896294437753551</v>
      </c>
      <c r="K20" s="163">
        <v>1165182.76907962</v>
      </c>
      <c r="L20" s="163"/>
      <c r="M20" s="163"/>
      <c r="N20" s="163">
        <f>SUMIFS('02综合台帐（人材机）'!Q:Q,'02综合台帐（人材机）'!F:F,C20,'02综合台帐（人材机）'!K:K,D20)</f>
        <v>0</v>
      </c>
      <c r="O20" s="198"/>
      <c r="P20" s="198"/>
      <c r="Q20" s="198"/>
      <c r="R20" s="198"/>
      <c r="S20" s="210">
        <f t="shared" si="0"/>
        <v>1165182.76907962</v>
      </c>
      <c r="T20" s="165"/>
      <c r="U20" s="209"/>
      <c r="V20" s="209"/>
    </row>
    <row r="21" ht="25.15" customHeight="1" outlineLevel="1" spans="1:22">
      <c r="A21" s="162" t="s">
        <v>2898</v>
      </c>
      <c r="B21" s="163"/>
      <c r="C21" s="163" t="s">
        <v>1274</v>
      </c>
      <c r="D21" s="164" t="s">
        <v>1642</v>
      </c>
      <c r="E21" s="164"/>
      <c r="F21" s="165" t="s">
        <v>195</v>
      </c>
      <c r="G21" s="166"/>
      <c r="H21" s="167"/>
      <c r="I21" s="195">
        <v>225653.50932</v>
      </c>
      <c r="J21" s="196">
        <v>0.896294437753551</v>
      </c>
      <c r="K21" s="163">
        <v>202251.985263085</v>
      </c>
      <c r="L21" s="163"/>
      <c r="M21" s="163"/>
      <c r="N21" s="163">
        <f>SUMIFS('02综合台帐（人材机）'!Q:Q,'02综合台帐（人材机）'!F:F,C21,'02综合台帐（人材机）'!K:K,D21)</f>
        <v>0</v>
      </c>
      <c r="O21" s="198"/>
      <c r="P21" s="198"/>
      <c r="Q21" s="198"/>
      <c r="R21" s="198"/>
      <c r="S21" s="210">
        <f t="shared" si="0"/>
        <v>202251.985263085</v>
      </c>
      <c r="T21" s="165"/>
      <c r="U21" s="209"/>
      <c r="V21" s="209"/>
    </row>
    <row r="22" ht="25.15" customHeight="1" outlineLevel="1" spans="1:22">
      <c r="A22" s="162" t="s">
        <v>2899</v>
      </c>
      <c r="B22" s="163"/>
      <c r="C22" s="163" t="s">
        <v>1274</v>
      </c>
      <c r="D22" s="164" t="s">
        <v>1274</v>
      </c>
      <c r="E22" s="164"/>
      <c r="F22" s="165" t="s">
        <v>195</v>
      </c>
      <c r="G22" s="166"/>
      <c r="H22" s="167"/>
      <c r="I22" s="195">
        <v>0</v>
      </c>
      <c r="J22" s="196">
        <v>0.896294437753551</v>
      </c>
      <c r="K22" s="163">
        <v>0</v>
      </c>
      <c r="L22" s="163"/>
      <c r="M22" s="163"/>
      <c r="N22" s="163">
        <f>SUMIFS('02综合台帐（人材机）'!Q:Q,'02综合台帐（人材机）'!F:F,C22,'02综合台帐（人材机）'!K:K,D22)</f>
        <v>0</v>
      </c>
      <c r="O22" s="198"/>
      <c r="P22" s="198"/>
      <c r="Q22" s="198"/>
      <c r="R22" s="198"/>
      <c r="S22" s="210">
        <f t="shared" si="0"/>
        <v>0</v>
      </c>
      <c r="T22" s="165"/>
      <c r="U22" s="209"/>
      <c r="V22" s="209"/>
    </row>
    <row r="23" ht="25.15" customHeight="1" outlineLevel="1" spans="1:22">
      <c r="A23" s="162" t="s">
        <v>2900</v>
      </c>
      <c r="B23" s="163"/>
      <c r="C23" s="163" t="s">
        <v>1274</v>
      </c>
      <c r="D23" s="164" t="s">
        <v>1647</v>
      </c>
      <c r="E23" s="164"/>
      <c r="F23" s="165" t="s">
        <v>195</v>
      </c>
      <c r="G23" s="166"/>
      <c r="H23" s="167"/>
      <c r="I23" s="195">
        <v>600000</v>
      </c>
      <c r="J23" s="196">
        <v>0.896294437753551</v>
      </c>
      <c r="K23" s="163">
        <v>537776.662652131</v>
      </c>
      <c r="L23" s="163"/>
      <c r="M23" s="163"/>
      <c r="N23" s="163">
        <f>SUMIFS('02综合台帐（人材机）'!Q:Q,'02综合台帐（人材机）'!F:F,C23,'02综合台帐（人材机）'!K:K,D23)</f>
        <v>0</v>
      </c>
      <c r="O23" s="198"/>
      <c r="P23" s="198"/>
      <c r="Q23" s="198"/>
      <c r="R23" s="198"/>
      <c r="S23" s="210">
        <f t="shared" si="0"/>
        <v>537776.662652131</v>
      </c>
      <c r="T23" s="165"/>
      <c r="U23" s="209"/>
      <c r="V23" s="209"/>
    </row>
    <row r="24" ht="25.15" customHeight="1" outlineLevel="1" spans="1:22">
      <c r="A24" s="162" t="s">
        <v>2901</v>
      </c>
      <c r="B24" s="163"/>
      <c r="C24" s="163" t="s">
        <v>1274</v>
      </c>
      <c r="D24" s="164" t="s">
        <v>1649</v>
      </c>
      <c r="E24" s="164"/>
      <c r="F24" s="165" t="s">
        <v>195</v>
      </c>
      <c r="G24" s="166"/>
      <c r="H24" s="167"/>
      <c r="I24" s="195">
        <v>1510000</v>
      </c>
      <c r="J24" s="196">
        <v>0.896294437753551</v>
      </c>
      <c r="K24" s="163">
        <v>1353404.60100786</v>
      </c>
      <c r="L24" s="163"/>
      <c r="M24" s="163"/>
      <c r="N24" s="199">
        <f>SUMIFS('02综合台帐（人材机）'!Q:Q,'02综合台帐（人材机）'!F:F,C24,'02综合台帐（人材机）'!K:K,D24)</f>
        <v>0</v>
      </c>
      <c r="O24" s="198"/>
      <c r="P24" s="198"/>
      <c r="Q24" s="198"/>
      <c r="R24" s="198"/>
      <c r="S24" s="210">
        <f t="shared" si="0"/>
        <v>1353404.60100786</v>
      </c>
      <c r="T24" s="165"/>
      <c r="U24" s="209"/>
      <c r="V24" s="209"/>
    </row>
    <row r="25" ht="25.15" customHeight="1" outlineLevel="1" spans="1:22">
      <c r="A25" s="162" t="s">
        <v>2902</v>
      </c>
      <c r="B25" s="163"/>
      <c r="C25" s="163" t="s">
        <v>1274</v>
      </c>
      <c r="D25" s="164" t="s">
        <v>2903</v>
      </c>
      <c r="E25" s="164"/>
      <c r="F25" s="165" t="s">
        <v>195</v>
      </c>
      <c r="G25" s="166"/>
      <c r="H25" s="167"/>
      <c r="I25" s="195">
        <v>2500000</v>
      </c>
      <c r="J25" s="196"/>
      <c r="K25" s="163">
        <v>2240736.09438388</v>
      </c>
      <c r="L25" s="163"/>
      <c r="M25" s="163">
        <f>SUM(M26:M27)</f>
        <v>0</v>
      </c>
      <c r="N25" s="163">
        <f>SUMIFS('02综合台帐（人材机）'!Q:Q,'02综合台帐（人材机）'!F:F,C25,'02综合台帐（人材机）'!K:K,D25)</f>
        <v>0</v>
      </c>
      <c r="O25" s="198"/>
      <c r="P25" s="198"/>
      <c r="Q25" s="198"/>
      <c r="R25" s="198"/>
      <c r="S25" s="210">
        <f t="shared" si="0"/>
        <v>2240736.09438388</v>
      </c>
      <c r="T25" s="165"/>
      <c r="U25" s="209"/>
      <c r="V25" s="209"/>
    </row>
    <row r="26" ht="25.15" customHeight="1" outlineLevel="1" spans="1:22">
      <c r="A26" s="162" t="s">
        <v>2904</v>
      </c>
      <c r="B26" s="163"/>
      <c r="C26" s="163" t="s">
        <v>1274</v>
      </c>
      <c r="D26" s="164" t="s">
        <v>1653</v>
      </c>
      <c r="E26" s="164"/>
      <c r="F26" s="165" t="s">
        <v>195</v>
      </c>
      <c r="G26" s="166"/>
      <c r="H26" s="167"/>
      <c r="I26" s="195">
        <f>45000*6*6+600000</f>
        <v>2220000</v>
      </c>
      <c r="J26" s="196">
        <v>0.896294437753551</v>
      </c>
      <c r="K26" s="163">
        <v>1989773.65181288</v>
      </c>
      <c r="L26" s="163"/>
      <c r="M26" s="163"/>
      <c r="N26" s="163">
        <f>SUMIFS('02综合台帐（人材机）'!Q:Q,'02综合台帐（人材机）'!F:F,C26,'02综合台帐（人材机）'!K:K,D26)</f>
        <v>0</v>
      </c>
      <c r="O26" s="198"/>
      <c r="P26" s="198"/>
      <c r="Q26" s="198"/>
      <c r="R26" s="198"/>
      <c r="S26" s="210">
        <f t="shared" si="0"/>
        <v>1989773.65181288</v>
      </c>
      <c r="T26" s="165"/>
      <c r="U26" s="209"/>
      <c r="V26" s="209"/>
    </row>
    <row r="27" ht="25.15" customHeight="1" outlineLevel="1" spans="1:22">
      <c r="A27" s="162" t="s">
        <v>2905</v>
      </c>
      <c r="B27" s="163"/>
      <c r="C27" s="163" t="s">
        <v>1274</v>
      </c>
      <c r="D27" s="164" t="s">
        <v>1655</v>
      </c>
      <c r="E27" s="164"/>
      <c r="F27" s="165" t="s">
        <v>195</v>
      </c>
      <c r="G27" s="166"/>
      <c r="H27" s="167"/>
      <c r="I27" s="195">
        <v>0</v>
      </c>
      <c r="J27" s="196">
        <v>0.896294437753551</v>
      </c>
      <c r="K27" s="163">
        <v>0</v>
      </c>
      <c r="L27" s="163"/>
      <c r="M27" s="163"/>
      <c r="N27" s="163">
        <f>SUMIFS('02综合台帐（人材机）'!Q:Q,'02综合台帐（人材机）'!F:F,C27,'02综合台帐（人材机）'!K:K,D27)</f>
        <v>0</v>
      </c>
      <c r="O27" s="198"/>
      <c r="P27" s="198"/>
      <c r="Q27" s="198"/>
      <c r="R27" s="198"/>
      <c r="S27" s="210">
        <f t="shared" si="0"/>
        <v>0</v>
      </c>
      <c r="T27" s="165"/>
      <c r="U27" s="209"/>
      <c r="V27" s="209"/>
    </row>
    <row r="28" ht="25.15" customHeight="1" outlineLevel="1" spans="1:22">
      <c r="A28" s="162" t="s">
        <v>2906</v>
      </c>
      <c r="B28" s="163"/>
      <c r="C28" s="163" t="s">
        <v>1274</v>
      </c>
      <c r="D28" s="162" t="s">
        <v>2907</v>
      </c>
      <c r="E28" s="163"/>
      <c r="F28" s="163"/>
      <c r="G28" s="163"/>
      <c r="H28" s="163"/>
      <c r="I28" s="163">
        <v>30000</v>
      </c>
      <c r="J28" s="200">
        <v>0.896294437753551</v>
      </c>
      <c r="K28" s="163">
        <v>26888.8331326065</v>
      </c>
      <c r="L28" s="163"/>
      <c r="M28" s="163"/>
      <c r="N28" s="163">
        <f>SUMIFS('02综合台帐（人材机）'!Q:Q,'02综合台帐（人材机）'!F:F,C28,'02综合台帐（人材机）'!K:K,D28)</f>
        <v>0</v>
      </c>
      <c r="O28" s="163"/>
      <c r="P28" s="163"/>
      <c r="Q28" s="163"/>
      <c r="R28" s="163"/>
      <c r="S28" s="210">
        <f t="shared" si="0"/>
        <v>26888.8331326065</v>
      </c>
      <c r="T28" s="163"/>
      <c r="U28" s="209"/>
      <c r="V28" s="209"/>
    </row>
    <row r="29" ht="25.15" customHeight="1" outlineLevel="1" spans="1:22">
      <c r="A29" s="162" t="s">
        <v>2908</v>
      </c>
      <c r="B29" s="163"/>
      <c r="C29" s="163" t="s">
        <v>1274</v>
      </c>
      <c r="D29" s="169" t="s">
        <v>2909</v>
      </c>
      <c r="E29" s="164"/>
      <c r="F29" s="165"/>
      <c r="G29" s="166"/>
      <c r="H29" s="167"/>
      <c r="I29" s="195">
        <v>470000</v>
      </c>
      <c r="J29" s="196">
        <v>0.896294437753551</v>
      </c>
      <c r="K29" s="163">
        <v>421258.385744169</v>
      </c>
      <c r="L29" s="163"/>
      <c r="M29" s="163"/>
      <c r="N29" s="163">
        <f>SUMIFS('02综合台帐（人材机）'!Q:Q,'02综合台帐（人材机）'!F:F,C29,'02综合台帐（人材机）'!K:K,D29)</f>
        <v>0</v>
      </c>
      <c r="O29" s="198"/>
      <c r="P29" s="198"/>
      <c r="Q29" s="198"/>
      <c r="R29" s="198"/>
      <c r="S29" s="210">
        <f t="shared" si="0"/>
        <v>421258.385744169</v>
      </c>
      <c r="T29" s="165"/>
      <c r="U29" s="209"/>
      <c r="V29" s="209"/>
    </row>
    <row r="30" ht="68.1" customHeight="1" outlineLevel="1" spans="1:22">
      <c r="A30" s="162" t="s">
        <v>2910</v>
      </c>
      <c r="B30" s="163" t="s">
        <v>2466</v>
      </c>
      <c r="C30" s="163" t="s">
        <v>1274</v>
      </c>
      <c r="D30" s="162" t="s">
        <v>2783</v>
      </c>
      <c r="E30" s="163" t="s">
        <v>1485</v>
      </c>
      <c r="F30" s="163"/>
      <c r="G30" s="163"/>
      <c r="H30" s="163"/>
      <c r="I30" s="163">
        <f>3500000+27000*6*30</f>
        <v>8360000</v>
      </c>
      <c r="J30" s="200">
        <v>0.896294437753551</v>
      </c>
      <c r="K30" s="163">
        <v>7493021.49961969</v>
      </c>
      <c r="L30" s="163"/>
      <c r="M30" s="163"/>
      <c r="N30" s="163">
        <f>SUMIFS('02综合台帐（人材机）'!Q:Q,'02综合台帐（人材机）'!F:F,C30,'02综合台帐（人材机）'!K:K,D30)</f>
        <v>0</v>
      </c>
      <c r="O30" s="163"/>
      <c r="P30" s="163"/>
      <c r="Q30" s="163"/>
      <c r="R30" s="163"/>
      <c r="S30" s="210">
        <f t="shared" si="0"/>
        <v>7493021.49961969</v>
      </c>
      <c r="T30" s="163"/>
      <c r="U30" s="209"/>
      <c r="V30" s="209"/>
    </row>
    <row r="31" ht="25.15" customHeight="1" outlineLevel="1" spans="1:22">
      <c r="A31" s="162" t="s">
        <v>2911</v>
      </c>
      <c r="B31" s="163"/>
      <c r="C31" s="163" t="s">
        <v>1274</v>
      </c>
      <c r="D31" s="169" t="s">
        <v>2912</v>
      </c>
      <c r="E31" s="164"/>
      <c r="F31" s="165"/>
      <c r="G31" s="166"/>
      <c r="H31" s="167"/>
      <c r="I31" s="195">
        <v>2110000</v>
      </c>
      <c r="J31" s="196">
        <v>0.896294437753551</v>
      </c>
      <c r="K31" s="163">
        <v>1891181.26365999</v>
      </c>
      <c r="L31" s="163"/>
      <c r="M31" s="163"/>
      <c r="N31" s="163">
        <f>SUMIFS('02综合台帐（人材机）'!Q:Q,'02综合台帐（人材机）'!F:F,C31,'02综合台帐（人材机）'!K:K,D31)</f>
        <v>0</v>
      </c>
      <c r="O31" s="198"/>
      <c r="P31" s="198"/>
      <c r="Q31" s="198"/>
      <c r="R31" s="198"/>
      <c r="S31" s="210">
        <f t="shared" si="0"/>
        <v>1891181.26365999</v>
      </c>
      <c r="T31" s="165"/>
      <c r="U31" s="209"/>
      <c r="V31" s="209"/>
    </row>
    <row r="32" ht="25.15" customHeight="1" outlineLevel="1" spans="1:22">
      <c r="A32" s="162" t="s">
        <v>2913</v>
      </c>
      <c r="B32" s="163"/>
      <c r="C32" s="163" t="s">
        <v>1274</v>
      </c>
      <c r="D32" s="162" t="s">
        <v>2914</v>
      </c>
      <c r="E32" s="163"/>
      <c r="F32" s="163"/>
      <c r="G32" s="163"/>
      <c r="H32" s="163"/>
      <c r="I32" s="163">
        <v>250000</v>
      </c>
      <c r="J32" s="200">
        <v>0.896294437753551</v>
      </c>
      <c r="K32" s="163">
        <v>224073.609438388</v>
      </c>
      <c r="L32" s="163"/>
      <c r="M32" s="163"/>
      <c r="N32" s="163">
        <f>SUMIFS('02综合台帐（人材机）'!Q:Q,'02综合台帐（人材机）'!F:F,C32,'02综合台帐（人材机）'!K:K,D32)</f>
        <v>0</v>
      </c>
      <c r="O32" s="163"/>
      <c r="P32" s="163"/>
      <c r="Q32" s="163"/>
      <c r="R32" s="163"/>
      <c r="S32" s="210">
        <f t="shared" si="0"/>
        <v>224073.609438388</v>
      </c>
      <c r="T32" s="163"/>
      <c r="U32" s="209"/>
      <c r="V32" s="209"/>
    </row>
    <row r="33" ht="25.15" customHeight="1" outlineLevel="1" spans="1:22">
      <c r="A33" s="162" t="s">
        <v>2915</v>
      </c>
      <c r="B33" s="163"/>
      <c r="C33" s="163" t="s">
        <v>1274</v>
      </c>
      <c r="D33" s="169" t="s">
        <v>2916</v>
      </c>
      <c r="E33" s="164"/>
      <c r="F33" s="165"/>
      <c r="G33" s="166"/>
      <c r="H33" s="167"/>
      <c r="I33" s="195">
        <v>100000</v>
      </c>
      <c r="J33" s="196">
        <v>0.896294437753551</v>
      </c>
      <c r="K33" s="163">
        <v>89629.4437753551</v>
      </c>
      <c r="L33" s="163"/>
      <c r="M33" s="163"/>
      <c r="N33" s="163">
        <f>SUMIFS('02综合台帐（人材机）'!Q:Q,'02综合台帐（人材机）'!F:F,C33,'02综合台帐（人材机）'!K:K,D33)</f>
        <v>0</v>
      </c>
      <c r="O33" s="198"/>
      <c r="P33" s="198"/>
      <c r="Q33" s="198"/>
      <c r="R33" s="198"/>
      <c r="S33" s="210">
        <f t="shared" si="0"/>
        <v>89629.4437753551</v>
      </c>
      <c r="T33" s="165"/>
      <c r="U33" s="209"/>
      <c r="V33" s="209"/>
    </row>
    <row r="34" ht="25.15" customHeight="1" outlineLevel="1" spans="1:22">
      <c r="A34" s="162" t="s">
        <v>2917</v>
      </c>
      <c r="B34" s="163"/>
      <c r="C34" s="163" t="s">
        <v>1274</v>
      </c>
      <c r="D34" s="162" t="s">
        <v>2918</v>
      </c>
      <c r="E34" s="163"/>
      <c r="F34" s="163"/>
      <c r="G34" s="163"/>
      <c r="H34" s="163"/>
      <c r="I34" s="163">
        <v>300000</v>
      </c>
      <c r="J34" s="200">
        <v>0.896294437753551</v>
      </c>
      <c r="K34" s="163">
        <v>268888.331326065</v>
      </c>
      <c r="L34" s="163"/>
      <c r="M34" s="163"/>
      <c r="N34" s="163">
        <f>SUMIFS('02综合台帐（人材机）'!Q:Q,'02综合台帐（人材机）'!F:F,C34,'02综合台帐（人材机）'!K:K,D34)</f>
        <v>0</v>
      </c>
      <c r="O34" s="163"/>
      <c r="P34" s="163"/>
      <c r="Q34" s="163"/>
      <c r="R34" s="163"/>
      <c r="S34" s="210">
        <f t="shared" si="0"/>
        <v>268888.331326065</v>
      </c>
      <c r="T34" s="163"/>
      <c r="U34" s="209"/>
      <c r="V34" s="209"/>
    </row>
    <row r="35" ht="25.15" customHeight="1" outlineLevel="1" spans="1:22">
      <c r="A35" s="162" t="s">
        <v>2919</v>
      </c>
      <c r="B35" s="163"/>
      <c r="C35" s="163" t="s">
        <v>1274</v>
      </c>
      <c r="D35" s="169" t="s">
        <v>2920</v>
      </c>
      <c r="E35" s="164"/>
      <c r="F35" s="165"/>
      <c r="G35" s="166"/>
      <c r="H35" s="167"/>
      <c r="I35" s="195">
        <v>10000</v>
      </c>
      <c r="J35" s="196">
        <v>0.896294437753551</v>
      </c>
      <c r="K35" s="163">
        <v>8962.94437753551</v>
      </c>
      <c r="L35" s="163"/>
      <c r="M35" s="163"/>
      <c r="N35" s="163">
        <f>SUMIFS('02综合台帐（人材机）'!Q:Q,'02综合台帐（人材机）'!F:F,C35,'02综合台帐（人材机）'!K:K,D35)</f>
        <v>0</v>
      </c>
      <c r="O35" s="198"/>
      <c r="P35" s="198"/>
      <c r="Q35" s="198"/>
      <c r="R35" s="198"/>
      <c r="S35" s="210">
        <f t="shared" si="0"/>
        <v>8962.94437753551</v>
      </c>
      <c r="T35" s="165"/>
      <c r="U35" s="209"/>
      <c r="V35" s="209"/>
    </row>
    <row r="36" ht="25.15" customHeight="1" outlineLevel="1" spans="1:22">
      <c r="A36" s="162" t="s">
        <v>2921</v>
      </c>
      <c r="B36" s="163"/>
      <c r="C36" s="163" t="s">
        <v>1274</v>
      </c>
      <c r="D36" s="162" t="s">
        <v>2922</v>
      </c>
      <c r="E36" s="163"/>
      <c r="F36" s="163"/>
      <c r="G36" s="163"/>
      <c r="H36" s="163"/>
      <c r="I36" s="163">
        <v>40000</v>
      </c>
      <c r="J36" s="200">
        <v>0.896294437753551</v>
      </c>
      <c r="K36" s="163">
        <v>35851.7775101421</v>
      </c>
      <c r="L36" s="163"/>
      <c r="M36" s="163"/>
      <c r="N36" s="163">
        <f>SUMIFS('02综合台帐（人材机）'!Q:Q,'02综合台帐（人材机）'!F:F,C36,'02综合台帐（人材机）'!K:K,D36)</f>
        <v>0</v>
      </c>
      <c r="O36" s="163"/>
      <c r="P36" s="163"/>
      <c r="Q36" s="163"/>
      <c r="R36" s="163"/>
      <c r="S36" s="210">
        <f t="shared" si="0"/>
        <v>35851.7775101421</v>
      </c>
      <c r="T36" s="163"/>
      <c r="U36" s="209"/>
      <c r="V36" s="209"/>
    </row>
    <row r="37" ht="25.15" customHeight="1" outlineLevel="1" spans="1:22">
      <c r="A37" s="162" t="s">
        <v>2923</v>
      </c>
      <c r="B37" s="163"/>
      <c r="C37" s="163" t="s">
        <v>1274</v>
      </c>
      <c r="D37" s="169" t="s">
        <v>2924</v>
      </c>
      <c r="E37" s="164"/>
      <c r="F37" s="165"/>
      <c r="G37" s="166"/>
      <c r="H37" s="167"/>
      <c r="I37" s="195">
        <v>517500</v>
      </c>
      <c r="J37" s="196">
        <v>0.896294437753551</v>
      </c>
      <c r="K37" s="163">
        <v>463832.371537463</v>
      </c>
      <c r="L37" s="163"/>
      <c r="M37" s="163"/>
      <c r="N37" s="163">
        <f>SUMIFS('02综合台帐（人材机）'!Q:Q,'02综合台帐（人材机）'!F:F,C37,'02综合台帐（人材机）'!K:K,D37)</f>
        <v>0</v>
      </c>
      <c r="O37" s="198"/>
      <c r="P37" s="198"/>
      <c r="Q37" s="198"/>
      <c r="R37" s="198"/>
      <c r="S37" s="210">
        <f t="shared" si="0"/>
        <v>463832.371537463</v>
      </c>
      <c r="T37" s="165"/>
      <c r="U37" s="209"/>
      <c r="V37" s="209"/>
    </row>
    <row r="38" ht="25.15" customHeight="1" outlineLevel="1" spans="1:22">
      <c r="A38" s="162" t="s">
        <v>2925</v>
      </c>
      <c r="B38" s="163"/>
      <c r="C38" s="163" t="s">
        <v>1274</v>
      </c>
      <c r="D38" s="162" t="s">
        <v>2926</v>
      </c>
      <c r="E38" s="163"/>
      <c r="F38" s="163"/>
      <c r="G38" s="163"/>
      <c r="H38" s="163"/>
      <c r="I38" s="163">
        <v>40000</v>
      </c>
      <c r="J38" s="200">
        <v>0.896294437753551</v>
      </c>
      <c r="K38" s="163">
        <v>35851.7775101421</v>
      </c>
      <c r="L38" s="163"/>
      <c r="M38" s="163"/>
      <c r="N38" s="163">
        <f>SUMIFS('02综合台帐（人材机）'!Q:Q,'02综合台帐（人材机）'!F:F,C38,'02综合台帐（人材机）'!K:K,D38)</f>
        <v>0</v>
      </c>
      <c r="O38" s="163"/>
      <c r="P38" s="163"/>
      <c r="Q38" s="163"/>
      <c r="R38" s="163"/>
      <c r="S38" s="210">
        <f t="shared" si="0"/>
        <v>35851.7775101421</v>
      </c>
      <c r="T38" s="163"/>
      <c r="U38" s="209"/>
      <c r="V38" s="209"/>
    </row>
    <row r="39" ht="25.15" customHeight="1" outlineLevel="1" spans="1:22">
      <c r="A39" s="162" t="s">
        <v>2927</v>
      </c>
      <c r="B39" s="163"/>
      <c r="C39" s="163" t="s">
        <v>1274</v>
      </c>
      <c r="D39" s="169" t="s">
        <v>2781</v>
      </c>
      <c r="E39" s="164"/>
      <c r="F39" s="165"/>
      <c r="G39" s="166"/>
      <c r="H39" s="167"/>
      <c r="I39" s="195">
        <f>35000*12+35000*0.3*20+35000*0.2*265+35000*15+10000*0.25*(75+20+280)+10000*12+10000*0.25*20</f>
        <v>4117500</v>
      </c>
      <c r="J39" s="196">
        <v>0.896294437753551</v>
      </c>
      <c r="K39" s="163">
        <v>3690492.34745025</v>
      </c>
      <c r="L39" s="163"/>
      <c r="M39" s="163"/>
      <c r="N39" s="163">
        <f>SUMIFS('02综合台帐（人材机）'!Q:Q,'02综合台帐（人材机）'!F:F,C39,'02综合台帐（人材机）'!K:K,D39)</f>
        <v>0</v>
      </c>
      <c r="O39" s="198"/>
      <c r="P39" s="198"/>
      <c r="Q39" s="198"/>
      <c r="R39" s="198"/>
      <c r="S39" s="210">
        <f t="shared" si="0"/>
        <v>3690492.34745025</v>
      </c>
      <c r="T39" s="165"/>
      <c r="U39" s="209"/>
      <c r="V39" s="209"/>
    </row>
    <row r="40" ht="25.15" customHeight="1" outlineLevel="1" spans="1:22">
      <c r="A40" s="162" t="s">
        <v>2928</v>
      </c>
      <c r="B40" s="163"/>
      <c r="C40" s="163" t="s">
        <v>1274</v>
      </c>
      <c r="D40" s="162" t="s">
        <v>1603</v>
      </c>
      <c r="E40" s="163"/>
      <c r="F40" s="163"/>
      <c r="G40" s="163"/>
      <c r="H40" s="163"/>
      <c r="I40" s="163">
        <v>50000</v>
      </c>
      <c r="J40" s="200">
        <v>0.896294437753551</v>
      </c>
      <c r="K40" s="163">
        <v>44814.7218876776</v>
      </c>
      <c r="L40" s="163"/>
      <c r="M40" s="163"/>
      <c r="N40" s="163">
        <f>SUMIFS('02综合台帐（人材机）'!Q:Q,'02综合台帐（人材机）'!F:F,C40,'02综合台帐（人材机）'!K:K,D40)</f>
        <v>0</v>
      </c>
      <c r="O40" s="163"/>
      <c r="P40" s="163"/>
      <c r="Q40" s="163"/>
      <c r="R40" s="163"/>
      <c r="S40" s="210">
        <f t="shared" si="0"/>
        <v>44814.7218876776</v>
      </c>
      <c r="T40" s="163"/>
      <c r="U40" s="209"/>
      <c r="V40" s="209"/>
    </row>
    <row r="41" ht="25.15" customHeight="1" outlineLevel="1" spans="1:22">
      <c r="A41" s="162" t="s">
        <v>2929</v>
      </c>
      <c r="B41" s="163"/>
      <c r="C41" s="163" t="s">
        <v>1274</v>
      </c>
      <c r="D41" s="164" t="s">
        <v>2930</v>
      </c>
      <c r="E41" s="164"/>
      <c r="F41" s="165"/>
      <c r="G41" s="166"/>
      <c r="H41" s="167"/>
      <c r="I41" s="195">
        <f>1750000+1000000</f>
        <v>2750000</v>
      </c>
      <c r="J41" s="196">
        <v>0.896294437753551</v>
      </c>
      <c r="K41" s="163">
        <v>2464809.70382227</v>
      </c>
      <c r="L41" s="163"/>
      <c r="M41" s="163"/>
      <c r="N41" s="163">
        <f>SUMIFS('02综合台帐（人材机）'!Q:Q,'02综合台帐（人材机）'!F:F,C41,'02综合台帐（人材机）'!K:K,D41)</f>
        <v>0</v>
      </c>
      <c r="O41" s="198"/>
      <c r="P41" s="198"/>
      <c r="Q41" s="198"/>
      <c r="R41" s="198"/>
      <c r="S41" s="210">
        <f t="shared" si="0"/>
        <v>2464809.70382227</v>
      </c>
      <c r="T41" s="165"/>
      <c r="U41" s="209"/>
      <c r="V41" s="209"/>
    </row>
    <row r="42" ht="25.15" customHeight="1" outlineLevel="1" spans="1:22">
      <c r="A42" s="162" t="s">
        <v>2931</v>
      </c>
      <c r="B42" s="163"/>
      <c r="C42" s="163" t="s">
        <v>1274</v>
      </c>
      <c r="D42" s="162" t="s">
        <v>1608</v>
      </c>
      <c r="E42" s="163"/>
      <c r="F42" s="163"/>
      <c r="G42" s="163"/>
      <c r="H42" s="163"/>
      <c r="I42" s="163">
        <v>200000</v>
      </c>
      <c r="J42" s="200">
        <v>0.896294437753551</v>
      </c>
      <c r="K42" s="163">
        <v>179258.88755071</v>
      </c>
      <c r="L42" s="163"/>
      <c r="M42" s="163"/>
      <c r="N42" s="163">
        <f>SUMIFS('02综合台帐（人材机）'!Q:Q,'02综合台帐（人材机）'!F:F,C42,'02综合台帐（人材机）'!K:K,D42)</f>
        <v>0</v>
      </c>
      <c r="O42" s="163"/>
      <c r="P42" s="163"/>
      <c r="Q42" s="163"/>
      <c r="R42" s="163"/>
      <c r="S42" s="210">
        <f t="shared" si="0"/>
        <v>179258.88755071</v>
      </c>
      <c r="T42" s="163"/>
      <c r="U42" s="209"/>
      <c r="V42" s="209"/>
    </row>
    <row r="43" ht="25.15" customHeight="1" outlineLevel="1" spans="1:22">
      <c r="A43" s="162" t="s">
        <v>2932</v>
      </c>
      <c r="B43" s="163"/>
      <c r="C43" s="163" t="s">
        <v>1274</v>
      </c>
      <c r="D43" s="164" t="s">
        <v>2933</v>
      </c>
      <c r="E43" s="164"/>
      <c r="F43" s="165"/>
      <c r="G43" s="166"/>
      <c r="H43" s="167"/>
      <c r="I43" s="195">
        <v>250000</v>
      </c>
      <c r="J43" s="196">
        <v>0.896294437753551</v>
      </c>
      <c r="K43" s="163">
        <v>224073.609438388</v>
      </c>
      <c r="L43" s="163"/>
      <c r="M43" s="163"/>
      <c r="N43" s="163">
        <f>SUMIFS('02综合台帐（人材机）'!Q:Q,'02综合台帐（人材机）'!F:F,C43,'02综合台帐（人材机）'!K:K,D43)</f>
        <v>0</v>
      </c>
      <c r="O43" s="198"/>
      <c r="P43" s="198"/>
      <c r="Q43" s="198"/>
      <c r="R43" s="198"/>
      <c r="S43" s="210">
        <f t="shared" si="0"/>
        <v>224073.609438388</v>
      </c>
      <c r="T43" s="165"/>
      <c r="U43" s="209"/>
      <c r="V43" s="209"/>
    </row>
    <row r="44" ht="25.15" customHeight="1" outlineLevel="1" spans="1:22">
      <c r="A44" s="162" t="s">
        <v>2934</v>
      </c>
      <c r="B44" s="163"/>
      <c r="C44" s="163" t="s">
        <v>1274</v>
      </c>
      <c r="D44" s="162" t="s">
        <v>2935</v>
      </c>
      <c r="E44" s="163"/>
      <c r="F44" s="163"/>
      <c r="G44" s="163"/>
      <c r="H44" s="163"/>
      <c r="I44" s="163">
        <v>2360000</v>
      </c>
      <c r="J44" s="200">
        <v>0.896294437753551</v>
      </c>
      <c r="K44" s="163">
        <v>2115254.87309838</v>
      </c>
      <c r="L44" s="163"/>
      <c r="M44" s="163"/>
      <c r="N44" s="163">
        <f>SUMIFS('02综合台帐（人材机）'!Q:Q,'02综合台帐（人材机）'!F:F,C44,'02综合台帐（人材机）'!K:K,D44)</f>
        <v>0</v>
      </c>
      <c r="O44" s="163"/>
      <c r="P44" s="163"/>
      <c r="Q44" s="163"/>
      <c r="R44" s="163"/>
      <c r="S44" s="210">
        <f t="shared" si="0"/>
        <v>2115254.87309838</v>
      </c>
      <c r="T44" s="163"/>
      <c r="U44" s="209"/>
      <c r="V44" s="209"/>
    </row>
    <row r="45" ht="25.15" customHeight="1" outlineLevel="1" spans="1:22">
      <c r="A45" s="162" t="s">
        <v>2936</v>
      </c>
      <c r="B45" s="163"/>
      <c r="C45" s="163" t="s">
        <v>1274</v>
      </c>
      <c r="D45" s="164" t="s">
        <v>2937</v>
      </c>
      <c r="E45" s="164"/>
      <c r="F45" s="165"/>
      <c r="G45" s="166"/>
      <c r="H45" s="167"/>
      <c r="I45" s="195">
        <v>1580000</v>
      </c>
      <c r="J45" s="196">
        <v>0.896294437753551</v>
      </c>
      <c r="K45" s="163">
        <v>1416145.21165061</v>
      </c>
      <c r="L45" s="163"/>
      <c r="M45" s="163"/>
      <c r="N45" s="163">
        <f>SUMIFS('02综合台帐（人材机）'!Q:Q,'02综合台帐（人材机）'!F:F,C45,'02综合台帐（人材机）'!K:K,D45)</f>
        <v>0</v>
      </c>
      <c r="O45" s="198"/>
      <c r="P45" s="198"/>
      <c r="Q45" s="198"/>
      <c r="R45" s="198"/>
      <c r="S45" s="210">
        <f t="shared" si="0"/>
        <v>1416145.21165061</v>
      </c>
      <c r="T45" s="165"/>
      <c r="U45" s="209"/>
      <c r="V45" s="209"/>
    </row>
    <row r="46" ht="25.15" customHeight="1" outlineLevel="1" spans="1:22">
      <c r="A46" s="162" t="s">
        <v>2938</v>
      </c>
      <c r="B46" s="163"/>
      <c r="C46" s="163" t="s">
        <v>1274</v>
      </c>
      <c r="D46" s="162" t="s">
        <v>2939</v>
      </c>
      <c r="E46" s="163"/>
      <c r="F46" s="163"/>
      <c r="G46" s="163"/>
      <c r="H46" s="163"/>
      <c r="I46" s="163">
        <v>170000</v>
      </c>
      <c r="J46" s="200">
        <v>0.896294437753551</v>
      </c>
      <c r="K46" s="163">
        <v>152370.054418104</v>
      </c>
      <c r="L46" s="163"/>
      <c r="M46" s="163"/>
      <c r="N46" s="163">
        <f>SUMIFS('02综合台帐（人材机）'!Q:Q,'02综合台帐（人材机）'!F:F,C46,'02综合台帐（人材机）'!K:K,D46)</f>
        <v>0</v>
      </c>
      <c r="O46" s="163"/>
      <c r="P46" s="163"/>
      <c r="Q46" s="163"/>
      <c r="R46" s="163"/>
      <c r="S46" s="210">
        <f t="shared" si="0"/>
        <v>152370.054418104</v>
      </c>
      <c r="T46" s="163"/>
      <c r="U46" s="209"/>
      <c r="V46" s="209"/>
    </row>
    <row r="47" ht="25.15" customHeight="1" outlineLevel="1" spans="1:22">
      <c r="A47" s="162" t="s">
        <v>2940</v>
      </c>
      <c r="B47" s="163"/>
      <c r="C47" s="163" t="s">
        <v>1274</v>
      </c>
      <c r="D47" s="164" t="s">
        <v>2941</v>
      </c>
      <c r="E47" s="164"/>
      <c r="F47" s="165"/>
      <c r="G47" s="166"/>
      <c r="H47" s="167"/>
      <c r="I47" s="195">
        <v>1420000</v>
      </c>
      <c r="J47" s="196">
        <v>0.896294437753551</v>
      </c>
      <c r="K47" s="163">
        <v>1272738.10161004</v>
      </c>
      <c r="L47" s="163"/>
      <c r="M47" s="163"/>
      <c r="N47" s="163">
        <f>SUMIFS('02综合台帐（人材机）'!Q:Q,'02综合台帐（人材机）'!F:F,C47,'02综合台帐（人材机）'!K:K,D47)</f>
        <v>0</v>
      </c>
      <c r="O47" s="198"/>
      <c r="P47" s="198"/>
      <c r="Q47" s="198"/>
      <c r="R47" s="198"/>
      <c r="S47" s="210">
        <f t="shared" si="0"/>
        <v>1272738.10161004</v>
      </c>
      <c r="T47" s="165"/>
      <c r="U47" s="209"/>
      <c r="V47" s="209"/>
    </row>
    <row r="48" ht="25.15" customHeight="1" outlineLevel="1" spans="1:22">
      <c r="A48" s="162" t="s">
        <v>2942</v>
      </c>
      <c r="B48" s="163"/>
      <c r="C48" s="163" t="s">
        <v>1274</v>
      </c>
      <c r="D48" s="162" t="s">
        <v>1512</v>
      </c>
      <c r="E48" s="163"/>
      <c r="F48" s="163"/>
      <c r="G48" s="163"/>
      <c r="H48" s="163"/>
      <c r="I48" s="163">
        <v>850000</v>
      </c>
      <c r="J48" s="200">
        <v>0.896294437753551</v>
      </c>
      <c r="K48" s="163">
        <v>761850.272090519</v>
      </c>
      <c r="L48" s="163"/>
      <c r="M48" s="163"/>
      <c r="N48" s="163">
        <f>SUMIFS('02综合台帐（人材机）'!Q:Q,'02综合台帐（人材机）'!F:F,C48,'02综合台帐（人材机）'!K:K,D48)</f>
        <v>0</v>
      </c>
      <c r="O48" s="163"/>
      <c r="P48" s="163"/>
      <c r="Q48" s="163"/>
      <c r="R48" s="163"/>
      <c r="S48" s="210">
        <f t="shared" si="0"/>
        <v>761850.272090519</v>
      </c>
      <c r="T48" s="163"/>
      <c r="U48" s="209"/>
      <c r="V48" s="209"/>
    </row>
    <row r="49" ht="25.15" customHeight="1" outlineLevel="1" spans="1:22">
      <c r="A49" s="162" t="s">
        <v>2943</v>
      </c>
      <c r="B49" s="163"/>
      <c r="C49" s="163" t="s">
        <v>1274</v>
      </c>
      <c r="D49" s="164" t="s">
        <v>2944</v>
      </c>
      <c r="E49" s="164"/>
      <c r="F49" s="165"/>
      <c r="G49" s="166"/>
      <c r="H49" s="167"/>
      <c r="I49" s="195">
        <v>1200000</v>
      </c>
      <c r="J49" s="196">
        <v>0.896294437753551</v>
      </c>
      <c r="K49" s="163">
        <v>1075553.32530426</v>
      </c>
      <c r="L49" s="163"/>
      <c r="M49" s="163"/>
      <c r="N49" s="163">
        <f>SUMIFS('02综合台帐（人材机）'!Q:Q,'02综合台帐（人材机）'!F:F,C49,'02综合台帐（人材机）'!K:K,D49)</f>
        <v>0</v>
      </c>
      <c r="O49" s="198"/>
      <c r="P49" s="198"/>
      <c r="Q49" s="198"/>
      <c r="R49" s="198"/>
      <c r="S49" s="210">
        <f t="shared" si="0"/>
        <v>1075553.32530426</v>
      </c>
      <c r="T49" s="165"/>
      <c r="U49" s="209"/>
      <c r="V49" s="209"/>
    </row>
    <row r="50" ht="25.15" customHeight="1" outlineLevel="1" spans="1:22">
      <c r="A50" s="162" t="s">
        <v>2945</v>
      </c>
      <c r="B50" s="163"/>
      <c r="C50" s="163" t="s">
        <v>1274</v>
      </c>
      <c r="D50" s="162" t="s">
        <v>2946</v>
      </c>
      <c r="E50" s="163"/>
      <c r="F50" s="163"/>
      <c r="G50" s="163"/>
      <c r="H50" s="163"/>
      <c r="I50" s="163">
        <v>930000</v>
      </c>
      <c r="J50" s="200">
        <v>0.896294437753551</v>
      </c>
      <c r="K50" s="163">
        <v>833553.827110803</v>
      </c>
      <c r="L50" s="163"/>
      <c r="M50" s="163"/>
      <c r="N50" s="163">
        <f>SUMIFS('02综合台帐（人材机）'!Q:Q,'02综合台帐（人材机）'!F:F,C50,'02综合台帐（人材机）'!K:K,D50)</f>
        <v>0</v>
      </c>
      <c r="O50" s="163"/>
      <c r="P50" s="163"/>
      <c r="Q50" s="163"/>
      <c r="R50" s="163"/>
      <c r="S50" s="210">
        <f t="shared" si="0"/>
        <v>833553.827110803</v>
      </c>
      <c r="T50" s="163"/>
      <c r="U50" s="209"/>
      <c r="V50" s="209"/>
    </row>
    <row r="51" ht="30.95" customHeight="1" outlineLevel="1" spans="1:22">
      <c r="A51" s="162" t="s">
        <v>2947</v>
      </c>
      <c r="B51" s="163"/>
      <c r="C51" s="163" t="s">
        <v>1274</v>
      </c>
      <c r="D51" s="169" t="s">
        <v>2948</v>
      </c>
      <c r="E51" s="164"/>
      <c r="F51" s="165"/>
      <c r="G51" s="166"/>
      <c r="H51" s="167"/>
      <c r="I51" s="195">
        <v>340000</v>
      </c>
      <c r="J51" s="196">
        <v>0.896294437753551</v>
      </c>
      <c r="K51" s="163">
        <v>304740.108836207</v>
      </c>
      <c r="L51" s="163"/>
      <c r="M51" s="163"/>
      <c r="N51" s="163">
        <f>SUMIFS('02综合台帐（人材机）'!Q:Q,'02综合台帐（人材机）'!F:F,C51,'02综合台帐（人材机）'!K:K,D51)</f>
        <v>0</v>
      </c>
      <c r="O51" s="198"/>
      <c r="P51" s="198"/>
      <c r="Q51" s="198"/>
      <c r="R51" s="198"/>
      <c r="S51" s="210">
        <f t="shared" si="0"/>
        <v>304740.108836207</v>
      </c>
      <c r="T51" s="165"/>
      <c r="U51" s="209"/>
      <c r="V51" s="209"/>
    </row>
    <row r="52" ht="25.15" customHeight="1" outlineLevel="1" spans="1:22">
      <c r="A52" s="162" t="s">
        <v>2949</v>
      </c>
      <c r="B52" s="163"/>
      <c r="C52" s="163" t="s">
        <v>1274</v>
      </c>
      <c r="D52" s="162" t="s">
        <v>2950</v>
      </c>
      <c r="E52" s="163"/>
      <c r="F52" s="163"/>
      <c r="G52" s="163"/>
      <c r="H52" s="163"/>
      <c r="I52" s="163">
        <v>830000</v>
      </c>
      <c r="J52" s="200">
        <v>0.896294437753551</v>
      </c>
      <c r="K52" s="163">
        <v>743924.383335448</v>
      </c>
      <c r="L52" s="163"/>
      <c r="M52" s="163"/>
      <c r="N52" s="163">
        <f>SUMIFS('02综合台帐（人材机）'!Q:Q,'02综合台帐（人材机）'!F:F,C52,'02综合台帐（人材机）'!K:K,D52)</f>
        <v>0</v>
      </c>
      <c r="O52" s="163"/>
      <c r="P52" s="163"/>
      <c r="Q52" s="163"/>
      <c r="R52" s="163"/>
      <c r="S52" s="210">
        <f t="shared" si="0"/>
        <v>743924.383335448</v>
      </c>
      <c r="T52" s="163"/>
      <c r="U52" s="209"/>
      <c r="V52" s="209"/>
    </row>
    <row r="53" ht="25.15" customHeight="1" outlineLevel="1" spans="1:22">
      <c r="A53" s="162" t="s">
        <v>2951</v>
      </c>
      <c r="B53" s="163"/>
      <c r="C53" s="163" t="s">
        <v>1274</v>
      </c>
      <c r="D53" s="164" t="s">
        <v>2952</v>
      </c>
      <c r="E53" s="164"/>
      <c r="F53" s="165"/>
      <c r="G53" s="166"/>
      <c r="H53" s="167"/>
      <c r="I53" s="195">
        <v>1020000</v>
      </c>
      <c r="J53" s="196">
        <v>0.896294437753551</v>
      </c>
      <c r="K53" s="163">
        <v>914220.326508622</v>
      </c>
      <c r="L53" s="163"/>
      <c r="M53" s="163"/>
      <c r="N53" s="163">
        <f>SUMIFS('02综合台帐（人材机）'!Q:Q,'02综合台帐（人材机）'!F:F,C53,'02综合台帐（人材机）'!K:K,D53)</f>
        <v>0</v>
      </c>
      <c r="O53" s="198"/>
      <c r="P53" s="198"/>
      <c r="Q53" s="198"/>
      <c r="R53" s="198"/>
      <c r="S53" s="210">
        <f t="shared" si="0"/>
        <v>914220.326508622</v>
      </c>
      <c r="T53" s="165"/>
      <c r="U53" s="209"/>
      <c r="V53" s="209"/>
    </row>
    <row r="54" ht="25.15" customHeight="1" spans="1:22">
      <c r="A54" s="162" t="s">
        <v>1440</v>
      </c>
      <c r="B54" s="163"/>
      <c r="C54" s="163"/>
      <c r="D54" s="164" t="s">
        <v>2425</v>
      </c>
      <c r="E54" s="164"/>
      <c r="F54" s="165"/>
      <c r="G54" s="166"/>
      <c r="H54" s="167"/>
      <c r="I54" s="195">
        <f>SUMPRODUCT((LEFT($A$55:$A62,LEN($A54))=$A54)*1,(LEN($A$55:$A62)=LEN($A54)+3)*1,I$55:I62)</f>
        <v>41300000</v>
      </c>
      <c r="J54" s="196">
        <v>0.896294437753551</v>
      </c>
      <c r="K54" s="163">
        <v>37016960.2792217</v>
      </c>
      <c r="L54" s="163"/>
      <c r="M54" s="163"/>
      <c r="N54" s="163">
        <f>SUMPRODUCT((LEFT($A$55:$A62,LEN($A54))=$A54)*1,(LEN($A$55:$A62)=LEN($A54)+3)*1,N$55:N62)</f>
        <v>8750</v>
      </c>
      <c r="O54" s="198"/>
      <c r="P54" s="163">
        <f>SUMPRODUCT((LEFT($A$55:$A62,LEN($A54))=$A54)*1,(LEN($A$55:$A62)=LEN($A54)+3)*1,P$55:P62)</f>
        <v>0</v>
      </c>
      <c r="Q54" s="163"/>
      <c r="R54" s="163"/>
      <c r="S54" s="163">
        <f>SUMPRODUCT((LEFT($A$55:$A62,LEN($A54))=$A54)*1,(LEN($A$55:$A62)=LEN($A54)+3)*1,S$55:S62)</f>
        <v>37016960.2792217</v>
      </c>
      <c r="T54" s="165"/>
      <c r="U54" s="209"/>
      <c r="V54" s="209"/>
    </row>
    <row r="55" ht="25.15" customHeight="1" outlineLevel="2" spans="1:22">
      <c r="A55" s="162" t="s">
        <v>2953</v>
      </c>
      <c r="B55" s="163"/>
      <c r="C55" s="170" t="s">
        <v>2425</v>
      </c>
      <c r="D55" s="171" t="s">
        <v>2954</v>
      </c>
      <c r="E55" s="164"/>
      <c r="F55" s="165" t="s">
        <v>195</v>
      </c>
      <c r="G55" s="166"/>
      <c r="H55" s="167"/>
      <c r="I55" s="195">
        <v>6000000</v>
      </c>
      <c r="J55" s="196">
        <v>0.896294437753551</v>
      </c>
      <c r="K55" s="163">
        <v>5377766.62652131</v>
      </c>
      <c r="L55" s="163"/>
      <c r="M55" s="163"/>
      <c r="N55" s="163">
        <f>SUMIFS('02综合台帐（人材机）'!Q:Q,'02综合台帐（人材机）'!F:F,C55,'02综合台帐（人材机）'!K:K,D55)</f>
        <v>0</v>
      </c>
      <c r="O55" s="198"/>
      <c r="P55" s="198"/>
      <c r="Q55" s="198"/>
      <c r="R55" s="198"/>
      <c r="S55" s="210">
        <f t="shared" si="0"/>
        <v>5377766.62652131</v>
      </c>
      <c r="T55" s="165"/>
      <c r="U55" s="209"/>
      <c r="V55" s="209"/>
    </row>
    <row r="56" ht="25.15" customHeight="1" outlineLevel="2" spans="1:22">
      <c r="A56" s="162" t="s">
        <v>2955</v>
      </c>
      <c r="B56" s="163"/>
      <c r="C56" s="170" t="s">
        <v>2425</v>
      </c>
      <c r="D56" s="171" t="s">
        <v>2956</v>
      </c>
      <c r="E56" s="164"/>
      <c r="F56" s="165" t="s">
        <v>195</v>
      </c>
      <c r="G56" s="166"/>
      <c r="H56" s="167"/>
      <c r="I56" s="195">
        <v>5000000</v>
      </c>
      <c r="J56" s="196">
        <v>0.896294437753551</v>
      </c>
      <c r="K56" s="163">
        <v>4481472.18876776</v>
      </c>
      <c r="L56" s="163"/>
      <c r="M56" s="163"/>
      <c r="N56" s="163">
        <f>SUMIFS('02综合台帐（人材机）'!Q:Q,'02综合台帐（人材机）'!F:F,C56,'02综合台帐（人材机）'!K:K,D56)</f>
        <v>0</v>
      </c>
      <c r="O56" s="198"/>
      <c r="P56" s="198"/>
      <c r="Q56" s="198"/>
      <c r="R56" s="198"/>
      <c r="S56" s="210">
        <f t="shared" si="0"/>
        <v>4481472.18876776</v>
      </c>
      <c r="T56" s="165"/>
      <c r="U56" s="209"/>
      <c r="V56" s="209"/>
    </row>
    <row r="57" ht="25.15" customHeight="1" outlineLevel="2" spans="1:22">
      <c r="A57" s="162" t="s">
        <v>2957</v>
      </c>
      <c r="B57" s="163"/>
      <c r="C57" s="170" t="s">
        <v>2425</v>
      </c>
      <c r="D57" s="171" t="s">
        <v>448</v>
      </c>
      <c r="E57" s="164"/>
      <c r="F57" s="165" t="s">
        <v>195</v>
      </c>
      <c r="G57" s="166"/>
      <c r="H57" s="167"/>
      <c r="I57" s="195">
        <v>15540000</v>
      </c>
      <c r="J57" s="196">
        <v>0.896294437753551</v>
      </c>
      <c r="K57" s="163">
        <v>13928415.5626902</v>
      </c>
      <c r="L57" s="163"/>
      <c r="M57" s="163"/>
      <c r="N57" s="163">
        <f>SUMIFS('02综合台帐（人材机）'!Q:Q,'02综合台帐（人材机）'!F:F,C57,'02综合台帐（人材机）'!K:K,D57)</f>
        <v>8750</v>
      </c>
      <c r="O57" s="198"/>
      <c r="P57" s="198"/>
      <c r="Q57" s="198"/>
      <c r="R57" s="198"/>
      <c r="S57" s="210">
        <f t="shared" si="0"/>
        <v>13928415.5626902</v>
      </c>
      <c r="T57" s="165"/>
      <c r="U57" s="209"/>
      <c r="V57" s="209"/>
    </row>
    <row r="58" ht="25.15" customHeight="1" outlineLevel="2" spans="1:22">
      <c r="A58" s="162" t="s">
        <v>2958</v>
      </c>
      <c r="B58" s="163"/>
      <c r="C58" s="170" t="s">
        <v>2425</v>
      </c>
      <c r="D58" s="171" t="s">
        <v>556</v>
      </c>
      <c r="E58" s="164"/>
      <c r="F58" s="165" t="s">
        <v>195</v>
      </c>
      <c r="G58" s="166"/>
      <c r="H58" s="167"/>
      <c r="I58" s="195">
        <v>14760000</v>
      </c>
      <c r="J58" s="196">
        <v>0.896294437753551</v>
      </c>
      <c r="K58" s="163">
        <v>13229305.9012424</v>
      </c>
      <c r="L58" s="163"/>
      <c r="M58" s="163"/>
      <c r="N58" s="163">
        <f>SUMIFS('02综合台帐（人材机）'!Q:Q,'02综合台帐（人材机）'!F:F,C58,'02综合台帐（人材机）'!K:K,D58)</f>
        <v>0</v>
      </c>
      <c r="O58" s="198"/>
      <c r="P58" s="198"/>
      <c r="Q58" s="198"/>
      <c r="R58" s="198"/>
      <c r="S58" s="210">
        <f t="shared" si="0"/>
        <v>13229305.9012424</v>
      </c>
      <c r="T58" s="165"/>
      <c r="U58" s="209"/>
      <c r="V58" s="209"/>
    </row>
    <row r="59" ht="25.15" customHeight="1" spans="1:22">
      <c r="A59" s="162"/>
      <c r="B59" s="163"/>
      <c r="C59" s="163"/>
      <c r="D59" s="164"/>
      <c r="E59" s="164"/>
      <c r="F59" s="165"/>
      <c r="G59" s="166"/>
      <c r="H59" s="167"/>
      <c r="I59" s="195"/>
      <c r="J59" s="196"/>
      <c r="K59" s="163"/>
      <c r="L59" s="163"/>
      <c r="M59" s="163"/>
      <c r="N59" s="163"/>
      <c r="O59" s="198"/>
      <c r="P59" s="198"/>
      <c r="Q59" s="198"/>
      <c r="R59" s="198"/>
      <c r="S59" s="210"/>
      <c r="T59" s="165"/>
      <c r="U59" s="209"/>
      <c r="V59" s="209"/>
    </row>
    <row r="60" ht="25.15" customHeight="1" spans="1:22">
      <c r="A60" s="162"/>
      <c r="B60" s="163"/>
      <c r="C60" s="163"/>
      <c r="D60" s="164"/>
      <c r="E60" s="164"/>
      <c r="F60" s="165"/>
      <c r="G60" s="166"/>
      <c r="H60" s="167"/>
      <c r="I60" s="195"/>
      <c r="J60" s="196"/>
      <c r="K60" s="163"/>
      <c r="L60" s="163"/>
      <c r="M60" s="163"/>
      <c r="N60" s="163"/>
      <c r="O60" s="198"/>
      <c r="P60" s="198"/>
      <c r="Q60" s="198"/>
      <c r="R60" s="198"/>
      <c r="S60" s="210"/>
      <c r="T60" s="165"/>
      <c r="U60" s="209"/>
      <c r="V60" s="209"/>
    </row>
    <row r="61" ht="27" customHeight="1" spans="1:20">
      <c r="A61" s="172"/>
      <c r="B61" s="173"/>
      <c r="C61" s="173"/>
      <c r="D61" s="174" t="s">
        <v>2959</v>
      </c>
      <c r="E61" s="174"/>
      <c r="F61" s="175"/>
      <c r="G61" s="176"/>
      <c r="H61" s="177"/>
      <c r="I61" s="201"/>
      <c r="J61" s="202"/>
      <c r="K61" s="202"/>
      <c r="L61" s="202"/>
      <c r="M61" s="202"/>
      <c r="N61" s="202"/>
      <c r="O61" s="202"/>
      <c r="P61" s="202"/>
      <c r="Q61" s="202"/>
      <c r="R61" s="202"/>
      <c r="S61" s="211"/>
      <c r="T61" s="212"/>
    </row>
    <row r="62" ht="24" customHeight="1" spans="1:20">
      <c r="A62" s="139" t="s">
        <v>2960</v>
      </c>
      <c r="B62" s="139"/>
      <c r="C62" s="139"/>
      <c r="D62" s="139"/>
      <c r="E62" s="139"/>
      <c r="F62" s="139"/>
      <c r="G62" s="139"/>
      <c r="H62" s="178"/>
      <c r="I62" s="203"/>
      <c r="J62" s="139"/>
      <c r="K62" s="139"/>
      <c r="L62" s="139"/>
      <c r="M62" s="139"/>
      <c r="N62" s="139"/>
      <c r="O62" s="139"/>
      <c r="P62" s="139"/>
      <c r="Q62" s="139"/>
      <c r="R62" s="139"/>
      <c r="S62" s="178"/>
      <c r="T62" s="139"/>
    </row>
    <row r="63" ht="18" customHeight="1" spans="1:20">
      <c r="A63" s="179"/>
      <c r="B63" s="179"/>
      <c r="C63" s="179"/>
      <c r="D63" s="179"/>
      <c r="E63" s="179"/>
      <c r="F63" s="179"/>
      <c r="G63" s="179"/>
      <c r="H63" s="180"/>
      <c r="I63" s="204"/>
      <c r="J63" s="179"/>
      <c r="K63" s="179"/>
      <c r="L63" s="179"/>
      <c r="M63" s="179"/>
      <c r="N63" s="179"/>
      <c r="O63" s="179"/>
      <c r="P63" s="179"/>
      <c r="Q63" s="179"/>
      <c r="R63" s="179"/>
      <c r="S63" s="180"/>
      <c r="T63" s="179"/>
    </row>
    <row r="64" ht="18" customHeight="1" spans="1:20">
      <c r="A64" s="179"/>
      <c r="B64" s="179"/>
      <c r="C64" s="179"/>
      <c r="D64" s="179"/>
      <c r="E64" s="179"/>
      <c r="F64" s="179"/>
      <c r="G64" s="179"/>
      <c r="H64" s="180"/>
      <c r="I64" s="204"/>
      <c r="J64" s="179"/>
      <c r="K64" s="179"/>
      <c r="L64" s="179"/>
      <c r="M64" s="179"/>
      <c r="N64" s="179"/>
      <c r="O64" s="179"/>
      <c r="P64" s="179"/>
      <c r="Q64" s="179"/>
      <c r="R64" s="179"/>
      <c r="S64" s="180"/>
      <c r="T64" s="179"/>
    </row>
    <row r="65" ht="18" customHeight="1" spans="1:20">
      <c r="A65" s="179"/>
      <c r="B65" s="179"/>
      <c r="C65" s="179"/>
      <c r="D65" s="179"/>
      <c r="E65" s="179"/>
      <c r="F65" s="179"/>
      <c r="G65" s="179"/>
      <c r="H65" s="180"/>
      <c r="I65" s="204"/>
      <c r="J65" s="179"/>
      <c r="K65" s="179"/>
      <c r="L65" s="179"/>
      <c r="M65" s="179"/>
      <c r="N65" s="179"/>
      <c r="O65" s="179"/>
      <c r="P65" s="179"/>
      <c r="Q65" s="179"/>
      <c r="R65" s="179"/>
      <c r="S65" s="180"/>
      <c r="T65" s="179"/>
    </row>
    <row r="66" ht="18" customHeight="1" spans="1:20">
      <c r="A66" s="179"/>
      <c r="B66" s="179"/>
      <c r="C66" s="179"/>
      <c r="D66" s="179"/>
      <c r="E66" s="179"/>
      <c r="F66" s="179"/>
      <c r="G66" s="179"/>
      <c r="H66" s="180"/>
      <c r="I66" s="204"/>
      <c r="J66" s="179"/>
      <c r="K66" s="179"/>
      <c r="L66" s="179"/>
      <c r="M66" s="179"/>
      <c r="N66" s="179"/>
      <c r="O66" s="179"/>
      <c r="P66" s="179"/>
      <c r="Q66" s="179"/>
      <c r="R66" s="179"/>
      <c r="S66" s="180"/>
      <c r="T66" s="179"/>
    </row>
    <row r="72" spans="1:2">
      <c r="A72" s="213"/>
      <c r="B72" s="214"/>
    </row>
  </sheetData>
  <sheetProtection formatCells="0" formatColumns="0" formatRows="0" insertRows="0" deleteRows="0" autoFilter="0"/>
  <mergeCells count="2">
    <mergeCell ref="G4:H4"/>
    <mergeCell ref="L4:M4"/>
  </mergeCells>
  <conditionalFormatting sqref="E8">
    <cfRule type="expression" dxfId="132" priority="10">
      <formula>NOT(ISERROR(FINDB("SUM",_xlfn.FORMULATEXT(#REF!),1)))</formula>
    </cfRule>
    <cfRule type="expression" dxfId="133" priority="11">
      <formula>ISODD(ROW()+1)</formula>
    </cfRule>
  </conditionalFormatting>
  <conditionalFormatting sqref="E10">
    <cfRule type="expression" dxfId="132" priority="12">
      <formula>NOT(ISERROR(FINDB("SUM",_xlfn.FORMULATEXT(#REF!),1)))</formula>
    </cfRule>
    <cfRule type="expression" dxfId="133" priority="13">
      <formula>ISODD(ROW()+1)</formula>
    </cfRule>
  </conditionalFormatting>
  <conditionalFormatting sqref="E12">
    <cfRule type="expression" dxfId="132" priority="14">
      <formula>NOT(ISERROR(FINDB("SUM",_xlfn.FORMULATEXT(#REF!),1)))</formula>
    </cfRule>
    <cfRule type="expression" dxfId="133" priority="15">
      <formula>ISODD(ROW()+1)</formula>
    </cfRule>
  </conditionalFormatting>
  <conditionalFormatting sqref="E14">
    <cfRule type="expression" dxfId="132" priority="16">
      <formula>NOT(ISERROR(FINDB("SUM",_xlfn.FORMULATEXT(#REF!),1)))</formula>
    </cfRule>
    <cfRule type="expression" dxfId="133" priority="17">
      <formula>ISODD(ROW()+1)</formula>
    </cfRule>
  </conditionalFormatting>
  <conditionalFormatting sqref="I54">
    <cfRule type="expression" dxfId="132" priority="1">
      <formula>NOT(ISERROR(FINDB("SUM",_xlfn.FORMULATEXT($I54),1)))</formula>
    </cfRule>
    <cfRule type="expression" dxfId="133" priority="2">
      <formula>ISODD(ROW()+1)</formula>
    </cfRule>
  </conditionalFormatting>
  <conditionalFormatting sqref="A5:T60">
    <cfRule type="expression" dxfId="132" priority="8">
      <formula>NOT(ISERROR(FINDB("SUM",_xlfn.FORMULATEXT($I5),1)))</formula>
    </cfRule>
    <cfRule type="expression" dxfId="133" priority="9">
      <formula>ISODD(ROW()+1)</formula>
    </cfRule>
  </conditionalFormatting>
  <conditionalFormatting sqref="C55:D58">
    <cfRule type="expression" dxfId="54" priority="3">
      <formula>LEN($A55)=10</formula>
    </cfRule>
    <cfRule type="expression" dxfId="55" priority="4">
      <formula>LEN($A55)=2</formula>
    </cfRule>
    <cfRule type="expression" dxfId="57" priority="5">
      <formula>(LEN($A55))=3</formula>
    </cfRule>
  </conditionalFormatting>
  <conditionalFormatting sqref="E55:I58">
    <cfRule type="expression" dxfId="132" priority="6">
      <formula>NOT(ISERROR(FINDB("SUM",_xlfn.FORMULATEXT($I55),1)))</formula>
    </cfRule>
    <cfRule type="expression" dxfId="133" priority="7">
      <formula>ISODD(ROW()+1)</formula>
    </cfRule>
  </conditionalFormatting>
  <hyperlinks>
    <hyperlink ref="C2" location="工程成本费用汇总表!A1" display="到汇总表"/>
  </hyperlinks>
  <pageMargins left="0.75" right="0.75" top="1" bottom="1" header="0.511805555555556" footer="0.511805555555556"/>
  <pageSetup paperSize="9" orientation="landscape"/>
  <headerFooter/>
  <drawing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outlinePr summaryBelow="0"/>
  </sheetPr>
  <dimension ref="A1:Y55"/>
  <sheetViews>
    <sheetView workbookViewId="0">
      <pane xSplit="5" ySplit="4" topLeftCell="F29" activePane="bottomRight" state="frozen"/>
      <selection/>
      <selection pane="topRight"/>
      <selection pane="bottomLeft"/>
      <selection pane="bottomRight" activeCell="I10" sqref="I10"/>
    </sheetView>
  </sheetViews>
  <sheetFormatPr defaultColWidth="8.75" defaultRowHeight="15.75"/>
  <cols>
    <col min="1" max="1" width="8.125" style="61" customWidth="1"/>
    <col min="2" max="2" width="6.125" style="62" customWidth="1"/>
    <col min="3" max="3" width="25.875" style="62" customWidth="1"/>
    <col min="4" max="4" width="24.75" style="62" customWidth="1"/>
    <col min="5" max="5" width="27.125" style="62" customWidth="1"/>
    <col min="6" max="6" width="6.875" style="62" hidden="1" customWidth="1"/>
    <col min="7" max="8" width="0.875" style="62" hidden="1" customWidth="1"/>
    <col min="9" max="9" width="13.875" style="62" customWidth="1"/>
    <col min="10" max="10" width="12" style="62" customWidth="1"/>
    <col min="11" max="11" width="14.5" style="62" customWidth="1"/>
    <col min="12" max="12" width="3.25" style="62" hidden="1" customWidth="1"/>
    <col min="13" max="13" width="14.625" style="63" customWidth="1"/>
    <col min="14" max="14" width="11.875" style="62" customWidth="1"/>
    <col min="15" max="15" width="11.875" style="62" hidden="1" customWidth="1"/>
    <col min="16" max="16" width="12.375" style="62" customWidth="1"/>
    <col min="17" max="17" width="5.375" style="62" customWidth="1"/>
    <col min="18" max="18" width="6.75" style="62" customWidth="1"/>
    <col min="19" max="20" width="14.625" style="62" customWidth="1"/>
    <col min="21" max="21" width="8.75" style="62"/>
    <col min="22" max="22" width="12.625" style="62"/>
    <col min="23" max="24" width="8.75" style="62"/>
    <col min="25" max="25" width="13.25" style="62" customWidth="1"/>
    <col min="26" max="26" width="12.625" style="62"/>
    <col min="27" max="16384" width="8.75" style="62"/>
  </cols>
  <sheetData>
    <row r="1" ht="25.5" customHeight="1" spans="1:20">
      <c r="A1" s="64" t="s">
        <v>2961</v>
      </c>
      <c r="B1" s="64"/>
      <c r="C1" s="64"/>
      <c r="D1" s="64"/>
      <c r="E1" s="65"/>
      <c r="F1" s="64"/>
      <c r="G1" s="64"/>
      <c r="H1" s="64"/>
      <c r="I1" s="97"/>
      <c r="J1" s="64"/>
      <c r="K1" s="98"/>
      <c r="L1" s="64"/>
      <c r="M1" s="99"/>
      <c r="N1" s="64"/>
      <c r="O1" s="64"/>
      <c r="P1" s="64"/>
      <c r="Q1" s="64"/>
      <c r="R1" s="64"/>
      <c r="S1" s="98"/>
      <c r="T1" s="64"/>
    </row>
    <row r="2" ht="16.5" customHeight="1" spans="1:19">
      <c r="A2" s="66"/>
      <c r="B2" s="67"/>
      <c r="C2" s="68" t="s">
        <v>2845</v>
      </c>
      <c r="D2" s="69"/>
      <c r="E2" s="70"/>
      <c r="F2" s="69"/>
      <c r="G2" s="69"/>
      <c r="H2" s="69"/>
      <c r="I2" s="100"/>
      <c r="J2" s="101"/>
      <c r="K2" s="102"/>
      <c r="L2" s="101"/>
      <c r="M2" s="101"/>
      <c r="N2" s="101"/>
      <c r="O2" s="101"/>
      <c r="P2" s="101"/>
      <c r="Q2" s="101"/>
      <c r="R2" s="101"/>
      <c r="S2" s="102" t="s">
        <v>2962</v>
      </c>
    </row>
    <row r="3" ht="16.5" hidden="1" customHeight="1" spans="1:20">
      <c r="A3" s="71"/>
      <c r="B3" s="72"/>
      <c r="C3" s="73"/>
      <c r="D3" s="74"/>
      <c r="E3" s="75"/>
      <c r="F3" s="74"/>
      <c r="G3" s="74"/>
      <c r="H3" s="74"/>
      <c r="I3" s="103"/>
      <c r="J3" s="104"/>
      <c r="K3" s="105"/>
      <c r="L3" s="104"/>
      <c r="M3" s="104"/>
      <c r="N3" s="104"/>
      <c r="O3" s="104"/>
      <c r="P3" s="104"/>
      <c r="Q3" s="104"/>
      <c r="R3" s="104"/>
      <c r="S3" s="131"/>
      <c r="T3" s="132"/>
    </row>
    <row r="4" ht="51" customHeight="1" spans="1:21">
      <c r="A4" s="76" t="s">
        <v>1254</v>
      </c>
      <c r="B4" s="77" t="s">
        <v>1291</v>
      </c>
      <c r="C4" s="78" t="s">
        <v>2852</v>
      </c>
      <c r="D4" s="78" t="s">
        <v>1399</v>
      </c>
      <c r="E4" s="79" t="s">
        <v>1294</v>
      </c>
      <c r="F4" s="78" t="s">
        <v>60</v>
      </c>
      <c r="G4" s="78"/>
      <c r="H4" s="78"/>
      <c r="I4" s="106" t="s">
        <v>2847</v>
      </c>
      <c r="J4" s="79" t="s">
        <v>2963</v>
      </c>
      <c r="K4" s="107" t="s">
        <v>2848</v>
      </c>
      <c r="L4" s="108"/>
      <c r="M4" s="79" t="s">
        <v>2964</v>
      </c>
      <c r="N4" s="79" t="s">
        <v>2965</v>
      </c>
      <c r="O4" s="79"/>
      <c r="P4" s="79" t="s">
        <v>2850</v>
      </c>
      <c r="Q4" s="79"/>
      <c r="R4" s="79"/>
      <c r="S4" s="107" t="s">
        <v>2851</v>
      </c>
      <c r="T4" s="133" t="s">
        <v>1262</v>
      </c>
      <c r="U4" s="134"/>
    </row>
    <row r="5" ht="22.15" customHeight="1" spans="1:20">
      <c r="A5" s="80"/>
      <c r="B5" s="81"/>
      <c r="C5" s="82"/>
      <c r="D5" s="82"/>
      <c r="E5" s="83"/>
      <c r="F5" s="82"/>
      <c r="G5" s="82"/>
      <c r="H5" s="82"/>
      <c r="T5" s="82"/>
    </row>
    <row r="6" ht="22.15" customHeight="1" spans="1:20">
      <c r="A6" s="80"/>
      <c r="B6" s="81"/>
      <c r="C6" s="82" t="s">
        <v>2966</v>
      </c>
      <c r="D6" s="82"/>
      <c r="E6" s="83"/>
      <c r="F6" s="82"/>
      <c r="G6" s="84"/>
      <c r="H6" s="84"/>
      <c r="I6" s="109">
        <f>SUMPRODUCT((LEN($A$7:$A1003)=LEN($A$7))*1,I$7:I1003)</f>
        <v>52730306.97</v>
      </c>
      <c r="J6" s="110">
        <f ca="1">完成比例</f>
        <v>0</v>
      </c>
      <c r="K6" s="111">
        <f ca="1" t="shared" ref="K6:K9" si="0">+I6*J6</f>
        <v>0</v>
      </c>
      <c r="L6" s="112"/>
      <c r="M6" s="113">
        <f>SUMPRODUCT((LEN($A$7:$A1003)=LEN($A$7))*1,M$7:M1003)</f>
        <v>20546922.53</v>
      </c>
      <c r="N6" s="83">
        <v>0</v>
      </c>
      <c r="O6" s="83"/>
      <c r="P6" s="113">
        <f ca="1">SUMPRODUCT((LEN($A$7:$A1003)=LEN($A$7))*1,P$7:P1003)</f>
        <v>17559411.4</v>
      </c>
      <c r="Q6" s="83"/>
      <c r="R6" s="83"/>
      <c r="S6" s="111">
        <f ca="1" t="shared" ref="S6:S9" si="1">-P6+K6</f>
        <v>-17559411.4</v>
      </c>
      <c r="T6" s="82"/>
    </row>
    <row r="7" ht="22.15" customHeight="1" spans="1:22">
      <c r="A7" s="80" t="s">
        <v>1664</v>
      </c>
      <c r="B7" s="81"/>
      <c r="C7" s="82" t="s">
        <v>1665</v>
      </c>
      <c r="D7" s="82" t="s">
        <v>1665</v>
      </c>
      <c r="E7" s="83"/>
      <c r="F7" s="82"/>
      <c r="G7" s="84"/>
      <c r="H7" s="84"/>
      <c r="I7" s="109">
        <f t="shared" ref="I7:N7" si="2">SUM(I8:I9)</f>
        <v>34945090</v>
      </c>
      <c r="J7" s="110"/>
      <c r="K7" s="111">
        <f ca="1" t="shared" si="2"/>
        <v>0</v>
      </c>
      <c r="L7" s="112"/>
      <c r="M7" s="83">
        <f t="shared" si="2"/>
        <v>11564021.07</v>
      </c>
      <c r="N7" s="83">
        <f t="shared" si="2"/>
        <v>0</v>
      </c>
      <c r="O7" s="83"/>
      <c r="P7" s="83">
        <f t="shared" ref="P7:S7" si="3">SUM(P8:P9)</f>
        <v>11564021.07</v>
      </c>
      <c r="Q7" s="83">
        <f t="shared" si="3"/>
        <v>0</v>
      </c>
      <c r="R7" s="83">
        <f t="shared" si="3"/>
        <v>0</v>
      </c>
      <c r="S7" s="111">
        <f ca="1" t="shared" si="3"/>
        <v>-11564021.07</v>
      </c>
      <c r="T7" s="82"/>
      <c r="U7" s="134"/>
      <c r="V7" s="134">
        <f>M7+M10+M17+M21+M24+M27+M33+M35+M39+M43+M46+M50+M12+M14</f>
        <v>20520488.9</v>
      </c>
    </row>
    <row r="8" ht="22.15" customHeight="1" outlineLevel="1" spans="1:24">
      <c r="A8" s="80" t="s">
        <v>1666</v>
      </c>
      <c r="B8" s="81"/>
      <c r="C8" s="82" t="s">
        <v>1665</v>
      </c>
      <c r="D8" s="82" t="s">
        <v>1667</v>
      </c>
      <c r="E8" s="83"/>
      <c r="F8" s="82"/>
      <c r="G8" s="84"/>
      <c r="H8" s="84"/>
      <c r="I8" s="109">
        <v>33265090</v>
      </c>
      <c r="J8" s="110">
        <f ca="1">完成比例</f>
        <v>0</v>
      </c>
      <c r="K8" s="111">
        <f ca="1" t="shared" si="0"/>
        <v>0</v>
      </c>
      <c r="L8" s="112"/>
      <c r="M8" s="114">
        <v>10606684.09</v>
      </c>
      <c r="N8" s="83">
        <v>0</v>
      </c>
      <c r="O8" s="83"/>
      <c r="P8" s="83">
        <f t="shared" ref="P8:P12" si="4">+M8+N8</f>
        <v>10606684.09</v>
      </c>
      <c r="Q8" s="83"/>
      <c r="R8" s="83"/>
      <c r="S8" s="111">
        <f ca="1" t="shared" si="1"/>
        <v>-10606684.09</v>
      </c>
      <c r="T8" s="82"/>
      <c r="U8" s="134"/>
      <c r="V8" s="134"/>
      <c r="X8" s="62" t="s">
        <v>2967</v>
      </c>
    </row>
    <row r="9" ht="22.15" customHeight="1" outlineLevel="1" spans="1:25">
      <c r="A9" s="80" t="s">
        <v>1669</v>
      </c>
      <c r="B9" s="81"/>
      <c r="C9" s="82" t="s">
        <v>1665</v>
      </c>
      <c r="D9" s="82" t="s">
        <v>1670</v>
      </c>
      <c r="E9" s="83"/>
      <c r="F9" s="82"/>
      <c r="G9" s="84"/>
      <c r="H9" s="84"/>
      <c r="I9" s="109">
        <v>1680000</v>
      </c>
      <c r="J9" s="110">
        <f ca="1">+完成比例</f>
        <v>0</v>
      </c>
      <c r="K9" s="111">
        <f ca="1" t="shared" si="0"/>
        <v>0</v>
      </c>
      <c r="L9" s="112"/>
      <c r="M9" s="83">
        <v>957336.98</v>
      </c>
      <c r="N9" s="83">
        <v>0</v>
      </c>
      <c r="O9" s="83"/>
      <c r="P9" s="83">
        <f t="shared" si="4"/>
        <v>957336.98</v>
      </c>
      <c r="Q9" s="83"/>
      <c r="R9" s="83"/>
      <c r="S9" s="111">
        <f ca="1" t="shared" si="1"/>
        <v>-957336.98</v>
      </c>
      <c r="T9" s="82"/>
      <c r="U9" s="134"/>
      <c r="V9" s="134"/>
      <c r="X9" s="62" t="s">
        <v>2968</v>
      </c>
      <c r="Y9" s="62">
        <v>4094198.14</v>
      </c>
    </row>
    <row r="10" ht="22.15" customHeight="1" spans="1:25">
      <c r="A10" s="80" t="s">
        <v>1671</v>
      </c>
      <c r="B10" s="81"/>
      <c r="C10" s="82" t="s">
        <v>1672</v>
      </c>
      <c r="D10" s="82" t="s">
        <v>1672</v>
      </c>
      <c r="E10" s="83"/>
      <c r="F10" s="82"/>
      <c r="G10" s="84"/>
      <c r="H10" s="84"/>
      <c r="I10" s="109">
        <f>SUMPRODUCT((LEFT($A11:$A$51,LEN($A10))=$A10)*1,(LEN($A11:$A$51)=LEN($A10)+3)*1,I11:I$51)</f>
        <v>24000</v>
      </c>
      <c r="J10" s="110"/>
      <c r="K10" s="115">
        <f ca="1">SUM(K11:K11)</f>
        <v>0</v>
      </c>
      <c r="L10" s="112"/>
      <c r="M10" s="83">
        <f>SUM(M11)</f>
        <v>67892.45</v>
      </c>
      <c r="N10" s="83">
        <f>SUM(N11)</f>
        <v>0</v>
      </c>
      <c r="O10" s="83"/>
      <c r="P10" s="83">
        <f t="shared" si="4"/>
        <v>67892.45</v>
      </c>
      <c r="Q10" s="83">
        <f t="shared" ref="Q10:S10" si="5">SUM(Q11:Q12)</f>
        <v>0</v>
      </c>
      <c r="R10" s="83">
        <f t="shared" si="5"/>
        <v>0</v>
      </c>
      <c r="S10" s="111">
        <f ca="1" t="shared" si="5"/>
        <v>-485791.81</v>
      </c>
      <c r="T10" s="82"/>
      <c r="U10" s="134"/>
      <c r="V10" s="134"/>
      <c r="X10" s="62" t="s">
        <v>2969</v>
      </c>
      <c r="Y10" s="62">
        <v>2082139</v>
      </c>
    </row>
    <row r="11" ht="22.15" customHeight="1" outlineLevel="1" spans="1:25">
      <c r="A11" s="80" t="s">
        <v>1673</v>
      </c>
      <c r="B11" s="81"/>
      <c r="C11" s="82" t="s">
        <v>1672</v>
      </c>
      <c r="D11" s="82" t="s">
        <v>1672</v>
      </c>
      <c r="E11" s="83"/>
      <c r="F11" s="82"/>
      <c r="G11" s="84"/>
      <c r="H11" s="84"/>
      <c r="I11" s="109">
        <v>24000</v>
      </c>
      <c r="J11" s="110">
        <f ca="1">完成比例</f>
        <v>0</v>
      </c>
      <c r="K11" s="111">
        <f ca="1" t="shared" ref="K11:K26" si="6">+I11*J11</f>
        <v>0</v>
      </c>
      <c r="L11" s="112"/>
      <c r="M11" s="83">
        <v>67892.45</v>
      </c>
      <c r="N11" s="83"/>
      <c r="O11" s="83"/>
      <c r="P11" s="83">
        <f t="shared" si="4"/>
        <v>67892.45</v>
      </c>
      <c r="Q11" s="83"/>
      <c r="R11" s="83"/>
      <c r="S11" s="111">
        <f ca="1" t="shared" ref="S11:S15" si="7">-P11+K11</f>
        <v>-67892.45</v>
      </c>
      <c r="T11" s="82"/>
      <c r="U11" s="134"/>
      <c r="V11" s="134"/>
      <c r="X11" s="62" t="s">
        <v>2970</v>
      </c>
      <c r="Y11" s="62">
        <v>1559868.43</v>
      </c>
    </row>
    <row r="12" ht="22.15" customHeight="1" spans="1:25">
      <c r="A12" s="80" t="s">
        <v>1675</v>
      </c>
      <c r="B12" s="81"/>
      <c r="C12" s="82" t="s">
        <v>1676</v>
      </c>
      <c r="D12" s="82" t="s">
        <v>1676</v>
      </c>
      <c r="E12" s="83"/>
      <c r="F12" s="82"/>
      <c r="G12" s="84"/>
      <c r="H12" s="84"/>
      <c r="I12" s="109">
        <f>SUMPRODUCT((LEFT($A13:$A$51,LEN($A12))=$A12)*1,(LEN($A13:$A$51)=LEN($A12)+3)*1,I13:I$51)</f>
        <v>400000</v>
      </c>
      <c r="J12" s="110">
        <f ca="1">完成比例</f>
        <v>0</v>
      </c>
      <c r="K12" s="111">
        <f ca="1" t="shared" si="6"/>
        <v>0</v>
      </c>
      <c r="L12" s="112"/>
      <c r="M12" s="83">
        <f>M13</f>
        <v>417899.36</v>
      </c>
      <c r="N12" s="83">
        <f>N13</f>
        <v>0</v>
      </c>
      <c r="O12" s="83"/>
      <c r="P12" s="83">
        <f t="shared" si="4"/>
        <v>417899.36</v>
      </c>
      <c r="Q12" s="83"/>
      <c r="R12" s="83"/>
      <c r="S12" s="111">
        <f ca="1" t="shared" si="7"/>
        <v>-417899.36</v>
      </c>
      <c r="T12" s="82"/>
      <c r="U12" s="134"/>
      <c r="V12" s="134"/>
      <c r="X12" s="62" t="s">
        <v>2971</v>
      </c>
      <c r="Y12" s="62">
        <v>144700.08</v>
      </c>
    </row>
    <row r="13" ht="22.15" customHeight="1" outlineLevel="1" spans="1:25">
      <c r="A13" s="80" t="s">
        <v>1677</v>
      </c>
      <c r="B13" s="81"/>
      <c r="C13" s="82" t="s">
        <v>1676</v>
      </c>
      <c r="D13" s="82" t="s">
        <v>1678</v>
      </c>
      <c r="E13" s="83"/>
      <c r="F13" s="82"/>
      <c r="G13" s="84"/>
      <c r="H13" s="84"/>
      <c r="I13" s="109">
        <v>400000</v>
      </c>
      <c r="J13" s="110">
        <f ca="1">完成比例</f>
        <v>0</v>
      </c>
      <c r="K13" s="111">
        <f ca="1" t="shared" si="6"/>
        <v>0</v>
      </c>
      <c r="L13" s="112"/>
      <c r="M13" s="116">
        <v>417899.36</v>
      </c>
      <c r="N13" s="83"/>
      <c r="O13" s="83"/>
      <c r="P13" s="83">
        <f>M13</f>
        <v>417899.36</v>
      </c>
      <c r="Q13" s="83">
        <f t="shared" ref="Q13:S13" si="8">SUM(Q14:Q15)</f>
        <v>0</v>
      </c>
      <c r="R13" s="83">
        <f t="shared" si="8"/>
        <v>0</v>
      </c>
      <c r="S13" s="111">
        <f ca="1" t="shared" si="8"/>
        <v>-71026</v>
      </c>
      <c r="T13" s="82"/>
      <c r="U13" s="134"/>
      <c r="V13" s="134"/>
      <c r="X13" s="62" t="s">
        <v>2972</v>
      </c>
      <c r="Y13" s="62">
        <v>144296.03</v>
      </c>
    </row>
    <row r="14" ht="22.15" customHeight="1" spans="1:25">
      <c r="A14" s="80" t="s">
        <v>1679</v>
      </c>
      <c r="B14" s="81"/>
      <c r="C14" s="82" t="s">
        <v>1680</v>
      </c>
      <c r="D14" s="82" t="s">
        <v>1680</v>
      </c>
      <c r="E14" s="83"/>
      <c r="F14" s="82"/>
      <c r="G14" s="84"/>
      <c r="H14" s="84"/>
      <c r="I14" s="109">
        <f>SUMPRODUCT((LEFT($A15:$A$51,LEN($A14))=$A14)*1,(LEN($A15:$A$51)=LEN($A14)+3)*1,I15:I$51)</f>
        <v>0</v>
      </c>
      <c r="J14" s="110">
        <f ca="1">完成比例</f>
        <v>0</v>
      </c>
      <c r="K14" s="111">
        <f ca="1" t="shared" si="6"/>
        <v>0</v>
      </c>
      <c r="L14" s="112"/>
      <c r="M14" s="83">
        <f>M15</f>
        <v>35513</v>
      </c>
      <c r="N14" s="83">
        <f>N15</f>
        <v>0</v>
      </c>
      <c r="O14" s="83"/>
      <c r="P14" s="83">
        <f t="shared" ref="P14:P30" si="9">+M14+N14</f>
        <v>35513</v>
      </c>
      <c r="Q14" s="83"/>
      <c r="R14" s="83"/>
      <c r="S14" s="111">
        <f ca="1" t="shared" si="7"/>
        <v>-35513</v>
      </c>
      <c r="T14" s="82"/>
      <c r="U14" s="134"/>
      <c r="V14" s="134"/>
      <c r="X14" s="62" t="s">
        <v>2973</v>
      </c>
      <c r="Y14" s="62">
        <v>174498.06</v>
      </c>
    </row>
    <row r="15" ht="22.15" customHeight="1" outlineLevel="1" spans="1:25">
      <c r="A15" s="80" t="s">
        <v>2974</v>
      </c>
      <c r="B15" s="81"/>
      <c r="C15" s="82" t="s">
        <v>1680</v>
      </c>
      <c r="D15" s="82" t="s">
        <v>1680</v>
      </c>
      <c r="E15" s="83"/>
      <c r="F15" s="82"/>
      <c r="G15" s="84"/>
      <c r="H15" s="84"/>
      <c r="I15" s="109">
        <v>0</v>
      </c>
      <c r="J15" s="110">
        <f ca="1">完成比例</f>
        <v>0</v>
      </c>
      <c r="K15" s="111">
        <f ca="1" t="shared" si="6"/>
        <v>0</v>
      </c>
      <c r="L15" s="112"/>
      <c r="M15" s="83">
        <v>35513</v>
      </c>
      <c r="N15" s="83"/>
      <c r="O15" s="83"/>
      <c r="P15" s="83">
        <f t="shared" si="9"/>
        <v>35513</v>
      </c>
      <c r="Q15" s="83"/>
      <c r="R15" s="83"/>
      <c r="S15" s="111">
        <f ca="1" t="shared" si="7"/>
        <v>-35513</v>
      </c>
      <c r="T15" s="82"/>
      <c r="U15" s="134"/>
      <c r="V15" s="134"/>
      <c r="X15" s="62" t="s">
        <v>2975</v>
      </c>
      <c r="Y15" s="62">
        <v>166180.84</v>
      </c>
    </row>
    <row r="16" ht="22.15" customHeight="1" spans="1:25">
      <c r="A16" s="80" t="s">
        <v>1682</v>
      </c>
      <c r="B16" s="81"/>
      <c r="C16" s="82" t="s">
        <v>1683</v>
      </c>
      <c r="D16" s="82" t="s">
        <v>1683</v>
      </c>
      <c r="E16" s="83" t="s">
        <v>1684</v>
      </c>
      <c r="F16" s="82"/>
      <c r="G16" s="84"/>
      <c r="H16" s="84"/>
      <c r="I16" s="109">
        <f>SUMPRODUCT((LEFT($A17:$A$51,LEN($A16))=$A16)*1,(LEN($A17:$A$51)=LEN($A16)+3)*1,I17:I$51)</f>
        <v>0</v>
      </c>
      <c r="J16" s="110"/>
      <c r="K16" s="111">
        <f t="shared" si="6"/>
        <v>0</v>
      </c>
      <c r="L16" s="112"/>
      <c r="M16" s="83">
        <v>17881.21</v>
      </c>
      <c r="N16" s="83">
        <f ca="1">-M16*(1-完成比例)</f>
        <v>-17881.21</v>
      </c>
      <c r="O16" s="83"/>
      <c r="P16" s="83">
        <f ca="1" t="shared" si="9"/>
        <v>0</v>
      </c>
      <c r="Q16" s="83">
        <f t="shared" ref="Q16:S16" si="10">SUM(Q17:Q18)</f>
        <v>0</v>
      </c>
      <c r="R16" s="83">
        <f t="shared" si="10"/>
        <v>0</v>
      </c>
      <c r="S16" s="111">
        <f ca="1" t="shared" si="10"/>
        <v>-959526.96</v>
      </c>
      <c r="T16" s="82"/>
      <c r="U16" s="134"/>
      <c r="V16" s="134"/>
      <c r="X16" s="62" t="s">
        <v>1284</v>
      </c>
      <c r="Y16" s="62">
        <f>SUM(Y9:Y15)</f>
        <v>8365880.58</v>
      </c>
    </row>
    <row r="17" ht="22.15" customHeight="1" spans="1:22">
      <c r="A17" s="80" t="s">
        <v>1685</v>
      </c>
      <c r="B17" s="81"/>
      <c r="C17" s="82" t="s">
        <v>1686</v>
      </c>
      <c r="D17" s="82" t="s">
        <v>1686</v>
      </c>
      <c r="E17" s="83"/>
      <c r="F17" s="82"/>
      <c r="G17" s="84"/>
      <c r="H17" s="84"/>
      <c r="I17" s="109">
        <f>SUMPRODUCT((LEFT($A18:$A$51,LEN($A17))=$A17)*1,(LEN($A18:$A$51)=LEN($A17)+3)*1,I18:I$51)</f>
        <v>1910000</v>
      </c>
      <c r="J17" s="110">
        <f ca="1" t="shared" ref="J17:J26" si="11">完成比例</f>
        <v>0</v>
      </c>
      <c r="K17" s="111">
        <f ca="1" t="shared" si="6"/>
        <v>0</v>
      </c>
      <c r="L17" s="112"/>
      <c r="M17" s="83">
        <f>SUM(M18:M20)</f>
        <v>739844.78</v>
      </c>
      <c r="N17" s="83">
        <f>SUM(N18:N20)</f>
        <v>0</v>
      </c>
      <c r="O17" s="83"/>
      <c r="P17" s="83">
        <f t="shared" si="9"/>
        <v>739844.78</v>
      </c>
      <c r="Q17" s="83"/>
      <c r="R17" s="83"/>
      <c r="S17" s="111">
        <f ca="1" t="shared" ref="S17:S19" si="12">-P17+K17</f>
        <v>-739844.78</v>
      </c>
      <c r="T17" s="82"/>
      <c r="U17" s="134"/>
      <c r="V17" s="134"/>
    </row>
    <row r="18" ht="22.15" customHeight="1" outlineLevel="1" spans="1:22">
      <c r="A18" s="80" t="s">
        <v>1687</v>
      </c>
      <c r="B18" s="81"/>
      <c r="C18" s="82" t="s">
        <v>1686</v>
      </c>
      <c r="D18" s="82" t="s">
        <v>1688</v>
      </c>
      <c r="E18" s="83" t="s">
        <v>1689</v>
      </c>
      <c r="F18" s="82"/>
      <c r="G18" s="84"/>
      <c r="H18" s="84"/>
      <c r="I18" s="109">
        <v>1000000</v>
      </c>
      <c r="J18" s="110">
        <f ca="1" t="shared" si="11"/>
        <v>0</v>
      </c>
      <c r="K18" s="111">
        <f ca="1" t="shared" si="6"/>
        <v>0</v>
      </c>
      <c r="L18" s="112"/>
      <c r="M18" s="83">
        <v>219682.18</v>
      </c>
      <c r="N18" s="83"/>
      <c r="O18" s="83"/>
      <c r="P18" s="83">
        <f t="shared" si="9"/>
        <v>219682.18</v>
      </c>
      <c r="Q18" s="83"/>
      <c r="R18" s="83"/>
      <c r="S18" s="111">
        <f ca="1" t="shared" si="12"/>
        <v>-219682.18</v>
      </c>
      <c r="T18" s="82"/>
      <c r="U18" s="134"/>
      <c r="V18" s="134"/>
    </row>
    <row r="19" ht="22.15" customHeight="1" outlineLevel="1" spans="1:22">
      <c r="A19" s="80" t="s">
        <v>1691</v>
      </c>
      <c r="B19" s="81"/>
      <c r="C19" s="82" t="s">
        <v>1686</v>
      </c>
      <c r="D19" s="82" t="s">
        <v>1692</v>
      </c>
      <c r="E19" s="83" t="s">
        <v>1693</v>
      </c>
      <c r="F19" s="82"/>
      <c r="G19" s="84"/>
      <c r="H19" s="84"/>
      <c r="I19" s="109">
        <v>360000</v>
      </c>
      <c r="J19" s="110">
        <f ca="1" t="shared" si="11"/>
        <v>0</v>
      </c>
      <c r="K19" s="111">
        <f ca="1" t="shared" si="6"/>
        <v>0</v>
      </c>
      <c r="L19" s="112"/>
      <c r="M19" s="83"/>
      <c r="N19" s="83"/>
      <c r="O19" s="83"/>
      <c r="P19" s="83">
        <f t="shared" si="9"/>
        <v>0</v>
      </c>
      <c r="Q19" s="83"/>
      <c r="R19" s="83"/>
      <c r="S19" s="111">
        <f ca="1" t="shared" si="12"/>
        <v>0</v>
      </c>
      <c r="T19" s="82"/>
      <c r="U19" s="134"/>
      <c r="V19" s="134"/>
    </row>
    <row r="20" ht="22.15" customHeight="1" outlineLevel="1" spans="1:22">
      <c r="A20" s="80" t="s">
        <v>1694</v>
      </c>
      <c r="B20" s="81"/>
      <c r="C20" s="82" t="s">
        <v>1686</v>
      </c>
      <c r="D20" s="82" t="s">
        <v>1645</v>
      </c>
      <c r="E20" s="83" t="s">
        <v>2976</v>
      </c>
      <c r="F20" s="82"/>
      <c r="G20" s="84"/>
      <c r="H20" s="84"/>
      <c r="I20" s="109">
        <v>550000</v>
      </c>
      <c r="J20" s="110">
        <f ca="1" t="shared" si="11"/>
        <v>0</v>
      </c>
      <c r="K20" s="115">
        <f ca="1" t="shared" si="6"/>
        <v>0</v>
      </c>
      <c r="L20" s="112"/>
      <c r="M20" s="83">
        <v>520162.6</v>
      </c>
      <c r="N20" s="83"/>
      <c r="O20" s="83"/>
      <c r="P20" s="83">
        <f t="shared" si="9"/>
        <v>520162.6</v>
      </c>
      <c r="Q20" s="83">
        <f t="shared" ref="Q20:S20" si="13">SUM(Q21:Q23)</f>
        <v>0</v>
      </c>
      <c r="R20" s="83">
        <f t="shared" si="13"/>
        <v>0</v>
      </c>
      <c r="S20" s="111">
        <f ca="1" t="shared" si="13"/>
        <v>-1716868.52</v>
      </c>
      <c r="T20" s="82"/>
      <c r="U20" s="134"/>
      <c r="V20" s="134"/>
    </row>
    <row r="21" ht="22.15" customHeight="1" spans="1:22">
      <c r="A21" s="80" t="s">
        <v>1696</v>
      </c>
      <c r="B21" s="81"/>
      <c r="C21" s="82" t="s">
        <v>1697</v>
      </c>
      <c r="D21" s="82" t="s">
        <v>1697</v>
      </c>
      <c r="E21" s="83"/>
      <c r="F21" s="82"/>
      <c r="G21" s="84"/>
      <c r="H21" s="84"/>
      <c r="I21" s="109">
        <f>SUMPRODUCT((LEFT($A22:$A$51,LEN($A21))=$A21)*1,(LEN($A22:$A$51)=LEN($A21)+3)*1,I22:I$51)</f>
        <v>2394000</v>
      </c>
      <c r="J21" s="110">
        <f ca="1" t="shared" si="11"/>
        <v>0</v>
      </c>
      <c r="K21" s="111">
        <f ca="1" t="shared" si="6"/>
        <v>0</v>
      </c>
      <c r="L21" s="112"/>
      <c r="M21" s="83">
        <f>M22+M23</f>
        <v>858434.26</v>
      </c>
      <c r="N21" s="83">
        <f>N22+N23</f>
        <v>0</v>
      </c>
      <c r="O21" s="83"/>
      <c r="P21" s="83">
        <f t="shared" si="9"/>
        <v>858434.26</v>
      </c>
      <c r="Q21" s="83"/>
      <c r="R21" s="83"/>
      <c r="S21" s="111">
        <f ca="1" t="shared" ref="S21:S26" si="14">-P21+K21</f>
        <v>-858434.26</v>
      </c>
      <c r="T21" s="82"/>
      <c r="U21" s="134"/>
      <c r="V21" s="134"/>
    </row>
    <row r="22" ht="22.15" customHeight="1" outlineLevel="1" spans="1:22">
      <c r="A22" s="80" t="s">
        <v>1698</v>
      </c>
      <c r="B22" s="81"/>
      <c r="C22" s="82" t="s">
        <v>1697</v>
      </c>
      <c r="D22" s="82" t="s">
        <v>1699</v>
      </c>
      <c r="E22" s="83"/>
      <c r="F22" s="82"/>
      <c r="G22" s="84"/>
      <c r="H22" s="84"/>
      <c r="I22" s="109">
        <v>640000</v>
      </c>
      <c r="J22" s="110">
        <f ca="1" t="shared" si="11"/>
        <v>0</v>
      </c>
      <c r="K22" s="111">
        <f ca="1" t="shared" si="6"/>
        <v>0</v>
      </c>
      <c r="L22" s="112"/>
      <c r="M22" s="114">
        <v>474371.32</v>
      </c>
      <c r="N22" s="83"/>
      <c r="O22" s="83"/>
      <c r="P22" s="83">
        <f t="shared" si="9"/>
        <v>474371.32</v>
      </c>
      <c r="Q22" s="83"/>
      <c r="R22" s="83"/>
      <c r="S22" s="111">
        <f ca="1" t="shared" si="14"/>
        <v>-474371.32</v>
      </c>
      <c r="T22" s="82"/>
      <c r="U22" s="134"/>
      <c r="V22" s="134"/>
    </row>
    <row r="23" ht="22.15" customHeight="1" outlineLevel="1" spans="1:22">
      <c r="A23" s="80" t="s">
        <v>1700</v>
      </c>
      <c r="B23" s="81"/>
      <c r="C23" s="82" t="s">
        <v>1697</v>
      </c>
      <c r="D23" s="82" t="s">
        <v>1701</v>
      </c>
      <c r="E23" s="83"/>
      <c r="F23" s="82"/>
      <c r="G23" s="84"/>
      <c r="H23" s="84"/>
      <c r="I23" s="109">
        <v>1754000</v>
      </c>
      <c r="J23" s="110">
        <f ca="1" t="shared" si="11"/>
        <v>0</v>
      </c>
      <c r="K23" s="111">
        <f ca="1" t="shared" si="6"/>
        <v>0</v>
      </c>
      <c r="L23" s="112"/>
      <c r="M23" s="116">
        <v>384062.94</v>
      </c>
      <c r="N23" s="83"/>
      <c r="O23" s="83"/>
      <c r="P23" s="83">
        <f t="shared" si="9"/>
        <v>384062.94</v>
      </c>
      <c r="Q23" s="83"/>
      <c r="R23" s="83"/>
      <c r="S23" s="111">
        <f ca="1" t="shared" si="14"/>
        <v>-384062.94</v>
      </c>
      <c r="T23" s="82"/>
      <c r="U23" s="134"/>
      <c r="V23" s="134"/>
    </row>
    <row r="24" ht="22.15" customHeight="1" spans="1:22">
      <c r="A24" s="80" t="s">
        <v>1702</v>
      </c>
      <c r="B24" s="81"/>
      <c r="C24" s="82" t="s">
        <v>1703</v>
      </c>
      <c r="D24" s="82" t="s">
        <v>1703</v>
      </c>
      <c r="E24" s="83"/>
      <c r="F24" s="82"/>
      <c r="G24" s="84"/>
      <c r="H24" s="84"/>
      <c r="I24" s="109">
        <f>SUMPRODUCT((LEFT($A25:$A$51,LEN($A24))=$A24)*1,(LEN($A25:$A$51)=LEN($A24)+3)*1,I25:I$51)</f>
        <v>2700500</v>
      </c>
      <c r="J24" s="110">
        <f ca="1" t="shared" si="11"/>
        <v>0</v>
      </c>
      <c r="K24" s="111">
        <f ca="1" t="shared" si="6"/>
        <v>0</v>
      </c>
      <c r="L24" s="112"/>
      <c r="M24" s="83">
        <f>SUM(M25:M26)</f>
        <v>623216.4</v>
      </c>
      <c r="N24" s="83">
        <f ca="1">SUM(N25:N26)</f>
        <v>0</v>
      </c>
      <c r="O24" s="83"/>
      <c r="P24" s="83">
        <f ca="1" t="shared" si="9"/>
        <v>623216.4</v>
      </c>
      <c r="Q24" s="83"/>
      <c r="R24" s="83"/>
      <c r="S24" s="111">
        <f ca="1" t="shared" si="14"/>
        <v>-623216.4</v>
      </c>
      <c r="T24" s="82"/>
      <c r="U24" s="134"/>
      <c r="V24" s="134"/>
    </row>
    <row r="25" ht="22.15" customHeight="1" outlineLevel="1" spans="1:22">
      <c r="A25" s="80" t="s">
        <v>1704</v>
      </c>
      <c r="B25" s="81"/>
      <c r="C25" s="82" t="s">
        <v>1703</v>
      </c>
      <c r="D25" s="82" t="s">
        <v>1703</v>
      </c>
      <c r="E25" s="83" t="s">
        <v>1705</v>
      </c>
      <c r="F25" s="82"/>
      <c r="G25" s="84"/>
      <c r="H25" s="84"/>
      <c r="I25" s="109">
        <v>2700500</v>
      </c>
      <c r="J25" s="110">
        <f ca="1" t="shared" si="11"/>
        <v>0</v>
      </c>
      <c r="K25" s="111">
        <f ca="1" t="shared" si="6"/>
        <v>0</v>
      </c>
      <c r="L25" s="112"/>
      <c r="M25" s="83">
        <v>623216.4</v>
      </c>
      <c r="N25" s="83"/>
      <c r="O25" s="83"/>
      <c r="P25" s="83">
        <f t="shared" si="9"/>
        <v>623216.4</v>
      </c>
      <c r="Q25" s="83"/>
      <c r="R25" s="83"/>
      <c r="S25" s="111">
        <f ca="1" t="shared" si="14"/>
        <v>-623216.4</v>
      </c>
      <c r="T25" s="82"/>
      <c r="U25" s="134"/>
      <c r="V25" s="134"/>
    </row>
    <row r="26" ht="22.15" customHeight="1" outlineLevel="1" spans="1:22">
      <c r="A26" s="80" t="s">
        <v>1707</v>
      </c>
      <c r="B26" s="81"/>
      <c r="C26" s="82" t="s">
        <v>1708</v>
      </c>
      <c r="D26" s="82"/>
      <c r="E26" s="83"/>
      <c r="F26" s="82"/>
      <c r="G26" s="84"/>
      <c r="H26" s="84"/>
      <c r="I26" s="109">
        <v>0</v>
      </c>
      <c r="J26" s="110">
        <f ca="1" t="shared" si="11"/>
        <v>0</v>
      </c>
      <c r="K26" s="111">
        <f ca="1" t="shared" si="6"/>
        <v>0</v>
      </c>
      <c r="L26" s="112"/>
      <c r="M26" s="83"/>
      <c r="N26" s="83">
        <f ca="1">-M26*(1-完成比例)</f>
        <v>0</v>
      </c>
      <c r="O26" s="83"/>
      <c r="P26" s="83">
        <f ca="1" t="shared" si="9"/>
        <v>0</v>
      </c>
      <c r="Q26" s="83"/>
      <c r="R26" s="83"/>
      <c r="S26" s="111">
        <f ca="1" t="shared" si="14"/>
        <v>0</v>
      </c>
      <c r="T26" s="82"/>
      <c r="U26" s="134"/>
      <c r="V26" s="134"/>
    </row>
    <row r="27" ht="22.15" customHeight="1" spans="1:22">
      <c r="A27" s="80" t="s">
        <v>1710</v>
      </c>
      <c r="B27" s="81"/>
      <c r="C27" s="82" t="s">
        <v>1711</v>
      </c>
      <c r="D27" s="82" t="s">
        <v>1711</v>
      </c>
      <c r="E27" s="83"/>
      <c r="F27" s="82"/>
      <c r="G27" s="84"/>
      <c r="H27" s="84"/>
      <c r="I27" s="109">
        <f>SUMPRODUCT((LEFT($A28:$A$51,LEN($A27))=$A27)*1,(LEN($A28:$A$51)=LEN($A27)+3)*1,I28:I$51)</f>
        <v>2254599.98</v>
      </c>
      <c r="J27" s="110"/>
      <c r="K27" s="115">
        <f ca="1" t="shared" ref="K27:N27" si="15">SUM(K28:K30)</f>
        <v>0</v>
      </c>
      <c r="L27" s="112"/>
      <c r="M27" s="83">
        <f t="shared" si="15"/>
        <v>2254599.98</v>
      </c>
      <c r="N27" s="83">
        <f ca="1" t="shared" si="15"/>
        <v>-2254599.98</v>
      </c>
      <c r="O27" s="83"/>
      <c r="P27" s="83">
        <f ca="1" t="shared" si="9"/>
        <v>0</v>
      </c>
      <c r="Q27" s="83">
        <f t="shared" ref="Q27:S27" si="16">SUM(Q28:Q29)</f>
        <v>0</v>
      </c>
      <c r="R27" s="83">
        <f t="shared" si="16"/>
        <v>0</v>
      </c>
      <c r="S27" s="111">
        <f ca="1" t="shared" si="16"/>
        <v>0</v>
      </c>
      <c r="T27" s="82"/>
      <c r="U27" s="134"/>
      <c r="V27" s="134"/>
    </row>
    <row r="28" ht="22.15" customHeight="1" outlineLevel="1" spans="1:22">
      <c r="A28" s="80" t="s">
        <v>1712</v>
      </c>
      <c r="B28" s="81"/>
      <c r="C28" s="82" t="s">
        <v>1711</v>
      </c>
      <c r="D28" s="82" t="s">
        <v>1713</v>
      </c>
      <c r="E28" s="83"/>
      <c r="F28" s="82"/>
      <c r="G28" s="84"/>
      <c r="H28" s="84"/>
      <c r="I28" s="109">
        <v>0</v>
      </c>
      <c r="J28" s="110">
        <f ca="1">完成比例</f>
        <v>0</v>
      </c>
      <c r="K28" s="111">
        <f ca="1" t="shared" ref="K28:K31" si="17">+I28*J28</f>
        <v>0</v>
      </c>
      <c r="L28" s="112"/>
      <c r="M28" s="83"/>
      <c r="N28" s="83">
        <f ca="1">-M28*(1-完成比例)</f>
        <v>0</v>
      </c>
      <c r="O28" s="83"/>
      <c r="P28" s="83">
        <f ca="1" t="shared" si="9"/>
        <v>0</v>
      </c>
      <c r="Q28" s="83"/>
      <c r="R28" s="83"/>
      <c r="S28" s="111">
        <f ca="1" t="shared" ref="S28:S31" si="18">-P28+K28</f>
        <v>0</v>
      </c>
      <c r="T28" s="135" t="s">
        <v>2977</v>
      </c>
      <c r="U28" s="134"/>
      <c r="V28" s="134"/>
    </row>
    <row r="29" ht="22.15" customHeight="1" outlineLevel="1" spans="1:22">
      <c r="A29" s="80" t="s">
        <v>1715</v>
      </c>
      <c r="B29" s="81"/>
      <c r="C29" s="82" t="s">
        <v>1711</v>
      </c>
      <c r="D29" s="82" t="s">
        <v>1716</v>
      </c>
      <c r="E29" s="83"/>
      <c r="F29" s="82"/>
      <c r="G29" s="84"/>
      <c r="H29" s="84"/>
      <c r="I29" s="109">
        <v>1094466.01</v>
      </c>
      <c r="J29" s="110">
        <f ca="1">完成比例</f>
        <v>0</v>
      </c>
      <c r="K29" s="111">
        <f ca="1" t="shared" si="17"/>
        <v>0</v>
      </c>
      <c r="L29" s="112"/>
      <c r="M29" s="83">
        <v>1094466.01</v>
      </c>
      <c r="N29" s="83">
        <f ca="1">-M29*(1-完成比例)</f>
        <v>-1094466.01</v>
      </c>
      <c r="O29" s="83"/>
      <c r="P29" s="83">
        <f ca="1" t="shared" si="9"/>
        <v>0</v>
      </c>
      <c r="Q29" s="83"/>
      <c r="R29" s="83"/>
      <c r="S29" s="111">
        <f ca="1" t="shared" si="18"/>
        <v>0</v>
      </c>
      <c r="T29" s="136"/>
      <c r="U29" s="134"/>
      <c r="V29" s="134"/>
    </row>
    <row r="30" ht="22.15" customHeight="1" outlineLevel="1" spans="1:22">
      <c r="A30" s="80" t="s">
        <v>1717</v>
      </c>
      <c r="B30" s="81"/>
      <c r="C30" s="82" t="s">
        <v>1711</v>
      </c>
      <c r="D30" s="82" t="s">
        <v>1718</v>
      </c>
      <c r="E30" s="83"/>
      <c r="F30" s="82"/>
      <c r="G30" s="84"/>
      <c r="H30" s="84"/>
      <c r="I30" s="109">
        <v>1160133.97</v>
      </c>
      <c r="J30" s="110">
        <f ca="1">完成比例</f>
        <v>0</v>
      </c>
      <c r="K30" s="111">
        <f ca="1" t="shared" si="17"/>
        <v>0</v>
      </c>
      <c r="L30" s="112"/>
      <c r="M30" s="83">
        <v>1160133.97</v>
      </c>
      <c r="N30" s="83">
        <f ca="1">-M30*(1-完成比例)</f>
        <v>-1160133.97</v>
      </c>
      <c r="O30" s="83"/>
      <c r="P30" s="83">
        <f ca="1" t="shared" si="9"/>
        <v>0</v>
      </c>
      <c r="Q30" s="83">
        <f t="shared" ref="Q30:S30" si="19">SUM(Q31:Q34)</f>
        <v>0</v>
      </c>
      <c r="R30" s="83">
        <f t="shared" si="19"/>
        <v>0</v>
      </c>
      <c r="S30" s="111">
        <f ca="1" t="shared" si="19"/>
        <v>-8552.42</v>
      </c>
      <c r="T30" s="137"/>
      <c r="U30" s="134"/>
      <c r="V30" s="134"/>
    </row>
    <row r="31" ht="22.15" customHeight="1" spans="1:22">
      <c r="A31" s="80" t="s">
        <v>1719</v>
      </c>
      <c r="B31" s="81"/>
      <c r="C31" s="82" t="s">
        <v>1720</v>
      </c>
      <c r="D31" s="82" t="s">
        <v>1720</v>
      </c>
      <c r="E31" s="83" t="s">
        <v>1721</v>
      </c>
      <c r="F31" s="82"/>
      <c r="G31" s="84"/>
      <c r="H31" s="84"/>
      <c r="I31" s="109"/>
      <c r="J31" s="110">
        <f ca="1">完成比例</f>
        <v>0</v>
      </c>
      <c r="K31" s="111">
        <f ca="1" t="shared" si="17"/>
        <v>0</v>
      </c>
      <c r="L31" s="112"/>
      <c r="M31" s="83">
        <f>M32</f>
        <v>8552.42</v>
      </c>
      <c r="N31" s="83">
        <f>SUM(N32)</f>
        <v>0</v>
      </c>
      <c r="O31" s="83"/>
      <c r="P31" s="83">
        <f>P32</f>
        <v>8552.42</v>
      </c>
      <c r="Q31" s="83"/>
      <c r="R31" s="83"/>
      <c r="S31" s="111">
        <f ca="1" t="shared" si="18"/>
        <v>-8552.42</v>
      </c>
      <c r="T31" s="82"/>
      <c r="U31" s="134"/>
      <c r="V31" s="134"/>
    </row>
    <row r="32" ht="22.15" customHeight="1" spans="1:22">
      <c r="A32" s="80"/>
      <c r="B32" s="81"/>
      <c r="C32" s="82"/>
      <c r="D32" s="82" t="s">
        <v>2978</v>
      </c>
      <c r="E32" s="83"/>
      <c r="F32" s="82"/>
      <c r="G32" s="84"/>
      <c r="H32" s="84"/>
      <c r="I32" s="109"/>
      <c r="J32" s="110"/>
      <c r="K32" s="111"/>
      <c r="L32" s="112"/>
      <c r="M32" s="83">
        <v>8552.42</v>
      </c>
      <c r="N32" s="83"/>
      <c r="O32" s="83"/>
      <c r="P32" s="83">
        <f t="shared" ref="P32:P51" si="20">+M32+N32</f>
        <v>8552.42</v>
      </c>
      <c r="Q32" s="83"/>
      <c r="R32" s="83"/>
      <c r="S32" s="111"/>
      <c r="T32" s="82"/>
      <c r="U32" s="134"/>
      <c r="V32" s="134"/>
    </row>
    <row r="33" ht="22.15" customHeight="1" spans="1:22">
      <c r="A33" s="80" t="s">
        <v>1722</v>
      </c>
      <c r="B33" s="81"/>
      <c r="C33" s="82" t="s">
        <v>1723</v>
      </c>
      <c r="D33" s="82" t="s">
        <v>1723</v>
      </c>
      <c r="E33" s="83"/>
      <c r="F33" s="82"/>
      <c r="G33" s="84"/>
      <c r="H33" s="84"/>
      <c r="I33" s="109">
        <f>SUMPRODUCT((LEFT($A34:$A$51,LEN($A33))=$A33)*1,(LEN($A34:$A$51)=LEN($A33)+3)*1,I34:I$51)</f>
        <v>1500000</v>
      </c>
      <c r="J33" s="110">
        <f ca="1">完成比例</f>
        <v>0</v>
      </c>
      <c r="K33" s="111">
        <f ca="1" t="shared" ref="K33:K44" si="21">+I33*J33</f>
        <v>0</v>
      </c>
      <c r="L33" s="112"/>
      <c r="M33" s="83">
        <f>M34</f>
        <v>308946.44</v>
      </c>
      <c r="N33" s="83">
        <f ca="1">N34</f>
        <v>-308946.44</v>
      </c>
      <c r="O33" s="83"/>
      <c r="P33" s="83">
        <f ca="1" t="shared" si="20"/>
        <v>0</v>
      </c>
      <c r="Q33" s="83"/>
      <c r="R33" s="83"/>
      <c r="S33" s="111">
        <f ca="1" t="shared" ref="S33:S37" si="22">-P33+K33</f>
        <v>0</v>
      </c>
      <c r="T33" s="82"/>
      <c r="U33" s="134"/>
      <c r="V33" s="134"/>
    </row>
    <row r="34" ht="22.15" customHeight="1" outlineLevel="1" spans="1:22">
      <c r="A34" s="80" t="s">
        <v>1724</v>
      </c>
      <c r="B34" s="81"/>
      <c r="C34" s="82" t="s">
        <v>1723</v>
      </c>
      <c r="D34" s="82" t="s">
        <v>1725</v>
      </c>
      <c r="E34" s="83"/>
      <c r="F34" s="82"/>
      <c r="G34" s="84"/>
      <c r="H34" s="84"/>
      <c r="I34" s="109">
        <v>1500000</v>
      </c>
      <c r="J34" s="110">
        <f ca="1">完成比例</f>
        <v>0</v>
      </c>
      <c r="K34" s="111">
        <f ca="1" t="shared" si="21"/>
        <v>0</v>
      </c>
      <c r="L34" s="112"/>
      <c r="M34" s="83">
        <v>308946.44</v>
      </c>
      <c r="N34" s="83">
        <f ca="1">-M34*(1-完成比例)</f>
        <v>-308946.44</v>
      </c>
      <c r="O34" s="83"/>
      <c r="P34" s="83">
        <f ca="1" t="shared" si="20"/>
        <v>0</v>
      </c>
      <c r="Q34" s="83"/>
      <c r="R34" s="83"/>
      <c r="S34" s="111">
        <f ca="1" t="shared" si="22"/>
        <v>0</v>
      </c>
      <c r="T34" s="82" t="s">
        <v>2977</v>
      </c>
      <c r="U34" s="134"/>
      <c r="V34" s="134"/>
    </row>
    <row r="35" ht="22.15" customHeight="1" spans="1:22">
      <c r="A35" s="80" t="s">
        <v>1726</v>
      </c>
      <c r="B35" s="81"/>
      <c r="C35" s="82" t="s">
        <v>1727</v>
      </c>
      <c r="D35" s="82" t="s">
        <v>1727</v>
      </c>
      <c r="E35" s="83"/>
      <c r="F35" s="82"/>
      <c r="G35" s="84"/>
      <c r="H35" s="84"/>
      <c r="I35" s="109">
        <f>SUMPRODUCT((LEFT($A36:$A$51,LEN($A35))=$A35)*1,(LEN($A36:$A$51)=LEN($A35)+3)*1,I36:I$51)</f>
        <v>597017.5</v>
      </c>
      <c r="J35" s="110"/>
      <c r="K35" s="111">
        <f ca="1">SUM(K36:K38)</f>
        <v>0</v>
      </c>
      <c r="L35" s="112"/>
      <c r="M35" s="83">
        <f>M36+M37+M38</f>
        <v>406083.5</v>
      </c>
      <c r="N35" s="83">
        <f ca="1">N36+N37+N38</f>
        <v>-406083.5</v>
      </c>
      <c r="O35" s="83"/>
      <c r="P35" s="83">
        <f ca="1" t="shared" si="20"/>
        <v>0</v>
      </c>
      <c r="Q35" s="83">
        <f t="shared" ref="Q35:S35" si="23">SUM(Q36:Q37)</f>
        <v>0</v>
      </c>
      <c r="R35" s="83">
        <f t="shared" si="23"/>
        <v>0</v>
      </c>
      <c r="S35" s="111">
        <f ca="1" t="shared" si="23"/>
        <v>0</v>
      </c>
      <c r="T35" s="82"/>
      <c r="U35" s="134"/>
      <c r="V35" s="134"/>
    </row>
    <row r="36" ht="22.15" customHeight="1" outlineLevel="1" spans="1:22">
      <c r="A36" s="80" t="s">
        <v>1728</v>
      </c>
      <c r="B36" s="81"/>
      <c r="C36" s="82" t="s">
        <v>1727</v>
      </c>
      <c r="D36" s="82" t="s">
        <v>1729</v>
      </c>
      <c r="E36" s="83"/>
      <c r="F36" s="82"/>
      <c r="G36" s="84"/>
      <c r="H36" s="84"/>
      <c r="I36" s="109">
        <v>397017.5</v>
      </c>
      <c r="J36" s="110">
        <f ca="1" t="shared" ref="J36:J44" si="24">完成比例</f>
        <v>0</v>
      </c>
      <c r="K36" s="111">
        <f ca="1" t="shared" si="21"/>
        <v>0</v>
      </c>
      <c r="L36" s="112"/>
      <c r="M36" s="83">
        <v>397017.5</v>
      </c>
      <c r="N36" s="83">
        <f ca="1">-M36*(1-完成比例)</f>
        <v>-397017.5</v>
      </c>
      <c r="O36" s="83"/>
      <c r="P36" s="83">
        <f ca="1" t="shared" si="20"/>
        <v>0</v>
      </c>
      <c r="Q36" s="83"/>
      <c r="R36" s="83"/>
      <c r="S36" s="111">
        <f ca="1" t="shared" si="22"/>
        <v>0</v>
      </c>
      <c r="T36" s="135" t="s">
        <v>2977</v>
      </c>
      <c r="U36" s="134"/>
      <c r="V36" s="134"/>
    </row>
    <row r="37" ht="22.15" customHeight="1" outlineLevel="1" spans="1:22">
      <c r="A37" s="80" t="s">
        <v>1730</v>
      </c>
      <c r="B37" s="81"/>
      <c r="C37" s="82" t="s">
        <v>1727</v>
      </c>
      <c r="D37" s="82" t="s">
        <v>1731</v>
      </c>
      <c r="E37" s="83" t="s">
        <v>1732</v>
      </c>
      <c r="F37" s="82"/>
      <c r="G37" s="84"/>
      <c r="H37" s="84"/>
      <c r="I37" s="109">
        <v>0</v>
      </c>
      <c r="J37" s="110">
        <f ca="1" t="shared" si="24"/>
        <v>0</v>
      </c>
      <c r="K37" s="111">
        <f ca="1" t="shared" si="21"/>
        <v>0</v>
      </c>
      <c r="L37" s="112"/>
      <c r="M37" s="83"/>
      <c r="N37" s="83">
        <f ca="1">-M37*(1-完成比例)</f>
        <v>0</v>
      </c>
      <c r="O37" s="83"/>
      <c r="P37" s="83">
        <f ca="1" t="shared" si="20"/>
        <v>0</v>
      </c>
      <c r="Q37" s="83"/>
      <c r="R37" s="83"/>
      <c r="S37" s="111">
        <f ca="1" t="shared" si="22"/>
        <v>0</v>
      </c>
      <c r="T37" s="136"/>
      <c r="U37" s="134"/>
      <c r="V37" s="134"/>
    </row>
    <row r="38" ht="22.15" customHeight="1" outlineLevel="1" spans="1:22">
      <c r="A38" s="80" t="s">
        <v>1733</v>
      </c>
      <c r="B38" s="81"/>
      <c r="C38" s="82" t="s">
        <v>1727</v>
      </c>
      <c r="D38" s="82" t="s">
        <v>1734</v>
      </c>
      <c r="E38" s="83"/>
      <c r="F38" s="82"/>
      <c r="G38" s="84"/>
      <c r="H38" s="84"/>
      <c r="I38" s="109">
        <v>200000</v>
      </c>
      <c r="J38" s="110">
        <f ca="1" t="shared" si="24"/>
        <v>0</v>
      </c>
      <c r="K38" s="111">
        <f ca="1" t="shared" si="21"/>
        <v>0</v>
      </c>
      <c r="L38" s="112"/>
      <c r="M38" s="83">
        <v>9066</v>
      </c>
      <c r="N38" s="83">
        <f ca="1">-M38*(1-完成比例)</f>
        <v>-9066</v>
      </c>
      <c r="O38" s="83"/>
      <c r="P38" s="83">
        <f ca="1" t="shared" si="20"/>
        <v>0</v>
      </c>
      <c r="Q38" s="83">
        <f t="shared" ref="Q38:S38" si="25">SUM(Q39:Q42)</f>
        <v>0</v>
      </c>
      <c r="R38" s="83">
        <f t="shared" si="25"/>
        <v>0</v>
      </c>
      <c r="S38" s="111">
        <f ca="1" t="shared" si="25"/>
        <v>-3413376.66</v>
      </c>
      <c r="T38" s="137"/>
      <c r="U38" s="134"/>
      <c r="V38" s="134"/>
    </row>
    <row r="39" ht="22.15" customHeight="1" spans="1:22">
      <c r="A39" s="80" t="s">
        <v>1735</v>
      </c>
      <c r="B39" s="81"/>
      <c r="C39" s="82" t="s">
        <v>1736</v>
      </c>
      <c r="D39" s="82" t="s">
        <v>1736</v>
      </c>
      <c r="E39" s="83" t="s">
        <v>1737</v>
      </c>
      <c r="F39" s="82"/>
      <c r="G39" s="84"/>
      <c r="H39" s="84"/>
      <c r="I39" s="109">
        <f>SUMPRODUCT((LEFT($A40:$A$51,LEN($A39))=$A39)*1,(LEN($A40:$A$51)=LEN($A39)+3)*1,I40:I$51)</f>
        <v>3680238.56</v>
      </c>
      <c r="J39" s="110">
        <f ca="1" t="shared" si="24"/>
        <v>0</v>
      </c>
      <c r="K39" s="111">
        <f ca="1" t="shared" si="21"/>
        <v>0</v>
      </c>
      <c r="L39" s="112"/>
      <c r="M39" s="83">
        <f>M40+M41+M42</f>
        <v>1706688.33</v>
      </c>
      <c r="N39" s="83">
        <f>N40+N41+N42</f>
        <v>0</v>
      </c>
      <c r="O39" s="83"/>
      <c r="P39" s="83">
        <f t="shared" si="20"/>
        <v>1706688.33</v>
      </c>
      <c r="Q39" s="83"/>
      <c r="R39" s="83"/>
      <c r="S39" s="111">
        <f ca="1" t="shared" ref="S39:S45" si="26">-P39+K39</f>
        <v>-1706688.33</v>
      </c>
      <c r="T39" s="82"/>
      <c r="U39" s="134"/>
      <c r="V39" s="134"/>
    </row>
    <row r="40" ht="22.15" customHeight="1" outlineLevel="1" spans="1:22">
      <c r="A40" s="80" t="s">
        <v>1738</v>
      </c>
      <c r="B40" s="81"/>
      <c r="C40" s="82" t="s">
        <v>1736</v>
      </c>
      <c r="D40" s="82" t="s">
        <v>1739</v>
      </c>
      <c r="E40" s="83"/>
      <c r="F40" s="82"/>
      <c r="G40" s="84"/>
      <c r="H40" s="84"/>
      <c r="I40" s="109">
        <v>2080000</v>
      </c>
      <c r="J40" s="110">
        <f ca="1" t="shared" si="24"/>
        <v>0</v>
      </c>
      <c r="K40" s="111">
        <f ca="1" t="shared" si="21"/>
        <v>0</v>
      </c>
      <c r="L40" s="112"/>
      <c r="M40" s="83">
        <v>233019.33</v>
      </c>
      <c r="N40" s="83"/>
      <c r="O40" s="83"/>
      <c r="P40" s="83">
        <f t="shared" si="20"/>
        <v>233019.33</v>
      </c>
      <c r="Q40" s="83"/>
      <c r="R40" s="83"/>
      <c r="S40" s="111">
        <f ca="1" t="shared" si="26"/>
        <v>-233019.33</v>
      </c>
      <c r="T40" s="82"/>
      <c r="U40" s="134"/>
      <c r="V40" s="134"/>
    </row>
    <row r="41" ht="22.15" customHeight="1" outlineLevel="1" spans="1:22">
      <c r="A41" s="80" t="s">
        <v>1740</v>
      </c>
      <c r="B41" s="81"/>
      <c r="C41" s="82" t="s">
        <v>1736</v>
      </c>
      <c r="D41" s="82" t="s">
        <v>1741</v>
      </c>
      <c r="E41" s="83"/>
      <c r="F41" s="82"/>
      <c r="G41" s="84"/>
      <c r="H41" s="84"/>
      <c r="I41" s="109">
        <v>1600238.56</v>
      </c>
      <c r="J41" s="110">
        <f ca="1" t="shared" si="24"/>
        <v>0</v>
      </c>
      <c r="K41" s="111">
        <f ca="1" t="shared" si="21"/>
        <v>0</v>
      </c>
      <c r="L41" s="112"/>
      <c r="M41" s="114">
        <v>1665238.56</v>
      </c>
      <c r="N41" s="83"/>
      <c r="O41" s="83"/>
      <c r="P41" s="83">
        <f t="shared" si="20"/>
        <v>1665238.56</v>
      </c>
      <c r="Q41" s="83"/>
      <c r="R41" s="83"/>
      <c r="S41" s="111">
        <f ca="1" t="shared" si="26"/>
        <v>-1665238.56</v>
      </c>
      <c r="T41" s="82"/>
      <c r="U41" s="134"/>
      <c r="V41" s="134"/>
    </row>
    <row r="42" ht="22.15" customHeight="1" outlineLevel="1" spans="1:22">
      <c r="A42" s="80" t="s">
        <v>1742</v>
      </c>
      <c r="B42" s="81"/>
      <c r="C42" s="82" t="s">
        <v>1736</v>
      </c>
      <c r="D42" s="82" t="s">
        <v>1743</v>
      </c>
      <c r="E42" s="83"/>
      <c r="F42" s="82"/>
      <c r="G42" s="84"/>
      <c r="H42" s="84"/>
      <c r="I42" s="109"/>
      <c r="J42" s="110">
        <f ca="1" t="shared" si="24"/>
        <v>0</v>
      </c>
      <c r="K42" s="111">
        <f ca="1" t="shared" si="21"/>
        <v>0</v>
      </c>
      <c r="L42" s="112"/>
      <c r="M42" s="116">
        <v>-191569.56</v>
      </c>
      <c r="N42" s="83"/>
      <c r="O42" s="83"/>
      <c r="P42" s="83">
        <f t="shared" si="20"/>
        <v>-191569.56</v>
      </c>
      <c r="Q42" s="83"/>
      <c r="R42" s="83"/>
      <c r="S42" s="111">
        <f ca="1" t="shared" si="26"/>
        <v>191569.56</v>
      </c>
      <c r="T42" s="82"/>
      <c r="U42" s="134"/>
      <c r="V42" s="134"/>
    </row>
    <row r="43" ht="22.15" customHeight="1" spans="1:22">
      <c r="A43" s="80" t="s">
        <v>1744</v>
      </c>
      <c r="B43" s="81"/>
      <c r="C43" s="82" t="s">
        <v>1745</v>
      </c>
      <c r="D43" s="82" t="s">
        <v>1746</v>
      </c>
      <c r="E43" s="83"/>
      <c r="F43" s="82"/>
      <c r="G43" s="84"/>
      <c r="H43" s="84"/>
      <c r="I43" s="109">
        <f>SUMPRODUCT((LEFT($A44:$A$51,LEN($A43))=$A43)*1,(LEN($A44:$A$51)=LEN($A43)+3)*1,I44:I$51)</f>
        <v>665301.8</v>
      </c>
      <c r="J43" s="110">
        <f ca="1" t="shared" si="24"/>
        <v>0</v>
      </c>
      <c r="K43" s="111">
        <f ca="1" t="shared" si="21"/>
        <v>0</v>
      </c>
      <c r="L43" s="112"/>
      <c r="M43" s="83">
        <f>M44+M45</f>
        <v>165567.3</v>
      </c>
      <c r="N43" s="83">
        <f>N44+N45</f>
        <v>0</v>
      </c>
      <c r="O43" s="83"/>
      <c r="P43" s="83">
        <f t="shared" si="20"/>
        <v>165567.3</v>
      </c>
      <c r="Q43" s="83"/>
      <c r="R43" s="83"/>
      <c r="S43" s="111">
        <f ca="1" t="shared" si="26"/>
        <v>-165567.3</v>
      </c>
      <c r="T43" s="82"/>
      <c r="U43" s="134"/>
      <c r="V43" s="134"/>
    </row>
    <row r="44" ht="22.15" customHeight="1" outlineLevel="1" spans="1:22">
      <c r="A44" s="80" t="s">
        <v>1747</v>
      </c>
      <c r="B44" s="81"/>
      <c r="C44" s="82" t="s">
        <v>1746</v>
      </c>
      <c r="D44" s="82" t="s">
        <v>1748</v>
      </c>
      <c r="E44" s="83" t="s">
        <v>1749</v>
      </c>
      <c r="F44" s="82"/>
      <c r="G44" s="84"/>
      <c r="H44" s="84"/>
      <c r="I44" s="117">
        <v>665301.8</v>
      </c>
      <c r="J44" s="110">
        <f ca="1" t="shared" si="24"/>
        <v>0</v>
      </c>
      <c r="K44" s="111">
        <f ca="1" t="shared" si="21"/>
        <v>0</v>
      </c>
      <c r="L44" s="112"/>
      <c r="M44" s="83">
        <v>165567.3</v>
      </c>
      <c r="N44" s="83"/>
      <c r="O44" s="83"/>
      <c r="P44" s="83">
        <f t="shared" si="20"/>
        <v>165567.3</v>
      </c>
      <c r="Q44" s="83"/>
      <c r="R44" s="83"/>
      <c r="S44" s="111">
        <f ca="1" t="shared" si="26"/>
        <v>-165567.3</v>
      </c>
      <c r="T44" s="82"/>
      <c r="U44" s="134"/>
      <c r="V44" s="134"/>
    </row>
    <row r="45" ht="20.1" customHeight="1" outlineLevel="1" spans="1:20">
      <c r="A45" s="85" t="s">
        <v>1750</v>
      </c>
      <c r="B45" s="83"/>
      <c r="C45" s="83" t="s">
        <v>1746</v>
      </c>
      <c r="D45" s="82" t="s">
        <v>1751</v>
      </c>
      <c r="E45" s="86"/>
      <c r="F45" s="82"/>
      <c r="G45" s="87"/>
      <c r="H45" s="87"/>
      <c r="I45" s="109"/>
      <c r="J45" s="118"/>
      <c r="K45" s="119"/>
      <c r="L45" s="118"/>
      <c r="M45" s="120"/>
      <c r="N45" s="83"/>
      <c r="O45" s="83"/>
      <c r="P45" s="83">
        <f t="shared" si="20"/>
        <v>0</v>
      </c>
      <c r="Q45" s="83"/>
      <c r="R45" s="83"/>
      <c r="S45" s="111">
        <f t="shared" si="26"/>
        <v>0</v>
      </c>
      <c r="T45" s="138"/>
    </row>
    <row r="46" ht="24" customHeight="1" spans="1:20">
      <c r="A46" s="80" t="s">
        <v>1752</v>
      </c>
      <c r="B46" s="81"/>
      <c r="C46" s="82" t="s">
        <v>1753</v>
      </c>
      <c r="D46" s="82" t="s">
        <v>1753</v>
      </c>
      <c r="E46" s="83"/>
      <c r="F46" s="82"/>
      <c r="G46" s="84"/>
      <c r="H46" s="84"/>
      <c r="I46" s="109">
        <f t="shared" ref="I46:N46" si="27">SUM(I47:I49)</f>
        <v>1659559.13</v>
      </c>
      <c r="J46" s="110">
        <v>0.0055</v>
      </c>
      <c r="K46" s="115">
        <f t="shared" ref="K46:K49" si="28">+I46*J46</f>
        <v>9127.575215</v>
      </c>
      <c r="L46" s="112"/>
      <c r="M46" s="83">
        <f t="shared" si="27"/>
        <v>587179.34</v>
      </c>
      <c r="N46" s="83">
        <f t="shared" si="27"/>
        <v>0</v>
      </c>
      <c r="O46" s="83"/>
      <c r="P46" s="83">
        <f t="shared" si="20"/>
        <v>587179.34</v>
      </c>
      <c r="Q46" s="83">
        <f>SUM(Q6:Q45)</f>
        <v>0</v>
      </c>
      <c r="R46" s="83">
        <f>SUM(R6:R45)</f>
        <v>0</v>
      </c>
      <c r="S46" s="111">
        <f ca="1">SUMIF($A$5:$A$45,"&lt;&gt;*.*",S5:S45)</f>
        <v>-55575305.68</v>
      </c>
      <c r="T46" s="82"/>
    </row>
    <row r="47" ht="24" customHeight="1" outlineLevel="1" spans="1:20">
      <c r="A47" s="80" t="s">
        <v>1754</v>
      </c>
      <c r="B47" s="81"/>
      <c r="C47" s="82" t="s">
        <v>1753</v>
      </c>
      <c r="D47" s="82" t="s">
        <v>1755</v>
      </c>
      <c r="E47" s="83"/>
      <c r="F47" s="82" t="s">
        <v>15</v>
      </c>
      <c r="G47" s="84"/>
      <c r="H47" s="84"/>
      <c r="I47" s="109">
        <v>1286804.18</v>
      </c>
      <c r="J47" s="110">
        <f ca="1">完成比例</f>
        <v>0</v>
      </c>
      <c r="K47" s="111">
        <f ca="1" t="shared" si="28"/>
        <v>0</v>
      </c>
      <c r="L47" s="112"/>
      <c r="M47" s="83">
        <v>203917.35</v>
      </c>
      <c r="N47" s="83"/>
      <c r="O47" s="83"/>
      <c r="P47" s="83">
        <f t="shared" si="20"/>
        <v>203917.35</v>
      </c>
      <c r="Q47" s="83">
        <f>SUMIF($C$45:$C45,"临时设施费",Q$45:Q45)</f>
        <v>0</v>
      </c>
      <c r="R47" s="83">
        <f>SUMIF($C$45:$C45,"临时设施费",R$45:R45)</f>
        <v>0</v>
      </c>
      <c r="S47" s="111">
        <f>SUMIF($C$45:$C45,"临时设施费",S$45:S45)</f>
        <v>0</v>
      </c>
      <c r="T47" s="82"/>
    </row>
    <row r="48" ht="24" customHeight="1" outlineLevel="1" spans="1:20">
      <c r="A48" s="80" t="s">
        <v>1757</v>
      </c>
      <c r="B48" s="81"/>
      <c r="C48" s="82" t="s">
        <v>1753</v>
      </c>
      <c r="D48" s="82" t="s">
        <v>1758</v>
      </c>
      <c r="E48" s="83"/>
      <c r="F48" s="82" t="s">
        <v>15</v>
      </c>
      <c r="G48" s="84"/>
      <c r="H48" s="84"/>
      <c r="I48" s="109">
        <v>372754.95</v>
      </c>
      <c r="J48" s="110">
        <f ca="1">完成比例</f>
        <v>0</v>
      </c>
      <c r="K48" s="111">
        <f ca="1" t="shared" si="28"/>
        <v>0</v>
      </c>
      <c r="L48" s="112"/>
      <c r="M48" s="83">
        <v>378021.66</v>
      </c>
      <c r="N48" s="83"/>
      <c r="O48" s="83"/>
      <c r="P48" s="83">
        <f t="shared" si="20"/>
        <v>378021.66</v>
      </c>
      <c r="Q48" s="83">
        <f>SUMIF($C$45:$C45,"安全生产费",Q$45:Q45)/2</f>
        <v>0</v>
      </c>
      <c r="R48" s="83">
        <f>SUMIF($C$45:$C45,"安全生产费",R$45:R45)/2</f>
        <v>0</v>
      </c>
      <c r="S48" s="111">
        <f>SUMIF($C$45:$C45,"安全生产费",S$45:S45)/2</f>
        <v>0</v>
      </c>
      <c r="T48" s="82"/>
    </row>
    <row r="49" ht="24" customHeight="1" outlineLevel="1" spans="1:20">
      <c r="A49" s="80" t="s">
        <v>1759</v>
      </c>
      <c r="B49" s="81"/>
      <c r="C49" s="82" t="s">
        <v>1753</v>
      </c>
      <c r="D49" s="82" t="s">
        <v>1760</v>
      </c>
      <c r="E49" s="83"/>
      <c r="F49" s="82" t="s">
        <v>15</v>
      </c>
      <c r="G49" s="84"/>
      <c r="H49" s="84"/>
      <c r="I49" s="109">
        <v>0</v>
      </c>
      <c r="J49" s="110">
        <f ca="1">完成比例</f>
        <v>0</v>
      </c>
      <c r="K49" s="111">
        <f ca="1" t="shared" si="28"/>
        <v>0</v>
      </c>
      <c r="L49" s="112"/>
      <c r="M49" s="121">
        <v>5240.33</v>
      </c>
      <c r="N49" s="83"/>
      <c r="O49" s="83"/>
      <c r="P49" s="83">
        <f t="shared" si="20"/>
        <v>5240.33</v>
      </c>
      <c r="Q49" s="83">
        <f t="shared" ref="Q49:S49" si="29">Q46-Q47-Q48</f>
        <v>0</v>
      </c>
      <c r="R49" s="83">
        <f t="shared" si="29"/>
        <v>0</v>
      </c>
      <c r="S49" s="111">
        <f ca="1" t="shared" si="29"/>
        <v>-55575305.68</v>
      </c>
      <c r="T49" s="82"/>
    </row>
    <row r="50" ht="39.75" customHeight="1" spans="1:20">
      <c r="A50" s="88" t="s">
        <v>1761</v>
      </c>
      <c r="B50" s="89"/>
      <c r="C50" s="90" t="s">
        <v>1645</v>
      </c>
      <c r="D50" s="90" t="s">
        <v>1645</v>
      </c>
      <c r="E50" s="91"/>
      <c r="F50" s="90"/>
      <c r="G50" s="92"/>
      <c r="H50" s="92"/>
      <c r="I50" s="122">
        <f>+I51</f>
        <v>0</v>
      </c>
      <c r="J50" s="123"/>
      <c r="K50" s="124"/>
      <c r="L50" s="125"/>
      <c r="M50" s="91">
        <v>784602.69</v>
      </c>
      <c r="N50" s="91">
        <f>SUM(N51:N52)</f>
        <v>0</v>
      </c>
      <c r="O50" s="91"/>
      <c r="P50" s="83">
        <f t="shared" si="20"/>
        <v>784602.69</v>
      </c>
      <c r="Q50" s="91"/>
      <c r="R50" s="91"/>
      <c r="S50" s="124"/>
      <c r="T50" s="90" t="s">
        <v>2979</v>
      </c>
    </row>
    <row r="51" ht="21" customHeight="1" outlineLevel="1" spans="1:22">
      <c r="A51" s="80" t="s">
        <v>1762</v>
      </c>
      <c r="B51" s="81"/>
      <c r="C51" s="82"/>
      <c r="D51" s="82"/>
      <c r="E51" s="83"/>
      <c r="F51" s="82"/>
      <c r="G51" s="84"/>
      <c r="H51" s="84"/>
      <c r="I51" s="109">
        <v>0</v>
      </c>
      <c r="J51" s="110"/>
      <c r="K51" s="111"/>
      <c r="L51" s="112"/>
      <c r="M51" s="83">
        <v>784602.69</v>
      </c>
      <c r="N51" s="83"/>
      <c r="O51" s="83"/>
      <c r="P51" s="83">
        <f t="shared" si="20"/>
        <v>784602.69</v>
      </c>
      <c r="Q51" s="83"/>
      <c r="R51" s="83"/>
      <c r="S51" s="111"/>
      <c r="T51" s="82" t="s">
        <v>2980</v>
      </c>
      <c r="V51" s="62">
        <v>117400.98</v>
      </c>
    </row>
    <row r="52" ht="21" customHeight="1" outlineLevel="1" spans="1:20">
      <c r="A52" s="80"/>
      <c r="B52" s="81"/>
      <c r="C52" s="82"/>
      <c r="D52" s="82"/>
      <c r="E52" s="83"/>
      <c r="F52" s="82"/>
      <c r="G52" s="84"/>
      <c r="H52" s="84"/>
      <c r="I52" s="109"/>
      <c r="J52" s="110"/>
      <c r="K52" s="111"/>
      <c r="L52" s="112"/>
      <c r="M52" s="83"/>
      <c r="N52" s="83"/>
      <c r="O52" s="83"/>
      <c r="P52" s="83"/>
      <c r="Q52" s="83"/>
      <c r="R52" s="83"/>
      <c r="S52" s="111"/>
      <c r="T52" s="82"/>
    </row>
    <row r="53" spans="1:20">
      <c r="A53" s="93"/>
      <c r="B53" s="93"/>
      <c r="C53" s="93"/>
      <c r="D53" s="93"/>
      <c r="E53" s="94"/>
      <c r="F53" s="93"/>
      <c r="G53" s="93"/>
      <c r="H53" s="93"/>
      <c r="I53" s="126"/>
      <c r="J53" s="93"/>
      <c r="K53" s="127"/>
      <c r="L53" s="93"/>
      <c r="M53" s="128"/>
      <c r="N53" s="93"/>
      <c r="O53" s="93"/>
      <c r="P53" s="93"/>
      <c r="Q53" s="93"/>
      <c r="R53" s="93"/>
      <c r="S53" s="127"/>
      <c r="T53" s="93"/>
    </row>
    <row r="54" spans="1:20">
      <c r="A54" s="95"/>
      <c r="B54" s="95"/>
      <c r="C54" s="95"/>
      <c r="D54" s="95"/>
      <c r="E54" s="96"/>
      <c r="F54" s="95"/>
      <c r="G54" s="95"/>
      <c r="H54" s="95"/>
      <c r="I54" s="126"/>
      <c r="J54" s="95"/>
      <c r="K54" s="127">
        <f ca="1">SUM(K46,K43,K39,K35,K33,K31,K27,K24,K21,K17,K16,K14,K12,K10,K7)</f>
        <v>9127.575215</v>
      </c>
      <c r="L54" s="95"/>
      <c r="M54" s="129"/>
      <c r="N54" s="95"/>
      <c r="O54" s="95"/>
      <c r="P54" s="95"/>
      <c r="Q54" s="95"/>
      <c r="R54" s="95"/>
      <c r="S54" s="127"/>
      <c r="T54" s="95"/>
    </row>
    <row r="55" spans="9:9">
      <c r="I55" s="130"/>
    </row>
  </sheetData>
  <sheetProtection formatCells="0" formatColumns="0" formatRows="0" insertRows="0" deleteRows="0" autoFilter="0"/>
  <autoFilter ref="A4:T51">
    <extLst/>
  </autoFilter>
  <mergeCells count="2">
    <mergeCell ref="T28:T30"/>
    <mergeCell ref="T36:T38"/>
  </mergeCells>
  <conditionalFormatting sqref="M6">
    <cfRule type="expression" dxfId="133" priority="42">
      <formula>ISODD(ROW()+1)</formula>
    </cfRule>
  </conditionalFormatting>
  <conditionalFormatting sqref="P6">
    <cfRule type="expression" dxfId="133" priority="32">
      <formula>ISODD(ROW()+1)</formula>
    </cfRule>
  </conditionalFormatting>
  <conditionalFormatting sqref="M11">
    <cfRule type="expression" dxfId="133" priority="80">
      <formula>ISODD(ROW()+1)</formula>
    </cfRule>
    <cfRule type="expression" dxfId="132" priority="79">
      <formula>LEN($A11)=3</formula>
    </cfRule>
  </conditionalFormatting>
  <conditionalFormatting sqref="M13">
    <cfRule type="expression" dxfId="133" priority="78">
      <formula>ISODD(ROW()+1)</formula>
    </cfRule>
    <cfRule type="expression" dxfId="132" priority="77">
      <formula>LEN($A13)=3</formula>
    </cfRule>
  </conditionalFormatting>
  <conditionalFormatting sqref="M15">
    <cfRule type="expression" dxfId="133" priority="76">
      <formula>ISODD(ROW()+1)</formula>
    </cfRule>
    <cfRule type="expression" dxfId="132" priority="75">
      <formula>LEN($A15)=3</formula>
    </cfRule>
  </conditionalFormatting>
  <conditionalFormatting sqref="M18">
    <cfRule type="expression" dxfId="133" priority="74">
      <formula>ISODD(ROW()+1)</formula>
    </cfRule>
    <cfRule type="expression" dxfId="132" priority="73">
      <formula>LEN($A18)=3</formula>
    </cfRule>
  </conditionalFormatting>
  <conditionalFormatting sqref="M25">
    <cfRule type="expression" dxfId="133" priority="70">
      <formula>ISODD(ROW()+1)</formula>
    </cfRule>
    <cfRule type="expression" dxfId="132" priority="69">
      <formula>LEN($A25)=3</formula>
    </cfRule>
  </conditionalFormatting>
  <conditionalFormatting sqref="N31">
    <cfRule type="expression" dxfId="133" priority="2">
      <formula>ISODD(ROW()+1)</formula>
    </cfRule>
    <cfRule type="expression" dxfId="132" priority="1">
      <formula>LEN($A31)=3</formula>
    </cfRule>
  </conditionalFormatting>
  <conditionalFormatting sqref="D32">
    <cfRule type="expression" dxfId="133" priority="4">
      <formula>ISODD(ROW()+1)</formula>
    </cfRule>
    <cfRule type="expression" dxfId="132" priority="3">
      <formula>LEN($A32)=3</formula>
    </cfRule>
  </conditionalFormatting>
  <conditionalFormatting sqref="N32">
    <cfRule type="expression" dxfId="133" priority="34">
      <formula>ISODD(ROW()+1)</formula>
    </cfRule>
    <cfRule type="expression" dxfId="132" priority="33">
      <formula>LEN($A32)=3</formula>
    </cfRule>
  </conditionalFormatting>
  <conditionalFormatting sqref="M34">
    <cfRule type="expression" dxfId="133" priority="66">
      <formula>ISODD(ROW()+1)</formula>
    </cfRule>
    <cfRule type="expression" dxfId="132" priority="65">
      <formula>LEN($A34)=3</formula>
    </cfRule>
  </conditionalFormatting>
  <conditionalFormatting sqref="M36">
    <cfRule type="expression" dxfId="133" priority="64">
      <formula>ISODD(ROW()+1)</formula>
    </cfRule>
    <cfRule type="expression" dxfId="132" priority="63">
      <formula>LEN($A36)=3</formula>
    </cfRule>
  </conditionalFormatting>
  <conditionalFormatting sqref="M41">
    <cfRule type="expression" dxfId="133" priority="60">
      <formula>ISODD(ROW()+1)</formula>
    </cfRule>
    <cfRule type="expression" dxfId="132" priority="59">
      <formula>LEN($A41)=3</formula>
    </cfRule>
  </conditionalFormatting>
  <conditionalFormatting sqref="M44">
    <cfRule type="expression" dxfId="133" priority="58">
      <formula>ISODD(ROW()+1)</formula>
    </cfRule>
    <cfRule type="expression" dxfId="132" priority="57">
      <formula>LEN($A44)=3</formula>
    </cfRule>
  </conditionalFormatting>
  <conditionalFormatting sqref="D45">
    <cfRule type="expression" dxfId="133" priority="84">
      <formula>ISODD(ROW()+1)</formula>
    </cfRule>
    <cfRule type="expression" dxfId="132" priority="83">
      <formula>LEN($A45)=3</formula>
    </cfRule>
  </conditionalFormatting>
  <conditionalFormatting sqref="K46">
    <cfRule type="expression" dxfId="133" priority="10">
      <formula>ISODD(ROW()+1)</formula>
    </cfRule>
    <cfRule type="expression" dxfId="132" priority="9">
      <formula>LEN($A46)=3</formula>
    </cfRule>
  </conditionalFormatting>
  <conditionalFormatting sqref="P46">
    <cfRule type="expression" dxfId="133" priority="8">
      <formula>ISODD(ROW()+1)</formula>
    </cfRule>
    <cfRule type="expression" dxfId="132" priority="7">
      <formula>LEN($A46)=3</formula>
    </cfRule>
  </conditionalFormatting>
  <conditionalFormatting sqref="S46">
    <cfRule type="expression" dxfId="59" priority="114" stopIfTrue="1">
      <formula>$S46/$K46&lt;'C:\1551501211\WPS企业云盘\四川省场道工程有限公司\团队文档\厦门机场\成本月报\2024年月报\[2024-08-成本月报-分项拆分.xlsm]项目信息表'!#REF!</formula>
    </cfRule>
    <cfRule type="expression" dxfId="60" priority="108" stopIfTrue="1">
      <formula>$S46/$K46&gt;='C:\1551501211\WPS企业云盘\四川省场道工程有限公司\团队文档\厦门机场\成本月报\2024年月报\[2024-08-成本月报-分项拆分.xlsm]项目信息表'!#REF!</formula>
    </cfRule>
    <cfRule type="expression" dxfId="61" priority="102" stopIfTrue="1">
      <formula>$S46/$K46&gt;='C:\1551501211\WPS企业云盘\四川省场道工程有限公司\团队文档\厦门机场\成本月报\2024年月报\[2024-08-成本月报-分项拆分.xlsm]项目信息表'!#REF!</formula>
    </cfRule>
    <cfRule type="expression" dxfId="62" priority="96" stopIfTrue="1">
      <formula>$S46/$K46&gt;='C:\1551501211\WPS企业云盘\四川省场道工程有限公司\团队文档\厦门机场\成本月报\2024年月报\[2024-08-成本月报-分项拆分.xlsm]项目信息表'!#REF!</formula>
    </cfRule>
    <cfRule type="expression" dxfId="63" priority="90" stopIfTrue="1">
      <formula>$S46/$K46&gt;='C:\1551501211\WPS企业云盘\四川省场道工程有限公司\团队文档\厦门机场\成本月报\2024年月报\[2024-08-成本月报-分项拆分.xlsm]项目信息表'!#REF!</formula>
    </cfRule>
  </conditionalFormatting>
  <conditionalFormatting sqref="P47">
    <cfRule type="expression" dxfId="133" priority="50">
      <formula>ISODD(ROW()+1)</formula>
    </cfRule>
    <cfRule type="expression" dxfId="132" priority="49">
      <formula>LEN($A47)=3</formula>
    </cfRule>
  </conditionalFormatting>
  <conditionalFormatting sqref="S47">
    <cfRule type="expression" dxfId="59" priority="113" stopIfTrue="1">
      <formula>$S47/$K47&lt;'C:\1551501211\WPS企业云盘\四川省场道工程有限公司\团队文档\厦门机场\成本月报\2024年月报\[2024-08-成本月报-分项拆分.xlsm]项目信息表'!#REF!</formula>
    </cfRule>
    <cfRule type="expression" dxfId="60" priority="107" stopIfTrue="1">
      <formula>$S47/$K47&gt;='C:\1551501211\WPS企业云盘\四川省场道工程有限公司\团队文档\厦门机场\成本月报\2024年月报\[2024-08-成本月报-分项拆分.xlsm]项目信息表'!#REF!</formula>
    </cfRule>
    <cfRule type="expression" dxfId="61" priority="101" stopIfTrue="1">
      <formula>$S47/$K47&gt;='C:\1551501211\WPS企业云盘\四川省场道工程有限公司\团队文档\厦门机场\成本月报\2024年月报\[2024-08-成本月报-分项拆分.xlsm]项目信息表'!#REF!</formula>
    </cfRule>
    <cfRule type="expression" dxfId="62" priority="95" stopIfTrue="1">
      <formula>$S47/$K47&gt;='C:\1551501211\WPS企业云盘\四川省场道工程有限公司\团队文档\厦门机场\成本月报\2024年月报\[2024-08-成本月报-分项拆分.xlsm]项目信息表'!#REF!</formula>
    </cfRule>
    <cfRule type="expression" dxfId="63" priority="89" stopIfTrue="1">
      <formula>$S47/$K47&gt;='C:\1551501211\WPS企业云盘\四川省场道工程有限公司\团队文档\厦门机场\成本月报\2024年月报\[2024-08-成本月报-分项拆分.xlsm]项目信息表'!#REF!</formula>
    </cfRule>
  </conditionalFormatting>
  <conditionalFormatting sqref="P48">
    <cfRule type="expression" dxfId="133" priority="48">
      <formula>ISODD(ROW()+1)</formula>
    </cfRule>
    <cfRule type="expression" dxfId="132" priority="47">
      <formula>LEN($A48)=3</formula>
    </cfRule>
  </conditionalFormatting>
  <conditionalFormatting sqref="S48">
    <cfRule type="expression" dxfId="59" priority="112" stopIfTrue="1">
      <formula>$S48/$K48&lt;'C:\1551501211\WPS企业云盘\四川省场道工程有限公司\团队文档\厦门机场\成本月报\2024年月报\[2024-08-成本月报-分项拆分.xlsm]项目信息表'!#REF!</formula>
    </cfRule>
    <cfRule type="expression" dxfId="60" priority="106" stopIfTrue="1">
      <formula>$S48/$K48&gt;='C:\1551501211\WPS企业云盘\四川省场道工程有限公司\团队文档\厦门机场\成本月报\2024年月报\[2024-08-成本月报-分项拆分.xlsm]项目信息表'!#REF!</formula>
    </cfRule>
    <cfRule type="expression" dxfId="61" priority="100" stopIfTrue="1">
      <formula>$S48/$K48&gt;='C:\1551501211\WPS企业云盘\四川省场道工程有限公司\团队文档\厦门机场\成本月报\2024年月报\[2024-08-成本月报-分项拆分.xlsm]项目信息表'!#REF!</formula>
    </cfRule>
    <cfRule type="expression" dxfId="62" priority="94" stopIfTrue="1">
      <formula>$S48/$K48&gt;='C:\1551501211\WPS企业云盘\四川省场道工程有限公司\团队文档\厦门机场\成本月报\2024年月报\[2024-08-成本月报-分项拆分.xlsm]项目信息表'!#REF!</formula>
    </cfRule>
    <cfRule type="expression" dxfId="63" priority="88" stopIfTrue="1">
      <formula>$S48/$K48&gt;='C:\1551501211\WPS企业云盘\四川省场道工程有限公司\团队文档\厦门机场\成本月报\2024年月报\[2024-08-成本月报-分项拆分.xlsm]项目信息表'!#REF!</formula>
    </cfRule>
  </conditionalFormatting>
  <conditionalFormatting sqref="M49">
    <cfRule type="expression" dxfId="133" priority="54">
      <formula>ISODD(ROW()+1)</formula>
    </cfRule>
    <cfRule type="expression" dxfId="132" priority="53">
      <formula>NOT(ISERROR(FINDB("SUM",_xlfn.FORMULATEXT($I49),1)))</formula>
    </cfRule>
  </conditionalFormatting>
  <conditionalFormatting sqref="P49">
    <cfRule type="expression" dxfId="133" priority="46">
      <formula>ISODD(ROW()+1)</formula>
    </cfRule>
    <cfRule type="expression" dxfId="132" priority="45">
      <formula>LEN($A49)=3</formula>
    </cfRule>
  </conditionalFormatting>
  <conditionalFormatting sqref="S49">
    <cfRule type="expression" dxfId="59" priority="111" stopIfTrue="1">
      <formula>$S49/$K49&lt;'C:\1551501211\WPS企业云盘\四川省场道工程有限公司\团队文档\厦门机场\成本月报\2024年月报\[2024-08-成本月报-分项拆分.xlsm]项目信息表'!#REF!</formula>
    </cfRule>
    <cfRule type="expression" dxfId="60" priority="105" stopIfTrue="1">
      <formula>$S49/$K49&gt;='C:\1551501211\WPS企业云盘\四川省场道工程有限公司\团队文档\厦门机场\成本月报\2024年月报\[2024-08-成本月报-分项拆分.xlsm]项目信息表'!#REF!</formula>
    </cfRule>
    <cfRule type="expression" dxfId="61" priority="99" stopIfTrue="1">
      <formula>$S49/$K49&gt;='C:\1551501211\WPS企业云盘\四川省场道工程有限公司\团队文档\厦门机场\成本月报\2024年月报\[2024-08-成本月报-分项拆分.xlsm]项目信息表'!#REF!</formula>
    </cfRule>
    <cfRule type="expression" dxfId="62" priority="93" stopIfTrue="1">
      <formula>$S49/$K49&gt;='C:\1551501211\WPS企业云盘\四川省场道工程有限公司\团队文档\厦门机场\成本月报\2024年月报\[2024-08-成本月报-分项拆分.xlsm]项目信息表'!#REF!</formula>
    </cfRule>
    <cfRule type="expression" dxfId="63" priority="87" stopIfTrue="1">
      <formula>$S49/$K49&gt;='C:\1551501211\WPS企业云盘\四川省场道工程有限公司\团队文档\厦门机场\成本月报\2024年月报\[2024-08-成本月报-分项拆分.xlsm]项目信息表'!#REF!</formula>
    </cfRule>
  </conditionalFormatting>
  <conditionalFormatting sqref="N50">
    <cfRule type="expression" dxfId="133" priority="29">
      <formula>ISODD(ROW()+1)</formula>
    </cfRule>
    <cfRule type="expression" dxfId="132" priority="28">
      <formula>NOT(ISERROR(FINDB("SUM",_xlfn.FORMULATEXT($I50),1)))</formula>
    </cfRule>
  </conditionalFormatting>
  <conditionalFormatting sqref="P50">
    <cfRule type="expression" dxfId="133" priority="6">
      <formula>ISODD(ROW()+1)</formula>
    </cfRule>
    <cfRule type="expression" dxfId="132" priority="5">
      <formula>LEN($A50)=3</formula>
    </cfRule>
  </conditionalFormatting>
  <conditionalFormatting sqref="S50">
    <cfRule type="expression" dxfId="59" priority="110" stopIfTrue="1">
      <formula>$S50/$K50&lt;'C:\1551501211\WPS企业云盘\四川省场道工程有限公司\团队文档\厦门机场\成本月报\2024年月报\[2024-08-成本月报-分项拆分.xlsm]项目信息表'!#REF!</formula>
    </cfRule>
    <cfRule type="expression" dxfId="60" priority="104" stopIfTrue="1">
      <formula>$S50/$K50&gt;='C:\1551501211\WPS企业云盘\四川省场道工程有限公司\团队文档\厦门机场\成本月报\2024年月报\[2024-08-成本月报-分项拆分.xlsm]项目信息表'!#REF!</formula>
    </cfRule>
    <cfRule type="expression" dxfId="61" priority="98" stopIfTrue="1">
      <formula>$S50/$K50&gt;='C:\1551501211\WPS企业云盘\四川省场道工程有限公司\团队文档\厦门机场\成本月报\2024年月报\[2024-08-成本月报-分项拆分.xlsm]项目信息表'!#REF!</formula>
    </cfRule>
    <cfRule type="expression" dxfId="62" priority="92" stopIfTrue="1">
      <formula>$S50/$K50&gt;='C:\1551501211\WPS企业云盘\四川省场道工程有限公司\团队文档\厦门机场\成本月报\2024年月报\[2024-08-成本月报-分项拆分.xlsm]项目信息表'!#REF!</formula>
    </cfRule>
    <cfRule type="expression" dxfId="63" priority="86" stopIfTrue="1">
      <formula>$S50/$K50&gt;='C:\1551501211\WPS企业云盘\四川省场道工程有限公司\团队文档\厦门机场\成本月报\2024年月报\[2024-08-成本月报-分项拆分.xlsm]项目信息表'!#REF!</formula>
    </cfRule>
  </conditionalFormatting>
  <conditionalFormatting sqref="M51">
    <cfRule type="expression" dxfId="133" priority="52">
      <formula>ISODD(ROW()+1)</formula>
    </cfRule>
    <cfRule type="expression" dxfId="132" priority="51">
      <formula>NOT(ISERROR(FINDB("SUM",_xlfn.FORMULATEXT($I51),1)))</formula>
    </cfRule>
  </conditionalFormatting>
  <conditionalFormatting sqref="N51">
    <cfRule type="expression" dxfId="133" priority="31">
      <formula>ISODD(ROW()+1)</formula>
    </cfRule>
    <cfRule type="expression" dxfId="132" priority="30">
      <formula>LEN($A51)=3</formula>
    </cfRule>
  </conditionalFormatting>
  <conditionalFormatting sqref="P51">
    <cfRule type="expression" dxfId="133" priority="44">
      <formula>ISODD(ROW()+1)</formula>
    </cfRule>
    <cfRule type="expression" dxfId="132" priority="43">
      <formula>LEN($A51)=3</formula>
    </cfRule>
  </conditionalFormatting>
  <conditionalFormatting sqref="S51">
    <cfRule type="expression" dxfId="59" priority="109" stopIfTrue="1">
      <formula>$S51/$K51&lt;'C:\1551501211\WPS企业云盘\四川省场道工程有限公司\团队文档\厦门机场\成本月报\2024年月报\[2024-08-成本月报-分项拆分.xlsm]项目信息表'!#REF!</formula>
    </cfRule>
    <cfRule type="expression" dxfId="60" priority="103" stopIfTrue="1">
      <formula>$S51/$K51&gt;='C:\1551501211\WPS企业云盘\四川省场道工程有限公司\团队文档\厦门机场\成本月报\2024年月报\[2024-08-成本月报-分项拆分.xlsm]项目信息表'!#REF!</formula>
    </cfRule>
    <cfRule type="expression" dxfId="61" priority="97" stopIfTrue="1">
      <formula>$S51/$K51&gt;='C:\1551501211\WPS企业云盘\四川省场道工程有限公司\团队文档\厦门机场\成本月报\2024年月报\[2024-08-成本月报-分项拆分.xlsm]项目信息表'!#REF!</formula>
    </cfRule>
    <cfRule type="expression" dxfId="62" priority="91" stopIfTrue="1">
      <formula>$S51/$K51&gt;='C:\1551501211\WPS企业云盘\四川省场道工程有限公司\团队文档\厦门机场\成本月报\2024年月报\[2024-08-成本月报-分项拆分.xlsm]项目信息表'!#REF!</formula>
    </cfRule>
    <cfRule type="expression" dxfId="63" priority="85" stopIfTrue="1">
      <formula>$S51/$K51&gt;='C:\1551501211\WPS企业云盘\四川省场道工程有限公司\团队文档\厦门机场\成本月报\2024年月报\[2024-08-成本月报-分项拆分.xlsm]项目信息表'!#REF!</formula>
    </cfRule>
  </conditionalFormatting>
  <conditionalFormatting sqref="M52">
    <cfRule type="expression" dxfId="133" priority="20">
      <formula>ISODD(ROW()+1)</formula>
    </cfRule>
    <cfRule type="expression" dxfId="132" priority="19">
      <formula>NOT(ISERROR(FINDB("SUM",_xlfn.FORMULATEXT($I52),1)))</formula>
    </cfRule>
  </conditionalFormatting>
  <conditionalFormatting sqref="N52">
    <cfRule type="expression" dxfId="133" priority="16">
      <formula>ISODD(ROW()+1)</formula>
    </cfRule>
    <cfRule type="expression" dxfId="132" priority="15">
      <formula>LEN($A52)=3</formula>
    </cfRule>
  </conditionalFormatting>
  <conditionalFormatting sqref="P52">
    <cfRule type="expression" dxfId="133" priority="18">
      <formula>ISODD(ROW()+1)</formula>
    </cfRule>
    <cfRule type="expression" dxfId="132" priority="17">
      <formula>LEN($A52)=3</formula>
    </cfRule>
  </conditionalFormatting>
  <conditionalFormatting sqref="S52">
    <cfRule type="expression" dxfId="59" priority="25" stopIfTrue="1">
      <formula>$S52/$K52&lt;'C:\1551501211\WPS企业云盘\四川省场道工程有限公司\团队文档\厦门机场\成本月报\2024年月报\[2024-08-成本月报-分项拆分.xlsm]项目信息表'!#REF!</formula>
    </cfRule>
    <cfRule type="expression" dxfId="60" priority="24" stopIfTrue="1">
      <formula>$S52/$K52&gt;='C:\1551501211\WPS企业云盘\四川省场道工程有限公司\团队文档\厦门机场\成本月报\2024年月报\[2024-08-成本月报-分项拆分.xlsm]项目信息表'!#REF!</formula>
    </cfRule>
    <cfRule type="expression" dxfId="61" priority="23" stopIfTrue="1">
      <formula>$S52/$K52&gt;='C:\1551501211\WPS企业云盘\四川省场道工程有限公司\团队文档\厦门机场\成本月报\2024年月报\[2024-08-成本月报-分项拆分.xlsm]项目信息表'!#REF!</formula>
    </cfRule>
    <cfRule type="expression" dxfId="62" priority="22" stopIfTrue="1">
      <formula>$S52/$K52&gt;='C:\1551501211\WPS企业云盘\四川省场道工程有限公司\团队文档\厦门机场\成本月报\2024年月报\[2024-08-成本月报-分项拆分.xlsm]项目信息表'!#REF!</formula>
    </cfRule>
    <cfRule type="expression" dxfId="63" priority="21" stopIfTrue="1">
      <formula>$S52/$K52&gt;='C:\1551501211\WPS企业云盘\四川省场道工程有限公司\团队文档\厦门机场\成本月报\2024年月报\[2024-08-成本月报-分项拆分.xlsm]项目信息表'!#REF!</formula>
    </cfRule>
  </conditionalFormatting>
  <conditionalFormatting sqref="J47:J49">
    <cfRule type="expression" dxfId="133" priority="14">
      <formula>ISODD(ROW()+1)</formula>
    </cfRule>
    <cfRule type="expression" dxfId="132" priority="13">
      <formula>LEN($A47)=3</formula>
    </cfRule>
  </conditionalFormatting>
  <conditionalFormatting sqref="K47:K49">
    <cfRule type="expression" dxfId="133" priority="12">
      <formula>ISODD(ROW()+1)</formula>
    </cfRule>
    <cfRule type="expression" dxfId="132" priority="11">
      <formula>LEN($A47)=3</formula>
    </cfRule>
  </conditionalFormatting>
  <conditionalFormatting sqref="M8:M9">
    <cfRule type="expression" dxfId="133" priority="82">
      <formula>ISODD(ROW()+1)</formula>
    </cfRule>
    <cfRule type="expression" dxfId="132" priority="81">
      <formula>LEN($A8)=3</formula>
    </cfRule>
  </conditionalFormatting>
  <conditionalFormatting sqref="M22:M23">
    <cfRule type="expression" dxfId="133" priority="72">
      <formula>ISODD(ROW()+1)</formula>
    </cfRule>
    <cfRule type="expression" dxfId="132" priority="71">
      <formula>LEN($A22)=3</formula>
    </cfRule>
  </conditionalFormatting>
  <conditionalFormatting sqref="M29:M30">
    <cfRule type="expression" dxfId="133" priority="68">
      <formula>ISODD(ROW()+1)</formula>
    </cfRule>
    <cfRule type="expression" dxfId="132" priority="67">
      <formula>LEN($A29)=3</formula>
    </cfRule>
  </conditionalFormatting>
  <conditionalFormatting sqref="N28:N30">
    <cfRule type="expression" dxfId="133" priority="41">
      <formula>ISODD(ROW()+1)</formula>
    </cfRule>
    <cfRule type="expression" dxfId="132" priority="40">
      <formula>LEN($A28)=3</formula>
    </cfRule>
  </conditionalFormatting>
  <conditionalFormatting sqref="N36:N38">
    <cfRule type="expression" dxfId="133" priority="39">
      <formula>ISODD(ROW()+1)</formula>
    </cfRule>
    <cfRule type="expression" dxfId="132" priority="38">
      <formula>LEN($A36)=3</formula>
    </cfRule>
  </conditionalFormatting>
  <conditionalFormatting sqref="N44:N45">
    <cfRule type="expression" dxfId="132" priority="37">
      <formula>LEN($A44)=3</formula>
    </cfRule>
  </conditionalFormatting>
  <conditionalFormatting sqref="N47:N49">
    <cfRule type="expression" dxfId="133" priority="36">
      <formula>ISODD(ROW()+1)</formula>
    </cfRule>
    <cfRule type="expression" dxfId="132" priority="35">
      <formula>LEN($A47)=3</formula>
    </cfRule>
  </conditionalFormatting>
  <conditionalFormatting sqref="S6:S45">
    <cfRule type="expression" dxfId="59" priority="121" stopIfTrue="1">
      <formula>$S6/$K6&lt;'C:\1551501211\WPS企业云盘\四川省场道工程有限公司\团队文档\厦门机场\成本月报\2024年月报\[2024-08-成本月报-分项拆分.xlsm]项目信息表'!#REF!</formula>
    </cfRule>
    <cfRule type="expression" dxfId="60" priority="120" stopIfTrue="1">
      <formula>$S6/$K6&gt;='C:\1551501211\WPS企业云盘\四川省场道工程有限公司\团队文档\厦门机场\成本月报\2024年月报\[2024-08-成本月报-分项拆分.xlsm]项目信息表'!#REF!</formula>
    </cfRule>
    <cfRule type="expression" dxfId="61" priority="119" stopIfTrue="1">
      <formula>$S6/$K6&gt;='C:\1551501211\WPS企业云盘\四川省场道工程有限公司\团队文档\厦门机场\成本月报\2024年月报\[2024-08-成本月报-分项拆分.xlsm]项目信息表'!#REF!</formula>
    </cfRule>
    <cfRule type="expression" dxfId="62" priority="118" stopIfTrue="1">
      <formula>$S6/$K6&gt;='C:\1551501211\WPS企业云盘\四川省场道工程有限公司\团队文档\厦门机场\成本月报\2024年月报\[2024-08-成本月报-分项拆分.xlsm]项目信息表'!#REF!</formula>
    </cfRule>
    <cfRule type="expression" dxfId="63" priority="117" stopIfTrue="1">
      <formula>$S6/$K6&gt;='C:\1551501211\WPS企业云盘\四川省场道工程有限公司\团队文档\厦门机场\成本月报\2024年月报\[2024-08-成本月报-分项拆分.xlsm]项目信息表'!#REF!</formula>
    </cfRule>
  </conditionalFormatting>
  <conditionalFormatting sqref="T5:T28 T31:T36 I31:M32 I29:L30 A5:H31 A32:C32 E32:H32 A33:H44 O28:S32 I6:L6 N6:O6 Q6:S6 I7:S7 I8:L9 N8:S9 I10:S10 I11:L11 N11:S11 I12:S12 I13:L13 N13:S13 I14:S14 I15:L15 N15:S15 I16:S17 I18:L18 N18:S18 I19:S21 I22:L23 N22:S23 I24:S24 I25:L25 N25:S25 I26:S27 I28:M28 N44:S45 I44:L44 I43:S43 N40:S42 I40:L42 I39:S39 I37:M38 O36:S38 I36:L36 I35:S35 N34:S34 I34:L34 I33:S33 T39:T44">
    <cfRule type="expression" dxfId="133" priority="123">
      <formula>ISODD(ROW()+1)</formula>
    </cfRule>
  </conditionalFormatting>
  <conditionalFormatting sqref="A7:T7 A8:L9 N8:T9 A10:T10 A11:L11 N11:T11 A12:T12 A13:L13 N13:T13 A14:T14 A15:L15 N15:T15 A16:T17 A18:L18 N18:T18 A19:T21 A22:L23 N22:T23 A24:T24 A25:L25 N25:T25 A26:T27 A28:M28 O28:T28 O29:S30 O31:T32 A29:L30 A31:M31 A32:C32 E32:M32 A33:T33 A34:L34 N34:T34 A35:T35 A36:L36 O36:T36 O37:S38 A37:M38 A39:T39 A40:L42 N40:T42 A43:T43 A44:L44 O44:T44 O45:S45">
    <cfRule type="expression" dxfId="132" priority="122">
      <formula>LEN($A7)=3</formula>
    </cfRule>
  </conditionalFormatting>
  <conditionalFormatting sqref="M40 M42">
    <cfRule type="expression" dxfId="133" priority="62">
      <formula>ISODD(ROW()+1)</formula>
    </cfRule>
    <cfRule type="expression" dxfId="132" priority="61">
      <formula>LEN($A40)=3</formula>
    </cfRule>
  </conditionalFormatting>
  <conditionalFormatting sqref="A46:J46 L46:O46 Q46:T51 A47:I49 L47:L49 A50:L51 O47:O51">
    <cfRule type="expression" dxfId="133" priority="116">
      <formula>ISODD(ROW()+1)</formula>
    </cfRule>
    <cfRule type="expression" dxfId="132" priority="115">
      <formula>NOT(ISERROR(FINDB("SUM",_xlfn.FORMULATEXT($I46),1)))</formula>
    </cfRule>
  </conditionalFormatting>
  <conditionalFormatting sqref="M47:M48 M50">
    <cfRule type="expression" dxfId="133" priority="56">
      <formula>ISODD(ROW()+1)</formula>
    </cfRule>
    <cfRule type="expression" dxfId="132" priority="55">
      <formula>NOT(ISERROR(FINDB("SUM",_xlfn.FORMULATEXT($I47),1)))</formula>
    </cfRule>
  </conditionalFormatting>
  <conditionalFormatting sqref="Q52:T52 A52:L52 O52">
    <cfRule type="expression" dxfId="133" priority="27">
      <formula>ISODD(ROW()+1)</formula>
    </cfRule>
    <cfRule type="expression" dxfId="132" priority="26">
      <formula>NOT(ISERROR(FINDB("SUM",_xlfn.FORMULATEXT($I52),1)))</formula>
    </cfRule>
  </conditionalFormatting>
  <hyperlinks>
    <hyperlink ref="C2" location="工程成本费用汇总表!A1" display="到汇总表"/>
  </hyperlinks>
  <pageMargins left="1.0625" right="0.161111111111111" top="0.279166666666667" bottom="0" header="0.200694444444444" footer="0.310416666666667"/>
  <pageSetup paperSize="9" scale="69" orientation="landscape"/>
  <headerFooter alignWithMargins="0"/>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P31"/>
  <sheetViews>
    <sheetView workbookViewId="0">
      <selection activeCell="E15" sqref="E15"/>
    </sheetView>
  </sheetViews>
  <sheetFormatPr defaultColWidth="8.875" defaultRowHeight="15.75"/>
  <cols>
    <col min="1" max="1" width="5" style="27" customWidth="1"/>
    <col min="2" max="3" width="14.875" style="27" customWidth="1"/>
    <col min="4" max="4" width="5.25" style="27" customWidth="1"/>
    <col min="5" max="6" width="8.875" style="27"/>
    <col min="7" max="7" width="12.25" style="27" customWidth="1"/>
    <col min="8" max="8" width="16.125" style="27" customWidth="1"/>
    <col min="9" max="10" width="8.875" style="27"/>
    <col min="11" max="11" width="15.75" style="27" customWidth="1"/>
    <col min="12" max="13" width="11.375" style="27" customWidth="1"/>
    <col min="14" max="14" width="13.375" style="27" customWidth="1"/>
    <col min="15" max="16384" width="8.875" style="27"/>
  </cols>
  <sheetData>
    <row r="1" ht="28.15" customHeight="1" spans="1:15">
      <c r="A1" s="41" t="s">
        <v>2981</v>
      </c>
      <c r="B1" s="41"/>
      <c r="C1" s="41"/>
      <c r="D1" s="41"/>
      <c r="E1" s="42"/>
      <c r="F1" s="42"/>
      <c r="G1" s="42"/>
      <c r="H1" s="42"/>
      <c r="I1" s="42"/>
      <c r="J1" s="42"/>
      <c r="K1" s="42"/>
      <c r="L1" s="42"/>
      <c r="M1" s="42"/>
      <c r="N1" s="42"/>
      <c r="O1" s="42"/>
    </row>
    <row r="2" ht="30" customHeight="1" spans="1:15">
      <c r="A2" s="43" t="s">
        <v>2982</v>
      </c>
      <c r="B2" s="44"/>
      <c r="C2" s="44"/>
      <c r="D2" s="44"/>
      <c r="E2" s="44"/>
      <c r="F2" s="44"/>
      <c r="G2" s="44"/>
      <c r="H2" s="44"/>
      <c r="I2" s="44"/>
      <c r="J2" s="44"/>
      <c r="K2" s="56"/>
      <c r="L2" s="43" t="s">
        <v>2983</v>
      </c>
      <c r="M2" s="44"/>
      <c r="N2" s="44"/>
      <c r="O2" s="56"/>
    </row>
    <row r="3" ht="24.95" customHeight="1" spans="1:15">
      <c r="A3" s="45" t="s">
        <v>1254</v>
      </c>
      <c r="B3" s="46" t="s">
        <v>2984</v>
      </c>
      <c r="C3" s="46" t="s">
        <v>1399</v>
      </c>
      <c r="D3" s="46" t="s">
        <v>60</v>
      </c>
      <c r="E3" s="46" t="s">
        <v>2847</v>
      </c>
      <c r="F3" s="46"/>
      <c r="G3" s="46"/>
      <c r="H3" s="46" t="s">
        <v>2985</v>
      </c>
      <c r="I3" s="46" t="s">
        <v>2986</v>
      </c>
      <c r="J3" s="46"/>
      <c r="K3" s="46"/>
      <c r="L3" s="46" t="s">
        <v>2987</v>
      </c>
      <c r="M3" s="46"/>
      <c r="N3" s="57"/>
      <c r="O3" s="58" t="s">
        <v>1262</v>
      </c>
    </row>
    <row r="4" ht="24.95" customHeight="1" spans="1:15">
      <c r="A4" s="47"/>
      <c r="B4" s="48"/>
      <c r="C4" s="48"/>
      <c r="D4" s="48"/>
      <c r="E4" s="48" t="s">
        <v>2450</v>
      </c>
      <c r="F4" s="48" t="s">
        <v>61</v>
      </c>
      <c r="G4" s="48" t="s">
        <v>2988</v>
      </c>
      <c r="H4" s="48"/>
      <c r="I4" s="48" t="s">
        <v>2450</v>
      </c>
      <c r="J4" s="48" t="s">
        <v>2989</v>
      </c>
      <c r="K4" s="48" t="s">
        <v>2988</v>
      </c>
      <c r="L4" s="48" t="s">
        <v>2990</v>
      </c>
      <c r="M4" s="48" t="s">
        <v>2991</v>
      </c>
      <c r="N4" s="48" t="s">
        <v>2992</v>
      </c>
      <c r="O4" s="59"/>
    </row>
    <row r="5" ht="12.95" customHeight="1" spans="1:15">
      <c r="A5" s="49"/>
      <c r="B5" s="50" t="s">
        <v>2993</v>
      </c>
      <c r="C5" s="50" t="s">
        <v>2994</v>
      </c>
      <c r="D5" s="50" t="s">
        <v>72</v>
      </c>
      <c r="E5" s="50">
        <v>500</v>
      </c>
      <c r="F5" s="50">
        <v>200</v>
      </c>
      <c r="G5" s="50">
        <f>E5*F5</f>
        <v>100000</v>
      </c>
      <c r="H5" s="50" t="s">
        <v>2995</v>
      </c>
      <c r="I5" s="50">
        <v>600</v>
      </c>
      <c r="J5" s="50">
        <v>180</v>
      </c>
      <c r="K5" s="50">
        <f>I5*J5</f>
        <v>108000</v>
      </c>
      <c r="L5" s="50">
        <f>I5-E5</f>
        <v>100</v>
      </c>
      <c r="M5" s="50">
        <f>J5</f>
        <v>180</v>
      </c>
      <c r="N5" s="50">
        <f>L5*M5</f>
        <v>18000</v>
      </c>
      <c r="O5" s="49"/>
    </row>
    <row r="6" ht="12.95" customHeight="1" spans="1:15">
      <c r="A6" s="51"/>
      <c r="B6" s="52" t="s">
        <v>2996</v>
      </c>
      <c r="C6" s="52" t="s">
        <v>2994</v>
      </c>
      <c r="D6" s="52" t="s">
        <v>72</v>
      </c>
      <c r="E6" s="52">
        <v>500</v>
      </c>
      <c r="F6" s="52">
        <v>200</v>
      </c>
      <c r="G6" s="52">
        <f>E6*F6</f>
        <v>100000</v>
      </c>
      <c r="H6" s="52" t="s">
        <v>2997</v>
      </c>
      <c r="I6" s="52">
        <v>400</v>
      </c>
      <c r="J6" s="52">
        <v>280</v>
      </c>
      <c r="K6" s="52">
        <f>I6*J6</f>
        <v>112000</v>
      </c>
      <c r="L6" s="52">
        <f>I6</f>
        <v>400</v>
      </c>
      <c r="M6" s="52">
        <f>J6-F6</f>
        <v>80</v>
      </c>
      <c r="N6" s="52">
        <f>L6*M6</f>
        <v>32000</v>
      </c>
      <c r="O6" s="51"/>
    </row>
    <row r="7" ht="12.95" customHeight="1" spans="1:15">
      <c r="A7" s="51"/>
      <c r="B7" s="52" t="s">
        <v>2998</v>
      </c>
      <c r="C7" s="52" t="s">
        <v>2994</v>
      </c>
      <c r="D7" s="52" t="s">
        <v>72</v>
      </c>
      <c r="E7" s="52">
        <v>500</v>
      </c>
      <c r="F7" s="52">
        <v>200</v>
      </c>
      <c r="G7" s="52">
        <f>E7*F7</f>
        <v>100000</v>
      </c>
      <c r="H7" s="52" t="s">
        <v>2999</v>
      </c>
      <c r="I7" s="52">
        <v>600</v>
      </c>
      <c r="J7" s="52">
        <v>280</v>
      </c>
      <c r="K7" s="52">
        <f>I7*J7</f>
        <v>168000</v>
      </c>
      <c r="L7" s="52">
        <f>I7-E7</f>
        <v>100</v>
      </c>
      <c r="M7" s="52">
        <f>J7-F7</f>
        <v>80</v>
      </c>
      <c r="N7" s="52">
        <f>K7-G7</f>
        <v>68000</v>
      </c>
      <c r="O7" s="51"/>
    </row>
    <row r="8" ht="12.95" customHeight="1" spans="1:15">
      <c r="A8" s="51"/>
      <c r="B8" s="51"/>
      <c r="C8" s="51"/>
      <c r="D8" s="51"/>
      <c r="E8" s="51"/>
      <c r="F8" s="51"/>
      <c r="G8" s="51"/>
      <c r="H8" s="51"/>
      <c r="I8" s="51"/>
      <c r="J8" s="51"/>
      <c r="K8" s="51"/>
      <c r="L8" s="51"/>
      <c r="M8" s="51"/>
      <c r="N8" s="51"/>
      <c r="O8" s="51"/>
    </row>
    <row r="9" ht="12.95" customHeight="1" spans="1:15">
      <c r="A9" s="51"/>
      <c r="B9" s="51" t="s">
        <v>1407</v>
      </c>
      <c r="C9" s="51"/>
      <c r="D9" s="51"/>
      <c r="E9" s="51"/>
      <c r="F9" s="51"/>
      <c r="G9" s="51"/>
      <c r="H9" s="51"/>
      <c r="I9" s="51"/>
      <c r="J9" s="51"/>
      <c r="K9" s="51"/>
      <c r="L9" s="51"/>
      <c r="M9" s="51"/>
      <c r="N9" s="51"/>
      <c r="O9" s="51"/>
    </row>
    <row r="10" ht="12.95" customHeight="1" spans="1:15">
      <c r="A10" s="51"/>
      <c r="B10" s="51"/>
      <c r="C10" s="51"/>
      <c r="D10" s="51"/>
      <c r="E10" s="51"/>
      <c r="F10" s="51"/>
      <c r="G10" s="51"/>
      <c r="H10" s="51"/>
      <c r="I10" s="51"/>
      <c r="J10" s="51"/>
      <c r="K10" s="51"/>
      <c r="L10" s="51"/>
      <c r="M10" s="51"/>
      <c r="N10" s="51"/>
      <c r="O10" s="51"/>
    </row>
    <row r="11" ht="12.95" customHeight="1" spans="1:15">
      <c r="A11" s="51"/>
      <c r="B11" s="51"/>
      <c r="C11" s="51"/>
      <c r="D11" s="51"/>
      <c r="E11" s="51"/>
      <c r="F11" s="51"/>
      <c r="G11" s="51"/>
      <c r="H11" s="51"/>
      <c r="I11" s="51"/>
      <c r="J11" s="51"/>
      <c r="K11" s="51"/>
      <c r="L11" s="51"/>
      <c r="M11" s="51"/>
      <c r="N11" s="51"/>
      <c r="O11" s="51"/>
    </row>
    <row r="12" ht="12.95" customHeight="1" spans="1:15">
      <c r="A12" s="51"/>
      <c r="B12" s="51" t="s">
        <v>1409</v>
      </c>
      <c r="C12" s="51"/>
      <c r="D12" s="51"/>
      <c r="E12" s="51"/>
      <c r="F12" s="51"/>
      <c r="G12" s="51"/>
      <c r="H12" s="51"/>
      <c r="I12" s="51"/>
      <c r="J12" s="51"/>
      <c r="K12" s="51"/>
      <c r="L12" s="51"/>
      <c r="M12" s="51"/>
      <c r="N12" s="51"/>
      <c r="O12" s="51"/>
    </row>
    <row r="13" ht="12.95" customHeight="1" spans="1:15">
      <c r="A13" s="51"/>
      <c r="B13" s="51"/>
      <c r="C13" s="51"/>
      <c r="D13" s="51"/>
      <c r="E13" s="51"/>
      <c r="F13" s="51"/>
      <c r="G13" s="51"/>
      <c r="H13" s="51"/>
      <c r="I13" s="51"/>
      <c r="J13" s="51"/>
      <c r="K13" s="51"/>
      <c r="L13" s="51"/>
      <c r="M13" s="51"/>
      <c r="N13" s="51"/>
      <c r="O13" s="51"/>
    </row>
    <row r="14" ht="12.95" customHeight="1" spans="1:15">
      <c r="A14" s="51"/>
      <c r="B14" s="51"/>
      <c r="C14" s="51"/>
      <c r="D14" s="51"/>
      <c r="E14" s="51"/>
      <c r="F14" s="51"/>
      <c r="G14" s="51"/>
      <c r="H14" s="51"/>
      <c r="I14" s="51"/>
      <c r="J14" s="51"/>
      <c r="K14" s="51"/>
      <c r="L14" s="51"/>
      <c r="M14" s="51"/>
      <c r="N14" s="51"/>
      <c r="O14" s="51"/>
    </row>
    <row r="15" ht="12.95" customHeight="1" spans="1:15">
      <c r="A15" s="51"/>
      <c r="B15" s="51"/>
      <c r="C15" s="51"/>
      <c r="D15" s="51"/>
      <c r="E15" s="51"/>
      <c r="F15" s="51"/>
      <c r="G15" s="51"/>
      <c r="H15" s="51"/>
      <c r="I15" s="51"/>
      <c r="J15" s="51"/>
      <c r="K15" s="51"/>
      <c r="L15" s="51"/>
      <c r="M15" s="51"/>
      <c r="N15" s="51"/>
      <c r="O15" s="51"/>
    </row>
    <row r="16" ht="12.95" customHeight="1" spans="1:15">
      <c r="A16" s="51"/>
      <c r="B16" s="51" t="s">
        <v>1424</v>
      </c>
      <c r="C16" s="51"/>
      <c r="D16" s="51"/>
      <c r="E16" s="51"/>
      <c r="F16" s="51"/>
      <c r="G16" s="51"/>
      <c r="H16" s="51"/>
      <c r="I16" s="51"/>
      <c r="J16" s="51"/>
      <c r="K16" s="51"/>
      <c r="L16" s="51"/>
      <c r="M16" s="51"/>
      <c r="N16" s="51"/>
      <c r="O16" s="51"/>
    </row>
    <row r="17" ht="12.95" customHeight="1" spans="1:15">
      <c r="A17" s="51"/>
      <c r="B17" s="51"/>
      <c r="C17" s="51"/>
      <c r="D17" s="51"/>
      <c r="E17" s="51"/>
      <c r="F17" s="51"/>
      <c r="G17" s="51"/>
      <c r="H17" s="51"/>
      <c r="I17" s="51"/>
      <c r="J17" s="51"/>
      <c r="K17" s="51"/>
      <c r="L17" s="51"/>
      <c r="M17" s="51"/>
      <c r="N17" s="51"/>
      <c r="O17" s="51"/>
    </row>
    <row r="18" ht="12.95" customHeight="1" spans="1:15">
      <c r="A18" s="51"/>
      <c r="B18" s="51"/>
      <c r="C18" s="51"/>
      <c r="D18" s="51"/>
      <c r="E18" s="51"/>
      <c r="F18" s="51"/>
      <c r="G18" s="51"/>
      <c r="H18" s="51"/>
      <c r="I18" s="51"/>
      <c r="J18" s="51"/>
      <c r="K18" s="51"/>
      <c r="L18" s="51"/>
      <c r="M18" s="51"/>
      <c r="N18" s="51"/>
      <c r="O18" s="51"/>
    </row>
    <row r="19" ht="12.95" customHeight="1" spans="1:15">
      <c r="A19" s="51"/>
      <c r="B19" s="51"/>
      <c r="C19" s="51"/>
      <c r="D19" s="51"/>
      <c r="E19" s="51"/>
      <c r="F19" s="51"/>
      <c r="G19" s="51"/>
      <c r="H19" s="51"/>
      <c r="I19" s="51"/>
      <c r="J19" s="51"/>
      <c r="K19" s="51"/>
      <c r="L19" s="51"/>
      <c r="M19" s="51"/>
      <c r="N19" s="51"/>
      <c r="O19" s="51"/>
    </row>
    <row r="20" ht="12.95" customHeight="1" spans="1:15">
      <c r="A20" s="51"/>
      <c r="B20" s="51" t="s">
        <v>2421</v>
      </c>
      <c r="C20" s="51"/>
      <c r="D20" s="51"/>
      <c r="E20" s="51"/>
      <c r="F20" s="51"/>
      <c r="G20" s="51"/>
      <c r="H20" s="51"/>
      <c r="I20" s="51"/>
      <c r="J20" s="51"/>
      <c r="K20" s="51"/>
      <c r="L20" s="51"/>
      <c r="M20" s="51"/>
      <c r="N20" s="51"/>
      <c r="O20" s="51"/>
    </row>
    <row r="21" ht="12.95" customHeight="1" spans="1:15">
      <c r="A21" s="51"/>
      <c r="B21" s="51"/>
      <c r="C21" s="51"/>
      <c r="D21" s="51"/>
      <c r="E21" s="51"/>
      <c r="F21" s="51"/>
      <c r="G21" s="51"/>
      <c r="H21" s="51"/>
      <c r="I21" s="51"/>
      <c r="J21" s="51"/>
      <c r="K21" s="51"/>
      <c r="L21" s="51"/>
      <c r="M21" s="51"/>
      <c r="N21" s="51"/>
      <c r="O21" s="51"/>
    </row>
    <row r="22" ht="12.95" customHeight="1" spans="1:15">
      <c r="A22" s="51"/>
      <c r="B22" s="51"/>
      <c r="C22" s="51"/>
      <c r="D22" s="51"/>
      <c r="E22" s="51"/>
      <c r="F22" s="51"/>
      <c r="G22" s="51"/>
      <c r="H22" s="51"/>
      <c r="I22" s="51"/>
      <c r="J22" s="51"/>
      <c r="K22" s="51"/>
      <c r="L22" s="51"/>
      <c r="M22" s="51"/>
      <c r="N22" s="51"/>
      <c r="O22" s="51"/>
    </row>
    <row r="23" ht="12.95" customHeight="1" spans="1:15">
      <c r="A23" s="51"/>
      <c r="B23" s="51"/>
      <c r="C23" s="51"/>
      <c r="D23" s="51"/>
      <c r="E23" s="51"/>
      <c r="F23" s="51"/>
      <c r="G23" s="51"/>
      <c r="H23" s="51"/>
      <c r="I23" s="51"/>
      <c r="J23" s="51"/>
      <c r="K23" s="51"/>
      <c r="L23" s="51"/>
      <c r="M23" s="51"/>
      <c r="N23" s="51"/>
      <c r="O23" s="51"/>
    </row>
    <row r="24" ht="12.95" customHeight="1" spans="1:15">
      <c r="A24" s="51"/>
      <c r="B24" s="51"/>
      <c r="C24" s="51"/>
      <c r="D24" s="51"/>
      <c r="E24" s="51"/>
      <c r="F24" s="51"/>
      <c r="G24" s="51"/>
      <c r="H24" s="51"/>
      <c r="I24" s="51"/>
      <c r="J24" s="51"/>
      <c r="K24" s="51"/>
      <c r="L24" s="51"/>
      <c r="M24" s="51"/>
      <c r="N24" s="51"/>
      <c r="O24" s="51"/>
    </row>
    <row r="25" ht="12.95" customHeight="1" spans="1:16">
      <c r="A25" s="51"/>
      <c r="B25" s="51" t="s">
        <v>3000</v>
      </c>
      <c r="C25" s="51"/>
      <c r="D25" s="51"/>
      <c r="E25" s="51"/>
      <c r="F25" s="51"/>
      <c r="G25" s="51"/>
      <c r="H25" s="51"/>
      <c r="I25" s="51"/>
      <c r="J25" s="51"/>
      <c r="K25" s="51"/>
      <c r="L25" s="51"/>
      <c r="M25" s="51"/>
      <c r="N25" s="60">
        <f>SUM(N9:N24)</f>
        <v>0</v>
      </c>
      <c r="O25" s="51"/>
      <c r="P25" s="27" t="s">
        <v>3001</v>
      </c>
    </row>
    <row r="26" ht="20.1" customHeight="1" spans="1:15">
      <c r="A26" s="53" t="s">
        <v>3002</v>
      </c>
      <c r="B26" s="53"/>
      <c r="C26" s="53"/>
      <c r="D26" s="53"/>
      <c r="E26" s="53"/>
      <c r="F26" s="53"/>
      <c r="G26" s="53"/>
      <c r="H26" s="53"/>
      <c r="I26" s="53"/>
      <c r="J26" s="53"/>
      <c r="K26" s="53"/>
      <c r="L26" s="53"/>
      <c r="M26" s="53"/>
      <c r="N26" s="53"/>
      <c r="O26" s="53"/>
    </row>
    <row r="27" ht="18" customHeight="1" spans="1:15">
      <c r="A27" s="54" t="s">
        <v>3003</v>
      </c>
      <c r="B27" s="54"/>
      <c r="C27" s="54"/>
      <c r="D27" s="54"/>
      <c r="E27" s="54"/>
      <c r="F27" s="54"/>
      <c r="G27" s="54"/>
      <c r="H27" s="54"/>
      <c r="I27" s="54"/>
      <c r="J27" s="54"/>
      <c r="K27" s="54"/>
      <c r="L27" s="54"/>
      <c r="M27" s="54"/>
      <c r="N27" s="54"/>
      <c r="O27" s="54"/>
    </row>
    <row r="28" ht="18" customHeight="1" spans="1:15">
      <c r="A28" s="54" t="s">
        <v>3004</v>
      </c>
      <c r="B28" s="54"/>
      <c r="C28" s="54"/>
      <c r="D28" s="54"/>
      <c r="E28" s="54"/>
      <c r="F28" s="54"/>
      <c r="G28" s="54"/>
      <c r="H28" s="54"/>
      <c r="I28" s="54"/>
      <c r="J28" s="54"/>
      <c r="K28" s="54"/>
      <c r="L28" s="54"/>
      <c r="M28" s="54"/>
      <c r="N28" s="54"/>
      <c r="O28" s="54"/>
    </row>
    <row r="29" ht="18" customHeight="1" spans="1:15">
      <c r="A29" s="54" t="s">
        <v>3005</v>
      </c>
      <c r="B29" s="54"/>
      <c r="C29" s="54"/>
      <c r="D29" s="54"/>
      <c r="E29" s="54"/>
      <c r="F29" s="54"/>
      <c r="G29" s="54"/>
      <c r="H29" s="54"/>
      <c r="I29" s="54"/>
      <c r="J29" s="54"/>
      <c r="K29" s="54"/>
      <c r="L29" s="54"/>
      <c r="M29" s="54"/>
      <c r="N29" s="54"/>
      <c r="O29" s="54"/>
    </row>
    <row r="30" ht="18" customHeight="1" spans="1:15">
      <c r="A30" s="55"/>
      <c r="B30" s="55"/>
      <c r="C30" s="55"/>
      <c r="D30" s="55"/>
      <c r="E30" s="55"/>
      <c r="F30" s="55"/>
      <c r="G30" s="55"/>
      <c r="H30" s="55"/>
      <c r="I30" s="55"/>
      <c r="J30" s="55"/>
      <c r="K30" s="55"/>
      <c r="L30" s="55"/>
      <c r="M30" s="55"/>
      <c r="N30" s="55"/>
      <c r="O30" s="55"/>
    </row>
    <row r="31" ht="20.1" customHeight="1" spans="1:15">
      <c r="A31" s="55"/>
      <c r="B31" s="55"/>
      <c r="C31" s="55"/>
      <c r="D31" s="55"/>
      <c r="E31" s="55"/>
      <c r="F31" s="55"/>
      <c r="G31" s="55"/>
      <c r="H31" s="55"/>
      <c r="I31" s="55"/>
      <c r="J31" s="55"/>
      <c r="K31" s="55"/>
      <c r="L31" s="55"/>
      <c r="M31" s="55"/>
      <c r="N31" s="55"/>
      <c r="O31" s="55"/>
    </row>
  </sheetData>
  <sheetProtection formatCells="0" formatColumns="0" formatRows="0" insertRows="0" deleteRows="0" autoFilter="0"/>
  <mergeCells count="16">
    <mergeCell ref="A1:O1"/>
    <mergeCell ref="A2:K2"/>
    <mergeCell ref="L2:O2"/>
    <mergeCell ref="E3:G3"/>
    <mergeCell ref="I3:K3"/>
    <mergeCell ref="L3:N3"/>
    <mergeCell ref="A26:O26"/>
    <mergeCell ref="A27:O27"/>
    <mergeCell ref="A28:O28"/>
    <mergeCell ref="A29:O29"/>
    <mergeCell ref="A3:A4"/>
    <mergeCell ref="B3:B4"/>
    <mergeCell ref="C3:C4"/>
    <mergeCell ref="D3:D4"/>
    <mergeCell ref="H3:H4"/>
    <mergeCell ref="O3:O4"/>
  </mergeCells>
  <pageMargins left="0.75" right="0.75" top="1" bottom="1" header="0.5" footer="0.5"/>
  <pageSetup paperSize="9" orientation="portrait"/>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G43"/>
  <sheetViews>
    <sheetView workbookViewId="0">
      <selection activeCell="A189" sqref="A189"/>
    </sheetView>
  </sheetViews>
  <sheetFormatPr defaultColWidth="9" defaultRowHeight="15.75" outlineLevelCol="6"/>
  <cols>
    <col min="1" max="1" width="16.875" style="27" customWidth="1"/>
    <col min="2" max="2" width="36" style="27" customWidth="1"/>
    <col min="3" max="3" width="9" style="27"/>
    <col min="4" max="4" width="17.125" style="37" customWidth="1"/>
    <col min="5" max="5" width="9" style="27"/>
    <col min="6" max="6" width="16.125" style="27" customWidth="1"/>
    <col min="7" max="7" width="12.625" style="27" customWidth="1"/>
    <col min="8" max="16384" width="9" style="27"/>
  </cols>
  <sheetData>
    <row r="1" spans="4:7">
      <c r="D1" s="37" t="s">
        <v>3006</v>
      </c>
      <c r="E1" s="27" t="s">
        <v>3007</v>
      </c>
      <c r="G1" s="28" t="s">
        <v>3008</v>
      </c>
    </row>
    <row r="2" spans="4:7">
      <c r="D2" s="37" t="s">
        <v>3009</v>
      </c>
      <c r="G2" s="29">
        <v>45536</v>
      </c>
    </row>
    <row r="3" spans="1:7">
      <c r="A3" s="38" t="s">
        <v>1290</v>
      </c>
      <c r="B3" s="38" t="s">
        <v>1255</v>
      </c>
      <c r="C3" s="38" t="s">
        <v>60</v>
      </c>
      <c r="D3" s="39" t="s">
        <v>3010</v>
      </c>
      <c r="E3" s="38"/>
      <c r="F3" s="38"/>
      <c r="G3" s="40" t="s">
        <v>2450</v>
      </c>
    </row>
    <row r="4" spans="1:7">
      <c r="A4" s="30" t="s">
        <v>1305</v>
      </c>
      <c r="B4" s="30" t="s">
        <v>1265</v>
      </c>
      <c r="C4" s="30"/>
      <c r="D4" s="32"/>
      <c r="E4" s="30"/>
      <c r="F4" s="30"/>
      <c r="G4" s="30"/>
    </row>
    <row r="5" spans="1:7">
      <c r="A5" s="30" t="s">
        <v>1307</v>
      </c>
      <c r="B5" s="30" t="s">
        <v>3011</v>
      </c>
      <c r="C5" s="30"/>
      <c r="D5" s="32"/>
      <c r="E5" s="33"/>
      <c r="F5" s="33"/>
      <c r="G5" s="33"/>
    </row>
    <row r="6" spans="1:7">
      <c r="A6" s="34" t="s">
        <v>1309</v>
      </c>
      <c r="B6" s="35" t="s">
        <v>3012</v>
      </c>
      <c r="C6" s="36" t="s">
        <v>69</v>
      </c>
      <c r="D6" s="32">
        <f>SUM(E6:G6)</f>
        <v>82569.74</v>
      </c>
      <c r="E6" s="30"/>
      <c r="F6" s="35"/>
      <c r="G6" s="35">
        <v>82569.74</v>
      </c>
    </row>
    <row r="7" spans="1:7">
      <c r="A7" s="34" t="s">
        <v>1317</v>
      </c>
      <c r="B7" s="35" t="s">
        <v>3013</v>
      </c>
      <c r="C7" s="36" t="s">
        <v>69</v>
      </c>
      <c r="D7" s="32">
        <f t="shared" ref="D7:D33" si="0">SUM(E7:G7)</f>
        <v>45000</v>
      </c>
      <c r="E7" s="30"/>
      <c r="F7" s="30"/>
      <c r="G7" s="30">
        <v>45000</v>
      </c>
    </row>
    <row r="8" spans="1:7">
      <c r="A8" s="34" t="s">
        <v>1325</v>
      </c>
      <c r="B8" s="35" t="s">
        <v>3014</v>
      </c>
      <c r="C8" s="36" t="s">
        <v>69</v>
      </c>
      <c r="D8" s="32">
        <f t="shared" si="0"/>
        <v>0</v>
      </c>
      <c r="E8" s="30"/>
      <c r="F8" s="30"/>
      <c r="G8" s="30">
        <v>0</v>
      </c>
    </row>
    <row r="9" spans="1:7">
      <c r="A9" s="34" t="s">
        <v>3015</v>
      </c>
      <c r="B9" s="35" t="s">
        <v>3016</v>
      </c>
      <c r="C9" s="36" t="s">
        <v>69</v>
      </c>
      <c r="D9" s="32">
        <f t="shared" si="0"/>
        <v>15000</v>
      </c>
      <c r="E9" s="30"/>
      <c r="F9" s="30"/>
      <c r="G9" s="30">
        <v>15000</v>
      </c>
    </row>
    <row r="10" spans="1:7">
      <c r="A10" s="34" t="s">
        <v>3017</v>
      </c>
      <c r="B10" s="35" t="s">
        <v>3018</v>
      </c>
      <c r="C10" s="36" t="s">
        <v>69</v>
      </c>
      <c r="D10" s="32">
        <f t="shared" si="0"/>
        <v>15000</v>
      </c>
      <c r="E10" s="30"/>
      <c r="F10" s="30"/>
      <c r="G10" s="30">
        <v>15000</v>
      </c>
    </row>
    <row r="11" spans="1:7">
      <c r="A11" s="34" t="s">
        <v>3019</v>
      </c>
      <c r="B11" s="35" t="s">
        <v>3020</v>
      </c>
      <c r="C11" s="36" t="s">
        <v>69</v>
      </c>
      <c r="D11" s="32">
        <f t="shared" si="0"/>
        <v>0</v>
      </c>
      <c r="E11" s="30"/>
      <c r="F11" s="30"/>
      <c r="G11" s="30">
        <v>0</v>
      </c>
    </row>
    <row r="12" spans="1:7">
      <c r="A12" s="34" t="s">
        <v>3021</v>
      </c>
      <c r="B12" s="35" t="s">
        <v>3022</v>
      </c>
      <c r="C12" s="36" t="s">
        <v>69</v>
      </c>
      <c r="D12" s="32">
        <f t="shared" si="0"/>
        <v>7000</v>
      </c>
      <c r="E12" s="30"/>
      <c r="F12" s="30"/>
      <c r="G12" s="30">
        <v>7000</v>
      </c>
    </row>
    <row r="13" spans="1:7">
      <c r="A13" s="34" t="s">
        <v>3023</v>
      </c>
      <c r="B13" s="35" t="s">
        <v>3024</v>
      </c>
      <c r="C13" s="36" t="s">
        <v>69</v>
      </c>
      <c r="D13" s="32">
        <f t="shared" si="0"/>
        <v>8000</v>
      </c>
      <c r="E13" s="30"/>
      <c r="F13" s="30"/>
      <c r="G13" s="30">
        <v>8000</v>
      </c>
    </row>
    <row r="14" spans="1:7">
      <c r="A14" s="34" t="s">
        <v>3025</v>
      </c>
      <c r="B14" s="35" t="s">
        <v>3026</v>
      </c>
      <c r="C14" s="36" t="s">
        <v>76</v>
      </c>
      <c r="D14" s="32">
        <f t="shared" si="0"/>
        <v>4000</v>
      </c>
      <c r="E14" s="30"/>
      <c r="F14" s="30"/>
      <c r="G14" s="30">
        <v>4000</v>
      </c>
    </row>
    <row r="15" spans="1:7">
      <c r="A15" s="34" t="s">
        <v>3027</v>
      </c>
      <c r="B15" s="35" t="s">
        <v>3028</v>
      </c>
      <c r="C15" s="36" t="s">
        <v>76</v>
      </c>
      <c r="D15" s="32">
        <f t="shared" si="0"/>
        <v>2500</v>
      </c>
      <c r="E15" s="32"/>
      <c r="F15" s="32"/>
      <c r="G15" s="32">
        <v>2500</v>
      </c>
    </row>
    <row r="16" spans="1:7">
      <c r="A16" s="34" t="s">
        <v>3029</v>
      </c>
      <c r="B16" s="35" t="s">
        <v>3030</v>
      </c>
      <c r="C16" s="36" t="s">
        <v>76</v>
      </c>
      <c r="D16" s="32">
        <f t="shared" si="0"/>
        <v>0</v>
      </c>
      <c r="E16" s="32"/>
      <c r="F16" s="32"/>
      <c r="G16" s="32">
        <v>0</v>
      </c>
    </row>
    <row r="17" spans="1:7">
      <c r="A17" s="34" t="s">
        <v>3031</v>
      </c>
      <c r="B17" s="35" t="s">
        <v>3032</v>
      </c>
      <c r="C17" s="36" t="s">
        <v>76</v>
      </c>
      <c r="D17" s="32">
        <f t="shared" si="0"/>
        <v>1500</v>
      </c>
      <c r="E17" s="32"/>
      <c r="F17" s="32"/>
      <c r="G17" s="32">
        <v>1500</v>
      </c>
    </row>
    <row r="18" spans="1:7">
      <c r="A18" s="34" t="s">
        <v>3033</v>
      </c>
      <c r="B18" s="35" t="s">
        <v>3034</v>
      </c>
      <c r="C18" s="36" t="s">
        <v>76</v>
      </c>
      <c r="D18" s="32">
        <f t="shared" si="0"/>
        <v>1500</v>
      </c>
      <c r="E18" s="32"/>
      <c r="F18" s="32"/>
      <c r="G18" s="32">
        <v>1500</v>
      </c>
    </row>
    <row r="19" spans="1:7">
      <c r="A19" s="34" t="s">
        <v>3035</v>
      </c>
      <c r="B19" s="35" t="s">
        <v>3036</v>
      </c>
      <c r="C19" s="36" t="s">
        <v>76</v>
      </c>
      <c r="D19" s="32">
        <f t="shared" si="0"/>
        <v>0</v>
      </c>
      <c r="E19" s="32"/>
      <c r="F19" s="32"/>
      <c r="G19" s="32">
        <v>0</v>
      </c>
    </row>
    <row r="20" spans="1:7">
      <c r="A20" s="34" t="s">
        <v>3037</v>
      </c>
      <c r="B20" s="35" t="s">
        <v>3038</v>
      </c>
      <c r="C20" s="36" t="s">
        <v>169</v>
      </c>
      <c r="D20" s="32">
        <f t="shared" si="0"/>
        <v>0</v>
      </c>
      <c r="E20" s="32"/>
      <c r="F20" s="32"/>
      <c r="G20" s="32">
        <v>0</v>
      </c>
    </row>
    <row r="21" spans="1:7">
      <c r="A21" s="34" t="s">
        <v>3039</v>
      </c>
      <c r="B21" s="35" t="s">
        <v>3040</v>
      </c>
      <c r="C21" s="36" t="s">
        <v>69</v>
      </c>
      <c r="D21" s="32">
        <f t="shared" si="0"/>
        <v>0</v>
      </c>
      <c r="E21" s="32"/>
      <c r="F21" s="32"/>
      <c r="G21" s="32">
        <v>0</v>
      </c>
    </row>
    <row r="22" spans="1:7">
      <c r="A22" s="34" t="s">
        <v>3041</v>
      </c>
      <c r="B22" s="35" t="s">
        <v>3042</v>
      </c>
      <c r="C22" s="36" t="s">
        <v>76</v>
      </c>
      <c r="D22" s="32">
        <f t="shared" si="0"/>
        <v>0</v>
      </c>
      <c r="E22" s="32"/>
      <c r="F22" s="32"/>
      <c r="G22" s="32">
        <v>0</v>
      </c>
    </row>
    <row r="23" spans="1:7">
      <c r="A23" s="34" t="s">
        <v>3043</v>
      </c>
      <c r="B23" s="35" t="s">
        <v>520</v>
      </c>
      <c r="C23" s="36" t="s">
        <v>82</v>
      </c>
      <c r="D23" s="32">
        <f t="shared" si="0"/>
        <v>40</v>
      </c>
      <c r="E23" s="32"/>
      <c r="F23" s="32"/>
      <c r="G23" s="32">
        <v>40</v>
      </c>
    </row>
    <row r="24" spans="1:7">
      <c r="A24" s="34" t="s">
        <v>3044</v>
      </c>
      <c r="B24" s="35" t="s">
        <v>3045</v>
      </c>
      <c r="C24" s="36" t="s">
        <v>82</v>
      </c>
      <c r="D24" s="32">
        <f t="shared" si="0"/>
        <v>10</v>
      </c>
      <c r="E24" s="32"/>
      <c r="F24" s="32"/>
      <c r="G24" s="32">
        <v>10</v>
      </c>
    </row>
    <row r="25" spans="1:7">
      <c r="A25" s="34" t="s">
        <v>3046</v>
      </c>
      <c r="B25" s="35" t="s">
        <v>3047</v>
      </c>
      <c r="C25" s="36" t="s">
        <v>82</v>
      </c>
      <c r="D25" s="32">
        <f t="shared" si="0"/>
        <v>5</v>
      </c>
      <c r="E25" s="32"/>
      <c r="F25" s="32"/>
      <c r="G25" s="32">
        <v>5</v>
      </c>
    </row>
    <row r="26" spans="1:7">
      <c r="A26" s="34" t="s">
        <v>3048</v>
      </c>
      <c r="B26" s="35" t="s">
        <v>3049</v>
      </c>
      <c r="C26" s="36" t="s">
        <v>72</v>
      </c>
      <c r="D26" s="32">
        <f t="shared" si="0"/>
        <v>8000</v>
      </c>
      <c r="E26" s="32"/>
      <c r="F26" s="32"/>
      <c r="G26" s="32">
        <v>8000</v>
      </c>
    </row>
    <row r="27" spans="1:7">
      <c r="A27" s="34" t="s">
        <v>3050</v>
      </c>
      <c r="B27" s="35" t="s">
        <v>3051</v>
      </c>
      <c r="C27" s="36" t="s">
        <v>72</v>
      </c>
      <c r="D27" s="32">
        <f t="shared" si="0"/>
        <v>6000</v>
      </c>
      <c r="E27" s="32"/>
      <c r="F27" s="32"/>
      <c r="G27" s="32">
        <v>6000</v>
      </c>
    </row>
    <row r="28" spans="1:7">
      <c r="A28" s="34" t="s">
        <v>3052</v>
      </c>
      <c r="B28" s="35" t="s">
        <v>3053</v>
      </c>
      <c r="C28" s="36" t="s">
        <v>72</v>
      </c>
      <c r="D28" s="32">
        <f t="shared" si="0"/>
        <v>0</v>
      </c>
      <c r="E28" s="32"/>
      <c r="F28" s="32"/>
      <c r="G28" s="32">
        <v>0</v>
      </c>
    </row>
    <row r="29" spans="1:7">
      <c r="A29" s="34" t="s">
        <v>3054</v>
      </c>
      <c r="B29" s="35" t="s">
        <v>3055</v>
      </c>
      <c r="C29" s="36" t="s">
        <v>72</v>
      </c>
      <c r="D29" s="32">
        <f t="shared" si="0"/>
        <v>600</v>
      </c>
      <c r="E29" s="32"/>
      <c r="F29" s="32"/>
      <c r="G29" s="32">
        <v>600</v>
      </c>
    </row>
    <row r="30" spans="1:7">
      <c r="A30" s="34" t="s">
        <v>3056</v>
      </c>
      <c r="B30" s="35" t="s">
        <v>3057</v>
      </c>
      <c r="C30" s="36" t="s">
        <v>72</v>
      </c>
      <c r="D30" s="32">
        <f t="shared" si="0"/>
        <v>300</v>
      </c>
      <c r="E30" s="32"/>
      <c r="F30" s="32"/>
      <c r="G30" s="32">
        <v>300</v>
      </c>
    </row>
    <row r="31" spans="1:7">
      <c r="A31" s="34" t="s">
        <v>3058</v>
      </c>
      <c r="B31" s="35" t="s">
        <v>523</v>
      </c>
      <c r="C31" s="36" t="s">
        <v>72</v>
      </c>
      <c r="D31" s="32">
        <f t="shared" si="0"/>
        <v>0</v>
      </c>
      <c r="E31" s="32"/>
      <c r="F31" s="32"/>
      <c r="G31" s="32">
        <v>0</v>
      </c>
    </row>
    <row r="32" spans="1:7">
      <c r="A32" s="34" t="s">
        <v>3059</v>
      </c>
      <c r="B32" s="35" t="s">
        <v>3060</v>
      </c>
      <c r="C32" s="36" t="s">
        <v>72</v>
      </c>
      <c r="D32" s="32">
        <f t="shared" si="0"/>
        <v>1500</v>
      </c>
      <c r="E32" s="32"/>
      <c r="F32" s="32"/>
      <c r="G32" s="32">
        <v>1500</v>
      </c>
    </row>
    <row r="33" spans="1:7">
      <c r="A33" s="34" t="s">
        <v>3061</v>
      </c>
      <c r="B33" s="35" t="s">
        <v>3062</v>
      </c>
      <c r="C33" s="36" t="s">
        <v>82</v>
      </c>
      <c r="D33" s="32">
        <f t="shared" si="0"/>
        <v>120</v>
      </c>
      <c r="E33" s="32"/>
      <c r="F33" s="32"/>
      <c r="G33" s="32">
        <v>120</v>
      </c>
    </row>
    <row r="34" spans="1:7">
      <c r="A34" s="34" t="s">
        <v>3063</v>
      </c>
      <c r="B34" s="35" t="s">
        <v>970</v>
      </c>
      <c r="C34" s="36" t="s">
        <v>82</v>
      </c>
      <c r="D34" s="32"/>
      <c r="E34" s="32"/>
      <c r="F34" s="32"/>
      <c r="G34" s="32">
        <v>0</v>
      </c>
    </row>
    <row r="35" spans="1:7">
      <c r="A35" s="34" t="s">
        <v>3064</v>
      </c>
      <c r="B35" s="35" t="s">
        <v>3049</v>
      </c>
      <c r="C35" s="36" t="s">
        <v>72</v>
      </c>
      <c r="D35" s="32">
        <f>SUM(E35:G35)</f>
        <v>0</v>
      </c>
      <c r="E35" s="32"/>
      <c r="F35" s="32"/>
      <c r="G35" s="32">
        <v>0</v>
      </c>
    </row>
    <row r="36" spans="1:7">
      <c r="A36" s="34" t="s">
        <v>3065</v>
      </c>
      <c r="B36" s="35" t="s">
        <v>3051</v>
      </c>
      <c r="C36" s="36" t="s">
        <v>72</v>
      </c>
      <c r="D36" s="32">
        <f>SUM(E36:G36)</f>
        <v>0</v>
      </c>
      <c r="E36" s="30"/>
      <c r="F36" s="30"/>
      <c r="G36" s="30">
        <v>0</v>
      </c>
    </row>
    <row r="37" spans="1:7">
      <c r="A37" s="34" t="s">
        <v>3066</v>
      </c>
      <c r="B37" s="35" t="s">
        <v>3053</v>
      </c>
      <c r="C37" s="36" t="s">
        <v>72</v>
      </c>
      <c r="D37" s="32">
        <f>SUM(E37:G37)</f>
        <v>0</v>
      </c>
      <c r="E37" s="30"/>
      <c r="F37" s="30"/>
      <c r="G37" s="30">
        <v>0</v>
      </c>
    </row>
    <row r="38" spans="1:7">
      <c r="A38" s="34" t="s">
        <v>3067</v>
      </c>
      <c r="B38" s="35" t="s">
        <v>3068</v>
      </c>
      <c r="C38" s="36" t="s">
        <v>76</v>
      </c>
      <c r="D38" s="32">
        <f t="shared" ref="D38:D43" si="1">SUM(E38:G38)</f>
        <v>0</v>
      </c>
      <c r="E38" s="30"/>
      <c r="F38" s="30"/>
      <c r="G38" s="30">
        <v>0</v>
      </c>
    </row>
    <row r="39" spans="1:7">
      <c r="A39" s="34" t="s">
        <v>3069</v>
      </c>
      <c r="B39" s="35" t="s">
        <v>3070</v>
      </c>
      <c r="C39" s="36" t="s">
        <v>3071</v>
      </c>
      <c r="D39" s="32">
        <f t="shared" si="1"/>
        <v>1</v>
      </c>
      <c r="E39" s="30"/>
      <c r="F39" s="30"/>
      <c r="G39" s="30">
        <v>1</v>
      </c>
    </row>
    <row r="40" spans="1:7">
      <c r="A40" s="34" t="s">
        <v>3072</v>
      </c>
      <c r="B40" s="35" t="s">
        <v>3073</v>
      </c>
      <c r="C40" s="36" t="s">
        <v>195</v>
      </c>
      <c r="D40" s="32">
        <f t="shared" si="1"/>
        <v>0.8</v>
      </c>
      <c r="E40" s="30"/>
      <c r="F40" s="30"/>
      <c r="G40" s="30">
        <v>0.8</v>
      </c>
    </row>
    <row r="41" spans="1:7">
      <c r="A41" s="34" t="s">
        <v>3074</v>
      </c>
      <c r="B41" s="35" t="s">
        <v>3075</v>
      </c>
      <c r="C41" s="36" t="s">
        <v>195</v>
      </c>
      <c r="D41" s="32">
        <f t="shared" si="1"/>
        <v>0.4</v>
      </c>
      <c r="E41" s="30"/>
      <c r="F41" s="30"/>
      <c r="G41" s="30">
        <v>0.4</v>
      </c>
    </row>
    <row r="42" spans="1:7">
      <c r="A42" s="34" t="s">
        <v>3076</v>
      </c>
      <c r="B42" s="35" t="s">
        <v>3077</v>
      </c>
      <c r="C42" s="36" t="s">
        <v>195</v>
      </c>
      <c r="D42" s="32">
        <f t="shared" si="1"/>
        <v>0.4</v>
      </c>
      <c r="E42" s="30"/>
      <c r="F42" s="30"/>
      <c r="G42" s="30">
        <v>0.4</v>
      </c>
    </row>
    <row r="43" spans="1:7">
      <c r="A43" s="34" t="s">
        <v>3078</v>
      </c>
      <c r="B43" s="35" t="s">
        <v>3079</v>
      </c>
      <c r="C43" s="36" t="s">
        <v>195</v>
      </c>
      <c r="D43" s="32">
        <f t="shared" si="1"/>
        <v>1</v>
      </c>
      <c r="E43" s="30"/>
      <c r="F43" s="30"/>
      <c r="G43" s="30">
        <v>1</v>
      </c>
    </row>
  </sheetData>
  <sheetProtection formatCells="0" insertHyperlinks="0" autoFilter="0"/>
  <conditionalFormatting sqref="D2">
    <cfRule type="expression" dxfId="53" priority="24">
      <formula>LEN($A3)=6</formula>
    </cfRule>
  </conditionalFormatting>
  <conditionalFormatting sqref="A5:C5">
    <cfRule type="expression" dxfId="53" priority="20">
      <formula>LEN($A5)=6</formula>
    </cfRule>
  </conditionalFormatting>
  <conditionalFormatting sqref="D5">
    <cfRule type="expression" dxfId="53" priority="19">
      <formula>LEN($A5)=6</formula>
    </cfRule>
  </conditionalFormatting>
  <conditionalFormatting sqref="F6">
    <cfRule type="expression" dxfId="52" priority="2">
      <formula>$C6="分项"</formula>
    </cfRule>
    <cfRule type="expression" dxfId="53" priority="3">
      <formula>$C6="单位"</formula>
    </cfRule>
  </conditionalFormatting>
  <conditionalFormatting sqref="G6">
    <cfRule type="expression" dxfId="52" priority="11">
      <formula>$C6="分项"</formula>
    </cfRule>
    <cfRule type="expression" dxfId="53" priority="12">
      <formula>$C6="单位"</formula>
    </cfRule>
  </conditionalFormatting>
  <conditionalFormatting sqref="D34">
    <cfRule type="expression" dxfId="53" priority="21">
      <formula>LEN($A34)=6</formula>
    </cfRule>
  </conditionalFormatting>
  <conditionalFormatting sqref="A6:A39">
    <cfRule type="expression" dxfId="52" priority="17">
      <formula>$C6="分项"</formula>
    </cfRule>
    <cfRule type="expression" dxfId="53" priority="18">
      <formula>$C6="单位"</formula>
    </cfRule>
  </conditionalFormatting>
  <conditionalFormatting sqref="A40:A43">
    <cfRule type="expression" dxfId="52" priority="4">
      <formula>$C40="分项"</formula>
    </cfRule>
    <cfRule type="expression" dxfId="53" priority="5">
      <formula>$C40="单位"</formula>
    </cfRule>
  </conditionalFormatting>
  <conditionalFormatting sqref="B6:B39">
    <cfRule type="expression" dxfId="52" priority="15">
      <formula>$C6="分项"</formula>
    </cfRule>
    <cfRule type="expression" dxfId="53" priority="16">
      <formula>$C6="单位"</formula>
    </cfRule>
  </conditionalFormatting>
  <conditionalFormatting sqref="B40:B43">
    <cfRule type="expression" dxfId="52" priority="8">
      <formula>$C40="分项"</formula>
    </cfRule>
    <cfRule type="expression" dxfId="53" priority="9">
      <formula>$C40="单位"</formula>
    </cfRule>
  </conditionalFormatting>
  <conditionalFormatting sqref="C6:C39">
    <cfRule type="expression" dxfId="52" priority="13">
      <formula>$C6="分项"</formula>
    </cfRule>
    <cfRule type="expression" dxfId="53" priority="14">
      <formula>$C6="单位"</formula>
    </cfRule>
  </conditionalFormatting>
  <conditionalFormatting sqref="C40:C43">
    <cfRule type="expression" dxfId="52" priority="6">
      <formula>$C40="分项"</formula>
    </cfRule>
    <cfRule type="expression" dxfId="53" priority="7">
      <formula>$C40="单位"</formula>
    </cfRule>
  </conditionalFormatting>
  <conditionalFormatting sqref="F15:F35">
    <cfRule type="expression" dxfId="53" priority="1">
      <formula>LEN($A15)=6</formula>
    </cfRule>
  </conditionalFormatting>
  <conditionalFormatting sqref="A3:C4">
    <cfRule type="expression" dxfId="53" priority="23">
      <formula>LEN($A3)=6</formula>
    </cfRule>
  </conditionalFormatting>
  <conditionalFormatting sqref="D4 D6:D33 D35:D43">
    <cfRule type="expression" dxfId="53" priority="22">
      <formula>LEN($A4)=6</formula>
    </cfRule>
  </conditionalFormatting>
  <conditionalFormatting sqref="E15:E35 G15:G35">
    <cfRule type="expression" dxfId="53" priority="10">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G43"/>
  <sheetViews>
    <sheetView workbookViewId="0">
      <selection activeCell="A189" sqref="A189"/>
    </sheetView>
  </sheetViews>
  <sheetFormatPr defaultColWidth="9" defaultRowHeight="15.75" outlineLevelCol="6"/>
  <cols>
    <col min="1" max="1" width="13.5" style="27" customWidth="1"/>
    <col min="2" max="2" width="30.25" style="27" customWidth="1"/>
    <col min="3" max="3" width="9" style="27"/>
    <col min="4" max="4" width="14.5" style="27" customWidth="1"/>
    <col min="5" max="6" width="9" style="27"/>
    <col min="7" max="7" width="14.75" style="27" customWidth="1"/>
    <col min="8" max="16384" width="9" style="27"/>
  </cols>
  <sheetData>
    <row r="1" ht="21" customHeight="1" spans="4:7">
      <c r="D1" s="27" t="s">
        <v>3007</v>
      </c>
      <c r="G1" s="28" t="s">
        <v>3080</v>
      </c>
    </row>
    <row r="2" ht="21" customHeight="1" spans="7:7">
      <c r="G2" s="29">
        <v>45536</v>
      </c>
    </row>
    <row r="3" ht="21" customHeight="1" spans="1:7">
      <c r="A3" s="30" t="s">
        <v>1290</v>
      </c>
      <c r="B3" s="30" t="s">
        <v>1255</v>
      </c>
      <c r="C3" s="30" t="s">
        <v>60</v>
      </c>
      <c r="D3" s="30" t="s">
        <v>3081</v>
      </c>
      <c r="E3" s="30"/>
      <c r="F3" s="30"/>
      <c r="G3" s="31" t="s">
        <v>2450</v>
      </c>
    </row>
    <row r="4" spans="1:7">
      <c r="A4" s="30" t="s">
        <v>1305</v>
      </c>
      <c r="B4" s="30" t="s">
        <v>1265</v>
      </c>
      <c r="C4" s="30"/>
      <c r="D4" s="30"/>
      <c r="E4" s="30"/>
      <c r="F4" s="30"/>
      <c r="G4" s="30"/>
    </row>
    <row r="5" spans="1:7">
      <c r="A5" s="30" t="s">
        <v>1307</v>
      </c>
      <c r="B5" s="30" t="s">
        <v>3011</v>
      </c>
      <c r="C5" s="30"/>
      <c r="D5" s="32"/>
      <c r="E5" s="33"/>
      <c r="F5" s="33"/>
      <c r="G5" s="33"/>
    </row>
    <row r="6" spans="1:7">
      <c r="A6" s="34" t="s">
        <v>1309</v>
      </c>
      <c r="B6" s="35" t="s">
        <v>3012</v>
      </c>
      <c r="C6" s="36" t="s">
        <v>69</v>
      </c>
      <c r="D6" s="32">
        <f t="shared" ref="D6:D33" si="0">SUM(E6:G6)</f>
        <v>70000</v>
      </c>
      <c r="E6" s="30"/>
      <c r="F6" s="30"/>
      <c r="G6" s="35">
        <v>70000</v>
      </c>
    </row>
    <row r="7" spans="1:7">
      <c r="A7" s="34" t="s">
        <v>1317</v>
      </c>
      <c r="B7" s="35" t="s">
        <v>3013</v>
      </c>
      <c r="C7" s="36" t="s">
        <v>69</v>
      </c>
      <c r="D7" s="32">
        <f t="shared" si="0"/>
        <v>50000</v>
      </c>
      <c r="E7" s="30"/>
      <c r="F7" s="30"/>
      <c r="G7" s="30">
        <v>50000</v>
      </c>
    </row>
    <row r="8" spans="1:7">
      <c r="A8" s="34" t="s">
        <v>1325</v>
      </c>
      <c r="B8" s="35" t="s">
        <v>3014</v>
      </c>
      <c r="C8" s="36" t="s">
        <v>69</v>
      </c>
      <c r="D8" s="32">
        <f t="shared" si="0"/>
        <v>0</v>
      </c>
      <c r="E8" s="30"/>
      <c r="F8" s="30"/>
      <c r="G8" s="30">
        <v>0</v>
      </c>
    </row>
    <row r="9" spans="1:7">
      <c r="A9" s="34" t="s">
        <v>3015</v>
      </c>
      <c r="B9" s="35" t="s">
        <v>3016</v>
      </c>
      <c r="C9" s="36" t="s">
        <v>69</v>
      </c>
      <c r="D9" s="32">
        <f t="shared" si="0"/>
        <v>16500</v>
      </c>
      <c r="E9" s="30"/>
      <c r="F9" s="30"/>
      <c r="G9" s="30">
        <v>16500</v>
      </c>
    </row>
    <row r="10" spans="1:7">
      <c r="A10" s="34" t="s">
        <v>3017</v>
      </c>
      <c r="B10" s="35" t="s">
        <v>3018</v>
      </c>
      <c r="C10" s="36" t="s">
        <v>69</v>
      </c>
      <c r="D10" s="32">
        <f t="shared" si="0"/>
        <v>16500</v>
      </c>
      <c r="E10" s="30"/>
      <c r="F10" s="30"/>
      <c r="G10" s="30">
        <v>16500</v>
      </c>
    </row>
    <row r="11" spans="1:7">
      <c r="A11" s="34" t="s">
        <v>3019</v>
      </c>
      <c r="B11" s="35" t="s">
        <v>3020</v>
      </c>
      <c r="C11" s="36" t="s">
        <v>69</v>
      </c>
      <c r="D11" s="32">
        <f t="shared" si="0"/>
        <v>0</v>
      </c>
      <c r="E11" s="30"/>
      <c r="F11" s="30"/>
      <c r="G11" s="30">
        <v>0</v>
      </c>
    </row>
    <row r="12" spans="1:7">
      <c r="A12" s="34" t="s">
        <v>3021</v>
      </c>
      <c r="B12" s="35" t="s">
        <v>3022</v>
      </c>
      <c r="C12" s="36" t="s">
        <v>69</v>
      </c>
      <c r="D12" s="32">
        <f t="shared" si="0"/>
        <v>6500</v>
      </c>
      <c r="E12" s="30"/>
      <c r="F12" s="30"/>
      <c r="G12" s="30">
        <v>6500</v>
      </c>
    </row>
    <row r="13" spans="1:7">
      <c r="A13" s="34" t="s">
        <v>3023</v>
      </c>
      <c r="B13" s="35" t="s">
        <v>3024</v>
      </c>
      <c r="C13" s="36" t="s">
        <v>69</v>
      </c>
      <c r="D13" s="32">
        <f t="shared" si="0"/>
        <v>8500</v>
      </c>
      <c r="E13" s="30"/>
      <c r="F13" s="30"/>
      <c r="G13" s="30">
        <v>8500</v>
      </c>
    </row>
    <row r="14" spans="1:7">
      <c r="A14" s="34" t="s">
        <v>3025</v>
      </c>
      <c r="B14" s="35" t="s">
        <v>3026</v>
      </c>
      <c r="C14" s="36" t="s">
        <v>76</v>
      </c>
      <c r="D14" s="32">
        <f t="shared" si="0"/>
        <v>4200</v>
      </c>
      <c r="E14" s="30"/>
      <c r="F14" s="30"/>
      <c r="G14" s="30">
        <v>4200</v>
      </c>
    </row>
    <row r="15" spans="1:7">
      <c r="A15" s="34" t="s">
        <v>3027</v>
      </c>
      <c r="B15" s="35" t="s">
        <v>3028</v>
      </c>
      <c r="C15" s="36" t="s">
        <v>76</v>
      </c>
      <c r="D15" s="32">
        <f t="shared" si="0"/>
        <v>2000</v>
      </c>
      <c r="E15" s="32"/>
      <c r="F15" s="32"/>
      <c r="G15" s="32">
        <v>2000</v>
      </c>
    </row>
    <row r="16" spans="1:7">
      <c r="A16" s="34" t="s">
        <v>3029</v>
      </c>
      <c r="B16" s="35" t="s">
        <v>3030</v>
      </c>
      <c r="C16" s="36" t="s">
        <v>76</v>
      </c>
      <c r="D16" s="32">
        <f t="shared" si="0"/>
        <v>0</v>
      </c>
      <c r="E16" s="32"/>
      <c r="F16" s="32"/>
      <c r="G16" s="32">
        <v>0</v>
      </c>
    </row>
    <row r="17" spans="1:7">
      <c r="A17" s="34" t="s">
        <v>3031</v>
      </c>
      <c r="B17" s="35" t="s">
        <v>3032</v>
      </c>
      <c r="C17" s="36" t="s">
        <v>76</v>
      </c>
      <c r="D17" s="32">
        <f t="shared" si="0"/>
        <v>1500</v>
      </c>
      <c r="E17" s="32"/>
      <c r="F17" s="32"/>
      <c r="G17" s="32">
        <v>1500</v>
      </c>
    </row>
    <row r="18" spans="1:7">
      <c r="A18" s="34" t="s">
        <v>3033</v>
      </c>
      <c r="B18" s="35" t="s">
        <v>3034</v>
      </c>
      <c r="C18" s="36" t="s">
        <v>76</v>
      </c>
      <c r="D18" s="32">
        <f t="shared" si="0"/>
        <v>1500</v>
      </c>
      <c r="E18" s="32"/>
      <c r="F18" s="32"/>
      <c r="G18" s="32">
        <v>1500</v>
      </c>
    </row>
    <row r="19" spans="1:7">
      <c r="A19" s="34" t="s">
        <v>3035</v>
      </c>
      <c r="B19" s="35" t="s">
        <v>3036</v>
      </c>
      <c r="C19" s="36" t="s">
        <v>76</v>
      </c>
      <c r="D19" s="32">
        <f t="shared" si="0"/>
        <v>0</v>
      </c>
      <c r="E19" s="32"/>
      <c r="F19" s="32"/>
      <c r="G19" s="32">
        <v>0</v>
      </c>
    </row>
    <row r="20" spans="1:7">
      <c r="A20" s="34" t="s">
        <v>3037</v>
      </c>
      <c r="B20" s="35" t="s">
        <v>3038</v>
      </c>
      <c r="C20" s="36" t="s">
        <v>169</v>
      </c>
      <c r="D20" s="32">
        <f t="shared" si="0"/>
        <v>0</v>
      </c>
      <c r="E20" s="32"/>
      <c r="F20" s="32"/>
      <c r="G20" s="32">
        <v>0</v>
      </c>
    </row>
    <row r="21" spans="1:7">
      <c r="A21" s="34" t="s">
        <v>3039</v>
      </c>
      <c r="B21" s="35" t="s">
        <v>3040</v>
      </c>
      <c r="C21" s="36" t="s">
        <v>69</v>
      </c>
      <c r="D21" s="32">
        <f t="shared" si="0"/>
        <v>0</v>
      </c>
      <c r="E21" s="32"/>
      <c r="F21" s="32"/>
      <c r="G21" s="32">
        <v>0</v>
      </c>
    </row>
    <row r="22" spans="1:7">
      <c r="A22" s="34" t="s">
        <v>3041</v>
      </c>
      <c r="B22" s="35" t="s">
        <v>3042</v>
      </c>
      <c r="C22" s="36" t="s">
        <v>76</v>
      </c>
      <c r="D22" s="32">
        <f t="shared" si="0"/>
        <v>0</v>
      </c>
      <c r="E22" s="32"/>
      <c r="F22" s="32"/>
      <c r="G22" s="32">
        <v>0</v>
      </c>
    </row>
    <row r="23" spans="1:7">
      <c r="A23" s="34" t="s">
        <v>3043</v>
      </c>
      <c r="B23" s="35" t="s">
        <v>520</v>
      </c>
      <c r="C23" s="36" t="s">
        <v>82</v>
      </c>
      <c r="D23" s="32">
        <f t="shared" si="0"/>
        <v>40</v>
      </c>
      <c r="E23" s="32"/>
      <c r="F23" s="32"/>
      <c r="G23" s="32">
        <v>40</v>
      </c>
    </row>
    <row r="24" spans="1:7">
      <c r="A24" s="34" t="s">
        <v>3044</v>
      </c>
      <c r="B24" s="35" t="s">
        <v>3045</v>
      </c>
      <c r="C24" s="36" t="s">
        <v>82</v>
      </c>
      <c r="D24" s="32">
        <f t="shared" si="0"/>
        <v>10</v>
      </c>
      <c r="E24" s="32"/>
      <c r="F24" s="32"/>
      <c r="G24" s="32">
        <v>10</v>
      </c>
    </row>
    <row r="25" spans="1:7">
      <c r="A25" s="34" t="s">
        <v>3046</v>
      </c>
      <c r="B25" s="35" t="s">
        <v>3047</v>
      </c>
      <c r="C25" s="36" t="s">
        <v>82</v>
      </c>
      <c r="D25" s="32">
        <f t="shared" si="0"/>
        <v>5</v>
      </c>
      <c r="E25" s="32"/>
      <c r="F25" s="32"/>
      <c r="G25" s="32">
        <v>5</v>
      </c>
    </row>
    <row r="26" spans="1:7">
      <c r="A26" s="34" t="s">
        <v>3048</v>
      </c>
      <c r="B26" s="35" t="s">
        <v>3049</v>
      </c>
      <c r="C26" s="36" t="s">
        <v>72</v>
      </c>
      <c r="D26" s="32">
        <f t="shared" si="0"/>
        <v>7850</v>
      </c>
      <c r="E26" s="32"/>
      <c r="F26" s="32"/>
      <c r="G26" s="32">
        <v>7850</v>
      </c>
    </row>
    <row r="27" spans="1:7">
      <c r="A27" s="34" t="s">
        <v>3050</v>
      </c>
      <c r="B27" s="35" t="s">
        <v>3051</v>
      </c>
      <c r="C27" s="36" t="s">
        <v>72</v>
      </c>
      <c r="D27" s="32">
        <f t="shared" si="0"/>
        <v>6545</v>
      </c>
      <c r="E27" s="32"/>
      <c r="F27" s="32"/>
      <c r="G27" s="32">
        <v>6545</v>
      </c>
    </row>
    <row r="28" spans="1:7">
      <c r="A28" s="34" t="s">
        <v>3052</v>
      </c>
      <c r="B28" s="35" t="s">
        <v>3053</v>
      </c>
      <c r="C28" s="36" t="s">
        <v>72</v>
      </c>
      <c r="D28" s="32">
        <f t="shared" si="0"/>
        <v>0</v>
      </c>
      <c r="E28" s="32"/>
      <c r="F28" s="32"/>
      <c r="G28" s="32">
        <v>0</v>
      </c>
    </row>
    <row r="29" spans="1:7">
      <c r="A29" s="34" t="s">
        <v>3054</v>
      </c>
      <c r="B29" s="35" t="s">
        <v>3055</v>
      </c>
      <c r="C29" s="36" t="s">
        <v>72</v>
      </c>
      <c r="D29" s="32">
        <f t="shared" si="0"/>
        <v>622</v>
      </c>
      <c r="E29" s="32"/>
      <c r="F29" s="32"/>
      <c r="G29" s="32">
        <v>622</v>
      </c>
    </row>
    <row r="30" spans="1:7">
      <c r="A30" s="34" t="s">
        <v>3056</v>
      </c>
      <c r="B30" s="35" t="s">
        <v>3057</v>
      </c>
      <c r="C30" s="36" t="s">
        <v>72</v>
      </c>
      <c r="D30" s="32">
        <f t="shared" si="0"/>
        <v>307</v>
      </c>
      <c r="E30" s="32"/>
      <c r="F30" s="32"/>
      <c r="G30" s="32">
        <v>307</v>
      </c>
    </row>
    <row r="31" spans="1:7">
      <c r="A31" s="34" t="s">
        <v>3058</v>
      </c>
      <c r="B31" s="35" t="s">
        <v>523</v>
      </c>
      <c r="C31" s="36" t="s">
        <v>72</v>
      </c>
      <c r="D31" s="32">
        <f t="shared" si="0"/>
        <v>0</v>
      </c>
      <c r="E31" s="32"/>
      <c r="F31" s="32"/>
      <c r="G31" s="32">
        <v>0</v>
      </c>
    </row>
    <row r="32" spans="1:7">
      <c r="A32" s="34" t="s">
        <v>3059</v>
      </c>
      <c r="B32" s="35" t="s">
        <v>3060</v>
      </c>
      <c r="C32" s="36" t="s">
        <v>72</v>
      </c>
      <c r="D32" s="32">
        <f t="shared" si="0"/>
        <v>1485</v>
      </c>
      <c r="E32" s="32"/>
      <c r="F32" s="32"/>
      <c r="G32" s="32">
        <v>1485</v>
      </c>
    </row>
    <row r="33" spans="1:7">
      <c r="A33" s="34" t="s">
        <v>3061</v>
      </c>
      <c r="B33" s="35" t="s">
        <v>3062</v>
      </c>
      <c r="C33" s="36" t="s">
        <v>82</v>
      </c>
      <c r="D33" s="32">
        <f t="shared" si="0"/>
        <v>126.553</v>
      </c>
      <c r="E33" s="32"/>
      <c r="F33" s="32"/>
      <c r="G33" s="32">
        <v>126.553</v>
      </c>
    </row>
    <row r="34" spans="1:7">
      <c r="A34" s="34" t="s">
        <v>3063</v>
      </c>
      <c r="B34" s="35" t="s">
        <v>970</v>
      </c>
      <c r="C34" s="36" t="s">
        <v>82</v>
      </c>
      <c r="D34" s="32"/>
      <c r="E34" s="32"/>
      <c r="F34" s="32"/>
      <c r="G34" s="32">
        <v>0</v>
      </c>
    </row>
    <row r="35" spans="1:7">
      <c r="A35" s="34" t="s">
        <v>3064</v>
      </c>
      <c r="B35" s="35" t="s">
        <v>3049</v>
      </c>
      <c r="C35" s="36" t="s">
        <v>72</v>
      </c>
      <c r="D35" s="32">
        <f t="shared" ref="D35:D43" si="1">SUM(E35:G35)</f>
        <v>0</v>
      </c>
      <c r="E35" s="32"/>
      <c r="F35" s="32"/>
      <c r="G35" s="32">
        <v>0</v>
      </c>
    </row>
    <row r="36" spans="1:7">
      <c r="A36" s="34" t="s">
        <v>3065</v>
      </c>
      <c r="B36" s="35" t="s">
        <v>3051</v>
      </c>
      <c r="C36" s="36" t="s">
        <v>72</v>
      </c>
      <c r="D36" s="32">
        <f t="shared" si="1"/>
        <v>0</v>
      </c>
      <c r="E36" s="30"/>
      <c r="F36" s="30"/>
      <c r="G36" s="30">
        <v>0</v>
      </c>
    </row>
    <row r="37" spans="1:7">
      <c r="A37" s="34" t="s">
        <v>3066</v>
      </c>
      <c r="B37" s="35" t="s">
        <v>3053</v>
      </c>
      <c r="C37" s="36" t="s">
        <v>72</v>
      </c>
      <c r="D37" s="32">
        <f t="shared" si="1"/>
        <v>0</v>
      </c>
      <c r="E37" s="30"/>
      <c r="F37" s="30"/>
      <c r="G37" s="30">
        <v>0</v>
      </c>
    </row>
    <row r="38" spans="1:7">
      <c r="A38" s="34" t="s">
        <v>3067</v>
      </c>
      <c r="B38" s="35" t="s">
        <v>3068</v>
      </c>
      <c r="C38" s="36" t="s">
        <v>76</v>
      </c>
      <c r="D38" s="32">
        <f t="shared" si="1"/>
        <v>0</v>
      </c>
      <c r="E38" s="30"/>
      <c r="F38" s="30"/>
      <c r="G38" s="30">
        <v>0</v>
      </c>
    </row>
    <row r="39" spans="1:7">
      <c r="A39" s="34" t="s">
        <v>3069</v>
      </c>
      <c r="B39" s="35" t="s">
        <v>3070</v>
      </c>
      <c r="C39" s="36" t="s">
        <v>3071</v>
      </c>
      <c r="D39" s="32">
        <f t="shared" si="1"/>
        <v>0</v>
      </c>
      <c r="E39" s="30"/>
      <c r="F39" s="30"/>
      <c r="G39" s="30">
        <v>0</v>
      </c>
    </row>
    <row r="40" spans="1:7">
      <c r="A40" s="34" t="s">
        <v>3072</v>
      </c>
      <c r="B40" s="35" t="s">
        <v>3073</v>
      </c>
      <c r="C40" s="36" t="s">
        <v>195</v>
      </c>
      <c r="D40" s="32">
        <f t="shared" si="1"/>
        <v>0.8</v>
      </c>
      <c r="E40" s="30"/>
      <c r="F40" s="30"/>
      <c r="G40" s="30">
        <v>0.8</v>
      </c>
    </row>
    <row r="41" spans="1:7">
      <c r="A41" s="34" t="s">
        <v>3074</v>
      </c>
      <c r="B41" s="35" t="s">
        <v>3075</v>
      </c>
      <c r="C41" s="36" t="s">
        <v>195</v>
      </c>
      <c r="D41" s="32">
        <f t="shared" si="1"/>
        <v>0.4</v>
      </c>
      <c r="E41" s="30"/>
      <c r="F41" s="30"/>
      <c r="G41" s="30">
        <v>0.4</v>
      </c>
    </row>
    <row r="42" spans="1:7">
      <c r="A42" s="34" t="s">
        <v>3076</v>
      </c>
      <c r="B42" s="35" t="s">
        <v>3077</v>
      </c>
      <c r="C42" s="36" t="s">
        <v>195</v>
      </c>
      <c r="D42" s="32">
        <f t="shared" si="1"/>
        <v>0.4</v>
      </c>
      <c r="E42" s="30"/>
      <c r="F42" s="30"/>
      <c r="G42" s="30">
        <v>0.4</v>
      </c>
    </row>
    <row r="43" spans="1:7">
      <c r="A43" s="34" t="s">
        <v>3078</v>
      </c>
      <c r="B43" s="35" t="s">
        <v>3079</v>
      </c>
      <c r="C43" s="36" t="s">
        <v>195</v>
      </c>
      <c r="D43" s="32">
        <f t="shared" si="1"/>
        <v>1</v>
      </c>
      <c r="E43" s="30"/>
      <c r="F43" s="30"/>
      <c r="G43" s="30">
        <v>1</v>
      </c>
    </row>
  </sheetData>
  <sheetProtection formatCells="0" insertHyperlinks="0" autoFilter="0"/>
  <conditionalFormatting sqref="A5:C5">
    <cfRule type="expression" dxfId="53" priority="18">
      <formula>LEN($A5)=6</formula>
    </cfRule>
  </conditionalFormatting>
  <conditionalFormatting sqref="D5">
    <cfRule type="expression" dxfId="53" priority="17">
      <formula>LEN($A5)=6</formula>
    </cfRule>
  </conditionalFormatting>
  <conditionalFormatting sqref="G6">
    <cfRule type="expression" dxfId="52" priority="9">
      <formula>$C6="分项"</formula>
    </cfRule>
    <cfRule type="expression" dxfId="53" priority="10">
      <formula>$C6="单位"</formula>
    </cfRule>
  </conditionalFormatting>
  <conditionalFormatting sqref="D34">
    <cfRule type="expression" dxfId="53" priority="19">
      <formula>LEN($A34)=6</formula>
    </cfRule>
  </conditionalFormatting>
  <conditionalFormatting sqref="A6:A39">
    <cfRule type="expression" dxfId="52" priority="15">
      <formula>$C6="分项"</formula>
    </cfRule>
    <cfRule type="expression" dxfId="53" priority="16">
      <formula>$C6="单位"</formula>
    </cfRule>
  </conditionalFormatting>
  <conditionalFormatting sqref="A40:A43">
    <cfRule type="expression" dxfId="52" priority="1">
      <formula>$C40="分项"</formula>
    </cfRule>
    <cfRule type="expression" dxfId="53" priority="2">
      <formula>$C40="单位"</formula>
    </cfRule>
  </conditionalFormatting>
  <conditionalFormatting sqref="B6:B39">
    <cfRule type="expression" dxfId="52" priority="13">
      <formula>$C6="分项"</formula>
    </cfRule>
    <cfRule type="expression" dxfId="53" priority="14">
      <formula>$C6="单位"</formula>
    </cfRule>
  </conditionalFormatting>
  <conditionalFormatting sqref="B40:B43">
    <cfRule type="expression" dxfId="52" priority="5">
      <formula>$C40="分项"</formula>
    </cfRule>
    <cfRule type="expression" dxfId="53" priority="6">
      <formula>$C40="单位"</formula>
    </cfRule>
  </conditionalFormatting>
  <conditionalFormatting sqref="C6:C39">
    <cfRule type="expression" dxfId="52" priority="11">
      <formula>$C6="分项"</formula>
    </cfRule>
    <cfRule type="expression" dxfId="53" priority="12">
      <formula>$C6="单位"</formula>
    </cfRule>
  </conditionalFormatting>
  <conditionalFormatting sqref="C40:C43">
    <cfRule type="expression" dxfId="52" priority="3">
      <formula>$C40="分项"</formula>
    </cfRule>
    <cfRule type="expression" dxfId="53" priority="4">
      <formula>$C40="单位"</formula>
    </cfRule>
  </conditionalFormatting>
  <conditionalFormatting sqref="D40:D43">
    <cfRule type="expression" dxfId="53" priority="7">
      <formula>LEN($A40)=6</formula>
    </cfRule>
  </conditionalFormatting>
  <conditionalFormatting sqref="A3:D4">
    <cfRule type="expression" dxfId="53" priority="21">
      <formula>LEN($A3)=6</formula>
    </cfRule>
  </conditionalFormatting>
  <conditionalFormatting sqref="D6:D33 D35:D39">
    <cfRule type="expression" dxfId="53" priority="20">
      <formula>LEN($A6)=6</formula>
    </cfRule>
  </conditionalFormatting>
  <conditionalFormatting sqref="E15:G35">
    <cfRule type="expression" dxfId="53" priority="8">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pageSetup paperSize="9" orientation="portrait"/>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L89"/>
  <sheetViews>
    <sheetView workbookViewId="0">
      <pane ySplit="2" topLeftCell="A3" activePane="bottomLeft" state="frozen"/>
      <selection/>
      <selection pane="bottomLeft" activeCell="E18" sqref="E18"/>
    </sheetView>
  </sheetViews>
  <sheetFormatPr defaultColWidth="8.475" defaultRowHeight="21.95" customHeight="1"/>
  <cols>
    <col min="1" max="1" width="5.3" style="19" customWidth="1"/>
    <col min="2" max="2" width="42.9666666666667" style="20" customWidth="1"/>
    <col min="3" max="4" width="28.8416666666667" style="20" customWidth="1"/>
    <col min="5" max="5" width="10.0083333333333" style="19" customWidth="1"/>
    <col min="6" max="12" width="8.475" style="11"/>
    <col min="13" max="16384" width="8.475" style="12"/>
  </cols>
  <sheetData>
    <row r="1" ht="30" customHeight="1" spans="1:5">
      <c r="A1" s="21" t="s">
        <v>3082</v>
      </c>
      <c r="B1" s="22"/>
      <c r="C1" s="22"/>
      <c r="D1" s="22"/>
      <c r="E1" s="21"/>
    </row>
    <row r="2" s="1" customFormat="1" ht="24.95" customHeight="1" spans="1:12">
      <c r="A2" s="23" t="s">
        <v>1254</v>
      </c>
      <c r="B2" s="24" t="s">
        <v>3083</v>
      </c>
      <c r="C2" s="24" t="s">
        <v>3084</v>
      </c>
      <c r="D2" s="24" t="s">
        <v>3085</v>
      </c>
      <c r="E2" s="23" t="s">
        <v>1262</v>
      </c>
      <c r="F2" s="18"/>
      <c r="G2" s="18"/>
      <c r="H2" s="18"/>
      <c r="I2" s="18"/>
      <c r="J2" s="18"/>
      <c r="K2" s="18"/>
      <c r="L2" s="18"/>
    </row>
    <row r="3" customHeight="1" spans="1:5">
      <c r="A3" s="25"/>
      <c r="B3" s="26"/>
      <c r="C3" s="26"/>
      <c r="D3" s="26"/>
      <c r="E3" s="25"/>
    </row>
    <row r="4" customHeight="1" spans="1:5">
      <c r="A4" s="25"/>
      <c r="B4" s="26"/>
      <c r="C4" s="26"/>
      <c r="D4" s="26"/>
      <c r="E4" s="25"/>
    </row>
    <row r="5" customHeight="1" spans="1:5">
      <c r="A5" s="25"/>
      <c r="B5" s="26"/>
      <c r="C5" s="26"/>
      <c r="D5" s="26"/>
      <c r="E5" s="25"/>
    </row>
    <row r="6" customHeight="1" spans="1:5">
      <c r="A6" s="25"/>
      <c r="B6" s="26"/>
      <c r="C6" s="26"/>
      <c r="D6" s="26"/>
      <c r="E6" s="25"/>
    </row>
    <row r="7" customHeight="1" spans="1:5">
      <c r="A7" s="25"/>
      <c r="B7" s="26"/>
      <c r="C7" s="26"/>
      <c r="D7" s="26"/>
      <c r="E7" s="25"/>
    </row>
    <row r="8" customHeight="1" spans="1:5">
      <c r="A8" s="25"/>
      <c r="B8" s="26"/>
      <c r="C8" s="26"/>
      <c r="D8" s="26"/>
      <c r="E8" s="25"/>
    </row>
    <row r="9" customHeight="1" spans="1:5">
      <c r="A9" s="25"/>
      <c r="B9" s="26"/>
      <c r="C9" s="26"/>
      <c r="D9" s="26"/>
      <c r="E9" s="25"/>
    </row>
    <row r="10" customHeight="1" spans="1:5">
      <c r="A10" s="25"/>
      <c r="B10" s="26"/>
      <c r="C10" s="26"/>
      <c r="D10" s="26"/>
      <c r="E10" s="25"/>
    </row>
    <row r="11" customHeight="1" spans="1:5">
      <c r="A11" s="25"/>
      <c r="B11" s="26"/>
      <c r="C11" s="26"/>
      <c r="D11" s="26"/>
      <c r="E11" s="25"/>
    </row>
    <row r="12" customHeight="1" spans="1:5">
      <c r="A12" s="25"/>
      <c r="B12" s="26"/>
      <c r="C12" s="26"/>
      <c r="D12" s="26"/>
      <c r="E12" s="25"/>
    </row>
    <row r="13" customHeight="1" spans="1:5">
      <c r="A13" s="25"/>
      <c r="B13" s="26"/>
      <c r="C13" s="26"/>
      <c r="D13" s="26"/>
      <c r="E13" s="25"/>
    </row>
    <row r="14" customHeight="1" spans="1:5">
      <c r="A14" s="25"/>
      <c r="B14" s="26"/>
      <c r="C14" s="26"/>
      <c r="D14" s="26"/>
      <c r="E14" s="25"/>
    </row>
    <row r="15" customHeight="1" spans="1:5">
      <c r="A15" s="25"/>
      <c r="B15" s="26"/>
      <c r="C15" s="26"/>
      <c r="D15" s="26"/>
      <c r="E15" s="25"/>
    </row>
    <row r="16" customHeight="1" spans="1:5">
      <c r="A16" s="25"/>
      <c r="B16" s="26"/>
      <c r="C16" s="26"/>
      <c r="D16" s="26"/>
      <c r="E16" s="25"/>
    </row>
    <row r="17" customHeight="1" spans="1:5">
      <c r="A17" s="25"/>
      <c r="B17" s="26"/>
      <c r="C17" s="26"/>
      <c r="D17" s="26"/>
      <c r="E17" s="25"/>
    </row>
    <row r="18" customHeight="1" spans="1:5">
      <c r="A18" s="25"/>
      <c r="B18" s="26"/>
      <c r="C18" s="26"/>
      <c r="D18" s="26"/>
      <c r="E18" s="25"/>
    </row>
    <row r="19" customHeight="1" spans="1:5">
      <c r="A19" s="25"/>
      <c r="B19" s="26"/>
      <c r="C19" s="26"/>
      <c r="D19" s="26"/>
      <c r="E19" s="25"/>
    </row>
    <row r="20" customHeight="1" spans="1:5">
      <c r="A20" s="25"/>
      <c r="B20" s="26"/>
      <c r="C20" s="26"/>
      <c r="D20" s="26"/>
      <c r="E20" s="25"/>
    </row>
    <row r="21" customHeight="1" spans="1:5">
      <c r="A21" s="25"/>
      <c r="B21" s="26"/>
      <c r="C21" s="26"/>
      <c r="D21" s="26"/>
      <c r="E21" s="25"/>
    </row>
    <row r="22" customHeight="1" spans="1:5">
      <c r="A22" s="25"/>
      <c r="B22" s="26"/>
      <c r="C22" s="26"/>
      <c r="D22" s="26"/>
      <c r="E22" s="25"/>
    </row>
    <row r="23" customHeight="1" spans="1:5">
      <c r="A23" s="25"/>
      <c r="B23" s="26"/>
      <c r="C23" s="26"/>
      <c r="D23" s="26"/>
      <c r="E23" s="25"/>
    </row>
    <row r="24" customHeight="1" spans="1:5">
      <c r="A24" s="25"/>
      <c r="B24" s="26"/>
      <c r="C24" s="26"/>
      <c r="D24" s="26"/>
      <c r="E24" s="25"/>
    </row>
    <row r="25" customHeight="1" spans="1:5">
      <c r="A25" s="25"/>
      <c r="B25" s="26"/>
      <c r="C25" s="26"/>
      <c r="D25" s="26"/>
      <c r="E25" s="25"/>
    </row>
    <row r="26" customHeight="1" spans="1:5">
      <c r="A26" s="25"/>
      <c r="B26" s="26"/>
      <c r="C26" s="26"/>
      <c r="D26" s="26"/>
      <c r="E26" s="25"/>
    </row>
    <row r="27" customHeight="1" spans="1:5">
      <c r="A27" s="25"/>
      <c r="B27" s="26"/>
      <c r="C27" s="26"/>
      <c r="D27" s="26"/>
      <c r="E27" s="25"/>
    </row>
    <row r="28" customHeight="1" spans="1:5">
      <c r="A28" s="25"/>
      <c r="B28" s="26"/>
      <c r="C28" s="26"/>
      <c r="D28" s="26"/>
      <c r="E28" s="25"/>
    </row>
    <row r="29" customHeight="1" spans="1:5">
      <c r="A29" s="25"/>
      <c r="B29" s="26"/>
      <c r="C29" s="26"/>
      <c r="D29" s="26"/>
      <c r="E29" s="25"/>
    </row>
    <row r="30" customHeight="1" spans="1:5">
      <c r="A30" s="25"/>
      <c r="B30" s="26"/>
      <c r="C30" s="26"/>
      <c r="D30" s="26"/>
      <c r="E30" s="25"/>
    </row>
    <row r="31" customHeight="1" spans="1:5">
      <c r="A31" s="25"/>
      <c r="B31" s="26"/>
      <c r="C31" s="26"/>
      <c r="D31" s="26"/>
      <c r="E31" s="25"/>
    </row>
    <row r="32" customHeight="1" spans="1:5">
      <c r="A32" s="25"/>
      <c r="B32" s="26"/>
      <c r="C32" s="26"/>
      <c r="D32" s="26"/>
      <c r="E32" s="25"/>
    </row>
    <row r="33" customHeight="1" spans="1:5">
      <c r="A33" s="25"/>
      <c r="B33" s="26"/>
      <c r="C33" s="26"/>
      <c r="D33" s="26"/>
      <c r="E33" s="25"/>
    </row>
    <row r="34" customHeight="1" spans="1:5">
      <c r="A34" s="25"/>
      <c r="B34" s="26"/>
      <c r="C34" s="26"/>
      <c r="D34" s="26"/>
      <c r="E34" s="25"/>
    </row>
    <row r="35" customHeight="1" spans="1:5">
      <c r="A35" s="25"/>
      <c r="B35" s="26"/>
      <c r="C35" s="26"/>
      <c r="D35" s="26"/>
      <c r="E35" s="25"/>
    </row>
    <row r="36" customHeight="1" spans="1:5">
      <c r="A36" s="25"/>
      <c r="B36" s="26"/>
      <c r="C36" s="26"/>
      <c r="D36" s="26"/>
      <c r="E36" s="25"/>
    </row>
    <row r="37" customHeight="1" spans="1:5">
      <c r="A37" s="25"/>
      <c r="B37" s="26"/>
      <c r="C37" s="26"/>
      <c r="D37" s="26"/>
      <c r="E37" s="25"/>
    </row>
    <row r="38" customHeight="1" spans="1:5">
      <c r="A38" s="25"/>
      <c r="B38" s="26"/>
      <c r="C38" s="26"/>
      <c r="D38" s="26"/>
      <c r="E38" s="25"/>
    </row>
    <row r="39" customHeight="1" spans="1:5">
      <c r="A39" s="25"/>
      <c r="B39" s="26"/>
      <c r="C39" s="26"/>
      <c r="D39" s="26"/>
      <c r="E39" s="25"/>
    </row>
    <row r="40" customHeight="1" spans="1:5">
      <c r="A40" s="25"/>
      <c r="B40" s="26"/>
      <c r="C40" s="26"/>
      <c r="D40" s="26"/>
      <c r="E40" s="25"/>
    </row>
    <row r="41" customHeight="1" spans="1:5">
      <c r="A41" s="25"/>
      <c r="B41" s="26"/>
      <c r="C41" s="26"/>
      <c r="D41" s="26"/>
      <c r="E41" s="25"/>
    </row>
    <row r="42" customHeight="1" spans="1:5">
      <c r="A42" s="25"/>
      <c r="B42" s="26"/>
      <c r="C42" s="26"/>
      <c r="D42" s="26"/>
      <c r="E42" s="25"/>
    </row>
    <row r="43" customHeight="1" spans="1:5">
      <c r="A43" s="25"/>
      <c r="B43" s="26"/>
      <c r="C43" s="26"/>
      <c r="D43" s="26"/>
      <c r="E43" s="25"/>
    </row>
    <row r="44" customHeight="1" spans="1:5">
      <c r="A44" s="25"/>
      <c r="B44" s="26"/>
      <c r="C44" s="26"/>
      <c r="D44" s="26"/>
      <c r="E44" s="25"/>
    </row>
    <row r="45" customHeight="1" spans="1:5">
      <c r="A45" s="25"/>
      <c r="B45" s="26"/>
      <c r="C45" s="26"/>
      <c r="D45" s="26"/>
      <c r="E45" s="25"/>
    </row>
    <row r="46" customHeight="1" spans="1:5">
      <c r="A46" s="25"/>
      <c r="B46" s="26"/>
      <c r="C46" s="26"/>
      <c r="D46" s="26"/>
      <c r="E46" s="25"/>
    </row>
    <row r="47" customHeight="1" spans="1:5">
      <c r="A47" s="25"/>
      <c r="B47" s="26"/>
      <c r="C47" s="26"/>
      <c r="D47" s="26"/>
      <c r="E47" s="25"/>
    </row>
    <row r="48" customHeight="1" spans="1:5">
      <c r="A48" s="25"/>
      <c r="B48" s="26"/>
      <c r="C48" s="26"/>
      <c r="D48" s="26"/>
      <c r="E48" s="25"/>
    </row>
    <row r="49" customHeight="1" spans="1:5">
      <c r="A49" s="25"/>
      <c r="B49" s="26"/>
      <c r="C49" s="26"/>
      <c r="D49" s="26"/>
      <c r="E49" s="25"/>
    </row>
    <row r="50" customHeight="1" spans="1:5">
      <c r="A50" s="25"/>
      <c r="B50" s="26"/>
      <c r="C50" s="26"/>
      <c r="D50" s="26"/>
      <c r="E50" s="25"/>
    </row>
    <row r="51" customHeight="1" spans="1:5">
      <c r="A51" s="25"/>
      <c r="B51" s="26"/>
      <c r="C51" s="26"/>
      <c r="D51" s="26"/>
      <c r="E51" s="25"/>
    </row>
    <row r="52" customHeight="1" spans="1:5">
      <c r="A52" s="25"/>
      <c r="B52" s="26"/>
      <c r="C52" s="26"/>
      <c r="D52" s="26"/>
      <c r="E52" s="25"/>
    </row>
    <row r="53" customHeight="1" spans="1:5">
      <c r="A53" s="25"/>
      <c r="B53" s="26"/>
      <c r="C53" s="26"/>
      <c r="D53" s="26"/>
      <c r="E53" s="25"/>
    </row>
    <row r="54" customHeight="1" spans="1:5">
      <c r="A54" s="25"/>
      <c r="B54" s="26"/>
      <c r="C54" s="26"/>
      <c r="D54" s="26"/>
      <c r="E54" s="25"/>
    </row>
    <row r="55" customHeight="1" spans="1:5">
      <c r="A55" s="25"/>
      <c r="B55" s="26"/>
      <c r="C55" s="26"/>
      <c r="D55" s="26"/>
      <c r="E55" s="25"/>
    </row>
    <row r="56" customHeight="1" spans="1:5">
      <c r="A56" s="25"/>
      <c r="B56" s="26"/>
      <c r="C56" s="26"/>
      <c r="D56" s="26"/>
      <c r="E56" s="25"/>
    </row>
    <row r="57" customHeight="1" spans="1:5">
      <c r="A57" s="25"/>
      <c r="B57" s="26"/>
      <c r="C57" s="26"/>
      <c r="D57" s="26"/>
      <c r="E57" s="25"/>
    </row>
    <row r="58" customHeight="1" spans="1:5">
      <c r="A58" s="25"/>
      <c r="B58" s="26"/>
      <c r="C58" s="26"/>
      <c r="D58" s="26"/>
      <c r="E58" s="25"/>
    </row>
    <row r="59" customHeight="1" spans="1:5">
      <c r="A59" s="25"/>
      <c r="B59" s="26"/>
      <c r="C59" s="26"/>
      <c r="D59" s="26"/>
      <c r="E59" s="25"/>
    </row>
    <row r="60" customHeight="1" spans="1:5">
      <c r="A60" s="25"/>
      <c r="B60" s="26"/>
      <c r="C60" s="26"/>
      <c r="D60" s="26"/>
      <c r="E60" s="25"/>
    </row>
    <row r="61" customHeight="1" spans="1:5">
      <c r="A61" s="25"/>
      <c r="B61" s="26"/>
      <c r="C61" s="26"/>
      <c r="D61" s="26"/>
      <c r="E61" s="25"/>
    </row>
    <row r="62" customHeight="1" spans="1:5">
      <c r="A62" s="25"/>
      <c r="B62" s="26"/>
      <c r="C62" s="26"/>
      <c r="D62" s="26"/>
      <c r="E62" s="25"/>
    </row>
    <row r="63" customHeight="1" spans="1:5">
      <c r="A63" s="25"/>
      <c r="B63" s="26"/>
      <c r="C63" s="26"/>
      <c r="D63" s="26"/>
      <c r="E63" s="25"/>
    </row>
    <row r="64" customHeight="1" spans="1:5">
      <c r="A64" s="25"/>
      <c r="B64" s="26"/>
      <c r="C64" s="26"/>
      <c r="D64" s="26"/>
      <c r="E64" s="25"/>
    </row>
    <row r="65" customHeight="1" spans="1:5">
      <c r="A65" s="25"/>
      <c r="B65" s="26"/>
      <c r="C65" s="26"/>
      <c r="D65" s="26"/>
      <c r="E65" s="25"/>
    </row>
    <row r="66" customHeight="1" spans="1:5">
      <c r="A66" s="25"/>
      <c r="B66" s="26"/>
      <c r="C66" s="26"/>
      <c r="D66" s="26"/>
      <c r="E66" s="25"/>
    </row>
    <row r="67" customHeight="1" spans="1:5">
      <c r="A67" s="25"/>
      <c r="B67" s="26"/>
      <c r="C67" s="26"/>
      <c r="D67" s="26"/>
      <c r="E67" s="25"/>
    </row>
    <row r="68" customHeight="1" spans="1:5">
      <c r="A68" s="25"/>
      <c r="B68" s="26"/>
      <c r="C68" s="26"/>
      <c r="D68" s="26"/>
      <c r="E68" s="25"/>
    </row>
    <row r="69" customHeight="1" spans="1:5">
      <c r="A69" s="25"/>
      <c r="B69" s="26"/>
      <c r="C69" s="26"/>
      <c r="D69" s="26"/>
      <c r="E69" s="25"/>
    </row>
    <row r="70" customHeight="1" spans="1:5">
      <c r="A70" s="25"/>
      <c r="B70" s="26"/>
      <c r="C70" s="26"/>
      <c r="D70" s="26"/>
      <c r="E70" s="25"/>
    </row>
    <row r="71" customHeight="1" spans="1:5">
      <c r="A71" s="25"/>
      <c r="B71" s="26"/>
      <c r="C71" s="26"/>
      <c r="D71" s="26"/>
      <c r="E71" s="25"/>
    </row>
    <row r="72" customHeight="1" spans="1:5">
      <c r="A72" s="25"/>
      <c r="B72" s="26"/>
      <c r="C72" s="26"/>
      <c r="D72" s="26"/>
      <c r="E72" s="25"/>
    </row>
    <row r="73" customHeight="1" spans="1:5">
      <c r="A73" s="25"/>
      <c r="B73" s="26"/>
      <c r="C73" s="26"/>
      <c r="D73" s="26"/>
      <c r="E73" s="25"/>
    </row>
    <row r="74" customHeight="1" spans="1:5">
      <c r="A74" s="25"/>
      <c r="B74" s="26"/>
      <c r="C74" s="26"/>
      <c r="D74" s="26"/>
      <c r="E74" s="25"/>
    </row>
    <row r="75" customHeight="1" spans="1:5">
      <c r="A75" s="25"/>
      <c r="B75" s="26"/>
      <c r="C75" s="26"/>
      <c r="D75" s="26"/>
      <c r="E75" s="25"/>
    </row>
    <row r="76" customHeight="1" spans="1:5">
      <c r="A76" s="25"/>
      <c r="B76" s="26"/>
      <c r="C76" s="26"/>
      <c r="D76" s="26"/>
      <c r="E76" s="25"/>
    </row>
    <row r="77" customHeight="1" spans="1:5">
      <c r="A77" s="25"/>
      <c r="B77" s="26"/>
      <c r="C77" s="26"/>
      <c r="D77" s="26"/>
      <c r="E77" s="25"/>
    </row>
    <row r="78" customHeight="1" spans="1:5">
      <c r="A78" s="25"/>
      <c r="B78" s="26"/>
      <c r="C78" s="26"/>
      <c r="D78" s="26"/>
      <c r="E78" s="25"/>
    </row>
    <row r="79" customHeight="1" spans="1:5">
      <c r="A79" s="25"/>
      <c r="B79" s="26"/>
      <c r="C79" s="26"/>
      <c r="D79" s="26"/>
      <c r="E79" s="25"/>
    </row>
    <row r="80" customHeight="1" spans="1:5">
      <c r="A80" s="25"/>
      <c r="B80" s="26"/>
      <c r="C80" s="26"/>
      <c r="D80" s="26"/>
      <c r="E80" s="25"/>
    </row>
    <row r="81" customHeight="1" spans="1:5">
      <c r="A81" s="25"/>
      <c r="B81" s="26"/>
      <c r="C81" s="26"/>
      <c r="D81" s="26"/>
      <c r="E81" s="25"/>
    </row>
    <row r="82" customHeight="1" spans="1:5">
      <c r="A82" s="25"/>
      <c r="B82" s="26"/>
      <c r="C82" s="26"/>
      <c r="D82" s="26"/>
      <c r="E82" s="25"/>
    </row>
    <row r="83" customHeight="1" spans="1:5">
      <c r="A83" s="25"/>
      <c r="B83" s="26"/>
      <c r="C83" s="26"/>
      <c r="D83" s="26"/>
      <c r="E83" s="25"/>
    </row>
    <row r="84" customHeight="1" spans="1:5">
      <c r="A84" s="25"/>
      <c r="B84" s="26"/>
      <c r="C84" s="26"/>
      <c r="D84" s="26"/>
      <c r="E84" s="25"/>
    </row>
    <row r="85" customHeight="1" spans="1:5">
      <c r="A85" s="25"/>
      <c r="B85" s="26"/>
      <c r="C85" s="26"/>
      <c r="D85" s="26"/>
      <c r="E85" s="25"/>
    </row>
    <row r="86" customHeight="1" spans="1:5">
      <c r="A86" s="25"/>
      <c r="B86" s="26"/>
      <c r="C86" s="26"/>
      <c r="D86" s="26"/>
      <c r="E86" s="25"/>
    </row>
    <row r="87" customHeight="1" spans="1:5">
      <c r="A87" s="25"/>
      <c r="B87" s="26"/>
      <c r="C87" s="26"/>
      <c r="D87" s="26"/>
      <c r="E87" s="25"/>
    </row>
    <row r="88" customHeight="1" spans="1:5">
      <c r="A88" s="25"/>
      <c r="B88" s="26"/>
      <c r="C88" s="26"/>
      <c r="D88" s="26"/>
      <c r="E88" s="25"/>
    </row>
    <row r="89" customHeight="1" spans="1:5">
      <c r="A89" s="25"/>
      <c r="B89" s="26"/>
      <c r="C89" s="26"/>
      <c r="D89" s="26"/>
      <c r="E89" s="25"/>
    </row>
  </sheetData>
  <mergeCells count="1">
    <mergeCell ref="A1:E1"/>
  </mergeCells>
  <pageMargins left="0.75" right="0.75" top="1" bottom="1" header="0.5" footer="0.5"/>
  <pageSetup paperSize="9" orientation="landscape"/>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Q15"/>
  <sheetViews>
    <sheetView showGridLines="0" tabSelected="1" topLeftCell="C1" workbookViewId="0">
      <selection activeCell="F10" sqref="F10"/>
    </sheetView>
  </sheetViews>
  <sheetFormatPr defaultColWidth="8.475" defaultRowHeight="20.1" customHeight="1"/>
  <cols>
    <col min="1" max="1" width="6.24166666666667" style="2" customWidth="1"/>
    <col min="2" max="2" width="24.1333333333333" style="3" customWidth="1"/>
    <col min="3" max="3" width="10.3833333333333" style="3" customWidth="1"/>
    <col min="4" max="4" width="7.44166666666667" style="4" customWidth="1"/>
    <col min="5" max="5" width="38.0166666666667" style="3" customWidth="1"/>
    <col min="6" max="6" width="6.24166666666667" style="5" customWidth="1"/>
    <col min="7" max="7" width="6.24166666666667" style="6" customWidth="1"/>
    <col min="8" max="8" width="10.0083333333333" style="7" customWidth="1"/>
    <col min="9" max="9" width="5.3" style="8" customWidth="1"/>
    <col min="10" max="10" width="5.3" style="9" customWidth="1"/>
    <col min="11" max="11" width="9.34166666666667" style="10" customWidth="1"/>
    <col min="12" max="17" width="8.475" style="11"/>
    <col min="18" max="16384" width="8.475" style="12"/>
  </cols>
  <sheetData>
    <row r="1" s="1" customFormat="1" ht="27.95" customHeight="1" spans="1:17">
      <c r="A1" s="13" t="s">
        <v>1254</v>
      </c>
      <c r="B1" s="13" t="s">
        <v>1255</v>
      </c>
      <c r="C1" s="13" t="s">
        <v>3086</v>
      </c>
      <c r="D1" s="13" t="s">
        <v>1294</v>
      </c>
      <c r="E1" s="13" t="s">
        <v>3087</v>
      </c>
      <c r="F1" s="14" t="s">
        <v>3088</v>
      </c>
      <c r="G1" s="15" t="s">
        <v>60</v>
      </c>
      <c r="H1" s="16" t="s">
        <v>3089</v>
      </c>
      <c r="I1" s="17" t="s">
        <v>3090</v>
      </c>
      <c r="J1" s="16" t="s">
        <v>2012</v>
      </c>
      <c r="K1" s="13" t="s">
        <v>1262</v>
      </c>
      <c r="L1" s="18"/>
      <c r="M1" s="18"/>
      <c r="N1" s="18"/>
      <c r="O1" s="18"/>
      <c r="P1" s="18"/>
      <c r="Q1" s="18"/>
    </row>
    <row r="2" customHeight="1" spans="8:8">
      <c r="H2" s="7" t="str" cm="1">
        <f ca="1" t="array" ref="H2">js</f>
        <v/>
      </c>
    </row>
    <row r="3" customHeight="1" spans="8:8">
      <c r="H3" s="7" t="str" cm="1">
        <f ca="1" t="array" ref="H3">js</f>
        <v/>
      </c>
    </row>
    <row r="4" customHeight="1" spans="8:8">
      <c r="H4" s="7" t="str" cm="1">
        <f ca="1" t="array" ref="H4">js</f>
        <v/>
      </c>
    </row>
    <row r="5" customHeight="1" spans="8:8">
      <c r="H5" s="7" t="str" cm="1">
        <f ca="1" t="array" ref="H5">js</f>
        <v/>
      </c>
    </row>
    <row r="6" customHeight="1" spans="5:8">
      <c r="E6" s="3" t="s">
        <v>3091</v>
      </c>
      <c r="H6" s="7" cm="1">
        <f ca="1" t="array" ref="H6">js</f>
        <v>14355.53</v>
      </c>
    </row>
    <row r="7" customHeight="1" spans="5:8">
      <c r="E7" s="3" t="s">
        <v>3092</v>
      </c>
      <c r="H7" s="7" cm="1">
        <f ca="1" t="array" ref="H7">js</f>
        <v>14355.53</v>
      </c>
    </row>
    <row r="8" customHeight="1" spans="5:8">
      <c r="E8" s="3" t="s">
        <v>3093</v>
      </c>
      <c r="H8" s="7" cm="1">
        <f ca="1" t="array" ref="H8">js</f>
        <v>25083.22</v>
      </c>
    </row>
    <row r="15" customHeight="1" spans="3:3">
      <c r="C15" s="4"/>
    </row>
  </sheetData>
  <dataValidations count="5">
    <dataValidation type="list" allowBlank="1" showInputMessage="1" sqref="A1:A7 A8:A1048576">
      <formula1>"*,**,***,****,∑1,∑2,∑3"</formula1>
    </dataValidation>
    <dataValidation type="list" allowBlank="1" showInputMessage="1" sqref="F1:F7 F8:F1048576">
      <formula1>"-1,0.5,1,2,3,4,5"</formula1>
    </dataValidation>
    <dataValidation type="list" allowBlank="1" showInputMessage="1" sqref="G1:G7 G8:G1048576">
      <formula1>"m,m2,m3,mm,km,kg,t,个,台,套,根,块,组,副,座,部,张,孔,排,台班,节,次,工日,天,小时,棵,株,丛,克,吨"</formula1>
    </dataValidation>
    <dataValidation type="list" allowBlank="1" showInputMessage="1" sqref="I1:I7 I8:I1048576">
      <formula1>"A1,A2,A3,A4,A5,B1,B2,B3,B4,B5"</formula1>
    </dataValidation>
    <dataValidation type="list" allowBlank="1" showInputMessage="1" sqref="J1:J7 J8:J1048576">
      <formula1>"不计"</formula1>
    </dataValidation>
  </dataValidations>
  <printOptions horizontalCentered="1" gridLines="1"/>
  <pageMargins left="0.432638888888889" right="0.236111111111111" top="0.904861111111111" bottom="0.747916666666667" header="0.393055555555556" footer="0.314583333333333"/>
  <pageSetup paperSize="9" orientation="landscape" horizontalDpi="600"/>
  <headerFooter>
    <oddHeader>&amp;L&amp;"宋体"&amp;9
项目名称： &amp;C&amp;"楷体"&amp;16&amp;B 工程量计算表&amp;R&amp;"宋体"&amp;9
单位名称： </oddHeader>
    <oddFooter>&amp;L&amp;"宋体"&amp;9编制人： &amp;C&amp;"宋体"&amp;9 第 &amp;P 页，共 &amp;N 页&amp;R&amp;"宋体"&amp;9编制时间： </oddFooter>
  </headerFooter>
  <ignoredErrors>
    <ignoredError sqref="F1" listDataValidation="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;`�ϑUSMO:N� �l�9�:N USMO US�r(upenc�v�Q US�r(upenc�v�Q �X<Pzz� ���R Rd�dkUSCQ<h�Q�vlQ_ ���R Rd�dkUSCQ<h�Q�vlQ_ N�� Rd�dkUSCQ<h̑�vlQ_ ���R Rd�dkUSCQ<h�Q�vlQ_ ���R Rd�dkUSCQ<h�Q�vlQ_ �laB\�~sQ�|0�k�X�R N�~(u3 MOpeh�:y 
</file>

<file path=customXml/item2.xml>�� 
</file>

<file path=customXml/item3.xml>�� 
</file>

<file path=customXml/item4.xml>�� 
</file>

<file path=customXml/item5.xml>�� `$W�^���{h�- ���{h� "1 , "2 , "3 " > �^�S y��vT�y ;NgS, !kgS, fN?b, �[�S, eQ7b���V, ;NkS, �[kS, �S?b, u;m3��S, of3��S, eQ7b'Y�S, 5u�h�S, MR�[p�S�, |i�h��, 4l�N, 5u�N, Θ�N" > �MO �Q�Xb�, Y�Xb�, x�Xb�, <x�Xb�, xWWb�, 蕗z�Ob�, ���p, �hb�, �gb�" > y��vyr�_ ���{_ �|pe *N, �S, WY, 9h, WW, �~, oR, �^, �,  _, T[, �c, �S�s, ��, !k, �]�e, )Y, \�e, �h, *h, N, KQ, (T" > USMO �]zϑ �Sϑ N��" > h�_ Y�l 
</file>

<file path=customXml/item6.xml><?xml version="1.0" encoding="utf-8"?>
<NetdiskSupbooks xmlns="http://www.wps.cn/et/2019/netdiskSupbooks">
  <NetdiskSupbook Target="\1551501211\WPS企业云盘\四川省场道工程有限公司\团队文档\厦门机场\成本月报\2024年月报\2024-08-成本月报-分项拆分.xlsm" FileId="326950310073" NetdiskName="yunwps"/>
</NetdiskSupbooks>
</file>

<file path=customXml/itemProps1.xml><?xml version="1.0" encoding="utf-8"?>
<ds:datastoreItem xmlns:ds="http://schemas.openxmlformats.org/officeDocument/2006/customXml" ds:itemID="{06A0048C-2381-489B-AA07-9611017176EA}">
  <ds:schemaRefs/>
</ds:datastoreItem>
</file>

<file path=customXml/itemProps2.xml><?xml version="1.0" encoding="utf-8"?>
<ds:datastoreItem xmlns:ds="http://schemas.openxmlformats.org/officeDocument/2006/customXml" ds:itemID="{224D003E-15C9-4FFE-AB16-9E66474EAE4E}">
  <ds:schemaRefs/>
</ds:datastoreItem>
</file>

<file path=customXml/itemProps3.xml><?xml version="1.0" encoding="utf-8"?>
<ds:datastoreItem xmlns:ds="http://schemas.openxmlformats.org/officeDocument/2006/customXml" ds:itemID="{9E76EC2D-0BA3-4427-8FC5-E2CC043EA752}">
  <ds:schemaRefs/>
</ds:datastoreItem>
</file>

<file path=customXml/itemProps4.xml><?xml version="1.0" encoding="utf-8"?>
<ds:datastoreItem xmlns:ds="http://schemas.openxmlformats.org/officeDocument/2006/customXml" ds:itemID="{06C82605-B75B-4693-9329-32AAD527C692}">
  <ds:schemaRefs/>
</ds:datastoreItem>
</file>

<file path=customXml/itemProps5.xml><?xml version="1.0" encoding="utf-8"?>
<ds:datastoreItem xmlns:ds="http://schemas.openxmlformats.org/officeDocument/2006/customXml" ds:itemID="{df499c88-89fe-46ec-b707-370b4f3aa9b4}">
  <ds:schemaRefs/>
</ds:datastoreItem>
</file>

<file path=customXml/itemProps6.xml><?xml version="1.0" encoding="utf-8"?>
<ds:datastoreItem xmlns:ds="http://schemas.openxmlformats.org/officeDocument/2006/customXml" ds:itemID="{8CA11897-456E-43AF-AC28-93E1BBEC0A59}">
  <ds:schemaRefs>
    <ds:schemaRef ds:uri="http://www.wps.cn/et/2019/netdiskSupbooks"/>
  </ds:schemaRefs>
</ds:datastoreItem>
</file>

<file path=docProps/app.xml><?xml version="1.0" encoding="utf-8"?>
<Properties xmlns="http://schemas.openxmlformats.org/officeDocument/2006/extended-properties" xmlns:vt="http://schemas.openxmlformats.org/officeDocument/2006/docPropsVTypes">
  <Company>微软中国</Company>
  <Application>Microsoft Excel</Application>
  <HeadingPairs>
    <vt:vector size="2" baseType="variant">
      <vt:variant>
        <vt:lpstr>工作表</vt:lpstr>
      </vt:variant>
      <vt:variant>
        <vt:i4>30</vt:i4>
      </vt:variant>
    </vt:vector>
  </HeadingPairs>
  <TitlesOfParts>
    <vt:vector size="30" baseType="lpstr">
      <vt:lpstr>成本预算表编制基本说明</vt:lpstr>
      <vt:lpstr>封面</vt:lpstr>
      <vt:lpstr>本套报表编制说明</vt:lpstr>
      <vt:lpstr>数据源00表</vt:lpstr>
      <vt:lpstr>工程项目成本预算表(01表)</vt:lpstr>
      <vt:lpstr>分项对比表(02表)</vt:lpstr>
      <vt:lpstr>人工费预算表(03表) </vt:lpstr>
      <vt:lpstr>材料费预算表(04表)</vt:lpstr>
      <vt:lpstr>机械费预算表(05表) </vt:lpstr>
      <vt:lpstr>分包费预算表(06表) </vt:lpstr>
      <vt:lpstr>措施费预算表(07表)</vt:lpstr>
      <vt:lpstr>期间费用预算表(08表)</vt:lpstr>
      <vt:lpstr>工作人员工资表(08-1表)</vt:lpstr>
      <vt:lpstr>财务费用预算表(08-2表)</vt:lpstr>
      <vt:lpstr>词库</vt:lpstr>
      <vt:lpstr>项目信息表</vt:lpstr>
      <vt:lpstr>工程成本费用汇总表</vt:lpstr>
      <vt:lpstr>01工程产值对比表</vt:lpstr>
      <vt:lpstr>02综合台帐（人材机）</vt:lpstr>
      <vt:lpstr>03人工费预算对比表</vt:lpstr>
      <vt:lpstr>04材料费预算对比表</vt:lpstr>
      <vt:lpstr>05机械租赁费预算对比表</vt:lpstr>
      <vt:lpstr>06专业分包预算对比表</vt:lpstr>
      <vt:lpstr>07其他直接费对比表</vt:lpstr>
      <vt:lpstr>08期间费用对比表</vt:lpstr>
      <vt:lpstr>09 成本预算调整表</vt:lpstr>
      <vt:lpstr>产值统计中间表</vt:lpstr>
      <vt:lpstr>业主统计中间表</vt:lpstr>
      <vt:lpstr>计算表-总说明</vt:lpstr>
      <vt:lpstr>计算表-计算表 </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微软用户</dc:creator>
  <cp:lastModifiedBy>廖勇</cp:lastModifiedBy>
  <dcterms:created xsi:type="dcterms:W3CDTF">2006-09-20T00:28:00Z</dcterms:created>
  <cp:lastPrinted>2018-08-13T22:41:00Z</cp:lastPrinted>
  <dcterms:modified xsi:type="dcterms:W3CDTF">2024-12-21T11:33:45Z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2052-12.1.0.16894</vt:lpwstr>
  </property>
  <property fmtid="{D5CDD505-2E9C-101B-9397-08002B2CF9AE}" pid="3" name="ICV">
    <vt:lpwstr>0401896605944F88B035F29108A7CA42_13</vt:lpwstr>
  </property>
  <property fmtid="{D5CDD505-2E9C-101B-9397-08002B2CF9AE}" pid="4" name="KSOReadingLayout">
    <vt:bool>false</vt:bool>
  </property>
  <property fmtid="{D5CDD505-2E9C-101B-9397-08002B2CF9AE}" pid="5" name="commondata">
    <vt:lpwstr>eyJoZGlkIjoiNmE2YzU4NzNmM2FjMTVkMDM1NzJkNGM3YTM3NGU5NGQifQ==</vt:lpwstr>
  </property>
</Properties>
</file>